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06ab5b86e8640d05/Desktop/Excel-Sales-Analytics-Dashboard/"/>
    </mc:Choice>
  </mc:AlternateContent>
  <xr:revisionPtr revIDLastSave="5" documentId="8_{91519B4E-0C71-4197-9A2D-2435E08F4486}" xr6:coauthVersionLast="47" xr6:coauthVersionMax="47" xr10:uidLastSave="{8F4D7C71-6782-4437-9387-43AB4DDC1D5A}"/>
  <bookViews>
    <workbookView xWindow="-108" yWindow="-108" windowWidth="23256" windowHeight="13176" firstSheet="1" activeTab="4" xr2:uid="{E24115E3-B651-420A-9241-EB9A73963ED4}"/>
  </bookViews>
  <sheets>
    <sheet name="Raw data" sheetId="1" r:id="rId1"/>
    <sheet name="Raw_DATA" sheetId="6" r:id="rId2"/>
    <sheet name="Processed_DATA" sheetId="12" r:id="rId3"/>
    <sheet name="Calculations_Pivot_Table" sheetId="9" r:id="rId4"/>
    <sheet name="Dashboard " sheetId="13" r:id="rId5"/>
  </sheets>
  <definedNames>
    <definedName name="ExternalData_1" localSheetId="1" hidden="1">Raw_DATA!$A$1:$S$1001</definedName>
    <definedName name="NativeTimeline_Order_Date">#N/A</definedName>
    <definedName name="Sales_data">Sales_Data_1[]</definedName>
    <definedName name="Slicer_Delivery_Status">#N/A</definedName>
    <definedName name="Slicer_Payment_Mode">#N/A</definedName>
    <definedName name="Slicer_Product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A801" i="6" l="1" a="1"/>
  <c r="AA40" i="6" a="1"/>
  <c r="AA349" i="6" a="1"/>
  <c r="AA117" i="6" a="1"/>
  <c r="AA65" i="6" a="1"/>
  <c r="AA483" i="6" a="1"/>
  <c r="AA326" i="6" a="1"/>
  <c r="AA369" i="6" a="1"/>
  <c r="AA208" i="6" a="1"/>
  <c r="AA278" i="6" a="1"/>
  <c r="AA776" i="6" a="1"/>
  <c r="AA158" i="6" a="1"/>
  <c r="AA55" i="6" a="1"/>
  <c r="AA819" i="6" a="1"/>
  <c r="AA839" i="6" a="1"/>
  <c r="AA432" i="6" a="1"/>
  <c r="AA742" i="6" a="1"/>
  <c r="AA102" i="6" a="1"/>
  <c r="AA941" i="6" a="1"/>
  <c r="AA199" i="6" a="1"/>
  <c r="AA171" i="6" a="1"/>
  <c r="AA91" i="6" a="1"/>
  <c r="AA774" i="6" a="1"/>
  <c r="AA500" i="6" a="1"/>
  <c r="AA971" i="6" a="1"/>
  <c r="AA599" i="6" a="1"/>
  <c r="AA421" i="6" a="1"/>
  <c r="AA471" i="6" a="1"/>
  <c r="AA694" i="6" a="1"/>
  <c r="AA426" i="6" a="1"/>
  <c r="AA399" i="6" a="1"/>
  <c r="AA755" i="6" a="1"/>
  <c r="AA651" i="6" a="1"/>
  <c r="AA892" i="6" a="1"/>
  <c r="AA73" i="6" a="1"/>
  <c r="AA76" i="6" a="1"/>
  <c r="AA575" i="6" a="1"/>
  <c r="AA88" i="6" a="1"/>
  <c r="AA590" i="6" a="1"/>
  <c r="AA680" i="6" a="1"/>
  <c r="AA474" i="6" a="1"/>
  <c r="AA896" i="6" a="1"/>
  <c r="AA218" i="6" a="1"/>
  <c r="AA558" i="6" a="1"/>
  <c r="AA572" i="6" a="1"/>
  <c r="AA664" i="6" a="1"/>
  <c r="AA666" i="6" a="1"/>
  <c r="AA423" i="6" a="1"/>
  <c r="AA525" i="6" a="1"/>
  <c r="AA831" i="6" a="1"/>
  <c r="AA784" i="6" a="1"/>
  <c r="AA864" i="6" a="1"/>
  <c r="AA388" i="6" a="1"/>
  <c r="AA397" i="6" a="1"/>
  <c r="AA84" i="6" a="1"/>
  <c r="AA901" i="6" a="1"/>
  <c r="AA870" i="6" a="1"/>
  <c r="AA193" i="6" a="1"/>
  <c r="AA175" i="6" a="1"/>
  <c r="AA230" i="6" a="1"/>
  <c r="AA360" i="6" a="1"/>
  <c r="AA415" i="6" a="1"/>
  <c r="AA365" i="6" a="1"/>
  <c r="AA583" i="6" a="1"/>
  <c r="AA238" i="6" a="1"/>
  <c r="AA799" i="6" a="1"/>
  <c r="AA425" i="6" a="1"/>
  <c r="AA614" i="6" a="1"/>
  <c r="AA72" i="6" a="1"/>
  <c r="AA560" i="6" a="1"/>
  <c r="AA920" i="6" a="1"/>
  <c r="AA11" i="6" a="1"/>
  <c r="AA233" i="6" a="1"/>
  <c r="AA507" i="6" a="1"/>
  <c r="AA59" i="6" a="1"/>
  <c r="AA592" i="6" a="1"/>
  <c r="AA965" i="6" a="1"/>
  <c r="AA889" i="6" a="1"/>
  <c r="AA858" i="6" a="1"/>
  <c r="AA357" i="6" a="1"/>
  <c r="AA151" i="6" a="1"/>
  <c r="AA900" i="6" a="1"/>
  <c r="AA23" i="6" a="1"/>
  <c r="AA453" i="6" a="1"/>
  <c r="AA975" i="6" a="1"/>
  <c r="AA988" i="6" a="1"/>
  <c r="AA779" i="6" a="1"/>
  <c r="AA803" i="6" a="1"/>
  <c r="AA878" i="6" a="1"/>
  <c r="AA566" i="6" a="1"/>
  <c r="AA249" i="6" a="1"/>
  <c r="AA909" i="6" a="1"/>
  <c r="AA198" i="6" a="1"/>
  <c r="AA194" i="6" a="1"/>
  <c r="AA848" i="6" a="1"/>
  <c r="AA528" i="6" a="1"/>
  <c r="AA241" i="6" a="1"/>
  <c r="AA150" i="6" a="1"/>
  <c r="AA486" i="6" a="1"/>
  <c r="AA989" i="6" a="1"/>
  <c r="AA647" i="6" a="1"/>
  <c r="AA751" i="6" a="1"/>
  <c r="AA305" i="6" a="1"/>
  <c r="AA254" i="6" a="1"/>
  <c r="AA978" i="6" a="1"/>
  <c r="AA308" i="6" a="1"/>
  <c r="AA285" i="6" a="1"/>
  <c r="AA860" i="6" a="1"/>
  <c r="AA628" i="6" a="1"/>
  <c r="AA364" i="6" a="1"/>
  <c r="AA958" i="6" a="1"/>
  <c r="AA427" i="6" a="1"/>
  <c r="AA56" i="6" a="1"/>
  <c r="AA324" i="6" a="1"/>
  <c r="AA693" i="6" a="1"/>
  <c r="AA10" i="6" a="1"/>
  <c r="AA843" i="6" a="1"/>
  <c r="AA672" i="6" a="1"/>
  <c r="AA983" i="6" a="1"/>
  <c r="AA756" i="6" a="1"/>
  <c r="AA367" i="6" a="1"/>
  <c r="AA223" i="6" a="1"/>
  <c r="AA345" i="6" a="1"/>
  <c r="AA288" i="6" a="1"/>
  <c r="AA728" i="6" a="1"/>
  <c r="AA571" i="6" a="1"/>
  <c r="AA21" i="6" a="1"/>
  <c r="AA763" i="6" a="1"/>
  <c r="AA190" i="6" a="1"/>
  <c r="AA245" i="6" a="1"/>
  <c r="AA587" i="6" a="1"/>
  <c r="AA217" i="6" a="1"/>
  <c r="AA812" i="6" a="1"/>
  <c r="AA212" i="6" a="1"/>
  <c r="AA463" i="6" a="1"/>
  <c r="AA634" i="6" a="1"/>
  <c r="AA627" i="6" a="1"/>
  <c r="AA752" i="6" a="1"/>
  <c r="AA433" i="6" a="1"/>
  <c r="AA142" i="6" a="1"/>
  <c r="AA673" i="6" a="1"/>
  <c r="AA311" i="6" a="1"/>
  <c r="AA63" i="6" a="1"/>
  <c r="AA395" i="6" a="1"/>
  <c r="AA315" i="6" a="1"/>
  <c r="AA644" i="6" a="1"/>
  <c r="AA754" i="6" a="1"/>
  <c r="AA163" i="6" a="1"/>
  <c r="AA913" i="6" a="1"/>
  <c r="AA863" i="6" a="1"/>
  <c r="AA476" i="6" a="1"/>
  <c r="AA828" i="6" a="1"/>
  <c r="AA977" i="6" a="1"/>
  <c r="AA376" i="6" a="1"/>
  <c r="AA764" i="6" a="1"/>
  <c r="AA922" i="6" a="1"/>
  <c r="AA735" i="6" a="1"/>
  <c r="AA386" i="6" a="1"/>
  <c r="AA935" i="6" a="1"/>
  <c r="AA41" i="6" a="1"/>
  <c r="AA197" i="6" a="1"/>
  <c r="AA633" i="6" a="1"/>
  <c r="AA179" i="6" a="1"/>
  <c r="AA910" i="6" a="1"/>
  <c r="AA458" i="6" a="1"/>
  <c r="AA339" i="6" a="1"/>
  <c r="AA284" i="6" a="1"/>
  <c r="AA52" i="6" a="1"/>
  <c r="AA574" i="6" a="1"/>
  <c r="AA667" i="6" a="1"/>
  <c r="AA997" i="6" a="1"/>
  <c r="AA898" i="6" a="1"/>
  <c r="AA519" i="6" a="1"/>
  <c r="AA482" i="6" a="1"/>
  <c r="AA137" i="6" a="1"/>
  <c r="AA436" i="6" a="1"/>
  <c r="AA648" i="6" a="1"/>
  <c r="AA542" i="6" a="1"/>
  <c r="AA214" i="6" a="1"/>
  <c r="AA944" i="6" a="1"/>
  <c r="AA736" i="6" a="1"/>
  <c r="AA503" i="6" a="1"/>
  <c r="AA798" i="6" a="1"/>
  <c r="AA529" i="6" a="1"/>
  <c r="AA620" i="6" a="1"/>
  <c r="AA716" i="6" a="1"/>
  <c r="AA417" i="6" a="1"/>
  <c r="AA841" i="6" a="1"/>
  <c r="AA646" i="6" a="1"/>
  <c r="AA428" i="6" a="1"/>
  <c r="AA653" i="6" a="1"/>
  <c r="AA430" i="6" a="1"/>
  <c r="AA652" i="6" a="1"/>
  <c r="AA698" i="6" a="1"/>
  <c r="AA671" i="6" a="1"/>
  <c r="AA555" i="6" a="1"/>
  <c r="AA511" i="6" a="1"/>
  <c r="AA970" i="6" a="1"/>
  <c r="AA186" i="6" a="1"/>
  <c r="AA733" i="6" a="1"/>
  <c r="AA263" i="6" a="1"/>
  <c r="AA226" i="6" a="1"/>
  <c r="AA811" i="6" a="1"/>
  <c r="AA955" i="6" a="1"/>
  <c r="AA696" i="6" a="1"/>
  <c r="AA139" i="6" a="1"/>
  <c r="AA438" i="6" a="1"/>
  <c r="AA626" i="6" a="1"/>
  <c r="AA783" i="6" a="1"/>
  <c r="AA850" i="6" a="1"/>
  <c r="AA524" i="6" a="1"/>
  <c r="AA882" i="6" a="1"/>
  <c r="AA270" i="6" a="1"/>
  <c r="AA120" i="6" a="1"/>
  <c r="AA275" i="6" a="1"/>
  <c r="AA352" i="6" a="1"/>
  <c r="AA466" i="6" a="1"/>
  <c r="AA347" i="6" a="1"/>
  <c r="AA960" i="6" a="1"/>
  <c r="AA660" i="6" a="1"/>
  <c r="AA473" i="6" a="1"/>
  <c r="AA940" i="6" a="1"/>
  <c r="AA434" i="6" a="1"/>
  <c r="AA394" i="6" a="1"/>
  <c r="AA936" i="6" a="1"/>
  <c r="AA687" i="6" a="1"/>
  <c r="AA518" i="6" a="1"/>
  <c r="AA96" i="6" a="1"/>
  <c r="AA48" i="6" a="1"/>
  <c r="AA825" i="6" a="1"/>
  <c r="AA757" i="6" a="1"/>
  <c r="AA204" i="6" a="1"/>
  <c r="AA385" i="6" a="1"/>
  <c r="AA699" i="6" a="1"/>
  <c r="AA945" i="6" a="1"/>
  <c r="AA125" i="6" a="1"/>
  <c r="AA911" i="6" a="1"/>
  <c r="AA904" i="6" a="1"/>
  <c r="AA328" i="6" a="1"/>
  <c r="AA110" i="6" a="1"/>
  <c r="AA257" i="6" a="1"/>
  <c r="AA504" i="6" a="1"/>
  <c r="AA957" i="6" a="1"/>
  <c r="AA67" i="6" a="1"/>
  <c r="AA713" i="6" a="1"/>
  <c r="AA271" i="6" a="1"/>
  <c r="AA610" i="6" a="1"/>
  <c r="AA924" i="6" a="1"/>
  <c r="AA823" i="6" a="1"/>
  <c r="AA677" i="6" a="1"/>
  <c r="AA991" i="6" a="1"/>
  <c r="AA580" i="6" a="1"/>
  <c r="AA126" i="6" a="1"/>
  <c r="AA663" i="6" a="1"/>
  <c r="AA722" i="6" a="1"/>
  <c r="AA686" i="6" a="1"/>
  <c r="AA834" i="6" a="1"/>
  <c r="AA260" i="6" a="1"/>
  <c r="AA318" i="6" a="1"/>
  <c r="AA450" i="6" a="1"/>
  <c r="AA497" i="6" a="1"/>
  <c r="AA178" i="6" a="1"/>
  <c r="AA457" i="6" a="1"/>
  <c r="AA985" i="6" a="1"/>
  <c r="AA845" i="6" a="1"/>
  <c r="AA479" i="6" a="1"/>
  <c r="AA688" i="6" a="1"/>
  <c r="AA795" i="6" a="1"/>
  <c r="AA90" i="6" a="1"/>
  <c r="AA443" i="6" a="1"/>
  <c r="AA246" i="6" a="1"/>
  <c r="AA495" i="6" a="1"/>
  <c r="AA921" i="6" a="1"/>
  <c r="AA481" i="6" a="1"/>
  <c r="AA291" i="6" a="1"/>
  <c r="AA50" i="6" a="1"/>
  <c r="AA225" i="6" a="1"/>
  <c r="AA237" i="6" a="1"/>
  <c r="AA187" i="6" a="1"/>
  <c r="AA75" i="6" a="1"/>
  <c r="AA480" i="6" a="1"/>
  <c r="AA374" i="6" a="1"/>
  <c r="AA818" i="6" a="1"/>
  <c r="AA262" i="6" a="1"/>
  <c r="AA982" i="6" a="1"/>
  <c r="AA79" i="6" a="1"/>
  <c r="AA94" i="6" a="1"/>
  <c r="AA44" i="6" a="1"/>
  <c r="AA191" i="6" a="1"/>
  <c r="AA706" i="6" a="1"/>
  <c r="AA334" i="6" a="1"/>
  <c r="AA967" i="6" a="1"/>
  <c r="AA969" i="6" a="1"/>
  <c r="AA499" i="6" a="1"/>
  <c r="AA707" i="6" a="1"/>
  <c r="AA149" i="6" a="1"/>
  <c r="AA307" i="6" a="1"/>
  <c r="AA35" i="6" a="1"/>
  <c r="AA656" i="6" a="1"/>
  <c r="AA894" i="6" a="1"/>
  <c r="AA69" i="6" a="1"/>
  <c r="AA62" i="6" a="1"/>
  <c r="AA451" i="6" a="1"/>
  <c r="AA103" i="6" a="1"/>
  <c r="AA400" i="6" a="1"/>
  <c r="AA165" i="6" a="1"/>
  <c r="AA974" i="6" a="1"/>
  <c r="AA775" i="6" a="1"/>
  <c r="AA251" i="6" a="1"/>
  <c r="AA2" i="6" a="1"/>
  <c r="AA771" i="6" a="1"/>
  <c r="AA513" i="6" a="1"/>
  <c r="AA887" i="6" a="1"/>
  <c r="AA842" i="6" a="1"/>
  <c r="AA703" i="6" a="1"/>
  <c r="AA727" i="6" a="1"/>
  <c r="AA464" i="6" a="1"/>
  <c r="AA419" i="6" a="1"/>
  <c r="AA467" i="6" a="1"/>
  <c r="AA268" i="6" a="1"/>
  <c r="AA853" i="6" a="1"/>
  <c r="AA852" i="6" a="1"/>
  <c r="AA758" i="6" a="1"/>
  <c r="AA968" i="6" a="1"/>
  <c r="AA650" i="6" a="1"/>
  <c r="AA837" i="6" a="1"/>
  <c r="AA185" i="6" a="1"/>
  <c r="AA437" i="6" a="1"/>
  <c r="AA611" i="6" a="1"/>
  <c r="AA861" i="6" a="1"/>
  <c r="AA639" i="6" a="1"/>
  <c r="AA604" i="6" a="1"/>
  <c r="AA884" i="6" a="1"/>
  <c r="AA19" i="6" a="1"/>
  <c r="AA714" i="6" a="1"/>
  <c r="AA883" i="6" a="1"/>
  <c r="AA659" i="6" a="1"/>
  <c r="AA711" i="6" a="1"/>
  <c r="AA45" i="6" a="1"/>
  <c r="AA731" i="6" a="1"/>
  <c r="AA929" i="6" a="1"/>
  <c r="AA498" i="6" a="1"/>
  <c r="AA675" i="6" a="1"/>
  <c r="AA236" i="6" a="1"/>
  <c r="AA34" i="6" a="1"/>
  <c r="AA465" i="6" a="1"/>
  <c r="AA378" i="6" a="1"/>
  <c r="AA824" i="6" a="1"/>
  <c r="AA708" i="6" a="1"/>
  <c r="AA53" i="6" a="1"/>
  <c r="AA389" i="6" a="1"/>
  <c r="AA838" i="6" a="1"/>
  <c r="AA954" i="6" a="1"/>
  <c r="AA792" i="6" a="1"/>
  <c r="AA456" i="6" a="1"/>
  <c r="AA435" i="6" a="1"/>
  <c r="AA866" i="6" a="1"/>
  <c r="AA299" i="6" a="1"/>
  <c r="AA554" i="6" a="1"/>
  <c r="AA234" i="6" a="1"/>
  <c r="AA281" i="6" a="1"/>
  <c r="AA431" i="6" a="1"/>
  <c r="AA697" i="6" a="1"/>
  <c r="AA312" i="6" a="1"/>
  <c r="AA404" i="6" a="1"/>
  <c r="AA83" i="6" a="1"/>
  <c r="AA602" i="6" a="1"/>
  <c r="AA322" i="6" a="1"/>
  <c r="AA219" i="6" a="1"/>
  <c r="AA20" i="6" a="1"/>
  <c r="AA741" i="6" a="1"/>
  <c r="AA750" i="6" a="1"/>
  <c r="AA540" i="6" a="1"/>
  <c r="AA329" i="6" a="1"/>
  <c r="AA897" i="6" a="1"/>
  <c r="AA319" i="6" a="1"/>
  <c r="AA789" i="6" a="1"/>
  <c r="AA632" i="6" a="1"/>
  <c r="AA695" i="6" a="1"/>
  <c r="AA74" i="6" a="1"/>
  <c r="AA877" i="6" a="1"/>
  <c r="AA8" i="6" a="1"/>
  <c r="AA759" i="6" a="1"/>
  <c r="AA15" i="6" a="1"/>
  <c r="AA248" i="6" a="1"/>
  <c r="AA934" i="6" a="1"/>
  <c r="AA692" i="6" a="1"/>
  <c r="AA514" i="6" a="1"/>
  <c r="AA1001" i="6" a="1"/>
  <c r="AA414" i="6" a="1"/>
  <c r="AA855" i="6" a="1"/>
  <c r="AA297" i="6" a="1"/>
  <c r="AA167" i="6" a="1"/>
  <c r="AA984" i="6" a="1"/>
  <c r="AA33" i="6" a="1"/>
  <c r="AA29" i="6" a="1"/>
  <c r="AA86" i="6" a="1"/>
  <c r="AA255" i="6" a="1"/>
  <c r="AA316" i="6" a="1"/>
  <c r="AA608" i="6" a="1"/>
  <c r="AA492" i="6" a="1"/>
  <c r="AA192" i="6" a="1"/>
  <c r="AA917" i="6" a="1"/>
  <c r="AA221" i="6" a="1"/>
  <c r="AA259" i="6" a="1"/>
  <c r="AA440" i="6" a="1"/>
  <c r="AA702" i="6" a="1"/>
  <c r="AA509" i="6" a="1"/>
  <c r="AA247" i="6" a="1"/>
  <c r="AA354" i="6" a="1"/>
  <c r="AA244" i="6" a="1"/>
  <c r="AA605" i="6" a="1"/>
  <c r="AA13" i="6" a="1"/>
  <c r="AA387" i="6" a="1"/>
  <c r="AA942" i="6" a="1"/>
  <c r="AA276" i="6" a="1"/>
  <c r="AA807" i="6" a="1"/>
  <c r="AA684" i="6" a="1"/>
  <c r="AA112" i="6" a="1"/>
  <c r="AA591" i="6" a="1"/>
  <c r="AA224" i="6" a="1"/>
  <c r="AA568" i="6" a="1"/>
  <c r="AA292" i="6" a="1"/>
  <c r="AA128" i="6" a="1"/>
  <c r="AA407" i="6" a="1"/>
  <c r="AA564" i="6" a="1"/>
  <c r="AA772" i="6" a="1"/>
  <c r="AA37" i="6" a="1"/>
  <c r="AA129" i="6" a="1"/>
  <c r="AA361" i="6" a="1"/>
  <c r="AA790" i="6" a="1"/>
  <c r="AA902" i="6" a="1"/>
  <c r="AA685" i="6" a="1"/>
  <c r="AA631" i="6" a="1"/>
  <c r="AA856" i="6" a="1"/>
  <c r="AA715" i="6" a="1"/>
  <c r="AA418" i="6" a="1"/>
  <c r="AA181" i="6" a="1"/>
  <c r="AA745" i="6" a="1"/>
  <c r="AA992" i="6" a="1"/>
  <c r="AA691" i="6" a="1"/>
  <c r="AA42" i="6" a="1"/>
  <c r="AA157" i="6" a="1"/>
  <c r="AA392" i="6" a="1"/>
  <c r="AA138" i="6" a="1"/>
  <c r="AA766" i="6" a="1"/>
  <c r="AA603" i="6" a="1"/>
  <c r="AA788" i="6" a="1"/>
  <c r="AA732" i="6" a="1"/>
  <c r="AA362" i="6" a="1"/>
  <c r="AA612" i="6" a="1"/>
  <c r="AA517" i="6" a="1"/>
  <c r="AA380" i="6" a="1"/>
  <c r="AA207" i="6" a="1"/>
  <c r="AA505" i="6" a="1"/>
  <c r="AA98" i="6" a="1"/>
  <c r="AA54" i="6" a="1"/>
  <c r="AA143" i="6" a="1"/>
  <c r="AA606" i="6" a="1"/>
  <c r="AA87" i="6" a="1"/>
  <c r="AA938" i="6" a="1"/>
  <c r="AA780" i="6" a="1"/>
  <c r="AA60" i="6" a="1"/>
  <c r="AA678" i="6" a="1"/>
  <c r="AA621" i="6" a="1"/>
  <c r="AA227" i="6" a="1"/>
  <c r="AA277" i="6" a="1"/>
  <c r="AA113" i="6" a="1"/>
  <c r="AA468" i="6" a="1"/>
  <c r="AA177" i="6" a="1"/>
  <c r="AA508" i="6" a="1"/>
  <c r="AA200" i="6" a="1"/>
  <c r="AA770" i="6" a="1"/>
  <c r="AA25" i="6" a="1"/>
  <c r="AA478" i="6" a="1"/>
  <c r="AA381" i="6" a="1"/>
  <c r="AA538" i="6" a="1"/>
  <c r="AA951" i="6" a="1"/>
  <c r="AA49" i="6" a="1"/>
  <c r="AA57" i="6" a="1"/>
  <c r="AA891" i="6" a="1"/>
  <c r="AA598" i="6" a="1"/>
  <c r="AA371" i="6" a="1"/>
  <c r="AA184" i="6" a="1"/>
  <c r="AA830" i="6" a="1"/>
  <c r="AA302" i="6" a="1"/>
  <c r="AA993" i="6" a="1"/>
  <c r="AA724" i="6" a="1"/>
  <c r="AA547" i="6" a="1"/>
  <c r="AA411" i="6" a="1"/>
  <c r="AA719" i="6" a="1"/>
  <c r="AA422" i="6" a="1"/>
  <c r="AA160" i="6" a="1"/>
  <c r="AA886" i="6" a="1"/>
  <c r="AA327" i="6" a="1"/>
  <c r="AA953" i="6" a="1"/>
  <c r="AA313" i="6" a="1"/>
  <c r="AA447" i="6" a="1"/>
  <c r="AA915" i="6" a="1"/>
  <c r="AA994" i="6" a="1"/>
  <c r="AA413" i="6" a="1"/>
  <c r="AA416" i="6" a="1"/>
  <c r="AA159" i="6" a="1"/>
  <c r="AA679" i="6" a="1"/>
  <c r="AA704" i="6" a="1"/>
  <c r="AA925" i="6" a="1"/>
  <c r="AA872" i="6" a="1"/>
  <c r="AA188" i="6" a="1"/>
  <c r="AA206" i="6" a="1"/>
  <c r="AA869" i="6" a="1"/>
  <c r="AA220" i="6" a="1"/>
  <c r="AA846" i="6" a="1"/>
  <c r="AA890" i="6" a="1"/>
  <c r="AA893" i="6" a="1"/>
  <c r="AA309" i="6" a="1"/>
  <c r="AA484" i="6" a="1"/>
  <c r="AA586" i="6" a="1"/>
  <c r="AA119" i="6" a="1"/>
  <c r="AA216" i="6" a="1"/>
  <c r="AA282" i="6" a="1"/>
  <c r="AA383" i="6" a="1"/>
  <c r="AA895" i="6" a="1"/>
  <c r="AA578" i="6" a="1"/>
  <c r="AA93" i="6" a="1"/>
  <c r="AA446" i="6" a="1"/>
  <c r="AA338" i="6" a="1"/>
  <c r="AA366" i="6" a="1"/>
  <c r="AA619" i="6" a="1"/>
  <c r="AA286" i="6" a="1"/>
  <c r="AA6" i="6" a="1"/>
  <c r="AA501" i="6" a="1"/>
  <c r="AA643" i="6" a="1"/>
  <c r="AA537" i="6" a="1"/>
  <c r="AA135" i="6" a="1"/>
  <c r="AA405" i="6" a="1"/>
  <c r="AA384" i="6" a="1"/>
  <c r="AA232" i="6" a="1"/>
  <c r="AA303" i="6" a="1"/>
  <c r="AA859" i="6" a="1"/>
  <c r="AA372" i="6" a="1"/>
  <c r="AA976" i="6" a="1"/>
  <c r="AA645" i="6" a="1"/>
  <c r="AA444" i="6" a="1"/>
  <c r="AA46" i="6" a="1"/>
  <c r="AA593" i="6" a="1"/>
  <c r="AA475" i="6" a="1"/>
  <c r="AA261" i="6" a="1"/>
  <c r="AA239" i="6" a="1"/>
  <c r="AA615" i="6" a="1"/>
  <c r="AA487" i="6" a="1"/>
  <c r="AA370" i="6" a="1"/>
  <c r="AA916" i="6" a="1"/>
  <c r="AA833" i="6" a="1"/>
  <c r="AA295" i="6" a="1"/>
  <c r="AA17" i="6" a="1"/>
  <c r="AA243" i="6" a="1"/>
  <c r="AA521" i="6" a="1"/>
  <c r="AA231" i="6" a="1"/>
  <c r="AA961" i="6" a="1"/>
  <c r="AA793" i="6" a="1"/>
  <c r="AA959" i="6" a="1"/>
  <c r="AA926" i="6" a="1"/>
  <c r="AA111" i="6" a="1"/>
  <c r="AA274" i="6" a="1"/>
  <c r="AA746" i="6" a="1"/>
  <c r="AA674" i="6" a="1"/>
  <c r="AA543" i="6" a="1"/>
  <c r="AA272" i="6" a="1"/>
  <c r="AA617" i="6" a="1"/>
  <c r="AA585" i="6" a="1"/>
  <c r="AA787" i="6" a="1"/>
  <c r="AA343" i="6" a="1"/>
  <c r="AA377" i="6" a="1"/>
  <c r="AA273" i="6" a="1"/>
  <c r="AA27" i="6" a="1"/>
  <c r="AA176" i="6" a="1"/>
  <c r="AA502" i="6" a="1"/>
  <c r="AA822" i="6" a="1"/>
  <c r="AA391" i="6" a="1"/>
  <c r="AA531" i="6" a="1"/>
  <c r="AA164" i="6" a="1"/>
  <c r="AA77" i="6" a="1"/>
  <c r="AA613" i="6" a="1"/>
  <c r="AA950" i="6" a="1"/>
  <c r="AA141" i="6" a="1"/>
  <c r="AA202" i="6" a="1"/>
  <c r="AA705" i="6" a="1"/>
  <c r="AA493" i="6" a="1"/>
  <c r="AA669" i="6" a="1"/>
  <c r="AA947" i="6" a="1"/>
  <c r="AA912" i="6" a="1"/>
  <c r="AA767" i="6" a="1"/>
  <c r="AA304" i="6" a="1"/>
  <c r="AA718" i="6" a="1"/>
  <c r="AA350" i="6" a="1"/>
  <c r="AA105" i="6" a="1"/>
  <c r="AA336" i="6" a="1"/>
  <c r="AA154" i="6" a="1"/>
  <c r="AA144" i="6" a="1"/>
  <c r="AA26" i="6" a="1"/>
  <c r="AA222" i="6" a="1"/>
  <c r="AA306" i="6" a="1"/>
  <c r="AA22" i="6" a="1"/>
  <c r="AA9" i="6" a="1"/>
  <c r="AA535" i="6" a="1"/>
  <c r="AA296" i="6" a="1"/>
  <c r="AA544" i="6" a="1"/>
  <c r="AA952" i="6" a="1"/>
  <c r="AA344" i="6" a="1"/>
  <c r="AA700" i="6" a="1"/>
  <c r="AA283" i="6" a="1"/>
  <c r="AA987" i="6" a="1"/>
  <c r="AA403" i="6" a="1"/>
  <c r="AA189" i="6" a="1"/>
  <c r="AA903" i="6" a="1"/>
  <c r="AA573" i="6" a="1"/>
  <c r="AA637" i="6" a="1"/>
  <c r="AA661" i="6" a="1"/>
  <c r="AA341" i="6" a="1"/>
  <c r="AA854" i="6" a="1"/>
  <c r="AA32" i="6" a="1"/>
  <c r="AA740" i="6" a="1"/>
  <c r="AA802" i="6" a="1"/>
  <c r="AA813" i="6" a="1"/>
  <c r="AA796" i="6" a="1"/>
  <c r="AA510" i="6" a="1"/>
  <c r="AA490" i="6" a="1"/>
  <c r="AA523" i="6" a="1"/>
  <c r="AA552" i="6" a="1"/>
  <c r="AA116" i="6" a="1"/>
  <c r="AA47" i="6" a="1"/>
  <c r="AA981" i="6" a="1"/>
  <c r="AA562" i="6" a="1"/>
  <c r="AA710" i="6" a="1"/>
  <c r="AA657" i="6" a="1"/>
  <c r="AA794" i="6" a="1"/>
  <c r="AA601" i="6" a="1"/>
  <c r="AA253" i="6" a="1"/>
  <c r="AA814" i="6" a="1"/>
  <c r="AA279" i="6" a="1"/>
  <c r="AA557" i="6" a="1"/>
  <c r="AA293" i="6" a="1"/>
  <c r="AA136" i="6" a="1"/>
  <c r="AA64" i="6" a="1"/>
  <c r="AA229" i="6" a="1"/>
  <c r="AA804" i="6" a="1"/>
  <c r="AA485" i="6" a="1"/>
  <c r="AA205" i="6" a="1"/>
  <c r="AA778" i="6" a="1"/>
  <c r="AA821" i="6" a="1"/>
  <c r="AA298" i="6" a="1"/>
  <c r="AA681" i="6" a="1"/>
  <c r="AA581" i="6" a="1"/>
  <c r="AA115" i="6" a="1"/>
  <c r="AA252" i="6" a="1"/>
  <c r="AA956" i="6" a="1"/>
  <c r="AA990" i="6" a="1"/>
  <c r="AA827" i="6" a="1"/>
  <c r="AA905" i="6" a="1"/>
  <c r="AA183" i="6" a="1"/>
  <c r="AA39" i="6" a="1"/>
  <c r="AA808" i="6" a="1"/>
  <c r="AA946" i="6" a="1"/>
  <c r="AA690" i="6" a="1"/>
  <c r="AA195" i="6" a="1"/>
  <c r="AA943" i="6" a="1"/>
  <c r="AA3" i="6" a="1"/>
  <c r="AA832" i="6" a="1"/>
  <c r="AA579" i="6" a="1"/>
  <c r="AA720" i="6" a="1"/>
  <c r="AA616" i="6" a="1"/>
  <c r="AA520" i="6" a="1"/>
  <c r="AA170" i="6" a="1"/>
  <c r="AA569" i="6" a="1"/>
  <c r="AA761" i="6" a="1"/>
  <c r="AA269" i="6" a="1"/>
  <c r="AA289" i="6" a="1"/>
  <c r="AA242" i="6" a="1"/>
  <c r="AA265" i="6" a="1"/>
  <c r="AA70" i="6" a="1"/>
  <c r="AA146" i="6" a="1"/>
  <c r="AA36" i="6" a="1"/>
  <c r="AA670" i="6" a="1"/>
  <c r="AA396" i="6" a="1"/>
  <c r="AA658" i="6" a="1"/>
  <c r="AA461" i="6" a="1"/>
  <c r="AA363" i="6" a="1"/>
  <c r="AA635" i="6" a="1"/>
  <c r="AA980" i="6" a="1"/>
  <c r="AA546" i="6" a="1"/>
  <c r="AA124" i="6" a="1"/>
  <c r="AA470" i="6" a="1"/>
  <c r="AA109" i="6" a="1"/>
  <c r="AA932" i="6" a="1"/>
  <c r="AA570" i="6" a="1"/>
  <c r="AA641" i="6" a="1"/>
  <c r="AA744" i="6" a="1"/>
  <c r="AA95" i="6" a="1"/>
  <c r="AA769" i="6" a="1"/>
  <c r="AA829" i="6" a="1"/>
  <c r="AA162" i="6" a="1"/>
  <c r="AA346" i="6" a="1"/>
  <c r="AA550" i="6" a="1"/>
  <c r="AA753" i="6" a="1"/>
  <c r="AA972" i="6" a="1"/>
  <c r="AA797" i="6" a="1"/>
  <c r="AA100" i="6" a="1"/>
  <c r="AA477" i="6" a="1"/>
  <c r="AA600" i="6" a="1"/>
  <c r="AA914" i="6" a="1"/>
  <c r="AA317" i="6" a="1"/>
  <c r="AA152" i="6" a="1"/>
  <c r="AA879" i="6" a="1"/>
  <c r="AA147" i="6" a="1"/>
  <c r="AA494" i="6" a="1"/>
  <c r="AA782" i="6" a="1"/>
  <c r="AA469" i="6" a="1"/>
  <c r="AA594" i="6" a="1"/>
  <c r="AA851" i="6" a="1"/>
  <c r="AA596" i="6" a="1"/>
  <c r="AA107" i="6" a="1"/>
  <c r="AA445" i="6" a="1"/>
  <c r="AA506" i="6" a="1"/>
  <c r="AA874" i="6" a="1"/>
  <c r="AA862" i="6" a="1"/>
  <c r="AA749" i="6" a="1"/>
  <c r="AA300" i="6" a="1"/>
  <c r="AA880" i="6" a="1"/>
  <c r="AA353" i="6" a="1"/>
  <c r="AA963" i="6" a="1"/>
  <c r="AA14" i="6" a="1"/>
  <c r="AA92" i="6" a="1"/>
  <c r="AA541" i="6" a="1"/>
  <c r="AA556" i="6" a="1"/>
  <c r="AA998" i="6" a="1"/>
  <c r="AA907" i="6" a="1"/>
  <c r="AA949" i="6" a="1"/>
  <c r="AA806" i="6" a="1"/>
  <c r="AA665" i="6" a="1"/>
  <c r="AA169" i="6" a="1"/>
  <c r="AA452" i="6" a="1"/>
  <c r="AA172" i="6" a="1"/>
  <c r="AA625" i="6" a="1"/>
  <c r="AA5" i="6" a="1"/>
  <c r="AA335" i="6" a="1"/>
  <c r="AA709" i="6" a="1"/>
  <c r="AA567" i="6" a="1"/>
  <c r="AA332" i="6" a="1"/>
  <c r="AA931" i="6" a="1"/>
  <c r="AA526" i="6" a="1"/>
  <c r="AA563" i="6" a="1"/>
  <c r="AA630" i="6" a="1"/>
  <c r="AA368" i="6" a="1"/>
  <c r="AA148" i="6" a="1"/>
  <c r="AA410" i="6" a="1"/>
  <c r="AA355" i="6" a="1"/>
  <c r="AA382" i="6" a="1"/>
  <c r="AA512" i="6" a="1"/>
  <c r="AA442" i="6" a="1"/>
  <c r="AA867" i="6" a="1"/>
  <c r="AA104" i="6" a="1"/>
  <c r="AA38" i="6" a="1"/>
  <c r="AA18" i="6" a="1"/>
  <c r="AA330" i="6" a="1"/>
  <c r="AA595" i="6" a="1"/>
  <c r="AA342" i="6" a="1"/>
  <c r="AA868" i="6" a="1"/>
  <c r="AA402" i="6" a="1"/>
  <c r="AA106" i="6" a="1"/>
  <c r="AA472" i="6" a="1"/>
  <c r="AA85" i="6" a="1"/>
  <c r="AA636" i="6" a="1"/>
  <c r="AA310" i="6" a="1"/>
  <c r="AA748" i="6" a="1"/>
  <c r="AA565" i="6" a="1"/>
  <c r="AA964" i="6" a="1"/>
  <c r="AA359" i="6" a="1"/>
  <c r="AA287" i="6" a="1"/>
  <c r="AA256" i="6" a="1"/>
  <c r="AA805" i="6" a="1"/>
  <c r="AA773" i="6" a="1"/>
  <c r="AA995" i="6" a="1"/>
  <c r="AA539" i="6" a="1"/>
  <c r="AA166" i="6" a="1"/>
  <c r="AA28" i="6" a="1"/>
  <c r="AA873" i="6" a="1"/>
  <c r="AA721" i="6" a="1"/>
  <c r="AA701" i="6" a="1"/>
  <c r="AA809" i="6" a="1"/>
  <c r="AA875" i="6" a="1"/>
  <c r="AA642" i="6" a="1"/>
  <c r="AA78" i="6" a="1"/>
  <c r="AA390" i="6" a="1"/>
  <c r="AA522" i="6" a="1"/>
  <c r="AA584" i="6" a="1"/>
  <c r="AA817" i="6" a="1"/>
  <c r="AA118" i="6" a="1"/>
  <c r="AA785" i="6" a="1"/>
  <c r="AA294" i="6" a="1"/>
  <c r="AA127" i="6" a="1"/>
  <c r="AA266" i="6" a="1"/>
  <c r="AA441" i="6" a="1"/>
  <c r="AA161" i="6" a="1"/>
  <c r="AA4" i="6" a="1"/>
  <c r="AA406" i="6" a="1"/>
  <c r="AA553" i="6" a="1"/>
  <c r="AA325" i="6" a="1"/>
  <c r="AA145" i="6" a="1"/>
  <c r="AA937" i="6" a="1"/>
  <c r="AA340" i="6" a="1"/>
  <c r="AA439" i="6" a="1"/>
  <c r="AA723" i="6" a="1"/>
  <c r="AA459" i="6" a="1"/>
  <c r="AA927" i="6" a="1"/>
  <c r="AA235" i="6" a="1"/>
  <c r="AA730" i="6" a="1"/>
  <c r="AA906" i="6" a="1"/>
  <c r="AA738" i="6" a="1"/>
  <c r="AA320" i="6" a="1"/>
  <c r="AA743" i="6" a="1"/>
  <c r="AA1000" i="6" a="1"/>
  <c r="AA768" i="6" a="1"/>
  <c r="AA301" i="6" a="1"/>
  <c r="AA258" i="6" a="1"/>
  <c r="AA865" i="6" a="1"/>
  <c r="AA429" i="6" a="1"/>
  <c r="AA527" i="6" a="1"/>
  <c r="AA545" i="6" a="1"/>
  <c r="AA847" i="6" a="1"/>
  <c r="AA908" i="6" a="1"/>
  <c r="AA810" i="6" a="1"/>
  <c r="AA534" i="6" a="1"/>
  <c r="AA836" i="6" a="1"/>
  <c r="AA609" i="6" a="1"/>
  <c r="AA31" i="6" a="1"/>
  <c r="AA729" i="6" a="1"/>
  <c r="AA777" i="6" a="1"/>
  <c r="AA786" i="6" a="1"/>
  <c r="AA533" i="6" a="1"/>
  <c r="AA351" i="6" a="1"/>
  <c r="AA80" i="6" a="1"/>
  <c r="AA30" i="6" a="1"/>
  <c r="AA999" i="6" a="1"/>
  <c r="AA933" i="6" a="1"/>
  <c r="AA43" i="6" a="1"/>
  <c r="AA89" i="6" a="1"/>
  <c r="AA734" i="6" a="1"/>
  <c r="AA393" i="6" a="1"/>
  <c r="AA597" i="6" a="1"/>
  <c r="AA156" i="6" a="1"/>
  <c r="AA331" i="6" a="1"/>
  <c r="AA58" i="6" a="1"/>
  <c r="AA835" i="6" a="1"/>
  <c r="AA337" i="6" a="1"/>
  <c r="AA424" i="6" a="1"/>
  <c r="AA515" i="6" a="1"/>
  <c r="AA455" i="6" a="1"/>
  <c r="AA762" i="6" a="1"/>
  <c r="AA408" i="6" a="1"/>
  <c r="AA489" i="6" a="1"/>
  <c r="AA607" i="6" a="1"/>
  <c r="AA449" i="6" a="1"/>
  <c r="AA134" i="6" a="1"/>
  <c r="AA654" i="6" a="1"/>
  <c r="AA203" i="6" a="1"/>
  <c r="AA123" i="6" a="1"/>
  <c r="AA791" i="6" a="1"/>
  <c r="AA398" i="6" a="1"/>
  <c r="AA747" i="6" a="1"/>
  <c r="AA228" i="6" a="1"/>
  <c r="AA68" i="6" a="1"/>
  <c r="AA712" i="6" a="1"/>
  <c r="AA760" i="6" a="1"/>
  <c r="AA820" i="6" a="1"/>
  <c r="AA857" i="6" a="1"/>
  <c r="AA640" i="6" a="1"/>
  <c r="AA589" i="6" a="1"/>
  <c r="AA516" i="6" a="1"/>
  <c r="AA201" i="6" a="1"/>
  <c r="AA168" i="6" a="1"/>
  <c r="AA132" i="6" a="1"/>
  <c r="AA130" i="6" a="1"/>
  <c r="AA409" i="6" a="1"/>
  <c r="AA588" i="6" a="1"/>
  <c r="AA840" i="6" a="1"/>
  <c r="AA725" i="6" a="1"/>
  <c r="AA401" i="6" a="1"/>
  <c r="AA173" i="6" a="1"/>
  <c r="AA624" i="6" a="1"/>
  <c r="AA496" i="6" a="1"/>
  <c r="AA551" i="6" a="1"/>
  <c r="AA71" i="6" a="1"/>
  <c r="AA559" i="6" a="1"/>
  <c r="AA530" i="6" a="1"/>
  <c r="AA885" i="6" a="1"/>
  <c r="AA153" i="6" a="1"/>
  <c r="AA676" i="6" a="1"/>
  <c r="AA939" i="6" a="1"/>
  <c r="AA918" i="6" a="1"/>
  <c r="AA209" i="6" a="1"/>
  <c r="AA211" i="6" a="1"/>
  <c r="AA966" i="6" a="1"/>
  <c r="AA12" i="6" a="1"/>
  <c r="AA379" i="6" a="1"/>
  <c r="AA899" i="6" a="1"/>
  <c r="AA689" i="6" a="1"/>
  <c r="AA61" i="6" a="1"/>
  <c r="AA250" i="6" a="1"/>
  <c r="AA930" i="6" a="1"/>
  <c r="AA532" i="6" a="1"/>
  <c r="AA618" i="6" a="1"/>
  <c r="AA348" i="6" a="1"/>
  <c r="AA174" i="6" a="1"/>
  <c r="AA996" i="6" a="1"/>
  <c r="AA215" i="6" a="1"/>
  <c r="AA323" i="6" a="1"/>
  <c r="AA576" i="6" a="1"/>
  <c r="AA962" i="6" a="1"/>
  <c r="AA121" i="6" a="1"/>
  <c r="AA737" i="6" a="1"/>
  <c r="AA240" i="6" a="1"/>
  <c r="AA140" i="6" a="1"/>
  <c r="AA420" i="6" a="1"/>
  <c r="AA210" i="6" a="1"/>
  <c r="AA375" i="6" a="1"/>
  <c r="AA536" i="6" a="1"/>
  <c r="AA460" i="6" a="1"/>
  <c r="AA765" i="6" a="1"/>
  <c r="AA849" i="6" a="1"/>
  <c r="AA66" i="6" a="1"/>
  <c r="AA815" i="6" a="1"/>
  <c r="AA986" i="6" a="1"/>
  <c r="AA739" i="6" a="1"/>
  <c r="AA577" i="6" a="1"/>
  <c r="AA114" i="6" a="1"/>
  <c r="AA919" i="6" a="1"/>
  <c r="AA888" i="6" a="1"/>
  <c r="AA973" i="6" a="1"/>
  <c r="AA923" i="6" a="1"/>
  <c r="AA800" i="6" a="1"/>
  <c r="AA682" i="6" a="1"/>
  <c r="AA24" i="6" a="1"/>
  <c r="AA683" i="6" a="1"/>
  <c r="AA108" i="6" a="1"/>
  <c r="AA623" i="6" a="1"/>
  <c r="AA358" i="6" a="1"/>
  <c r="AA655" i="6" a="1"/>
  <c r="AA844" i="6" a="1"/>
  <c r="AA82" i="6" a="1"/>
  <c r="AA979" i="6" a="1"/>
  <c r="AA280" i="6" a="1"/>
  <c r="AA321" i="6" a="1"/>
  <c r="AA826" i="6" a="1"/>
  <c r="AA264" i="6" a="1"/>
  <c r="AA928" i="6" a="1"/>
  <c r="AA948" i="6" a="1"/>
  <c r="AA133" i="6" a="1"/>
  <c r="AA155" i="6" a="1"/>
  <c r="AA454" i="6" a="1"/>
  <c r="AA622" i="6" a="1"/>
  <c r="AA816" i="6" a="1"/>
  <c r="AA488" i="6" a="1"/>
  <c r="AA717" i="6" a="1"/>
  <c r="AA7" i="6" a="1"/>
  <c r="AA561" i="6" a="1"/>
  <c r="AA876" i="6" a="1"/>
  <c r="AA196" i="6" a="1"/>
  <c r="AA213" i="6" a="1"/>
  <c r="AA582" i="6" a="1"/>
  <c r="AA97" i="6" a="1"/>
  <c r="AA491" i="6" a="1"/>
  <c r="AA290" i="6" a="1"/>
  <c r="AA314" i="6" a="1"/>
  <c r="AA16" i="6" a="1"/>
  <c r="AA81" i="6" a="1"/>
  <c r="AA726" i="6" a="1"/>
  <c r="AA182" i="6" a="1"/>
  <c r="AA649" i="6" a="1"/>
  <c r="AA51" i="6" a="1"/>
  <c r="AA548" i="6" a="1"/>
  <c r="AA448" i="6" a="1"/>
  <c r="AA180" i="6" a="1"/>
  <c r="AA662" i="6" a="1"/>
  <c r="AA881" i="6" a="1"/>
  <c r="AA462" i="6" a="1"/>
  <c r="AA131" i="6" a="1"/>
  <c r="AA373" i="6" a="1"/>
  <c r="AA629" i="6" a="1"/>
  <c r="AA781" i="6" a="1"/>
  <c r="AA99" i="6" a="1"/>
  <c r="AA333" i="6" a="1"/>
  <c r="AA668" i="6" a="1"/>
  <c r="AA267" i="6" a="1"/>
  <c r="AA356" i="6" a="1"/>
  <c r="AA101" i="6" a="1"/>
  <c r="AA549" i="6" a="1"/>
  <c r="AA638" i="6" a="1"/>
  <c r="AA871" i="6" a="1"/>
  <c r="AA412" i="6" a="1"/>
  <c r="AA122" i="6" a="1"/>
  <c r="Z40" i="6" a="1"/>
  <c r="Z801" i="6" a="1"/>
  <c r="Z349" i="6" a="1"/>
  <c r="Z117" i="6" a="1"/>
  <c r="Z65" i="6" a="1"/>
  <c r="Z483" i="6" a="1"/>
  <c r="Z326" i="6" a="1"/>
  <c r="Z369" i="6" a="1"/>
  <c r="Z208" i="6" a="1"/>
  <c r="Z278" i="6" a="1"/>
  <c r="Z776" i="6" a="1"/>
  <c r="Z158" i="6" a="1"/>
  <c r="Z55" i="6" a="1"/>
  <c r="Z819" i="6" a="1"/>
  <c r="Z839" i="6" a="1"/>
  <c r="Z432" i="6" a="1"/>
  <c r="Z742" i="6" a="1"/>
  <c r="Z102" i="6" a="1"/>
  <c r="Z941" i="6" a="1"/>
  <c r="Z199" i="6" a="1"/>
  <c r="Z171" i="6" a="1"/>
  <c r="Z91" i="6" a="1"/>
  <c r="Z774" i="6" a="1"/>
  <c r="Z500" i="6" a="1"/>
  <c r="Z971" i="6" a="1"/>
  <c r="Z599" i="6" a="1"/>
  <c r="Z421" i="6" a="1"/>
  <c r="Z471" i="6" a="1"/>
  <c r="Z694" i="6" a="1"/>
  <c r="Z426" i="6" a="1"/>
  <c r="Z399" i="6" a="1"/>
  <c r="Z755" i="6" a="1"/>
  <c r="Z651" i="6" a="1"/>
  <c r="Z892" i="6" a="1"/>
  <c r="Z73" i="6" a="1"/>
  <c r="Z76" i="6" a="1"/>
  <c r="Z575" i="6" a="1"/>
  <c r="Z88" i="6" a="1"/>
  <c r="Z590" i="6" a="1"/>
  <c r="Z680" i="6" a="1"/>
  <c r="Z474" i="6" a="1"/>
  <c r="Z896" i="6" a="1"/>
  <c r="Z218" i="6" a="1"/>
  <c r="Z558" i="6" a="1"/>
  <c r="Z572" i="6" a="1"/>
  <c r="Z664" i="6" a="1"/>
  <c r="Z666" i="6" a="1"/>
  <c r="Z423" i="6" a="1"/>
  <c r="Z525" i="6" a="1"/>
  <c r="Z831" i="6" a="1"/>
  <c r="Z784" i="6" a="1"/>
  <c r="Z864" i="6" a="1"/>
  <c r="Z388" i="6" a="1"/>
  <c r="Z397" i="6" a="1"/>
  <c r="Z84" i="6" a="1"/>
  <c r="Z901" i="6" a="1"/>
  <c r="Z870" i="6" a="1"/>
  <c r="Z193" i="6" a="1"/>
  <c r="Z175" i="6" a="1"/>
  <c r="Z230" i="6" a="1"/>
  <c r="Z360" i="6" a="1"/>
  <c r="Z415" i="6" a="1"/>
  <c r="Z365" i="6" a="1"/>
  <c r="Z583" i="6" a="1"/>
  <c r="Z238" i="6" a="1"/>
  <c r="Z799" i="6" a="1"/>
  <c r="Z425" i="6" a="1"/>
  <c r="Z614" i="6" a="1"/>
  <c r="Z72" i="6" a="1"/>
  <c r="Z560" i="6" a="1"/>
  <c r="Z920" i="6" a="1"/>
  <c r="Z11" i="6" a="1"/>
  <c r="Z233" i="6" a="1"/>
  <c r="Z507" i="6" a="1"/>
  <c r="Z59" i="6" a="1"/>
  <c r="Z592" i="6" a="1"/>
  <c r="Z965" i="6" a="1"/>
  <c r="Z889" i="6" a="1"/>
  <c r="Z858" i="6" a="1"/>
  <c r="Z357" i="6" a="1"/>
  <c r="Z151" i="6" a="1"/>
  <c r="Z900" i="6" a="1"/>
  <c r="Z23" i="6" a="1"/>
  <c r="Z453" i="6" a="1"/>
  <c r="Z975" i="6" a="1"/>
  <c r="Z988" i="6" a="1"/>
  <c r="Z779" i="6" a="1"/>
  <c r="Z803" i="6" a="1"/>
  <c r="Z878" i="6" a="1"/>
  <c r="Z566" i="6" a="1"/>
  <c r="Z249" i="6" a="1"/>
  <c r="Z909" i="6" a="1"/>
  <c r="Z198" i="6" a="1"/>
  <c r="Z194" i="6" a="1"/>
  <c r="Z848" i="6" a="1"/>
  <c r="Z528" i="6" a="1"/>
  <c r="Z241" i="6" a="1"/>
  <c r="Z150" i="6" a="1"/>
  <c r="Z486" i="6" a="1"/>
  <c r="Z989" i="6" a="1"/>
  <c r="Z647" i="6" a="1"/>
  <c r="Z751" i="6" a="1"/>
  <c r="Z305" i="6" a="1"/>
  <c r="Z254" i="6" a="1"/>
  <c r="Z978" i="6" a="1"/>
  <c r="Z308" i="6" a="1"/>
  <c r="Z285" i="6" a="1"/>
  <c r="Z860" i="6" a="1"/>
  <c r="Z628" i="6" a="1"/>
  <c r="Z364" i="6" a="1"/>
  <c r="Z958" i="6" a="1"/>
  <c r="Z427" i="6" a="1"/>
  <c r="Z56" i="6" a="1"/>
  <c r="Z324" i="6" a="1"/>
  <c r="Z693" i="6" a="1"/>
  <c r="Z10" i="6" a="1"/>
  <c r="Z843" i="6" a="1"/>
  <c r="Z672" i="6" a="1"/>
  <c r="Z983" i="6" a="1"/>
  <c r="Z756" i="6" a="1"/>
  <c r="Z367" i="6" a="1"/>
  <c r="Z223" i="6" a="1"/>
  <c r="Z345" i="6" a="1"/>
  <c r="Z288" i="6" a="1"/>
  <c r="Z728" i="6" a="1"/>
  <c r="Z571" i="6" a="1"/>
  <c r="Z21" i="6" a="1"/>
  <c r="Z763" i="6" a="1"/>
  <c r="Z190" i="6" a="1"/>
  <c r="Z245" i="6" a="1"/>
  <c r="Z587" i="6" a="1"/>
  <c r="Z217" i="6" a="1"/>
  <c r="Z812" i="6" a="1"/>
  <c r="Z212" i="6" a="1"/>
  <c r="Z463" i="6" a="1"/>
  <c r="Z634" i="6" a="1"/>
  <c r="Z627" i="6" a="1"/>
  <c r="Z752" i="6" a="1"/>
  <c r="Z433" i="6" a="1"/>
  <c r="Z142" i="6" a="1"/>
  <c r="Z673" i="6" a="1"/>
  <c r="Z311" i="6" a="1"/>
  <c r="Z63" i="6" a="1"/>
  <c r="Z395" i="6" a="1"/>
  <c r="Z315" i="6" a="1"/>
  <c r="Z644" i="6" a="1"/>
  <c r="Z754" i="6" a="1"/>
  <c r="Z163" i="6" a="1"/>
  <c r="Z913" i="6" a="1"/>
  <c r="Z863" i="6" a="1"/>
  <c r="Z476" i="6" a="1"/>
  <c r="Z828" i="6" a="1"/>
  <c r="Z977" i="6" a="1"/>
  <c r="Z376" i="6" a="1"/>
  <c r="Z764" i="6" a="1"/>
  <c r="Z922" i="6" a="1"/>
  <c r="Z735" i="6" a="1"/>
  <c r="Z386" i="6" a="1"/>
  <c r="Z935" i="6" a="1"/>
  <c r="Z41" i="6" a="1"/>
  <c r="Z197" i="6" a="1"/>
  <c r="Z633" i="6" a="1"/>
  <c r="Z179" i="6" a="1"/>
  <c r="Z910" i="6" a="1"/>
  <c r="Z458" i="6" a="1"/>
  <c r="Z339" i="6" a="1"/>
  <c r="Z284" i="6" a="1"/>
  <c r="Z52" i="6" a="1"/>
  <c r="Z574" i="6" a="1"/>
  <c r="Z667" i="6" a="1"/>
  <c r="Z997" i="6" a="1"/>
  <c r="Z898" i="6" a="1"/>
  <c r="Z519" i="6" a="1"/>
  <c r="Z482" i="6" a="1"/>
  <c r="Z137" i="6" a="1"/>
  <c r="Z436" i="6" a="1"/>
  <c r="Z648" i="6" a="1"/>
  <c r="Z542" i="6" a="1"/>
  <c r="Z214" i="6" a="1"/>
  <c r="Z944" i="6" a="1"/>
  <c r="Z736" i="6" a="1"/>
  <c r="Z503" i="6" a="1"/>
  <c r="Z798" i="6" a="1"/>
  <c r="Z529" i="6" a="1"/>
  <c r="Z620" i="6" a="1"/>
  <c r="Z716" i="6" a="1"/>
  <c r="Z417" i="6" a="1"/>
  <c r="Z841" i="6" a="1"/>
  <c r="Z646" i="6" a="1"/>
  <c r="Z428" i="6" a="1"/>
  <c r="Z653" i="6" a="1"/>
  <c r="Z430" i="6" a="1"/>
  <c r="Z652" i="6" a="1"/>
  <c r="Z698" i="6" a="1"/>
  <c r="Z671" i="6" a="1"/>
  <c r="Z555" i="6" a="1"/>
  <c r="Z511" i="6" a="1"/>
  <c r="Z970" i="6" a="1"/>
  <c r="Z186" i="6" a="1"/>
  <c r="Z733" i="6" a="1"/>
  <c r="Z263" i="6" a="1"/>
  <c r="Z226" i="6" a="1"/>
  <c r="Z811" i="6" a="1"/>
  <c r="Z955" i="6" a="1"/>
  <c r="Z696" i="6" a="1"/>
  <c r="Z139" i="6" a="1"/>
  <c r="Z438" i="6" a="1"/>
  <c r="Z626" i="6" a="1"/>
  <c r="Z783" i="6" a="1"/>
  <c r="Z850" i="6" a="1"/>
  <c r="Z524" i="6" a="1"/>
  <c r="Z882" i="6" a="1"/>
  <c r="Z270" i="6" a="1"/>
  <c r="Z120" i="6" a="1"/>
  <c r="Z275" i="6" a="1"/>
  <c r="Z352" i="6" a="1"/>
  <c r="Z466" i="6" a="1"/>
  <c r="Z347" i="6" a="1"/>
  <c r="Z960" i="6" a="1"/>
  <c r="Z660" i="6" a="1"/>
  <c r="Z473" i="6" a="1"/>
  <c r="Z940" i="6" a="1"/>
  <c r="Z434" i="6" a="1"/>
  <c r="Z394" i="6" a="1"/>
  <c r="Z936" i="6" a="1"/>
  <c r="Z687" i="6" a="1"/>
  <c r="Z518" i="6" a="1"/>
  <c r="Z96" i="6" a="1"/>
  <c r="Z48" i="6" a="1"/>
  <c r="Z825" i="6" a="1"/>
  <c r="Z757" i="6" a="1"/>
  <c r="Z204" i="6" a="1"/>
  <c r="Z385" i="6" a="1"/>
  <c r="Z699" i="6" a="1"/>
  <c r="Z945" i="6" a="1"/>
  <c r="Z125" i="6" a="1"/>
  <c r="Z911" i="6" a="1"/>
  <c r="Z904" i="6" a="1"/>
  <c r="Z328" i="6" a="1"/>
  <c r="Z110" i="6" a="1"/>
  <c r="Z257" i="6" a="1"/>
  <c r="Z504" i="6" a="1"/>
  <c r="Z957" i="6" a="1"/>
  <c r="Z67" i="6" a="1"/>
  <c r="Z713" i="6" a="1"/>
  <c r="Z271" i="6" a="1"/>
  <c r="Z610" i="6" a="1"/>
  <c r="Z924" i="6" a="1"/>
  <c r="Z823" i="6" a="1"/>
  <c r="Z677" i="6" a="1"/>
  <c r="Z991" i="6" a="1"/>
  <c r="Z580" i="6" a="1"/>
  <c r="Z126" i="6" a="1"/>
  <c r="Z663" i="6" a="1"/>
  <c r="Z722" i="6" a="1"/>
  <c r="Z686" i="6" a="1"/>
  <c r="Z834" i="6" a="1"/>
  <c r="Z260" i="6" a="1"/>
  <c r="Z318" i="6" a="1"/>
  <c r="Z450" i="6" a="1"/>
  <c r="Z497" i="6" a="1"/>
  <c r="Z178" i="6" a="1"/>
  <c r="Z457" i="6" a="1"/>
  <c r="Z985" i="6" a="1"/>
  <c r="Z845" i="6" a="1"/>
  <c r="Z479" i="6" a="1"/>
  <c r="Z688" i="6" a="1"/>
  <c r="Z795" i="6" a="1"/>
  <c r="Z90" i="6" a="1"/>
  <c r="Z443" i="6" a="1"/>
  <c r="Z246" i="6" a="1"/>
  <c r="Z495" i="6" a="1"/>
  <c r="Z921" i="6" a="1"/>
  <c r="Z481" i="6" a="1"/>
  <c r="Z291" i="6" a="1"/>
  <c r="Z50" i="6" a="1"/>
  <c r="Z225" i="6" a="1"/>
  <c r="Z237" i="6" a="1"/>
  <c r="Z187" i="6" a="1"/>
  <c r="Z75" i="6" a="1"/>
  <c r="Z480" i="6" a="1"/>
  <c r="Z374" i="6" a="1"/>
  <c r="Z818" i="6" a="1"/>
  <c r="Z262" i="6" a="1"/>
  <c r="Z982" i="6" a="1"/>
  <c r="Z79" i="6" a="1"/>
  <c r="Z94" i="6" a="1"/>
  <c r="Z44" i="6" a="1"/>
  <c r="Z191" i="6" a="1"/>
  <c r="Z706" i="6" a="1"/>
  <c r="Z334" i="6" a="1"/>
  <c r="Z967" i="6" a="1"/>
  <c r="Z969" i="6" a="1"/>
  <c r="Z499" i="6" a="1"/>
  <c r="Z707" i="6" a="1"/>
  <c r="Z149" i="6" a="1"/>
  <c r="Z307" i="6" a="1"/>
  <c r="Z35" i="6" a="1"/>
  <c r="Z656" i="6" a="1"/>
  <c r="Z894" i="6" a="1"/>
  <c r="Z69" i="6" a="1"/>
  <c r="Z62" i="6" a="1"/>
  <c r="Z451" i="6" a="1"/>
  <c r="Z103" i="6" a="1"/>
  <c r="Z400" i="6" a="1"/>
  <c r="Z165" i="6" a="1"/>
  <c r="Z974" i="6" a="1"/>
  <c r="Z775" i="6" a="1"/>
  <c r="Z251" i="6" a="1"/>
  <c r="Z2" i="6" a="1"/>
  <c r="Z771" i="6" a="1"/>
  <c r="Z513" i="6" a="1"/>
  <c r="Z887" i="6" a="1"/>
  <c r="Z842" i="6" a="1"/>
  <c r="Z703" i="6" a="1"/>
  <c r="Z727" i="6" a="1"/>
  <c r="Z464" i="6" a="1"/>
  <c r="Z419" i="6" a="1"/>
  <c r="Z467" i="6" a="1"/>
  <c r="Z268" i="6" a="1"/>
  <c r="Z853" i="6" a="1"/>
  <c r="Z852" i="6" a="1"/>
  <c r="Z758" i="6" a="1"/>
  <c r="Z968" i="6" a="1"/>
  <c r="Z650" i="6" a="1"/>
  <c r="Z837" i="6" a="1"/>
  <c r="Z185" i="6" a="1"/>
  <c r="Z437" i="6" a="1"/>
  <c r="Z611" i="6" a="1"/>
  <c r="Z861" i="6" a="1"/>
  <c r="Z639" i="6" a="1"/>
  <c r="Z604" i="6" a="1"/>
  <c r="Z884" i="6" a="1"/>
  <c r="Z19" i="6" a="1"/>
  <c r="Z714" i="6" a="1"/>
  <c r="Z883" i="6" a="1"/>
  <c r="Z659" i="6" a="1"/>
  <c r="Z711" i="6" a="1"/>
  <c r="Z45" i="6" a="1"/>
  <c r="Z731" i="6" a="1"/>
  <c r="Z929" i="6" a="1"/>
  <c r="Z498" i="6" a="1"/>
  <c r="Z675" i="6" a="1"/>
  <c r="Z236" i="6" a="1"/>
  <c r="Z34" i="6" a="1"/>
  <c r="Z465" i="6" a="1"/>
  <c r="Z378" i="6" a="1"/>
  <c r="Z824" i="6" a="1"/>
  <c r="Z708" i="6" a="1"/>
  <c r="Z53" i="6" a="1"/>
  <c r="Z389" i="6" a="1"/>
  <c r="Z838" i="6" a="1"/>
  <c r="Z954" i="6" a="1"/>
  <c r="Z792" i="6" a="1"/>
  <c r="Z456" i="6" a="1"/>
  <c r="Z435" i="6" a="1"/>
  <c r="Z866" i="6" a="1"/>
  <c r="Z299" i="6" a="1"/>
  <c r="Z554" i="6" a="1"/>
  <c r="Z234" i="6" a="1"/>
  <c r="Z281" i="6" a="1"/>
  <c r="Z431" i="6" a="1"/>
  <c r="Z697" i="6" a="1"/>
  <c r="Z312" i="6" a="1"/>
  <c r="Z404" i="6" a="1"/>
  <c r="Z83" i="6" a="1"/>
  <c r="Z602" i="6" a="1"/>
  <c r="Z322" i="6" a="1"/>
  <c r="Z219" i="6" a="1"/>
  <c r="Z20" i="6" a="1"/>
  <c r="Z741" i="6" a="1"/>
  <c r="Z750" i="6" a="1"/>
  <c r="Z540" i="6" a="1"/>
  <c r="Z329" i="6" a="1"/>
  <c r="Z897" i="6" a="1"/>
  <c r="Z319" i="6" a="1"/>
  <c r="Z789" i="6" a="1"/>
  <c r="Z632" i="6" a="1"/>
  <c r="Z695" i="6" a="1"/>
  <c r="Z74" i="6" a="1"/>
  <c r="Z877" i="6" a="1"/>
  <c r="Z8" i="6" a="1"/>
  <c r="Z759" i="6" a="1"/>
  <c r="Z15" i="6" a="1"/>
  <c r="Z248" i="6" a="1"/>
  <c r="Z934" i="6" a="1"/>
  <c r="Z692" i="6" a="1"/>
  <c r="Z514" i="6" a="1"/>
  <c r="Z1001" i="6" a="1"/>
  <c r="Z414" i="6" a="1"/>
  <c r="Z855" i="6" a="1"/>
  <c r="Z297" i="6" a="1"/>
  <c r="Z167" i="6" a="1"/>
  <c r="Z984" i="6" a="1"/>
  <c r="Z33" i="6" a="1"/>
  <c r="Z29" i="6" a="1"/>
  <c r="Z86" i="6" a="1"/>
  <c r="Z255" i="6" a="1"/>
  <c r="Z316" i="6" a="1"/>
  <c r="Z608" i="6" a="1"/>
  <c r="Z492" i="6" a="1"/>
  <c r="Z192" i="6" a="1"/>
  <c r="Z917" i="6" a="1"/>
  <c r="Z221" i="6" a="1"/>
  <c r="Z259" i="6" a="1"/>
  <c r="Z440" i="6" a="1"/>
  <c r="Z702" i="6" a="1"/>
  <c r="Z509" i="6" a="1"/>
  <c r="Z247" i="6" a="1"/>
  <c r="Z354" i="6" a="1"/>
  <c r="Z244" i="6" a="1"/>
  <c r="Z605" i="6" a="1"/>
  <c r="Z13" i="6" a="1"/>
  <c r="Z387" i="6" a="1"/>
  <c r="Z942" i="6" a="1"/>
  <c r="Z276" i="6" a="1"/>
  <c r="Z807" i="6" a="1"/>
  <c r="Z684" i="6" a="1"/>
  <c r="Z112" i="6" a="1"/>
  <c r="Z591" i="6" a="1"/>
  <c r="Z224" i="6" a="1"/>
  <c r="Z568" i="6" a="1"/>
  <c r="Z292" i="6" a="1"/>
  <c r="Z128" i="6" a="1"/>
  <c r="Z407" i="6" a="1"/>
  <c r="Z564" i="6" a="1"/>
  <c r="Z772" i="6" a="1"/>
  <c r="Z37" i="6" a="1"/>
  <c r="Z129" i="6" a="1"/>
  <c r="Z361" i="6" a="1"/>
  <c r="Z790" i="6" a="1"/>
  <c r="Z902" i="6" a="1"/>
  <c r="Z685" i="6" a="1"/>
  <c r="Z631" i="6" a="1"/>
  <c r="Z856" i="6" a="1"/>
  <c r="Z715" i="6" a="1"/>
  <c r="Z418" i="6" a="1"/>
  <c r="Z181" i="6" a="1"/>
  <c r="Z745" i="6" a="1"/>
  <c r="Z992" i="6" a="1"/>
  <c r="Z691" i="6" a="1"/>
  <c r="Z42" i="6" a="1"/>
  <c r="Z157" i="6" a="1"/>
  <c r="Z392" i="6" a="1"/>
  <c r="Z138" i="6" a="1"/>
  <c r="Z766" i="6" a="1"/>
  <c r="Z603" i="6" a="1"/>
  <c r="Z788" i="6" a="1"/>
  <c r="Z732" i="6" a="1"/>
  <c r="Z362" i="6" a="1"/>
  <c r="Z612" i="6" a="1"/>
  <c r="Z517" i="6" a="1"/>
  <c r="Z380" i="6" a="1"/>
  <c r="Z207" i="6" a="1"/>
  <c r="Z505" i="6" a="1"/>
  <c r="Z98" i="6" a="1"/>
  <c r="Z54" i="6" a="1"/>
  <c r="Z143" i="6" a="1"/>
  <c r="Z606" i="6" a="1"/>
  <c r="Z87" i="6" a="1"/>
  <c r="Z938" i="6" a="1"/>
  <c r="Z780" i="6" a="1"/>
  <c r="Z60" i="6" a="1"/>
  <c r="Z678" i="6" a="1"/>
  <c r="Z621" i="6" a="1"/>
  <c r="Z227" i="6" a="1"/>
  <c r="Z277" i="6" a="1"/>
  <c r="Z113" i="6" a="1"/>
  <c r="Z468" i="6" a="1"/>
  <c r="Z177" i="6" a="1"/>
  <c r="Z508" i="6" a="1"/>
  <c r="Z200" i="6" a="1"/>
  <c r="Z770" i="6" a="1"/>
  <c r="Z25" i="6" a="1"/>
  <c r="Z478" i="6" a="1"/>
  <c r="Z381" i="6" a="1"/>
  <c r="Z538" i="6" a="1"/>
  <c r="Z951" i="6" a="1"/>
  <c r="Z49" i="6" a="1"/>
  <c r="Z57" i="6" a="1"/>
  <c r="Z891" i="6" a="1"/>
  <c r="Z598" i="6" a="1"/>
  <c r="Z371" i="6" a="1"/>
  <c r="Z184" i="6" a="1"/>
  <c r="Z830" i="6" a="1"/>
  <c r="Z302" i="6" a="1"/>
  <c r="Z993" i="6" a="1"/>
  <c r="Z724" i="6" a="1"/>
  <c r="Z547" i="6" a="1"/>
  <c r="Z411" i="6" a="1"/>
  <c r="Z719" i="6" a="1"/>
  <c r="Z422" i="6" a="1"/>
  <c r="Z160" i="6" a="1"/>
  <c r="Z886" i="6" a="1"/>
  <c r="Z327" i="6" a="1"/>
  <c r="Z953" i="6" a="1"/>
  <c r="Z313" i="6" a="1"/>
  <c r="Z447" i="6" a="1"/>
  <c r="Z915" i="6" a="1"/>
  <c r="Z994" i="6" a="1"/>
  <c r="Z413" i="6" a="1"/>
  <c r="Z416" i="6" a="1"/>
  <c r="Z159" i="6" a="1"/>
  <c r="Z679" i="6" a="1"/>
  <c r="Z704" i="6" a="1"/>
  <c r="Z925" i="6" a="1"/>
  <c r="Z872" i="6" a="1"/>
  <c r="Z188" i="6" a="1"/>
  <c r="Z206" i="6" a="1"/>
  <c r="Z869" i="6" a="1"/>
  <c r="Z220" i="6" a="1"/>
  <c r="Z846" i="6" a="1"/>
  <c r="Z890" i="6" a="1"/>
  <c r="Z893" i="6" a="1"/>
  <c r="Z309" i="6" a="1"/>
  <c r="Z484" i="6" a="1"/>
  <c r="Z586" i="6" a="1"/>
  <c r="Z119" i="6" a="1"/>
  <c r="Z216" i="6" a="1"/>
  <c r="Z282" i="6" a="1"/>
  <c r="Z383" i="6" a="1"/>
  <c r="Z895" i="6" a="1"/>
  <c r="Z578" i="6" a="1"/>
  <c r="Z93" i="6" a="1"/>
  <c r="Z446" i="6" a="1"/>
  <c r="Z338" i="6" a="1"/>
  <c r="Z366" i="6" a="1"/>
  <c r="Z619" i="6" a="1"/>
  <c r="Z286" i="6" a="1"/>
  <c r="Z6" i="6" a="1"/>
  <c r="Z501" i="6" a="1"/>
  <c r="Z643" i="6" a="1"/>
  <c r="Z537" i="6" a="1"/>
  <c r="Z135" i="6" a="1"/>
  <c r="Z405" i="6" a="1"/>
  <c r="Z384" i="6" a="1"/>
  <c r="Z232" i="6" a="1"/>
  <c r="Z303" i="6" a="1"/>
  <c r="Z859" i="6" a="1"/>
  <c r="Z372" i="6" a="1"/>
  <c r="Z976" i="6" a="1"/>
  <c r="Z645" i="6" a="1"/>
  <c r="Z444" i="6" a="1"/>
  <c r="Z46" i="6" a="1"/>
  <c r="Z593" i="6" a="1"/>
  <c r="Z475" i="6" a="1"/>
  <c r="Z261" i="6" a="1"/>
  <c r="Z239" i="6" a="1"/>
  <c r="Z615" i="6" a="1"/>
  <c r="Z487" i="6" a="1"/>
  <c r="Z370" i="6" a="1"/>
  <c r="Z916" i="6" a="1"/>
  <c r="Z833" i="6" a="1"/>
  <c r="Z295" i="6" a="1"/>
  <c r="Z17" i="6" a="1"/>
  <c r="Z243" i="6" a="1"/>
  <c r="Z521" i="6" a="1"/>
  <c r="Z231" i="6" a="1"/>
  <c r="Z961" i="6" a="1"/>
  <c r="Z793" i="6" a="1"/>
  <c r="Z959" i="6" a="1"/>
  <c r="Z926" i="6" a="1"/>
  <c r="Z111" i="6" a="1"/>
  <c r="Z274" i="6" a="1"/>
  <c r="Z746" i="6" a="1"/>
  <c r="Z674" i="6" a="1"/>
  <c r="Z543" i="6" a="1"/>
  <c r="Z272" i="6" a="1"/>
  <c r="Z617" i="6" a="1"/>
  <c r="Z585" i="6" a="1"/>
  <c r="Z787" i="6" a="1"/>
  <c r="Z343" i="6" a="1"/>
  <c r="Z377" i="6" a="1"/>
  <c r="Z273" i="6" a="1"/>
  <c r="Z27" i="6" a="1"/>
  <c r="Z176" i="6" a="1"/>
  <c r="Z502" i="6" a="1"/>
  <c r="Z822" i="6" a="1"/>
  <c r="Z391" i="6" a="1"/>
  <c r="Z531" i="6" a="1"/>
  <c r="Z164" i="6" a="1"/>
  <c r="Z77" i="6" a="1"/>
  <c r="Z613" i="6" a="1"/>
  <c r="Z950" i="6" a="1"/>
  <c r="Z141" i="6" a="1"/>
  <c r="Z202" i="6" a="1"/>
  <c r="Z705" i="6" a="1"/>
  <c r="Z493" i="6" a="1"/>
  <c r="Z669" i="6" a="1"/>
  <c r="Z947" i="6" a="1"/>
  <c r="Z912" i="6" a="1"/>
  <c r="Z767" i="6" a="1"/>
  <c r="Z304" i="6" a="1"/>
  <c r="Z718" i="6" a="1"/>
  <c r="Z350" i="6" a="1"/>
  <c r="Z105" i="6" a="1"/>
  <c r="Z336" i="6" a="1"/>
  <c r="Z154" i="6" a="1"/>
  <c r="Z144" i="6" a="1"/>
  <c r="Z26" i="6" a="1"/>
  <c r="Z222" i="6" a="1"/>
  <c r="Z306" i="6" a="1"/>
  <c r="Z22" i="6" a="1"/>
  <c r="Z9" i="6" a="1"/>
  <c r="Z535" i="6" a="1"/>
  <c r="Z296" i="6" a="1"/>
  <c r="Z544" i="6" a="1"/>
  <c r="Z952" i="6" a="1"/>
  <c r="Z344" i="6" a="1"/>
  <c r="Z700" i="6" a="1"/>
  <c r="Z283" i="6" a="1"/>
  <c r="Z987" i="6" a="1"/>
  <c r="Z403" i="6" a="1"/>
  <c r="Z189" i="6" a="1"/>
  <c r="Z903" i="6" a="1"/>
  <c r="Z573" i="6" a="1"/>
  <c r="Z637" i="6" a="1"/>
  <c r="Z661" i="6" a="1"/>
  <c r="Z341" i="6" a="1"/>
  <c r="Z854" i="6" a="1"/>
  <c r="Z32" i="6" a="1"/>
  <c r="Z740" i="6" a="1"/>
  <c r="Z802" i="6" a="1"/>
  <c r="Z813" i="6" a="1"/>
  <c r="Z796" i="6" a="1"/>
  <c r="Z510" i="6" a="1"/>
  <c r="Z490" i="6" a="1"/>
  <c r="Z523" i="6" a="1"/>
  <c r="Z552" i="6" a="1"/>
  <c r="Z116" i="6" a="1"/>
  <c r="Z47" i="6" a="1"/>
  <c r="Z981" i="6" a="1"/>
  <c r="Z562" i="6" a="1"/>
  <c r="Z710" i="6" a="1"/>
  <c r="Z657" i="6" a="1"/>
  <c r="Z794" i="6" a="1"/>
  <c r="Z601" i="6" a="1"/>
  <c r="Z253" i="6" a="1"/>
  <c r="Z814" i="6" a="1"/>
  <c r="Z279" i="6" a="1"/>
  <c r="Z557" i="6" a="1"/>
  <c r="Z293" i="6" a="1"/>
  <c r="Z136" i="6" a="1"/>
  <c r="Z64" i="6" a="1"/>
  <c r="Z229" i="6" a="1"/>
  <c r="Z804" i="6" a="1"/>
  <c r="Z485" i="6" a="1"/>
  <c r="Z205" i="6" a="1"/>
  <c r="Z778" i="6" a="1"/>
  <c r="Z821" i="6" a="1"/>
  <c r="Z298" i="6" a="1"/>
  <c r="Z681" i="6" a="1"/>
  <c r="Z581" i="6" a="1"/>
  <c r="Z115" i="6" a="1"/>
  <c r="Z252" i="6" a="1"/>
  <c r="Z956" i="6" a="1"/>
  <c r="Z990" i="6" a="1"/>
  <c r="Z827" i="6" a="1"/>
  <c r="Z905" i="6" a="1"/>
  <c r="Z183" i="6" a="1"/>
  <c r="Z39" i="6" a="1"/>
  <c r="Z808" i="6" a="1"/>
  <c r="Z946" i="6" a="1"/>
  <c r="Z690" i="6" a="1"/>
  <c r="Z195" i="6" a="1"/>
  <c r="Z943" i="6" a="1"/>
  <c r="Z3" i="6" a="1"/>
  <c r="Z832" i="6" a="1"/>
  <c r="Z579" i="6" a="1"/>
  <c r="Z720" i="6" a="1"/>
  <c r="Z616" i="6" a="1"/>
  <c r="Z520" i="6" a="1"/>
  <c r="Z170" i="6" a="1"/>
  <c r="Z569" i="6" a="1"/>
  <c r="Z761" i="6" a="1"/>
  <c r="Z269" i="6" a="1"/>
  <c r="Z289" i="6" a="1"/>
  <c r="Z242" i="6" a="1"/>
  <c r="Z265" i="6" a="1"/>
  <c r="Z70" i="6" a="1"/>
  <c r="Z146" i="6" a="1"/>
  <c r="Z36" i="6" a="1"/>
  <c r="Z670" i="6" a="1"/>
  <c r="Z396" i="6" a="1"/>
  <c r="Z658" i="6" a="1"/>
  <c r="Z461" i="6" a="1"/>
  <c r="Z363" i="6" a="1"/>
  <c r="Z635" i="6" a="1"/>
  <c r="Z980" i="6" a="1"/>
  <c r="Z546" i="6" a="1"/>
  <c r="Z124" i="6" a="1"/>
  <c r="Z470" i="6" a="1"/>
  <c r="Z109" i="6" a="1"/>
  <c r="Z932" i="6" a="1"/>
  <c r="Z570" i="6" a="1"/>
  <c r="Z641" i="6" a="1"/>
  <c r="Z744" i="6" a="1"/>
  <c r="Z95" i="6" a="1"/>
  <c r="Z769" i="6" a="1"/>
  <c r="Z829" i="6" a="1"/>
  <c r="Z162" i="6" a="1"/>
  <c r="Z346" i="6" a="1"/>
  <c r="Z550" i="6" a="1"/>
  <c r="Z753" i="6" a="1"/>
  <c r="Z972" i="6" a="1"/>
  <c r="Z797" i="6" a="1"/>
  <c r="Z100" i="6" a="1"/>
  <c r="Z477" i="6" a="1"/>
  <c r="Z600" i="6" a="1"/>
  <c r="Z914" i="6" a="1"/>
  <c r="Z317" i="6" a="1"/>
  <c r="Z152" i="6" a="1"/>
  <c r="Z879" i="6" a="1"/>
  <c r="Z147" i="6" a="1"/>
  <c r="Z494" i="6" a="1"/>
  <c r="Z782" i="6" a="1"/>
  <c r="Z469" i="6" a="1"/>
  <c r="Z594" i="6" a="1"/>
  <c r="Z851" i="6" a="1"/>
  <c r="Z596" i="6" a="1"/>
  <c r="Z107" i="6" a="1"/>
  <c r="Z445" i="6" a="1"/>
  <c r="Z506" i="6" a="1"/>
  <c r="Z874" i="6" a="1"/>
  <c r="Z862" i="6" a="1"/>
  <c r="Z749" i="6" a="1"/>
  <c r="Z300" i="6" a="1"/>
  <c r="Z880" i="6" a="1"/>
  <c r="Z353" i="6" a="1"/>
  <c r="Z963" i="6" a="1"/>
  <c r="Z14" i="6" a="1"/>
  <c r="Z92" i="6" a="1"/>
  <c r="Z541" i="6" a="1"/>
  <c r="Z556" i="6" a="1"/>
  <c r="Z998" i="6" a="1"/>
  <c r="Z907" i="6" a="1"/>
  <c r="Z949" i="6" a="1"/>
  <c r="Z806" i="6" a="1"/>
  <c r="Z665" i="6" a="1"/>
  <c r="Z169" i="6" a="1"/>
  <c r="Z452" i="6" a="1"/>
  <c r="Z172" i="6" a="1"/>
  <c r="Z625" i="6" a="1"/>
  <c r="Z5" i="6" a="1"/>
  <c r="Z335" i="6" a="1"/>
  <c r="Z709" i="6" a="1"/>
  <c r="Z567" i="6" a="1"/>
  <c r="Z332" i="6" a="1"/>
  <c r="Z931" i="6" a="1"/>
  <c r="Z526" i="6" a="1"/>
  <c r="Z563" i="6" a="1"/>
  <c r="Z630" i="6" a="1"/>
  <c r="Z368" i="6" a="1"/>
  <c r="Z148" i="6" a="1"/>
  <c r="Z410" i="6" a="1"/>
  <c r="Z355" i="6" a="1"/>
  <c r="Z382" i="6" a="1"/>
  <c r="Z512" i="6" a="1"/>
  <c r="Z442" i="6" a="1"/>
  <c r="Z867" i="6" a="1"/>
  <c r="Z104" i="6" a="1"/>
  <c r="Z38" i="6" a="1"/>
  <c r="Z18" i="6" a="1"/>
  <c r="Z330" i="6" a="1"/>
  <c r="Z595" i="6" a="1"/>
  <c r="Z342" i="6" a="1"/>
  <c r="Z868" i="6" a="1"/>
  <c r="Z402" i="6" a="1"/>
  <c r="Z106" i="6" a="1"/>
  <c r="Z472" i="6" a="1"/>
  <c r="Z85" i="6" a="1"/>
  <c r="Z636" i="6" a="1"/>
  <c r="Z310" i="6" a="1"/>
  <c r="Z748" i="6" a="1"/>
  <c r="Z565" i="6" a="1"/>
  <c r="Z964" i="6" a="1"/>
  <c r="Z359" i="6" a="1"/>
  <c r="Z287" i="6" a="1"/>
  <c r="Z256" i="6" a="1"/>
  <c r="Z805" i="6" a="1"/>
  <c r="Z773" i="6" a="1"/>
  <c r="Z995" i="6" a="1"/>
  <c r="Z539" i="6" a="1"/>
  <c r="Z166" i="6" a="1"/>
  <c r="Z28" i="6" a="1"/>
  <c r="Z873" i="6" a="1"/>
  <c r="Z721" i="6" a="1"/>
  <c r="Z701" i="6" a="1"/>
  <c r="Z809" i="6" a="1"/>
  <c r="Z875" i="6" a="1"/>
  <c r="Z642" i="6" a="1"/>
  <c r="Z78" i="6" a="1"/>
  <c r="Z390" i="6" a="1"/>
  <c r="Z522" i="6" a="1"/>
  <c r="Z584" i="6" a="1"/>
  <c r="Z817" i="6" a="1"/>
  <c r="Z118" i="6" a="1"/>
  <c r="Z785" i="6" a="1"/>
  <c r="Z294" i="6" a="1"/>
  <c r="Z127" i="6" a="1"/>
  <c r="Z266" i="6" a="1"/>
  <c r="Z441" i="6" a="1"/>
  <c r="Z161" i="6" a="1"/>
  <c r="Z4" i="6" a="1"/>
  <c r="Z406" i="6" a="1"/>
  <c r="Z553" i="6" a="1"/>
  <c r="Z325" i="6" a="1"/>
  <c r="Z145" i="6" a="1"/>
  <c r="Z937" i="6" a="1"/>
  <c r="Z340" i="6" a="1"/>
  <c r="Z439" i="6" a="1"/>
  <c r="Z723" i="6" a="1"/>
  <c r="Z459" i="6" a="1"/>
  <c r="Z927" i="6" a="1"/>
  <c r="Z235" i="6" a="1"/>
  <c r="Z730" i="6" a="1"/>
  <c r="Z906" i="6" a="1"/>
  <c r="Z738" i="6" a="1"/>
  <c r="Z320" i="6" a="1"/>
  <c r="Z743" i="6" a="1"/>
  <c r="Z1000" i="6" a="1"/>
  <c r="Z768" i="6" a="1"/>
  <c r="Z301" i="6" a="1"/>
  <c r="Z258" i="6" a="1"/>
  <c r="Z865" i="6" a="1"/>
  <c r="Z429" i="6" a="1"/>
  <c r="Z527" i="6" a="1"/>
  <c r="Z545" i="6" a="1"/>
  <c r="Z847" i="6" a="1"/>
  <c r="Z908" i="6" a="1"/>
  <c r="Z810" i="6" a="1"/>
  <c r="Z534" i="6" a="1"/>
  <c r="Z836" i="6" a="1"/>
  <c r="Z609" i="6" a="1"/>
  <c r="Z31" i="6" a="1"/>
  <c r="Z729" i="6" a="1"/>
  <c r="Z777" i="6" a="1"/>
  <c r="Z786" i="6" a="1"/>
  <c r="Z533" i="6" a="1"/>
  <c r="Z351" i="6" a="1"/>
  <c r="Z80" i="6" a="1"/>
  <c r="Z30" i="6" a="1"/>
  <c r="Z999" i="6" a="1"/>
  <c r="Z933" i="6" a="1"/>
  <c r="Z43" i="6" a="1"/>
  <c r="Z89" i="6" a="1"/>
  <c r="Z734" i="6" a="1"/>
  <c r="Z393" i="6" a="1"/>
  <c r="Z597" i="6" a="1"/>
  <c r="Z156" i="6" a="1"/>
  <c r="Z331" i="6" a="1"/>
  <c r="Z58" i="6" a="1"/>
  <c r="Z835" i="6" a="1"/>
  <c r="Z337" i="6" a="1"/>
  <c r="Z424" i="6" a="1"/>
  <c r="Z515" i="6" a="1"/>
  <c r="Z455" i="6" a="1"/>
  <c r="Z762" i="6" a="1"/>
  <c r="Z408" i="6" a="1"/>
  <c r="Z489" i="6" a="1"/>
  <c r="Z607" i="6" a="1"/>
  <c r="Z449" i="6" a="1"/>
  <c r="Z134" i="6" a="1"/>
  <c r="Z654" i="6" a="1"/>
  <c r="Z203" i="6" a="1"/>
  <c r="Z123" i="6" a="1"/>
  <c r="Z791" i="6" a="1"/>
  <c r="Z398" i="6" a="1"/>
  <c r="Z747" i="6" a="1"/>
  <c r="Z228" i="6" a="1"/>
  <c r="Z68" i="6" a="1"/>
  <c r="Z712" i="6" a="1"/>
  <c r="Z760" i="6" a="1"/>
  <c r="Z820" i="6" a="1"/>
  <c r="Z857" i="6" a="1"/>
  <c r="Z640" i="6" a="1"/>
  <c r="Z589" i="6" a="1"/>
  <c r="Z516" i="6" a="1"/>
  <c r="Z201" i="6" a="1"/>
  <c r="Z168" i="6" a="1"/>
  <c r="Z132" i="6" a="1"/>
  <c r="Z130" i="6" a="1"/>
  <c r="Z409" i="6" a="1"/>
  <c r="Z588" i="6" a="1"/>
  <c r="Z840" i="6" a="1"/>
  <c r="Z725" i="6" a="1"/>
  <c r="Z401" i="6" a="1"/>
  <c r="Z173" i="6" a="1"/>
  <c r="Z624" i="6" a="1"/>
  <c r="Z496" i="6" a="1"/>
  <c r="Z551" i="6" a="1"/>
  <c r="Z71" i="6" a="1"/>
  <c r="Z559" i="6" a="1"/>
  <c r="Z530" i="6" a="1"/>
  <c r="Z885" i="6" a="1"/>
  <c r="Z153" i="6" a="1"/>
  <c r="Z676" i="6" a="1"/>
  <c r="Z939" i="6" a="1"/>
  <c r="Z918" i="6" a="1"/>
  <c r="Z209" i="6" a="1"/>
  <c r="Z211" i="6" a="1"/>
  <c r="Z966" i="6" a="1"/>
  <c r="Z12" i="6" a="1"/>
  <c r="Z379" i="6" a="1"/>
  <c r="Z899" i="6" a="1"/>
  <c r="Z689" i="6" a="1"/>
  <c r="Z61" i="6" a="1"/>
  <c r="Z250" i="6" a="1"/>
  <c r="Z930" i="6" a="1"/>
  <c r="Z532" i="6" a="1"/>
  <c r="Z618" i="6" a="1"/>
  <c r="Z348" i="6" a="1"/>
  <c r="Z174" i="6" a="1"/>
  <c r="Z996" i="6" a="1"/>
  <c r="Z215" i="6" a="1"/>
  <c r="Z323" i="6" a="1"/>
  <c r="Z576" i="6" a="1"/>
  <c r="Z962" i="6" a="1"/>
  <c r="Z121" i="6" a="1"/>
  <c r="Z737" i="6" a="1"/>
  <c r="Z240" i="6" a="1"/>
  <c r="Z140" i="6" a="1"/>
  <c r="Z420" i="6" a="1"/>
  <c r="Z210" i="6" a="1"/>
  <c r="Z375" i="6" a="1"/>
  <c r="Z536" i="6" a="1"/>
  <c r="Z460" i="6" a="1"/>
  <c r="Z765" i="6" a="1"/>
  <c r="Z849" i="6" a="1"/>
  <c r="Z66" i="6" a="1"/>
  <c r="Z815" i="6" a="1"/>
  <c r="Z986" i="6" a="1"/>
  <c r="Z739" i="6" a="1"/>
  <c r="Z577" i="6" a="1"/>
  <c r="Z114" i="6" a="1"/>
  <c r="Z919" i="6" a="1"/>
  <c r="Z888" i="6" a="1"/>
  <c r="Z973" i="6" a="1"/>
  <c r="Z923" i="6" a="1"/>
  <c r="Z800" i="6" a="1"/>
  <c r="Z682" i="6" a="1"/>
  <c r="Z24" i="6" a="1"/>
  <c r="Z683" i="6" a="1"/>
  <c r="Z108" i="6" a="1"/>
  <c r="Z623" i="6" a="1"/>
  <c r="Z358" i="6" a="1"/>
  <c r="Z655" i="6" a="1"/>
  <c r="Z844" i="6" a="1"/>
  <c r="Z82" i="6" a="1"/>
  <c r="Z979" i="6" a="1"/>
  <c r="Z280" i="6" a="1"/>
  <c r="Z321" i="6" a="1"/>
  <c r="Z826" i="6" a="1"/>
  <c r="Z264" i="6" a="1"/>
  <c r="Z928" i="6" a="1"/>
  <c r="Z948" i="6" a="1"/>
  <c r="Z133" i="6" a="1"/>
  <c r="Z155" i="6" a="1"/>
  <c r="Z454" i="6" a="1"/>
  <c r="Z622" i="6" a="1"/>
  <c r="Z816" i="6" a="1"/>
  <c r="Z488" i="6" a="1"/>
  <c r="Z717" i="6" a="1"/>
  <c r="Z7" i="6" a="1"/>
  <c r="Z561" i="6" a="1"/>
  <c r="Z876" i="6" a="1"/>
  <c r="Z196" i="6" a="1"/>
  <c r="Z213" i="6" a="1"/>
  <c r="Z582" i="6" a="1"/>
  <c r="Z97" i="6" a="1"/>
  <c r="Z491" i="6" a="1"/>
  <c r="Z290" i="6" a="1"/>
  <c r="Z314" i="6" a="1"/>
  <c r="Z16" i="6" a="1"/>
  <c r="Z81" i="6" a="1"/>
  <c r="Z726" i="6" a="1"/>
  <c r="Z182" i="6" a="1"/>
  <c r="Z649" i="6" a="1"/>
  <c r="Z51" i="6" a="1"/>
  <c r="Z548" i="6" a="1"/>
  <c r="Z448" i="6" a="1"/>
  <c r="Z180" i="6" a="1"/>
  <c r="Z662" i="6" a="1"/>
  <c r="Z881" i="6" a="1"/>
  <c r="Z462" i="6" a="1"/>
  <c r="Z131" i="6" a="1"/>
  <c r="Z373" i="6" a="1"/>
  <c r="Z629" i="6" a="1"/>
  <c r="Z781" i="6" a="1"/>
  <c r="Z99" i="6" a="1"/>
  <c r="Z333" i="6" a="1"/>
  <c r="Z668" i="6" a="1"/>
  <c r="Z267" i="6" a="1"/>
  <c r="Z356" i="6" a="1"/>
  <c r="Z101" i="6" a="1"/>
  <c r="Z549" i="6" a="1"/>
  <c r="Z638" i="6" a="1"/>
  <c r="Z871" i="6" a="1"/>
  <c r="Z412" i="6" a="1"/>
  <c r="Z122" i="6" a="1"/>
  <c r="Y801" i="6" a="1"/>
  <c r="Y40" i="6" a="1"/>
  <c r="Y349" i="6" a="1"/>
  <c r="Y117" i="6" a="1"/>
  <c r="Y65" i="6" a="1"/>
  <c r="Y483" i="6" a="1"/>
  <c r="Y326" i="6" a="1"/>
  <c r="Y369" i="6" a="1"/>
  <c r="Y208" i="6" a="1"/>
  <c r="Y278" i="6" a="1"/>
  <c r="Y776" i="6" a="1"/>
  <c r="Y158" i="6" a="1"/>
  <c r="Y55" i="6" a="1"/>
  <c r="Y819" i="6" a="1"/>
  <c r="Y839" i="6" a="1"/>
  <c r="Y432" i="6" a="1"/>
  <c r="Y742" i="6" a="1"/>
  <c r="Y102" i="6" a="1"/>
  <c r="Y941" i="6" a="1"/>
  <c r="Y199" i="6" a="1"/>
  <c r="Y171" i="6" a="1"/>
  <c r="Y91" i="6" a="1"/>
  <c r="Y774" i="6" a="1"/>
  <c r="Y500" i="6" a="1"/>
  <c r="Y971" i="6" a="1"/>
  <c r="Y599" i="6" a="1"/>
  <c r="Y421" i="6" a="1"/>
  <c r="Y471" i="6" a="1"/>
  <c r="Y694" i="6" a="1"/>
  <c r="Y426" i="6" a="1"/>
  <c r="Y399" i="6" a="1"/>
  <c r="Y755" i="6" a="1"/>
  <c r="Y651" i="6" a="1"/>
  <c r="Y892" i="6" a="1"/>
  <c r="Y73" i="6" a="1"/>
  <c r="Y76" i="6" a="1"/>
  <c r="Y575" i="6" a="1"/>
  <c r="Y88" i="6" a="1"/>
  <c r="Y590" i="6" a="1"/>
  <c r="Y680" i="6" a="1"/>
  <c r="Y474" i="6" a="1"/>
  <c r="Y896" i="6" a="1"/>
  <c r="Y218" i="6" a="1"/>
  <c r="Y558" i="6" a="1"/>
  <c r="Y572" i="6" a="1"/>
  <c r="Y664" i="6" a="1"/>
  <c r="Y666" i="6" a="1"/>
  <c r="Y423" i="6" a="1"/>
  <c r="Y525" i="6" a="1"/>
  <c r="Y831" i="6" a="1"/>
  <c r="Y784" i="6" a="1"/>
  <c r="Y864" i="6" a="1"/>
  <c r="Y388" i="6" a="1"/>
  <c r="Y397" i="6" a="1"/>
  <c r="Y84" i="6" a="1"/>
  <c r="Y901" i="6" a="1"/>
  <c r="Y870" i="6" a="1"/>
  <c r="Y193" i="6" a="1"/>
  <c r="Y175" i="6" a="1"/>
  <c r="Y230" i="6" a="1"/>
  <c r="Y360" i="6" a="1"/>
  <c r="Y415" i="6" a="1"/>
  <c r="Y365" i="6" a="1"/>
  <c r="Y583" i="6" a="1"/>
  <c r="Y238" i="6" a="1"/>
  <c r="Y799" i="6" a="1"/>
  <c r="Y425" i="6" a="1"/>
  <c r="Y614" i="6" a="1"/>
  <c r="Y72" i="6" a="1"/>
  <c r="Y560" i="6" a="1"/>
  <c r="Y920" i="6" a="1"/>
  <c r="Y11" i="6" a="1"/>
  <c r="Y233" i="6" a="1"/>
  <c r="Y507" i="6" a="1"/>
  <c r="Y59" i="6" a="1"/>
  <c r="Y592" i="6" a="1"/>
  <c r="Y965" i="6" a="1"/>
  <c r="Y889" i="6" a="1"/>
  <c r="Y858" i="6" a="1"/>
  <c r="Y357" i="6" a="1"/>
  <c r="Y151" i="6" a="1"/>
  <c r="Y900" i="6" a="1"/>
  <c r="Y23" i="6" a="1"/>
  <c r="Y453" i="6" a="1"/>
  <c r="Y975" i="6" a="1"/>
  <c r="Y988" i="6" a="1"/>
  <c r="Y779" i="6" a="1"/>
  <c r="Y803" i="6" a="1"/>
  <c r="Y878" i="6" a="1"/>
  <c r="Y566" i="6" a="1"/>
  <c r="Y249" i="6" a="1"/>
  <c r="Y909" i="6" a="1"/>
  <c r="Y198" i="6" a="1"/>
  <c r="Y194" i="6" a="1"/>
  <c r="Y848" i="6" a="1"/>
  <c r="Y528" i="6" a="1"/>
  <c r="Y241" i="6" a="1"/>
  <c r="Y150" i="6" a="1"/>
  <c r="Y486" i="6" a="1"/>
  <c r="Y989" i="6" a="1"/>
  <c r="Y647" i="6" a="1"/>
  <c r="Y751" i="6" a="1"/>
  <c r="Y305" i="6" a="1"/>
  <c r="Y254" i="6" a="1"/>
  <c r="Y978" i="6" a="1"/>
  <c r="Y308" i="6" a="1"/>
  <c r="Y285" i="6" a="1"/>
  <c r="Y860" i="6" a="1"/>
  <c r="Y628" i="6" a="1"/>
  <c r="Y364" i="6" a="1"/>
  <c r="Y958" i="6" a="1"/>
  <c r="Y427" i="6" a="1"/>
  <c r="Y56" i="6" a="1"/>
  <c r="Y324" i="6" a="1"/>
  <c r="Y693" i="6" a="1"/>
  <c r="Y10" i="6" a="1"/>
  <c r="Y843" i="6" a="1"/>
  <c r="Y672" i="6" a="1"/>
  <c r="Y983" i="6" a="1"/>
  <c r="Y756" i="6" a="1"/>
  <c r="Y367" i="6" a="1"/>
  <c r="Y223" i="6" a="1"/>
  <c r="Y345" i="6" a="1"/>
  <c r="Y288" i="6" a="1"/>
  <c r="Y728" i="6" a="1"/>
  <c r="Y571" i="6" a="1"/>
  <c r="Y21" i="6" a="1"/>
  <c r="Y763" i="6" a="1"/>
  <c r="Y190" i="6" a="1"/>
  <c r="Y245" i="6" a="1"/>
  <c r="Y587" i="6" a="1"/>
  <c r="Y217" i="6" a="1"/>
  <c r="Y812" i="6" a="1"/>
  <c r="Y212" i="6" a="1"/>
  <c r="Y463" i="6" a="1"/>
  <c r="Y634" i="6" a="1"/>
  <c r="Y627" i="6" a="1"/>
  <c r="Y752" i="6" a="1"/>
  <c r="Y433" i="6" a="1"/>
  <c r="Y142" i="6" a="1"/>
  <c r="Y673" i="6" a="1"/>
  <c r="Y311" i="6" a="1"/>
  <c r="Y63" i="6" a="1"/>
  <c r="Y395" i="6" a="1"/>
  <c r="Y315" i="6" a="1"/>
  <c r="Y644" i="6" a="1"/>
  <c r="Y754" i="6" a="1"/>
  <c r="Y163" i="6" a="1"/>
  <c r="Y913" i="6" a="1"/>
  <c r="Y863" i="6" a="1"/>
  <c r="Y476" i="6" a="1"/>
  <c r="Y828" i="6" a="1"/>
  <c r="Y977" i="6" a="1"/>
  <c r="Y376" i="6" a="1"/>
  <c r="Y764" i="6" a="1"/>
  <c r="Y922" i="6" a="1"/>
  <c r="Y735" i="6" a="1"/>
  <c r="Y386" i="6" a="1"/>
  <c r="Y935" i="6" a="1"/>
  <c r="Y41" i="6" a="1"/>
  <c r="Y197" i="6" a="1"/>
  <c r="Y633" i="6" a="1"/>
  <c r="Y179" i="6" a="1"/>
  <c r="Y910" i="6" a="1"/>
  <c r="Y458" i="6" a="1"/>
  <c r="Y339" i="6" a="1"/>
  <c r="Y284" i="6" a="1"/>
  <c r="Y52" i="6" a="1"/>
  <c r="Y574" i="6" a="1"/>
  <c r="Y667" i="6" a="1"/>
  <c r="Y997" i="6" a="1"/>
  <c r="Y898" i="6" a="1"/>
  <c r="Y519" i="6" a="1"/>
  <c r="Y482" i="6" a="1"/>
  <c r="Y137" i="6" a="1"/>
  <c r="Y436" i="6" a="1"/>
  <c r="Y648" i="6" a="1"/>
  <c r="Y542" i="6" a="1"/>
  <c r="Y214" i="6" a="1"/>
  <c r="Y944" i="6" a="1"/>
  <c r="Y736" i="6" a="1"/>
  <c r="Y503" i="6" a="1"/>
  <c r="Y798" i="6" a="1"/>
  <c r="Y529" i="6" a="1"/>
  <c r="Y620" i="6" a="1"/>
  <c r="Y716" i="6" a="1"/>
  <c r="Y417" i="6" a="1"/>
  <c r="Y841" i="6" a="1"/>
  <c r="Y646" i="6" a="1"/>
  <c r="Y428" i="6" a="1"/>
  <c r="Y653" i="6" a="1"/>
  <c r="Y430" i="6" a="1"/>
  <c r="Y652" i="6" a="1"/>
  <c r="Y698" i="6" a="1"/>
  <c r="Y671" i="6" a="1"/>
  <c r="Y555" i="6" a="1"/>
  <c r="Y511" i="6" a="1"/>
  <c r="Y970" i="6" a="1"/>
  <c r="Y186" i="6" a="1"/>
  <c r="Y733" i="6" a="1"/>
  <c r="Y263" i="6" a="1"/>
  <c r="Y226" i="6" a="1"/>
  <c r="Y811" i="6" a="1"/>
  <c r="Y955" i="6" a="1"/>
  <c r="Y696" i="6" a="1"/>
  <c r="Y139" i="6" a="1"/>
  <c r="Y438" i="6" a="1"/>
  <c r="Y626" i="6" a="1"/>
  <c r="Y783" i="6" a="1"/>
  <c r="Y850" i="6" a="1"/>
  <c r="Y524" i="6" a="1"/>
  <c r="Y882" i="6" a="1"/>
  <c r="Y270" i="6" a="1"/>
  <c r="Y120" i="6" a="1"/>
  <c r="Y275" i="6" a="1"/>
  <c r="Y352" i="6" a="1"/>
  <c r="Y466" i="6" a="1"/>
  <c r="Y347" i="6" a="1"/>
  <c r="Y960" i="6" a="1"/>
  <c r="Y660" i="6" a="1"/>
  <c r="Y473" i="6" a="1"/>
  <c r="Y940" i="6" a="1"/>
  <c r="Y434" i="6" a="1"/>
  <c r="Y394" i="6" a="1"/>
  <c r="Y936" i="6" a="1"/>
  <c r="Y687" i="6" a="1"/>
  <c r="Y518" i="6" a="1"/>
  <c r="Y96" i="6" a="1"/>
  <c r="Y48" i="6" a="1"/>
  <c r="Y825" i="6" a="1"/>
  <c r="Y757" i="6" a="1"/>
  <c r="Y204" i="6" a="1"/>
  <c r="Y385" i="6" a="1"/>
  <c r="Y699" i="6" a="1"/>
  <c r="Y945" i="6" a="1"/>
  <c r="Y125" i="6" a="1"/>
  <c r="Y911" i="6" a="1"/>
  <c r="Y904" i="6" a="1"/>
  <c r="Y328" i="6" a="1"/>
  <c r="Y110" i="6" a="1"/>
  <c r="Y257" i="6" a="1"/>
  <c r="Y504" i="6" a="1"/>
  <c r="Y957" i="6" a="1"/>
  <c r="Y67" i="6" a="1"/>
  <c r="Y713" i="6" a="1"/>
  <c r="Y271" i="6" a="1"/>
  <c r="Y610" i="6" a="1"/>
  <c r="Y924" i="6" a="1"/>
  <c r="Y823" i="6" a="1"/>
  <c r="Y677" i="6" a="1"/>
  <c r="Y991" i="6" a="1"/>
  <c r="Y580" i="6" a="1"/>
  <c r="Y126" i="6" a="1"/>
  <c r="Y663" i="6" a="1"/>
  <c r="Y722" i="6" a="1"/>
  <c r="Y686" i="6" a="1"/>
  <c r="Y834" i="6" a="1"/>
  <c r="Y260" i="6" a="1"/>
  <c r="Y318" i="6" a="1"/>
  <c r="Y450" i="6" a="1"/>
  <c r="Y497" i="6" a="1"/>
  <c r="Y178" i="6" a="1"/>
  <c r="Y457" i="6" a="1"/>
  <c r="Y985" i="6" a="1"/>
  <c r="Y845" i="6" a="1"/>
  <c r="Y479" i="6" a="1"/>
  <c r="Y688" i="6" a="1"/>
  <c r="Y795" i="6" a="1"/>
  <c r="Y90" i="6" a="1"/>
  <c r="Y443" i="6" a="1"/>
  <c r="Y246" i="6" a="1"/>
  <c r="Y495" i="6" a="1"/>
  <c r="Y921" i="6" a="1"/>
  <c r="Y481" i="6" a="1"/>
  <c r="Y291" i="6" a="1"/>
  <c r="Y50" i="6" a="1"/>
  <c r="Y225" i="6" a="1"/>
  <c r="Y237" i="6" a="1"/>
  <c r="Y187" i="6" a="1"/>
  <c r="Y75" i="6" a="1"/>
  <c r="Y480" i="6" a="1"/>
  <c r="Y374" i="6" a="1"/>
  <c r="Y818" i="6" a="1"/>
  <c r="Y262" i="6" a="1"/>
  <c r="Y982" i="6" a="1"/>
  <c r="Y79" i="6" a="1"/>
  <c r="Y94" i="6" a="1"/>
  <c r="Y44" i="6" a="1"/>
  <c r="Y191" i="6" a="1"/>
  <c r="Y706" i="6" a="1"/>
  <c r="Y334" i="6" a="1"/>
  <c r="Y967" i="6" a="1"/>
  <c r="Y969" i="6" a="1"/>
  <c r="Y499" i="6" a="1"/>
  <c r="Y707" i="6" a="1"/>
  <c r="Y149" i="6" a="1"/>
  <c r="Y307" i="6" a="1"/>
  <c r="Y35" i="6" a="1"/>
  <c r="Y656" i="6" a="1"/>
  <c r="Y894" i="6" a="1"/>
  <c r="Y69" i="6" a="1"/>
  <c r="Y62" i="6" a="1"/>
  <c r="Y451" i="6" a="1"/>
  <c r="Y103" i="6" a="1"/>
  <c r="Y400" i="6" a="1"/>
  <c r="Y165" i="6" a="1"/>
  <c r="Y974" i="6" a="1"/>
  <c r="Y775" i="6" a="1"/>
  <c r="Y251" i="6" a="1"/>
  <c r="Y2" i="6" a="1"/>
  <c r="Y771" i="6" a="1"/>
  <c r="Y513" i="6" a="1"/>
  <c r="Y887" i="6" a="1"/>
  <c r="Y842" i="6" a="1"/>
  <c r="Y703" i="6" a="1"/>
  <c r="Y727" i="6" a="1"/>
  <c r="Y464" i="6" a="1"/>
  <c r="Y419" i="6" a="1"/>
  <c r="Y467" i="6" a="1"/>
  <c r="Y268" i="6" a="1"/>
  <c r="Y853" i="6" a="1"/>
  <c r="Y852" i="6" a="1"/>
  <c r="Y758" i="6" a="1"/>
  <c r="Y968" i="6" a="1"/>
  <c r="Y650" i="6" a="1"/>
  <c r="Y837" i="6" a="1"/>
  <c r="Y185" i="6" a="1"/>
  <c r="Y437" i="6" a="1"/>
  <c r="Y611" i="6" a="1"/>
  <c r="Y861" i="6" a="1"/>
  <c r="Y639" i="6" a="1"/>
  <c r="Y604" i="6" a="1"/>
  <c r="Y884" i="6" a="1"/>
  <c r="Y19" i="6" a="1"/>
  <c r="Y714" i="6" a="1"/>
  <c r="Y883" i="6" a="1"/>
  <c r="Y659" i="6" a="1"/>
  <c r="Y711" i="6" a="1"/>
  <c r="Y45" i="6" a="1"/>
  <c r="Y731" i="6" a="1"/>
  <c r="Y929" i="6" a="1"/>
  <c r="Y498" i="6" a="1"/>
  <c r="Y675" i="6" a="1"/>
  <c r="Y236" i="6" a="1"/>
  <c r="Y34" i="6" a="1"/>
  <c r="Y465" i="6" a="1"/>
  <c r="Y378" i="6" a="1"/>
  <c r="Y824" i="6" a="1"/>
  <c r="Y708" i="6" a="1"/>
  <c r="Y53" i="6" a="1"/>
  <c r="Y389" i="6" a="1"/>
  <c r="Y838" i="6" a="1"/>
  <c r="Y954" i="6" a="1"/>
  <c r="Y792" i="6" a="1"/>
  <c r="Y456" i="6" a="1"/>
  <c r="Y435" i="6" a="1"/>
  <c r="Y866" i="6" a="1"/>
  <c r="Y299" i="6" a="1"/>
  <c r="Y554" i="6" a="1"/>
  <c r="Y234" i="6" a="1"/>
  <c r="Y281" i="6" a="1"/>
  <c r="Y431" i="6" a="1"/>
  <c r="Y697" i="6" a="1"/>
  <c r="Y312" i="6" a="1"/>
  <c r="Y404" i="6" a="1"/>
  <c r="Y83" i="6" a="1"/>
  <c r="Y602" i="6" a="1"/>
  <c r="Y322" i="6" a="1"/>
  <c r="Y219" i="6" a="1"/>
  <c r="Y20" i="6" a="1"/>
  <c r="Y741" i="6" a="1"/>
  <c r="Y750" i="6" a="1"/>
  <c r="Y540" i="6" a="1"/>
  <c r="Y329" i="6" a="1"/>
  <c r="Y897" i="6" a="1"/>
  <c r="Y319" i="6" a="1"/>
  <c r="Y789" i="6" a="1"/>
  <c r="Y632" i="6" a="1"/>
  <c r="Y695" i="6" a="1"/>
  <c r="Y74" i="6" a="1"/>
  <c r="Y877" i="6" a="1"/>
  <c r="Y8" i="6" a="1"/>
  <c r="Y759" i="6" a="1"/>
  <c r="Y15" i="6" a="1"/>
  <c r="Y248" i="6" a="1"/>
  <c r="Y934" i="6" a="1"/>
  <c r="Y692" i="6" a="1"/>
  <c r="Y514" i="6" a="1"/>
  <c r="Y1001" i="6" a="1"/>
  <c r="Y414" i="6" a="1"/>
  <c r="Y855" i="6" a="1"/>
  <c r="Y297" i="6" a="1"/>
  <c r="Y167" i="6" a="1"/>
  <c r="Y984" i="6" a="1"/>
  <c r="Y33" i="6" a="1"/>
  <c r="Y29" i="6" a="1"/>
  <c r="Y86" i="6" a="1"/>
  <c r="Y255" i="6" a="1"/>
  <c r="Y316" i="6" a="1"/>
  <c r="Y608" i="6" a="1"/>
  <c r="Y492" i="6" a="1"/>
  <c r="Y192" i="6" a="1"/>
  <c r="Y917" i="6" a="1"/>
  <c r="Y221" i="6" a="1"/>
  <c r="Y259" i="6" a="1"/>
  <c r="Y440" i="6" a="1"/>
  <c r="Y702" i="6" a="1"/>
  <c r="Y509" i="6" a="1"/>
  <c r="Y247" i="6" a="1"/>
  <c r="Y354" i="6" a="1"/>
  <c r="Y244" i="6" a="1"/>
  <c r="Y605" i="6" a="1"/>
  <c r="Y13" i="6" a="1"/>
  <c r="Y387" i="6" a="1"/>
  <c r="Y942" i="6" a="1"/>
  <c r="Y276" i="6" a="1"/>
  <c r="Y807" i="6" a="1"/>
  <c r="Y684" i="6" a="1"/>
  <c r="Y112" i="6" a="1"/>
  <c r="Y591" i="6" a="1"/>
  <c r="Y224" i="6" a="1"/>
  <c r="Y568" i="6" a="1"/>
  <c r="Y292" i="6" a="1"/>
  <c r="Y128" i="6" a="1"/>
  <c r="Y407" i="6" a="1"/>
  <c r="Y564" i="6" a="1"/>
  <c r="Y772" i="6" a="1"/>
  <c r="Y37" i="6" a="1"/>
  <c r="Y129" i="6" a="1"/>
  <c r="Y361" i="6" a="1"/>
  <c r="Y790" i="6" a="1"/>
  <c r="Y902" i="6" a="1"/>
  <c r="Y685" i="6" a="1"/>
  <c r="Y631" i="6" a="1"/>
  <c r="Y856" i="6" a="1"/>
  <c r="Y715" i="6" a="1"/>
  <c r="Y418" i="6" a="1"/>
  <c r="Y181" i="6" a="1"/>
  <c r="Y745" i="6" a="1"/>
  <c r="Y992" i="6" a="1"/>
  <c r="Y691" i="6" a="1"/>
  <c r="Y42" i="6" a="1"/>
  <c r="Y157" i="6" a="1"/>
  <c r="Y392" i="6" a="1"/>
  <c r="Y138" i="6" a="1"/>
  <c r="Y766" i="6" a="1"/>
  <c r="Y603" i="6" a="1"/>
  <c r="Y788" i="6" a="1"/>
  <c r="Y732" i="6" a="1"/>
  <c r="Y362" i="6" a="1"/>
  <c r="Y612" i="6" a="1"/>
  <c r="Y517" i="6" a="1"/>
  <c r="Y380" i="6" a="1"/>
  <c r="Y207" i="6" a="1"/>
  <c r="Y505" i="6" a="1"/>
  <c r="Y98" i="6" a="1"/>
  <c r="Y54" i="6" a="1"/>
  <c r="Y143" i="6" a="1"/>
  <c r="Y606" i="6" a="1"/>
  <c r="Y87" i="6" a="1"/>
  <c r="Y938" i="6" a="1"/>
  <c r="Y780" i="6" a="1"/>
  <c r="Y60" i="6" a="1"/>
  <c r="Y678" i="6" a="1"/>
  <c r="Y621" i="6" a="1"/>
  <c r="Y227" i="6" a="1"/>
  <c r="Y277" i="6" a="1"/>
  <c r="Y113" i="6" a="1"/>
  <c r="Y468" i="6" a="1"/>
  <c r="Y177" i="6" a="1"/>
  <c r="Y508" i="6" a="1"/>
  <c r="Y200" i="6" a="1"/>
  <c r="Y770" i="6" a="1"/>
  <c r="Y25" i="6" a="1"/>
  <c r="Y478" i="6" a="1"/>
  <c r="Y381" i="6" a="1"/>
  <c r="Y538" i="6" a="1"/>
  <c r="Y951" i="6" a="1"/>
  <c r="Y49" i="6" a="1"/>
  <c r="Y57" i="6" a="1"/>
  <c r="Y891" i="6" a="1"/>
  <c r="Y598" i="6" a="1"/>
  <c r="Y371" i="6" a="1"/>
  <c r="Y184" i="6" a="1"/>
  <c r="Y830" i="6" a="1"/>
  <c r="Y302" i="6" a="1"/>
  <c r="Y993" i="6" a="1"/>
  <c r="Y724" i="6" a="1"/>
  <c r="Y547" i="6" a="1"/>
  <c r="Y411" i="6" a="1"/>
  <c r="Y719" i="6" a="1"/>
  <c r="Y422" i="6" a="1"/>
  <c r="Y160" i="6" a="1"/>
  <c r="Y886" i="6" a="1"/>
  <c r="Y327" i="6" a="1"/>
  <c r="Y953" i="6" a="1"/>
  <c r="Y313" i="6" a="1"/>
  <c r="Y447" i="6" a="1"/>
  <c r="Y915" i="6" a="1"/>
  <c r="Y994" i="6" a="1"/>
  <c r="Y413" i="6" a="1"/>
  <c r="Y416" i="6" a="1"/>
  <c r="Y159" i="6" a="1"/>
  <c r="Y679" i="6" a="1"/>
  <c r="Y704" i="6" a="1"/>
  <c r="Y925" i="6" a="1"/>
  <c r="Y872" i="6" a="1"/>
  <c r="Y188" i="6" a="1"/>
  <c r="Y206" i="6" a="1"/>
  <c r="Y869" i="6" a="1"/>
  <c r="Y220" i="6" a="1"/>
  <c r="Y846" i="6" a="1"/>
  <c r="Y890" i="6" a="1"/>
  <c r="Y893" i="6" a="1"/>
  <c r="Y309" i="6" a="1"/>
  <c r="Y484" i="6" a="1"/>
  <c r="Y586" i="6" a="1"/>
  <c r="Y119" i="6" a="1"/>
  <c r="Y216" i="6" a="1"/>
  <c r="Y282" i="6" a="1"/>
  <c r="Y383" i="6" a="1"/>
  <c r="Y895" i="6" a="1"/>
  <c r="Y578" i="6" a="1"/>
  <c r="Y93" i="6" a="1"/>
  <c r="Y446" i="6" a="1"/>
  <c r="Y338" i="6" a="1"/>
  <c r="Y366" i="6" a="1"/>
  <c r="Y619" i="6" a="1"/>
  <c r="Y286" i="6" a="1"/>
  <c r="Y6" i="6" a="1"/>
  <c r="Y501" i="6" a="1"/>
  <c r="Y643" i="6" a="1"/>
  <c r="Y537" i="6" a="1"/>
  <c r="Y135" i="6" a="1"/>
  <c r="Y405" i="6" a="1"/>
  <c r="Y384" i="6" a="1"/>
  <c r="Y232" i="6" a="1"/>
  <c r="Y303" i="6" a="1"/>
  <c r="Y859" i="6" a="1"/>
  <c r="Y372" i="6" a="1"/>
  <c r="Y976" i="6" a="1"/>
  <c r="Y645" i="6" a="1"/>
  <c r="Y444" i="6" a="1"/>
  <c r="Y46" i="6" a="1"/>
  <c r="Y593" i="6" a="1"/>
  <c r="Y475" i="6" a="1"/>
  <c r="Y261" i="6" a="1"/>
  <c r="Y239" i="6" a="1"/>
  <c r="Y615" i="6" a="1"/>
  <c r="Y487" i="6" a="1"/>
  <c r="Y370" i="6" a="1"/>
  <c r="Y916" i="6" a="1"/>
  <c r="Y833" i="6" a="1"/>
  <c r="Y295" i="6" a="1"/>
  <c r="Y17" i="6" a="1"/>
  <c r="Y243" i="6" a="1"/>
  <c r="Y521" i="6" a="1"/>
  <c r="Y231" i="6" a="1"/>
  <c r="Y961" i="6" a="1"/>
  <c r="Y793" i="6" a="1"/>
  <c r="Y959" i="6" a="1"/>
  <c r="Y926" i="6" a="1"/>
  <c r="Y111" i="6" a="1"/>
  <c r="Y274" i="6" a="1"/>
  <c r="Y746" i="6" a="1"/>
  <c r="Y674" i="6" a="1"/>
  <c r="Y543" i="6" a="1"/>
  <c r="Y272" i="6" a="1"/>
  <c r="Y617" i="6" a="1"/>
  <c r="Y585" i="6" a="1"/>
  <c r="Y787" i="6" a="1"/>
  <c r="Y343" i="6" a="1"/>
  <c r="Y377" i="6" a="1"/>
  <c r="Y273" i="6" a="1"/>
  <c r="Y27" i="6" a="1"/>
  <c r="Y176" i="6" a="1"/>
  <c r="Y502" i="6" a="1"/>
  <c r="Y822" i="6" a="1"/>
  <c r="Y391" i="6" a="1"/>
  <c r="Y531" i="6" a="1"/>
  <c r="Y164" i="6" a="1"/>
  <c r="Y77" i="6" a="1"/>
  <c r="Y613" i="6" a="1"/>
  <c r="Y950" i="6" a="1"/>
  <c r="Y141" i="6" a="1"/>
  <c r="Y202" i="6" a="1"/>
  <c r="Y705" i="6" a="1"/>
  <c r="Y493" i="6" a="1"/>
  <c r="Y669" i="6" a="1"/>
  <c r="Y947" i="6" a="1"/>
  <c r="Y912" i="6" a="1"/>
  <c r="Y767" i="6" a="1"/>
  <c r="Y304" i="6" a="1"/>
  <c r="Y718" i="6" a="1"/>
  <c r="Y350" i="6" a="1"/>
  <c r="Y105" i="6" a="1"/>
  <c r="Y336" i="6" a="1"/>
  <c r="Y154" i="6" a="1"/>
  <c r="Y144" i="6" a="1"/>
  <c r="Y26" i="6" a="1"/>
  <c r="Y222" i="6" a="1"/>
  <c r="Y306" i="6" a="1"/>
  <c r="Y22" i="6" a="1"/>
  <c r="Y9" i="6" a="1"/>
  <c r="Y535" i="6" a="1"/>
  <c r="Y296" i="6" a="1"/>
  <c r="Y544" i="6" a="1"/>
  <c r="Y952" i="6" a="1"/>
  <c r="Y344" i="6" a="1"/>
  <c r="Y700" i="6" a="1"/>
  <c r="Y283" i="6" a="1"/>
  <c r="Y987" i="6" a="1"/>
  <c r="Y403" i="6" a="1"/>
  <c r="Y189" i="6" a="1"/>
  <c r="Y903" i="6" a="1"/>
  <c r="Y573" i="6" a="1"/>
  <c r="Y637" i="6" a="1"/>
  <c r="Y661" i="6" a="1"/>
  <c r="Y341" i="6" a="1"/>
  <c r="Y854" i="6" a="1"/>
  <c r="Y32" i="6" a="1"/>
  <c r="Y740" i="6" a="1"/>
  <c r="Y802" i="6" a="1"/>
  <c r="Y813" i="6" a="1"/>
  <c r="Y796" i="6" a="1"/>
  <c r="Y510" i="6" a="1"/>
  <c r="Y490" i="6" a="1"/>
  <c r="Y523" i="6" a="1"/>
  <c r="Y552" i="6" a="1"/>
  <c r="Y116" i="6" a="1"/>
  <c r="Y47" i="6" a="1"/>
  <c r="Y981" i="6" a="1"/>
  <c r="Y562" i="6" a="1"/>
  <c r="Y710" i="6" a="1"/>
  <c r="Y657" i="6" a="1"/>
  <c r="Y794" i="6" a="1"/>
  <c r="Y601" i="6" a="1"/>
  <c r="Y253" i="6" a="1"/>
  <c r="Y814" i="6" a="1"/>
  <c r="Y279" i="6" a="1"/>
  <c r="Y557" i="6" a="1"/>
  <c r="Y293" i="6" a="1"/>
  <c r="Y136" i="6" a="1"/>
  <c r="Y64" i="6" a="1"/>
  <c r="Y229" i="6" a="1"/>
  <c r="Y804" i="6" a="1"/>
  <c r="Y485" i="6" a="1"/>
  <c r="Y205" i="6" a="1"/>
  <c r="Y778" i="6" a="1"/>
  <c r="Y821" i="6" a="1"/>
  <c r="Y298" i="6" a="1"/>
  <c r="Y681" i="6" a="1"/>
  <c r="Y581" i="6" a="1"/>
  <c r="Y115" i="6" a="1"/>
  <c r="Y252" i="6" a="1"/>
  <c r="Y956" i="6" a="1"/>
  <c r="Y990" i="6" a="1"/>
  <c r="Y827" i="6" a="1"/>
  <c r="Y905" i="6" a="1"/>
  <c r="Y183" i="6" a="1"/>
  <c r="Y39" i="6" a="1"/>
  <c r="Y808" i="6" a="1"/>
  <c r="Y946" i="6" a="1"/>
  <c r="Y690" i="6" a="1"/>
  <c r="Y195" i="6" a="1"/>
  <c r="Y943" i="6" a="1"/>
  <c r="Y3" i="6" a="1"/>
  <c r="Y832" i="6" a="1"/>
  <c r="Y579" i="6" a="1"/>
  <c r="Y720" i="6" a="1"/>
  <c r="Y616" i="6" a="1"/>
  <c r="Y520" i="6" a="1"/>
  <c r="Y170" i="6" a="1"/>
  <c r="Y569" i="6" a="1"/>
  <c r="Y761" i="6" a="1"/>
  <c r="Y269" i="6" a="1"/>
  <c r="Y289" i="6" a="1"/>
  <c r="Y242" i="6" a="1"/>
  <c r="Y265" i="6" a="1"/>
  <c r="Y70" i="6" a="1"/>
  <c r="Y146" i="6" a="1"/>
  <c r="Y36" i="6" a="1"/>
  <c r="Y670" i="6" a="1"/>
  <c r="Y396" i="6" a="1"/>
  <c r="Y658" i="6" a="1"/>
  <c r="Y461" i="6" a="1"/>
  <c r="Y363" i="6" a="1"/>
  <c r="Y635" i="6" a="1"/>
  <c r="Y980" i="6" a="1"/>
  <c r="Y546" i="6" a="1"/>
  <c r="Y124" i="6" a="1"/>
  <c r="Y470" i="6" a="1"/>
  <c r="Y109" i="6" a="1"/>
  <c r="Y932" i="6" a="1"/>
  <c r="Y570" i="6" a="1"/>
  <c r="Y641" i="6" a="1"/>
  <c r="Y744" i="6" a="1"/>
  <c r="Y95" i="6" a="1"/>
  <c r="Y769" i="6" a="1"/>
  <c r="Y829" i="6" a="1"/>
  <c r="Y162" i="6" a="1"/>
  <c r="Y346" i="6" a="1"/>
  <c r="Y550" i="6" a="1"/>
  <c r="Y753" i="6" a="1"/>
  <c r="Y972" i="6" a="1"/>
  <c r="Y797" i="6" a="1"/>
  <c r="Y100" i="6" a="1"/>
  <c r="Y477" i="6" a="1"/>
  <c r="Y600" i="6" a="1"/>
  <c r="Y914" i="6" a="1"/>
  <c r="Y317" i="6" a="1"/>
  <c r="Y152" i="6" a="1"/>
  <c r="Y879" i="6" a="1"/>
  <c r="Y147" i="6" a="1"/>
  <c r="Y494" i="6" a="1"/>
  <c r="Y782" i="6" a="1"/>
  <c r="Y469" i="6" a="1"/>
  <c r="Y594" i="6" a="1"/>
  <c r="Y851" i="6" a="1"/>
  <c r="Y596" i="6" a="1"/>
  <c r="Y107" i="6" a="1"/>
  <c r="Y445" i="6" a="1"/>
  <c r="Y506" i="6" a="1"/>
  <c r="Y874" i="6" a="1"/>
  <c r="Y862" i="6" a="1"/>
  <c r="Y749" i="6" a="1"/>
  <c r="Y300" i="6" a="1"/>
  <c r="Y880" i="6" a="1"/>
  <c r="Y353" i="6" a="1"/>
  <c r="Y963" i="6" a="1"/>
  <c r="Y14" i="6" a="1"/>
  <c r="Y92" i="6" a="1"/>
  <c r="Y541" i="6" a="1"/>
  <c r="Y556" i="6" a="1"/>
  <c r="Y998" i="6" a="1"/>
  <c r="Y907" i="6" a="1"/>
  <c r="Y949" i="6" a="1"/>
  <c r="Y806" i="6" a="1"/>
  <c r="Y665" i="6" a="1"/>
  <c r="Y169" i="6" a="1"/>
  <c r="Y452" i="6" a="1"/>
  <c r="Y172" i="6" a="1"/>
  <c r="Y625" i="6" a="1"/>
  <c r="Y5" i="6" a="1"/>
  <c r="Y335" i="6" a="1"/>
  <c r="Y709" i="6" a="1"/>
  <c r="Y567" i="6" a="1"/>
  <c r="Y332" i="6" a="1"/>
  <c r="Y931" i="6" a="1"/>
  <c r="Y526" i="6" a="1"/>
  <c r="Y563" i="6" a="1"/>
  <c r="Y630" i="6" a="1"/>
  <c r="Y368" i="6" a="1"/>
  <c r="Y148" i="6" a="1"/>
  <c r="Y410" i="6" a="1"/>
  <c r="Y355" i="6" a="1"/>
  <c r="Y382" i="6" a="1"/>
  <c r="Y512" i="6" a="1"/>
  <c r="Y442" i="6" a="1"/>
  <c r="Y867" i="6" a="1"/>
  <c r="Y104" i="6" a="1"/>
  <c r="Y38" i="6" a="1"/>
  <c r="Y18" i="6" a="1"/>
  <c r="Y330" i="6" a="1"/>
  <c r="Y595" i="6" a="1"/>
  <c r="Y342" i="6" a="1"/>
  <c r="Y868" i="6" a="1"/>
  <c r="Y402" i="6" a="1"/>
  <c r="Y106" i="6" a="1"/>
  <c r="Y472" i="6" a="1"/>
  <c r="Y85" i="6" a="1"/>
  <c r="Y636" i="6" a="1"/>
  <c r="Y310" i="6" a="1"/>
  <c r="Y748" i="6" a="1"/>
  <c r="Y565" i="6" a="1"/>
  <c r="Y964" i="6" a="1"/>
  <c r="Y359" i="6" a="1"/>
  <c r="Y287" i="6" a="1"/>
  <c r="Y256" i="6" a="1"/>
  <c r="Y805" i="6" a="1"/>
  <c r="Y773" i="6" a="1"/>
  <c r="Y995" i="6" a="1"/>
  <c r="Y539" i="6" a="1"/>
  <c r="Y166" i="6" a="1"/>
  <c r="Y28" i="6" a="1"/>
  <c r="Y873" i="6" a="1"/>
  <c r="Y721" i="6" a="1"/>
  <c r="Y701" i="6" a="1"/>
  <c r="Y809" i="6" a="1"/>
  <c r="Y875" i="6" a="1"/>
  <c r="Y642" i="6" a="1"/>
  <c r="Y78" i="6" a="1"/>
  <c r="Y390" i="6" a="1"/>
  <c r="Y522" i="6" a="1"/>
  <c r="Y584" i="6" a="1"/>
  <c r="Y817" i="6" a="1"/>
  <c r="Y118" i="6" a="1"/>
  <c r="Y785" i="6" a="1"/>
  <c r="Y294" i="6" a="1"/>
  <c r="Y127" i="6" a="1"/>
  <c r="Y266" i="6" a="1"/>
  <c r="Y441" i="6" a="1"/>
  <c r="Y161" i="6" a="1"/>
  <c r="Y4" i="6" a="1"/>
  <c r="Y406" i="6" a="1"/>
  <c r="Y553" i="6" a="1"/>
  <c r="Y325" i="6" a="1"/>
  <c r="Y145" i="6" a="1"/>
  <c r="Y937" i="6" a="1"/>
  <c r="Y340" i="6" a="1"/>
  <c r="Y439" i="6" a="1"/>
  <c r="Y723" i="6" a="1"/>
  <c r="Y459" i="6" a="1"/>
  <c r="Y927" i="6" a="1"/>
  <c r="Y235" i="6" a="1"/>
  <c r="Y730" i="6" a="1"/>
  <c r="Y906" i="6" a="1"/>
  <c r="Y738" i="6" a="1"/>
  <c r="Y320" i="6" a="1"/>
  <c r="Y743" i="6" a="1"/>
  <c r="Y1000" i="6" a="1"/>
  <c r="Y768" i="6" a="1"/>
  <c r="Y301" i="6" a="1"/>
  <c r="Y258" i="6" a="1"/>
  <c r="Y865" i="6" a="1"/>
  <c r="Y429" i="6" a="1"/>
  <c r="Y527" i="6" a="1"/>
  <c r="Y545" i="6" a="1"/>
  <c r="Y847" i="6" a="1"/>
  <c r="Y908" i="6" a="1"/>
  <c r="Y810" i="6" a="1"/>
  <c r="Y534" i="6" a="1"/>
  <c r="Y836" i="6" a="1"/>
  <c r="Y609" i="6" a="1"/>
  <c r="Y31" i="6" a="1"/>
  <c r="Y729" i="6" a="1"/>
  <c r="Y777" i="6" a="1"/>
  <c r="Y786" i="6" a="1"/>
  <c r="Y533" i="6" a="1"/>
  <c r="Y351" i="6" a="1"/>
  <c r="Y80" i="6" a="1"/>
  <c r="Y30" i="6" a="1"/>
  <c r="Y999" i="6" a="1"/>
  <c r="Y933" i="6" a="1"/>
  <c r="Y43" i="6" a="1"/>
  <c r="Y89" i="6" a="1"/>
  <c r="Y734" i="6" a="1"/>
  <c r="Y393" i="6" a="1"/>
  <c r="Y597" i="6" a="1"/>
  <c r="Y156" i="6" a="1"/>
  <c r="Y331" i="6" a="1"/>
  <c r="Y58" i="6" a="1"/>
  <c r="Y835" i="6" a="1"/>
  <c r="Y337" i="6" a="1"/>
  <c r="Y424" i="6" a="1"/>
  <c r="Y515" i="6" a="1"/>
  <c r="Y455" i="6" a="1"/>
  <c r="Y762" i="6" a="1"/>
  <c r="Y408" i="6" a="1"/>
  <c r="Y489" i="6" a="1"/>
  <c r="Y607" i="6" a="1"/>
  <c r="Y449" i="6" a="1"/>
  <c r="Y134" i="6" a="1"/>
  <c r="Y654" i="6" a="1"/>
  <c r="Y203" i="6" a="1"/>
  <c r="Y123" i="6" a="1"/>
  <c r="Y791" i="6" a="1"/>
  <c r="Y398" i="6" a="1"/>
  <c r="Y747" i="6" a="1"/>
  <c r="Y228" i="6" a="1"/>
  <c r="Y68" i="6" a="1"/>
  <c r="Y712" i="6" a="1"/>
  <c r="Y760" i="6" a="1"/>
  <c r="Y820" i="6" a="1"/>
  <c r="Y857" i="6" a="1"/>
  <c r="Y640" i="6" a="1"/>
  <c r="Y589" i="6" a="1"/>
  <c r="Y516" i="6" a="1"/>
  <c r="Y201" i="6" a="1"/>
  <c r="Y168" i="6" a="1"/>
  <c r="Y132" i="6" a="1"/>
  <c r="Y130" i="6" a="1"/>
  <c r="Y409" i="6" a="1"/>
  <c r="Y588" i="6" a="1"/>
  <c r="Y840" i="6" a="1"/>
  <c r="Y725" i="6" a="1"/>
  <c r="Y401" i="6" a="1"/>
  <c r="Y173" i="6" a="1"/>
  <c r="Y624" i="6" a="1"/>
  <c r="Y496" i="6" a="1"/>
  <c r="Y551" i="6" a="1"/>
  <c r="Y71" i="6" a="1"/>
  <c r="Y559" i="6" a="1"/>
  <c r="Y530" i="6" a="1"/>
  <c r="Y885" i="6" a="1"/>
  <c r="Y153" i="6" a="1"/>
  <c r="Y676" i="6" a="1"/>
  <c r="Y939" i="6" a="1"/>
  <c r="Y918" i="6" a="1"/>
  <c r="Y209" i="6" a="1"/>
  <c r="Y211" i="6" a="1"/>
  <c r="Y966" i="6" a="1"/>
  <c r="Y12" i="6" a="1"/>
  <c r="Y379" i="6" a="1"/>
  <c r="Y899" i="6" a="1"/>
  <c r="Y689" i="6" a="1"/>
  <c r="Y61" i="6" a="1"/>
  <c r="Y250" i="6" a="1"/>
  <c r="Y930" i="6" a="1"/>
  <c r="Y532" i="6" a="1"/>
  <c r="Y618" i="6" a="1"/>
  <c r="Y348" i="6" a="1"/>
  <c r="Y174" i="6" a="1"/>
  <c r="Y996" i="6" a="1"/>
  <c r="Y215" i="6" a="1"/>
  <c r="Y323" i="6" a="1"/>
  <c r="Y576" i="6" a="1"/>
  <c r="Y962" i="6" a="1"/>
  <c r="Y121" i="6" a="1"/>
  <c r="Y737" i="6" a="1"/>
  <c r="Y240" i="6" a="1"/>
  <c r="Y140" i="6" a="1"/>
  <c r="Y420" i="6" a="1"/>
  <c r="Y210" i="6" a="1"/>
  <c r="Y375" i="6" a="1"/>
  <c r="Y536" i="6" a="1"/>
  <c r="Y460" i="6" a="1"/>
  <c r="Y765" i="6" a="1"/>
  <c r="Y849" i="6" a="1"/>
  <c r="Y66" i="6" a="1"/>
  <c r="Y815" i="6" a="1"/>
  <c r="Y986" i="6" a="1"/>
  <c r="Y739" i="6" a="1"/>
  <c r="Y577" i="6" a="1"/>
  <c r="Y114" i="6" a="1"/>
  <c r="Y919" i="6" a="1"/>
  <c r="Y888" i="6" a="1"/>
  <c r="Y973" i="6" a="1"/>
  <c r="Y923" i="6" a="1"/>
  <c r="Y800" i="6" a="1"/>
  <c r="Y682" i="6" a="1"/>
  <c r="Y24" i="6" a="1"/>
  <c r="Y683" i="6" a="1"/>
  <c r="Y108" i="6" a="1"/>
  <c r="Y623" i="6" a="1"/>
  <c r="Y358" i="6" a="1"/>
  <c r="Y655" i="6" a="1"/>
  <c r="Y844" i="6" a="1"/>
  <c r="Y82" i="6" a="1"/>
  <c r="Y979" i="6" a="1"/>
  <c r="Y280" i="6" a="1"/>
  <c r="Y321" i="6" a="1"/>
  <c r="Y826" i="6" a="1"/>
  <c r="Y264" i="6" a="1"/>
  <c r="Y928" i="6" a="1"/>
  <c r="Y948" i="6" a="1"/>
  <c r="Y133" i="6" a="1"/>
  <c r="Y155" i="6" a="1"/>
  <c r="Y454" i="6" a="1"/>
  <c r="Y622" i="6" a="1"/>
  <c r="Y816" i="6" a="1"/>
  <c r="Y488" i="6" a="1"/>
  <c r="Y717" i="6" a="1"/>
  <c r="Y7" i="6" a="1"/>
  <c r="Y561" i="6" a="1"/>
  <c r="Y876" i="6" a="1"/>
  <c r="Y196" i="6" a="1"/>
  <c r="Y213" i="6" a="1"/>
  <c r="Y582" i="6" a="1"/>
  <c r="Y97" i="6" a="1"/>
  <c r="Y491" i="6" a="1"/>
  <c r="Y290" i="6" a="1"/>
  <c r="Y314" i="6" a="1"/>
  <c r="Y16" i="6" a="1"/>
  <c r="Y81" i="6" a="1"/>
  <c r="Y726" i="6" a="1"/>
  <c r="Y182" i="6" a="1"/>
  <c r="Y649" i="6" a="1"/>
  <c r="Y51" i="6" a="1"/>
  <c r="Y548" i="6" a="1"/>
  <c r="Y448" i="6" a="1"/>
  <c r="Y180" i="6" a="1"/>
  <c r="Y662" i="6" a="1"/>
  <c r="Y881" i="6" a="1"/>
  <c r="Y462" i="6" a="1"/>
  <c r="Y131" i="6" a="1"/>
  <c r="Y373" i="6" a="1"/>
  <c r="Y629" i="6" a="1"/>
  <c r="Y781" i="6" a="1"/>
  <c r="Y99" i="6" a="1"/>
  <c r="Y333" i="6" a="1"/>
  <c r="Y668" i="6" a="1"/>
  <c r="Y267" i="6" a="1"/>
  <c r="Y356" i="6" a="1"/>
  <c r="Y101" i="6" a="1"/>
  <c r="Y549" i="6" a="1"/>
  <c r="Y638" i="6" a="1"/>
  <c r="Y871" i="6" a="1"/>
  <c r="Y412" i="6" a="1"/>
  <c r="Y122" i="6" a="1"/>
  <c r="X801" i="6"/>
  <c r="X40" i="6"/>
  <c r="X349" i="6"/>
  <c r="X117" i="6"/>
  <c r="X65" i="6"/>
  <c r="X483" i="6"/>
  <c r="X326" i="6"/>
  <c r="X369" i="6"/>
  <c r="X208" i="6"/>
  <c r="X278" i="6"/>
  <c r="X776" i="6"/>
  <c r="X158" i="6"/>
  <c r="X55" i="6"/>
  <c r="X819" i="6"/>
  <c r="X839" i="6"/>
  <c r="X432" i="6"/>
  <c r="X742" i="6"/>
  <c r="X102" i="6"/>
  <c r="X941" i="6"/>
  <c r="X199" i="6"/>
  <c r="X171" i="6"/>
  <c r="X91" i="6"/>
  <c r="X774" i="6"/>
  <c r="X500" i="6"/>
  <c r="X971" i="6"/>
  <c r="X599" i="6"/>
  <c r="X421" i="6"/>
  <c r="X471" i="6"/>
  <c r="X694" i="6"/>
  <c r="X426" i="6"/>
  <c r="X399" i="6"/>
  <c r="X755" i="6"/>
  <c r="X651" i="6"/>
  <c r="X892" i="6"/>
  <c r="X73" i="6"/>
  <c r="X76" i="6"/>
  <c r="X575" i="6"/>
  <c r="X88" i="6"/>
  <c r="X590" i="6"/>
  <c r="X680" i="6"/>
  <c r="X474" i="6"/>
  <c r="X896" i="6"/>
  <c r="X218" i="6"/>
  <c r="X558" i="6"/>
  <c r="X572" i="6"/>
  <c r="X664" i="6"/>
  <c r="X666" i="6"/>
  <c r="X423" i="6"/>
  <c r="X525" i="6"/>
  <c r="X831" i="6"/>
  <c r="X784" i="6"/>
  <c r="X864" i="6"/>
  <c r="X388" i="6"/>
  <c r="X397" i="6"/>
  <c r="X84" i="6"/>
  <c r="X901" i="6"/>
  <c r="X870" i="6"/>
  <c r="X193" i="6"/>
  <c r="X175" i="6"/>
  <c r="X230" i="6"/>
  <c r="X360" i="6"/>
  <c r="X415" i="6"/>
  <c r="X365" i="6"/>
  <c r="X583" i="6"/>
  <c r="X238" i="6"/>
  <c r="X799" i="6"/>
  <c r="X425" i="6"/>
  <c r="X614" i="6"/>
  <c r="X72" i="6"/>
  <c r="X560" i="6"/>
  <c r="X920" i="6"/>
  <c r="X11" i="6"/>
  <c r="X233" i="6"/>
  <c r="X507" i="6"/>
  <c r="X59" i="6"/>
  <c r="X592" i="6"/>
  <c r="X965" i="6"/>
  <c r="X889" i="6"/>
  <c r="X858" i="6"/>
  <c r="X357" i="6"/>
  <c r="X151" i="6"/>
  <c r="X900" i="6"/>
  <c r="X23" i="6"/>
  <c r="X453" i="6"/>
  <c r="X975" i="6"/>
  <c r="X988" i="6"/>
  <c r="X779" i="6"/>
  <c r="X803" i="6"/>
  <c r="X878" i="6"/>
  <c r="X566" i="6"/>
  <c r="X249" i="6"/>
  <c r="X909" i="6"/>
  <c r="X198" i="6"/>
  <c r="X194" i="6"/>
  <c r="X848" i="6"/>
  <c r="X528" i="6"/>
  <c r="X241" i="6"/>
  <c r="X150" i="6"/>
  <c r="X486" i="6"/>
  <c r="X989" i="6"/>
  <c r="X647" i="6"/>
  <c r="X751" i="6"/>
  <c r="X305" i="6"/>
  <c r="X254" i="6"/>
  <c r="X978" i="6"/>
  <c r="X308" i="6"/>
  <c r="X285" i="6"/>
  <c r="X860" i="6"/>
  <c r="X628" i="6"/>
  <c r="X364" i="6"/>
  <c r="X958" i="6"/>
  <c r="X427" i="6"/>
  <c r="X56" i="6"/>
  <c r="X324" i="6"/>
  <c r="X693" i="6"/>
  <c r="X10" i="6"/>
  <c r="X843" i="6"/>
  <c r="X672" i="6"/>
  <c r="X983" i="6"/>
  <c r="X756" i="6"/>
  <c r="X367" i="6"/>
  <c r="X223" i="6"/>
  <c r="X345" i="6"/>
  <c r="X288" i="6"/>
  <c r="X728" i="6"/>
  <c r="X571" i="6"/>
  <c r="X21" i="6"/>
  <c r="X763" i="6"/>
  <c r="X190" i="6"/>
  <c r="X245" i="6"/>
  <c r="X587" i="6"/>
  <c r="X217" i="6"/>
  <c r="X812" i="6"/>
  <c r="X212" i="6"/>
  <c r="X463" i="6"/>
  <c r="X634" i="6"/>
  <c r="X627" i="6"/>
  <c r="X752" i="6"/>
  <c r="X433" i="6"/>
  <c r="X142" i="6"/>
  <c r="X673" i="6"/>
  <c r="X311" i="6"/>
  <c r="X63" i="6"/>
  <c r="X395" i="6"/>
  <c r="X315" i="6"/>
  <c r="X644" i="6"/>
  <c r="X754" i="6"/>
  <c r="X163" i="6"/>
  <c r="X913" i="6"/>
  <c r="X863" i="6"/>
  <c r="X476" i="6"/>
  <c r="X828" i="6"/>
  <c r="X977" i="6"/>
  <c r="X376" i="6"/>
  <c r="X764" i="6"/>
  <c r="X922" i="6"/>
  <c r="X735" i="6"/>
  <c r="X386" i="6"/>
  <c r="X935" i="6"/>
  <c r="X41" i="6"/>
  <c r="X197" i="6"/>
  <c r="X633" i="6"/>
  <c r="X179" i="6"/>
  <c r="X910" i="6"/>
  <c r="X458" i="6"/>
  <c r="X339" i="6"/>
  <c r="X284" i="6"/>
  <c r="X52" i="6"/>
  <c r="X574" i="6"/>
  <c r="X667" i="6"/>
  <c r="X997" i="6"/>
  <c r="X898" i="6"/>
  <c r="X519" i="6"/>
  <c r="X482" i="6"/>
  <c r="X137" i="6"/>
  <c r="X436" i="6"/>
  <c r="X648" i="6"/>
  <c r="X542" i="6"/>
  <c r="X214" i="6"/>
  <c r="X944" i="6"/>
  <c r="X736" i="6"/>
  <c r="X503" i="6"/>
  <c r="X798" i="6"/>
  <c r="X529" i="6"/>
  <c r="X620" i="6"/>
  <c r="X716" i="6"/>
  <c r="X417" i="6"/>
  <c r="X841" i="6"/>
  <c r="X646" i="6"/>
  <c r="X428" i="6"/>
  <c r="X653" i="6"/>
  <c r="X430" i="6"/>
  <c r="X652" i="6"/>
  <c r="X698" i="6"/>
  <c r="X671" i="6"/>
  <c r="X555" i="6"/>
  <c r="X511" i="6"/>
  <c r="X970" i="6"/>
  <c r="X186" i="6"/>
  <c r="X733" i="6"/>
  <c r="X263" i="6"/>
  <c r="X226" i="6"/>
  <c r="X811" i="6"/>
  <c r="X955" i="6"/>
  <c r="X696" i="6"/>
  <c r="X139" i="6"/>
  <c r="X438" i="6"/>
  <c r="X626" i="6"/>
  <c r="X783" i="6"/>
  <c r="X850" i="6"/>
  <c r="X524" i="6"/>
  <c r="X882" i="6"/>
  <c r="X270" i="6"/>
  <c r="X120" i="6"/>
  <c r="X275" i="6"/>
  <c r="X352" i="6"/>
  <c r="X466" i="6"/>
  <c r="X347" i="6"/>
  <c r="X960" i="6"/>
  <c r="X660" i="6"/>
  <c r="X473" i="6"/>
  <c r="X940" i="6"/>
  <c r="X434" i="6"/>
  <c r="X394" i="6"/>
  <c r="X936" i="6"/>
  <c r="X687" i="6"/>
  <c r="X518" i="6"/>
  <c r="X96" i="6"/>
  <c r="X48" i="6"/>
  <c r="X825" i="6"/>
  <c r="X757" i="6"/>
  <c r="X204" i="6"/>
  <c r="X385" i="6"/>
  <c r="X699" i="6"/>
  <c r="X945" i="6"/>
  <c r="X125" i="6"/>
  <c r="X911" i="6"/>
  <c r="X904" i="6"/>
  <c r="X328" i="6"/>
  <c r="X110" i="6"/>
  <c r="X257" i="6"/>
  <c r="X504" i="6"/>
  <c r="X957" i="6"/>
  <c r="X67" i="6"/>
  <c r="X713" i="6"/>
  <c r="X271" i="6"/>
  <c r="X610" i="6"/>
  <c r="X924" i="6"/>
  <c r="X823" i="6"/>
  <c r="X677" i="6"/>
  <c r="X991" i="6"/>
  <c r="X580" i="6"/>
  <c r="X126" i="6"/>
  <c r="X663" i="6"/>
  <c r="X722" i="6"/>
  <c r="X686" i="6"/>
  <c r="X834" i="6"/>
  <c r="X260" i="6"/>
  <c r="X318" i="6"/>
  <c r="X450" i="6"/>
  <c r="X497" i="6"/>
  <c r="X178" i="6"/>
  <c r="X457" i="6"/>
  <c r="X985" i="6"/>
  <c r="X845" i="6"/>
  <c r="X479" i="6"/>
  <c r="X688" i="6"/>
  <c r="X795" i="6"/>
  <c r="X90" i="6"/>
  <c r="X443" i="6"/>
  <c r="X246" i="6"/>
  <c r="X495" i="6"/>
  <c r="X921" i="6"/>
  <c r="X481" i="6"/>
  <c r="X291" i="6"/>
  <c r="X50" i="6"/>
  <c r="X225" i="6"/>
  <c r="X237" i="6"/>
  <c r="X187" i="6"/>
  <c r="X75" i="6"/>
  <c r="X480" i="6"/>
  <c r="X374" i="6"/>
  <c r="X818" i="6"/>
  <c r="X262" i="6"/>
  <c r="X982" i="6"/>
  <c r="X79" i="6"/>
  <c r="X94" i="6"/>
  <c r="X44" i="6"/>
  <c r="X191" i="6"/>
  <c r="X706" i="6"/>
  <c r="X334" i="6"/>
  <c r="X967" i="6"/>
  <c r="X969" i="6"/>
  <c r="X499" i="6"/>
  <c r="X707" i="6"/>
  <c r="X149" i="6"/>
  <c r="X307" i="6"/>
  <c r="X35" i="6"/>
  <c r="X656" i="6"/>
  <c r="X894" i="6"/>
  <c r="X69" i="6"/>
  <c r="X62" i="6"/>
  <c r="X451" i="6"/>
  <c r="X103" i="6"/>
  <c r="X400" i="6"/>
  <c r="X165" i="6"/>
  <c r="X974" i="6"/>
  <c r="X775" i="6"/>
  <c r="X251" i="6"/>
  <c r="X2" i="6"/>
  <c r="X771" i="6"/>
  <c r="X513" i="6"/>
  <c r="X887" i="6"/>
  <c r="X842" i="6"/>
  <c r="X703" i="6"/>
  <c r="X727" i="6"/>
  <c r="X464" i="6"/>
  <c r="X419" i="6"/>
  <c r="X467" i="6"/>
  <c r="X268" i="6"/>
  <c r="X853" i="6"/>
  <c r="X852" i="6"/>
  <c r="X758" i="6"/>
  <c r="X968" i="6"/>
  <c r="X650" i="6"/>
  <c r="X837" i="6"/>
  <c r="X185" i="6"/>
  <c r="X437" i="6"/>
  <c r="X611" i="6"/>
  <c r="X861" i="6"/>
  <c r="X639" i="6"/>
  <c r="X604" i="6"/>
  <c r="X884" i="6"/>
  <c r="X19" i="6"/>
  <c r="X714" i="6"/>
  <c r="X883" i="6"/>
  <c r="X659" i="6"/>
  <c r="X711" i="6"/>
  <c r="X45" i="6"/>
  <c r="X731" i="6"/>
  <c r="X929" i="6"/>
  <c r="X498" i="6"/>
  <c r="X675" i="6"/>
  <c r="X236" i="6"/>
  <c r="X34" i="6"/>
  <c r="X465" i="6"/>
  <c r="X378" i="6"/>
  <c r="X824" i="6"/>
  <c r="X708" i="6"/>
  <c r="X53" i="6"/>
  <c r="X389" i="6"/>
  <c r="X838" i="6"/>
  <c r="X954" i="6"/>
  <c r="X792" i="6"/>
  <c r="X456" i="6"/>
  <c r="X435" i="6"/>
  <c r="X866" i="6"/>
  <c r="X299" i="6"/>
  <c r="X554" i="6"/>
  <c r="X234" i="6"/>
  <c r="X281" i="6"/>
  <c r="X431" i="6"/>
  <c r="X697" i="6"/>
  <c r="X312" i="6"/>
  <c r="X404" i="6"/>
  <c r="X83" i="6"/>
  <c r="X602" i="6"/>
  <c r="X322" i="6"/>
  <c r="X219" i="6"/>
  <c r="X20" i="6"/>
  <c r="X741" i="6"/>
  <c r="X750" i="6"/>
  <c r="X540" i="6"/>
  <c r="X329" i="6"/>
  <c r="X897" i="6"/>
  <c r="X319" i="6"/>
  <c r="X789" i="6"/>
  <c r="X632" i="6"/>
  <c r="X695" i="6"/>
  <c r="X74" i="6"/>
  <c r="X877" i="6"/>
  <c r="X8" i="6"/>
  <c r="X759" i="6"/>
  <c r="X15" i="6"/>
  <c r="X248" i="6"/>
  <c r="X934" i="6"/>
  <c r="X692" i="6"/>
  <c r="X514" i="6"/>
  <c r="X1001" i="6"/>
  <c r="X414" i="6"/>
  <c r="X855" i="6"/>
  <c r="X297" i="6"/>
  <c r="X167" i="6"/>
  <c r="X984" i="6"/>
  <c r="X33" i="6"/>
  <c r="X29" i="6"/>
  <c r="X86" i="6"/>
  <c r="X255" i="6"/>
  <c r="X316" i="6"/>
  <c r="X608" i="6"/>
  <c r="X492" i="6"/>
  <c r="X192" i="6"/>
  <c r="X917" i="6"/>
  <c r="X221" i="6"/>
  <c r="X259" i="6"/>
  <c r="X440" i="6"/>
  <c r="X702" i="6"/>
  <c r="X509" i="6"/>
  <c r="X247" i="6"/>
  <c r="X354" i="6"/>
  <c r="X244" i="6"/>
  <c r="X605" i="6"/>
  <c r="X13" i="6"/>
  <c r="X387" i="6"/>
  <c r="X942" i="6"/>
  <c r="X276" i="6"/>
  <c r="X807" i="6"/>
  <c r="X684" i="6"/>
  <c r="X112" i="6"/>
  <c r="X591" i="6"/>
  <c r="X224" i="6"/>
  <c r="X568" i="6"/>
  <c r="X292" i="6"/>
  <c r="X128" i="6"/>
  <c r="X407" i="6"/>
  <c r="X564" i="6"/>
  <c r="X772" i="6"/>
  <c r="X37" i="6"/>
  <c r="X129" i="6"/>
  <c r="X361" i="6"/>
  <c r="X790" i="6"/>
  <c r="X902" i="6"/>
  <c r="X685" i="6"/>
  <c r="X631" i="6"/>
  <c r="X856" i="6"/>
  <c r="X715" i="6"/>
  <c r="X418" i="6"/>
  <c r="X181" i="6"/>
  <c r="X745" i="6"/>
  <c r="X992" i="6"/>
  <c r="X691" i="6"/>
  <c r="X42" i="6"/>
  <c r="X157" i="6"/>
  <c r="X392" i="6"/>
  <c r="X138" i="6"/>
  <c r="X766" i="6"/>
  <c r="X603" i="6"/>
  <c r="X788" i="6"/>
  <c r="X732" i="6"/>
  <c r="X362" i="6"/>
  <c r="X612" i="6"/>
  <c r="X517" i="6"/>
  <c r="X380" i="6"/>
  <c r="X207" i="6"/>
  <c r="X505" i="6"/>
  <c r="X98" i="6"/>
  <c r="X54" i="6"/>
  <c r="X143" i="6"/>
  <c r="X606" i="6"/>
  <c r="X87" i="6"/>
  <c r="X938" i="6"/>
  <c r="X780" i="6"/>
  <c r="X60" i="6"/>
  <c r="X678" i="6"/>
  <c r="X621" i="6"/>
  <c r="X227" i="6"/>
  <c r="X277" i="6"/>
  <c r="X113" i="6"/>
  <c r="X468" i="6"/>
  <c r="X177" i="6"/>
  <c r="X508" i="6"/>
  <c r="X200" i="6"/>
  <c r="X770" i="6"/>
  <c r="X25" i="6"/>
  <c r="X478" i="6"/>
  <c r="X381" i="6"/>
  <c r="X538" i="6"/>
  <c r="X951" i="6"/>
  <c r="X49" i="6"/>
  <c r="X57" i="6"/>
  <c r="X891" i="6"/>
  <c r="X598" i="6"/>
  <c r="X371" i="6"/>
  <c r="X184" i="6"/>
  <c r="X830" i="6"/>
  <c r="X302" i="6"/>
  <c r="X993" i="6"/>
  <c r="X724" i="6"/>
  <c r="X547" i="6"/>
  <c r="X411" i="6"/>
  <c r="X719" i="6"/>
  <c r="X422" i="6"/>
  <c r="X160" i="6"/>
  <c r="X886" i="6"/>
  <c r="X327" i="6"/>
  <c r="X953" i="6"/>
  <c r="X313" i="6"/>
  <c r="X447" i="6"/>
  <c r="X915" i="6"/>
  <c r="X994" i="6"/>
  <c r="X413" i="6"/>
  <c r="X416" i="6"/>
  <c r="X159" i="6"/>
  <c r="X679" i="6"/>
  <c r="X704" i="6"/>
  <c r="X925" i="6"/>
  <c r="X872" i="6"/>
  <c r="X188" i="6"/>
  <c r="X206" i="6"/>
  <c r="X869" i="6"/>
  <c r="X220" i="6"/>
  <c r="X846" i="6"/>
  <c r="X890" i="6"/>
  <c r="X893" i="6"/>
  <c r="X309" i="6"/>
  <c r="X484" i="6"/>
  <c r="X586" i="6"/>
  <c r="X119" i="6"/>
  <c r="X216" i="6"/>
  <c r="X282" i="6"/>
  <c r="X383" i="6"/>
  <c r="X895" i="6"/>
  <c r="X578" i="6"/>
  <c r="X93" i="6"/>
  <c r="X446" i="6"/>
  <c r="X338" i="6"/>
  <c r="X366" i="6"/>
  <c r="X619" i="6"/>
  <c r="X286" i="6"/>
  <c r="X6" i="6"/>
  <c r="X501" i="6"/>
  <c r="X643" i="6"/>
  <c r="X537" i="6"/>
  <c r="X135" i="6"/>
  <c r="X405" i="6"/>
  <c r="X384" i="6"/>
  <c r="X232" i="6"/>
  <c r="X303" i="6"/>
  <c r="X859" i="6"/>
  <c r="X372" i="6"/>
  <c r="X976" i="6"/>
  <c r="X645" i="6"/>
  <c r="X444" i="6"/>
  <c r="X46" i="6"/>
  <c r="X593" i="6"/>
  <c r="X475" i="6"/>
  <c r="X261" i="6"/>
  <c r="X239" i="6"/>
  <c r="X615" i="6"/>
  <c r="X487" i="6"/>
  <c r="X370" i="6"/>
  <c r="X916" i="6"/>
  <c r="X833" i="6"/>
  <c r="X295" i="6"/>
  <c r="X17" i="6"/>
  <c r="X243" i="6"/>
  <c r="X521" i="6"/>
  <c r="X231" i="6"/>
  <c r="X961" i="6"/>
  <c r="X793" i="6"/>
  <c r="X959" i="6"/>
  <c r="X926" i="6"/>
  <c r="X111" i="6"/>
  <c r="X274" i="6"/>
  <c r="X746" i="6"/>
  <c r="X674" i="6"/>
  <c r="X543" i="6"/>
  <c r="X272" i="6"/>
  <c r="X617" i="6"/>
  <c r="X585" i="6"/>
  <c r="X787" i="6"/>
  <c r="X343" i="6"/>
  <c r="X377" i="6"/>
  <c r="X273" i="6"/>
  <c r="X27" i="6"/>
  <c r="X176" i="6"/>
  <c r="X502" i="6"/>
  <c r="X822" i="6"/>
  <c r="X391" i="6"/>
  <c r="X531" i="6"/>
  <c r="X164" i="6"/>
  <c r="X77" i="6"/>
  <c r="X613" i="6"/>
  <c r="X950" i="6"/>
  <c r="X141" i="6"/>
  <c r="X202" i="6"/>
  <c r="X705" i="6"/>
  <c r="X493" i="6"/>
  <c r="X669" i="6"/>
  <c r="X947" i="6"/>
  <c r="X912" i="6"/>
  <c r="X767" i="6"/>
  <c r="X304" i="6"/>
  <c r="X718" i="6"/>
  <c r="X350" i="6"/>
  <c r="X105" i="6"/>
  <c r="X336" i="6"/>
  <c r="X154" i="6"/>
  <c r="X144" i="6"/>
  <c r="X26" i="6"/>
  <c r="X222" i="6"/>
  <c r="X306" i="6"/>
  <c r="X22" i="6"/>
  <c r="X9" i="6"/>
  <c r="X535" i="6"/>
  <c r="X296" i="6"/>
  <c r="X544" i="6"/>
  <c r="X952" i="6"/>
  <c r="X344" i="6"/>
  <c r="X700" i="6"/>
  <c r="X283" i="6"/>
  <c r="X987" i="6"/>
  <c r="X403" i="6"/>
  <c r="X189" i="6"/>
  <c r="X903" i="6"/>
  <c r="X573" i="6"/>
  <c r="X637" i="6"/>
  <c r="X661" i="6"/>
  <c r="X341" i="6"/>
  <c r="X854" i="6"/>
  <c r="X32" i="6"/>
  <c r="X740" i="6"/>
  <c r="X802" i="6"/>
  <c r="X813" i="6"/>
  <c r="X796" i="6"/>
  <c r="X510" i="6"/>
  <c r="X490" i="6"/>
  <c r="X523" i="6"/>
  <c r="X552" i="6"/>
  <c r="X116" i="6"/>
  <c r="X47" i="6"/>
  <c r="X981" i="6"/>
  <c r="X562" i="6"/>
  <c r="X710" i="6"/>
  <c r="X657" i="6"/>
  <c r="X794" i="6"/>
  <c r="X601" i="6"/>
  <c r="X253" i="6"/>
  <c r="X814" i="6"/>
  <c r="X279" i="6"/>
  <c r="X557" i="6"/>
  <c r="X293" i="6"/>
  <c r="X136" i="6"/>
  <c r="X64" i="6"/>
  <c r="X229" i="6"/>
  <c r="X804" i="6"/>
  <c r="X485" i="6"/>
  <c r="X205" i="6"/>
  <c r="X778" i="6"/>
  <c r="X821" i="6"/>
  <c r="X298" i="6"/>
  <c r="X681" i="6"/>
  <c r="X581" i="6"/>
  <c r="X115" i="6"/>
  <c r="X252" i="6"/>
  <c r="X956" i="6"/>
  <c r="X990" i="6"/>
  <c r="X827" i="6"/>
  <c r="X905" i="6"/>
  <c r="X183" i="6"/>
  <c r="X39" i="6"/>
  <c r="X808" i="6"/>
  <c r="X946" i="6"/>
  <c r="X690" i="6"/>
  <c r="X195" i="6"/>
  <c r="X943" i="6"/>
  <c r="X3" i="6"/>
  <c r="X832" i="6"/>
  <c r="X579" i="6"/>
  <c r="X720" i="6"/>
  <c r="X616" i="6"/>
  <c r="X520" i="6"/>
  <c r="X170" i="6"/>
  <c r="X569" i="6"/>
  <c r="X761" i="6"/>
  <c r="X269" i="6"/>
  <c r="X289" i="6"/>
  <c r="X242" i="6"/>
  <c r="X265" i="6"/>
  <c r="X70" i="6"/>
  <c r="X146" i="6"/>
  <c r="X36" i="6"/>
  <c r="X670" i="6"/>
  <c r="X396" i="6"/>
  <c r="X658" i="6"/>
  <c r="X461" i="6"/>
  <c r="X363" i="6"/>
  <c r="X635" i="6"/>
  <c r="X980" i="6"/>
  <c r="X546" i="6"/>
  <c r="X124" i="6"/>
  <c r="X470" i="6"/>
  <c r="X109" i="6"/>
  <c r="X932" i="6"/>
  <c r="X570" i="6"/>
  <c r="X641" i="6"/>
  <c r="X744" i="6"/>
  <c r="X95" i="6"/>
  <c r="X769" i="6"/>
  <c r="X829" i="6"/>
  <c r="X162" i="6"/>
  <c r="X346" i="6"/>
  <c r="X550" i="6"/>
  <c r="X753" i="6"/>
  <c r="X972" i="6"/>
  <c r="X797" i="6"/>
  <c r="X100" i="6"/>
  <c r="X477" i="6"/>
  <c r="X600" i="6"/>
  <c r="X914" i="6"/>
  <c r="X317" i="6"/>
  <c r="X152" i="6"/>
  <c r="X879" i="6"/>
  <c r="X147" i="6"/>
  <c r="X494" i="6"/>
  <c r="X782" i="6"/>
  <c r="X469" i="6"/>
  <c r="X594" i="6"/>
  <c r="X851" i="6"/>
  <c r="X596" i="6"/>
  <c r="X107" i="6"/>
  <c r="X445" i="6"/>
  <c r="X506" i="6"/>
  <c r="X874" i="6"/>
  <c r="X862" i="6"/>
  <c r="X749" i="6"/>
  <c r="X300" i="6"/>
  <c r="X880" i="6"/>
  <c r="X353" i="6"/>
  <c r="X963" i="6"/>
  <c r="X14" i="6"/>
  <c r="X92" i="6"/>
  <c r="X541" i="6"/>
  <c r="X556" i="6"/>
  <c r="X998" i="6"/>
  <c r="X907" i="6"/>
  <c r="X949" i="6"/>
  <c r="X806" i="6"/>
  <c r="X665" i="6"/>
  <c r="X169" i="6"/>
  <c r="X452" i="6"/>
  <c r="X172" i="6"/>
  <c r="X625" i="6"/>
  <c r="X5" i="6"/>
  <c r="X335" i="6"/>
  <c r="X709" i="6"/>
  <c r="X567" i="6"/>
  <c r="X332" i="6"/>
  <c r="X931" i="6"/>
  <c r="X526" i="6"/>
  <c r="X563" i="6"/>
  <c r="X630" i="6"/>
  <c r="X368" i="6"/>
  <c r="X148" i="6"/>
  <c r="X410" i="6"/>
  <c r="X355" i="6"/>
  <c r="X382" i="6"/>
  <c r="X512" i="6"/>
  <c r="X442" i="6"/>
  <c r="X867" i="6"/>
  <c r="X104" i="6"/>
  <c r="X38" i="6"/>
  <c r="X18" i="6"/>
  <c r="X330" i="6"/>
  <c r="X595" i="6"/>
  <c r="X342" i="6"/>
  <c r="X868" i="6"/>
  <c r="X402" i="6"/>
  <c r="X106" i="6"/>
  <c r="X472" i="6"/>
  <c r="X85" i="6"/>
  <c r="X636" i="6"/>
  <c r="X310" i="6"/>
  <c r="X748" i="6"/>
  <c r="X565" i="6"/>
  <c r="X964" i="6"/>
  <c r="X359" i="6"/>
  <c r="X287" i="6"/>
  <c r="X256" i="6"/>
  <c r="X805" i="6"/>
  <c r="X773" i="6"/>
  <c r="X995" i="6"/>
  <c r="X539" i="6"/>
  <c r="X166" i="6"/>
  <c r="X28" i="6"/>
  <c r="X873" i="6"/>
  <c r="X721" i="6"/>
  <c r="X701" i="6"/>
  <c r="X809" i="6"/>
  <c r="X875" i="6"/>
  <c r="X642" i="6"/>
  <c r="X78" i="6"/>
  <c r="X390" i="6"/>
  <c r="X522" i="6"/>
  <c r="X584" i="6"/>
  <c r="X817" i="6"/>
  <c r="X118" i="6"/>
  <c r="X785" i="6"/>
  <c r="X294" i="6"/>
  <c r="X127" i="6"/>
  <c r="X266" i="6"/>
  <c r="X441" i="6"/>
  <c r="X161" i="6"/>
  <c r="X4" i="6"/>
  <c r="X406" i="6"/>
  <c r="X553" i="6"/>
  <c r="X325" i="6"/>
  <c r="X145" i="6"/>
  <c r="X937" i="6"/>
  <c r="X340" i="6"/>
  <c r="X439" i="6"/>
  <c r="X723" i="6"/>
  <c r="X459" i="6"/>
  <c r="X927" i="6"/>
  <c r="X235" i="6"/>
  <c r="X730" i="6"/>
  <c r="X906" i="6"/>
  <c r="X738" i="6"/>
  <c r="X320" i="6"/>
  <c r="X743" i="6"/>
  <c r="X1000" i="6"/>
  <c r="X768" i="6"/>
  <c r="X301" i="6"/>
  <c r="X258" i="6"/>
  <c r="X865" i="6"/>
  <c r="X429" i="6"/>
  <c r="X527" i="6"/>
  <c r="X545" i="6"/>
  <c r="X847" i="6"/>
  <c r="X908" i="6"/>
  <c r="X810" i="6"/>
  <c r="X534" i="6"/>
  <c r="X836" i="6"/>
  <c r="X609" i="6"/>
  <c r="X31" i="6"/>
  <c r="X729" i="6"/>
  <c r="X777" i="6"/>
  <c r="X786" i="6"/>
  <c r="X533" i="6"/>
  <c r="X351" i="6"/>
  <c r="X80" i="6"/>
  <c r="X30" i="6"/>
  <c r="X999" i="6"/>
  <c r="X933" i="6"/>
  <c r="X43" i="6"/>
  <c r="X89" i="6"/>
  <c r="X734" i="6"/>
  <c r="X393" i="6"/>
  <c r="X597" i="6"/>
  <c r="X156" i="6"/>
  <c r="X331" i="6"/>
  <c r="X58" i="6"/>
  <c r="X835" i="6"/>
  <c r="X337" i="6"/>
  <c r="X424" i="6"/>
  <c r="X515" i="6"/>
  <c r="X455" i="6"/>
  <c r="X762" i="6"/>
  <c r="X408" i="6"/>
  <c r="X489" i="6"/>
  <c r="X607" i="6"/>
  <c r="X449" i="6"/>
  <c r="X134" i="6"/>
  <c r="X654" i="6"/>
  <c r="X203" i="6"/>
  <c r="X123" i="6"/>
  <c r="X791" i="6"/>
  <c r="X398" i="6"/>
  <c r="X747" i="6"/>
  <c r="X228" i="6"/>
  <c r="X68" i="6"/>
  <c r="X712" i="6"/>
  <c r="X760" i="6"/>
  <c r="X820" i="6"/>
  <c r="X857" i="6"/>
  <c r="X640" i="6"/>
  <c r="X589" i="6"/>
  <c r="X516" i="6"/>
  <c r="X201" i="6"/>
  <c r="X168" i="6"/>
  <c r="X132" i="6"/>
  <c r="X130" i="6"/>
  <c r="X409" i="6"/>
  <c r="X588" i="6"/>
  <c r="X840" i="6"/>
  <c r="X725" i="6"/>
  <c r="X401" i="6"/>
  <c r="X173" i="6"/>
  <c r="X624" i="6"/>
  <c r="X496" i="6"/>
  <c r="X551" i="6"/>
  <c r="X71" i="6"/>
  <c r="X559" i="6"/>
  <c r="X530" i="6"/>
  <c r="X885" i="6"/>
  <c r="X153" i="6"/>
  <c r="X676" i="6"/>
  <c r="X939" i="6"/>
  <c r="X918" i="6"/>
  <c r="X209" i="6"/>
  <c r="X211" i="6"/>
  <c r="X966" i="6"/>
  <c r="X12" i="6"/>
  <c r="X379" i="6"/>
  <c r="X899" i="6"/>
  <c r="X689" i="6"/>
  <c r="X61" i="6"/>
  <c r="X250" i="6"/>
  <c r="X930" i="6"/>
  <c r="X532" i="6"/>
  <c r="X618" i="6"/>
  <c r="X348" i="6"/>
  <c r="X174" i="6"/>
  <c r="X996" i="6"/>
  <c r="X215" i="6"/>
  <c r="X323" i="6"/>
  <c r="X576" i="6"/>
  <c r="X962" i="6"/>
  <c r="X121" i="6"/>
  <c r="X737" i="6"/>
  <c r="X240" i="6"/>
  <c r="X140" i="6"/>
  <c r="X420" i="6"/>
  <c r="X210" i="6"/>
  <c r="X375" i="6"/>
  <c r="X536" i="6"/>
  <c r="X460" i="6"/>
  <c r="X765" i="6"/>
  <c r="X849" i="6"/>
  <c r="X66" i="6"/>
  <c r="X815" i="6"/>
  <c r="X986" i="6"/>
  <c r="X739" i="6"/>
  <c r="X577" i="6"/>
  <c r="X114" i="6"/>
  <c r="X919" i="6"/>
  <c r="X888" i="6"/>
  <c r="X973" i="6"/>
  <c r="X923" i="6"/>
  <c r="X800" i="6"/>
  <c r="X682" i="6"/>
  <c r="X24" i="6"/>
  <c r="X683" i="6"/>
  <c r="X108" i="6"/>
  <c r="X623" i="6"/>
  <c r="X358" i="6"/>
  <c r="X655" i="6"/>
  <c r="X844" i="6"/>
  <c r="X82" i="6"/>
  <c r="X979" i="6"/>
  <c r="X280" i="6"/>
  <c r="X321" i="6"/>
  <c r="X826" i="6"/>
  <c r="X264" i="6"/>
  <c r="X928" i="6"/>
  <c r="X948" i="6"/>
  <c r="X133" i="6"/>
  <c r="X155" i="6"/>
  <c r="X454" i="6"/>
  <c r="X622" i="6"/>
  <c r="X816" i="6"/>
  <c r="X488" i="6"/>
  <c r="X717" i="6"/>
  <c r="X7" i="6"/>
  <c r="X561" i="6"/>
  <c r="X876" i="6"/>
  <c r="X196" i="6"/>
  <c r="X213" i="6"/>
  <c r="X582" i="6"/>
  <c r="X97" i="6"/>
  <c r="X491" i="6"/>
  <c r="X290" i="6"/>
  <c r="X314" i="6"/>
  <c r="X16" i="6"/>
  <c r="X81" i="6"/>
  <c r="X726" i="6"/>
  <c r="X182" i="6"/>
  <c r="X649" i="6"/>
  <c r="X51" i="6"/>
  <c r="X548" i="6"/>
  <c r="X448" i="6"/>
  <c r="X180" i="6"/>
  <c r="X662" i="6"/>
  <c r="X881" i="6"/>
  <c r="X462" i="6"/>
  <c r="X131" i="6"/>
  <c r="X373" i="6"/>
  <c r="X629" i="6"/>
  <c r="X781" i="6"/>
  <c r="X99" i="6"/>
  <c r="X333" i="6"/>
  <c r="X668" i="6"/>
  <c r="X267" i="6"/>
  <c r="X356" i="6"/>
  <c r="X101" i="6"/>
  <c r="X549" i="6"/>
  <c r="X638" i="6"/>
  <c r="X871" i="6"/>
  <c r="X412" i="6"/>
  <c r="X122" i="6"/>
  <c r="W801" i="6"/>
  <c r="W40" i="6"/>
  <c r="W349" i="6"/>
  <c r="W117" i="6"/>
  <c r="W65" i="6"/>
  <c r="W483" i="6"/>
  <c r="W326" i="6"/>
  <c r="W369" i="6"/>
  <c r="W208" i="6"/>
  <c r="W278" i="6"/>
  <c r="W776" i="6"/>
  <c r="W158" i="6"/>
  <c r="W55" i="6"/>
  <c r="W819" i="6"/>
  <c r="W839" i="6"/>
  <c r="W432" i="6"/>
  <c r="W742" i="6"/>
  <c r="W102" i="6"/>
  <c r="W941" i="6"/>
  <c r="W199" i="6"/>
  <c r="W171" i="6"/>
  <c r="W91" i="6"/>
  <c r="W774" i="6"/>
  <c r="W500" i="6"/>
  <c r="W971" i="6"/>
  <c r="W599" i="6"/>
  <c r="W421" i="6"/>
  <c r="W471" i="6"/>
  <c r="W694" i="6"/>
  <c r="W426" i="6"/>
  <c r="W399" i="6"/>
  <c r="W755" i="6"/>
  <c r="W651" i="6"/>
  <c r="W892" i="6"/>
  <c r="W73" i="6"/>
  <c r="W76" i="6"/>
  <c r="W575" i="6"/>
  <c r="W88" i="6"/>
  <c r="W590" i="6"/>
  <c r="W680" i="6"/>
  <c r="W474" i="6"/>
  <c r="W896" i="6"/>
  <c r="W218" i="6"/>
  <c r="W558" i="6"/>
  <c r="W572" i="6"/>
  <c r="W664" i="6"/>
  <c r="W666" i="6"/>
  <c r="W423" i="6"/>
  <c r="W525" i="6"/>
  <c r="W831" i="6"/>
  <c r="W784" i="6"/>
  <c r="W864" i="6"/>
  <c r="W388" i="6"/>
  <c r="W397" i="6"/>
  <c r="W84" i="6"/>
  <c r="W901" i="6"/>
  <c r="W870" i="6"/>
  <c r="W193" i="6"/>
  <c r="W175" i="6"/>
  <c r="W230" i="6"/>
  <c r="W360" i="6"/>
  <c r="W415" i="6"/>
  <c r="W365" i="6"/>
  <c r="W583" i="6"/>
  <c r="W238" i="6"/>
  <c r="W799" i="6"/>
  <c r="W425" i="6"/>
  <c r="W614" i="6"/>
  <c r="W72" i="6"/>
  <c r="W560" i="6"/>
  <c r="W920" i="6"/>
  <c r="W11" i="6"/>
  <c r="W233" i="6"/>
  <c r="W507" i="6"/>
  <c r="W59" i="6"/>
  <c r="W592" i="6"/>
  <c r="W965" i="6"/>
  <c r="W889" i="6"/>
  <c r="W858" i="6"/>
  <c r="W357" i="6"/>
  <c r="W151" i="6"/>
  <c r="W900" i="6"/>
  <c r="W23" i="6"/>
  <c r="W453" i="6"/>
  <c r="W975" i="6"/>
  <c r="W988" i="6"/>
  <c r="W779" i="6"/>
  <c r="W803" i="6"/>
  <c r="W878" i="6"/>
  <c r="W566" i="6"/>
  <c r="W249" i="6"/>
  <c r="W909" i="6"/>
  <c r="W198" i="6"/>
  <c r="W194" i="6"/>
  <c r="W848" i="6"/>
  <c r="W528" i="6"/>
  <c r="W241" i="6"/>
  <c r="W150" i="6"/>
  <c r="W486" i="6"/>
  <c r="W989" i="6"/>
  <c r="W647" i="6"/>
  <c r="W751" i="6"/>
  <c r="W305" i="6"/>
  <c r="W254" i="6"/>
  <c r="W978" i="6"/>
  <c r="W308" i="6"/>
  <c r="W285" i="6"/>
  <c r="W860" i="6"/>
  <c r="W628" i="6"/>
  <c r="W364" i="6"/>
  <c r="W958" i="6"/>
  <c r="W427" i="6"/>
  <c r="W56" i="6"/>
  <c r="W324" i="6"/>
  <c r="W693" i="6"/>
  <c r="W10" i="6"/>
  <c r="W843" i="6"/>
  <c r="W672" i="6"/>
  <c r="W983" i="6"/>
  <c r="W756" i="6"/>
  <c r="W367" i="6"/>
  <c r="W223" i="6"/>
  <c r="W345" i="6"/>
  <c r="W288" i="6"/>
  <c r="W728" i="6"/>
  <c r="W571" i="6"/>
  <c r="W21" i="6"/>
  <c r="W763" i="6"/>
  <c r="W190" i="6"/>
  <c r="W245" i="6"/>
  <c r="W587" i="6"/>
  <c r="W217" i="6"/>
  <c r="W812" i="6"/>
  <c r="W212" i="6"/>
  <c r="W463" i="6"/>
  <c r="W634" i="6"/>
  <c r="W627" i="6"/>
  <c r="W752" i="6"/>
  <c r="W433" i="6"/>
  <c r="W142" i="6"/>
  <c r="W673" i="6"/>
  <c r="W311" i="6"/>
  <c r="W63" i="6"/>
  <c r="W395" i="6"/>
  <c r="W315" i="6"/>
  <c r="W644" i="6"/>
  <c r="W754" i="6"/>
  <c r="W163" i="6"/>
  <c r="W913" i="6"/>
  <c r="W863" i="6"/>
  <c r="W476" i="6"/>
  <c r="W828" i="6"/>
  <c r="W977" i="6"/>
  <c r="W376" i="6"/>
  <c r="W764" i="6"/>
  <c r="W922" i="6"/>
  <c r="W735" i="6"/>
  <c r="W386" i="6"/>
  <c r="W935" i="6"/>
  <c r="W41" i="6"/>
  <c r="W197" i="6"/>
  <c r="W633" i="6"/>
  <c r="W179" i="6"/>
  <c r="W910" i="6"/>
  <c r="W458" i="6"/>
  <c r="W339" i="6"/>
  <c r="W284" i="6"/>
  <c r="W52" i="6"/>
  <c r="W574" i="6"/>
  <c r="W667" i="6"/>
  <c r="W997" i="6"/>
  <c r="W898" i="6"/>
  <c r="W519" i="6"/>
  <c r="W482" i="6"/>
  <c r="W137" i="6"/>
  <c r="W436" i="6"/>
  <c r="W648" i="6"/>
  <c r="W542" i="6"/>
  <c r="W214" i="6"/>
  <c r="W944" i="6"/>
  <c r="W736" i="6"/>
  <c r="W503" i="6"/>
  <c r="W798" i="6"/>
  <c r="W529" i="6"/>
  <c r="W620" i="6"/>
  <c r="W716" i="6"/>
  <c r="W417" i="6"/>
  <c r="W841" i="6"/>
  <c r="W646" i="6"/>
  <c r="W428" i="6"/>
  <c r="W653" i="6"/>
  <c r="W430" i="6"/>
  <c r="W652" i="6"/>
  <c r="W698" i="6"/>
  <c r="W671" i="6"/>
  <c r="W555" i="6"/>
  <c r="W511" i="6"/>
  <c r="W970" i="6"/>
  <c r="W186" i="6"/>
  <c r="W733" i="6"/>
  <c r="W263" i="6"/>
  <c r="W226" i="6"/>
  <c r="W811" i="6"/>
  <c r="W955" i="6"/>
  <c r="W696" i="6"/>
  <c r="W139" i="6"/>
  <c r="W438" i="6"/>
  <c r="W626" i="6"/>
  <c r="W783" i="6"/>
  <c r="W850" i="6"/>
  <c r="W524" i="6"/>
  <c r="W882" i="6"/>
  <c r="W270" i="6"/>
  <c r="W120" i="6"/>
  <c r="W275" i="6"/>
  <c r="W352" i="6"/>
  <c r="W466" i="6"/>
  <c r="W347" i="6"/>
  <c r="W960" i="6"/>
  <c r="W660" i="6"/>
  <c r="W473" i="6"/>
  <c r="W940" i="6"/>
  <c r="W434" i="6"/>
  <c r="W394" i="6"/>
  <c r="W936" i="6"/>
  <c r="W687" i="6"/>
  <c r="W518" i="6"/>
  <c r="W96" i="6"/>
  <c r="W48" i="6"/>
  <c r="W825" i="6"/>
  <c r="W757" i="6"/>
  <c r="W204" i="6"/>
  <c r="W385" i="6"/>
  <c r="W699" i="6"/>
  <c r="W945" i="6"/>
  <c r="W125" i="6"/>
  <c r="W911" i="6"/>
  <c r="W904" i="6"/>
  <c r="W328" i="6"/>
  <c r="W110" i="6"/>
  <c r="W257" i="6"/>
  <c r="W504" i="6"/>
  <c r="W957" i="6"/>
  <c r="W67" i="6"/>
  <c r="W713" i="6"/>
  <c r="W271" i="6"/>
  <c r="W610" i="6"/>
  <c r="W924" i="6"/>
  <c r="W823" i="6"/>
  <c r="W677" i="6"/>
  <c r="W991" i="6"/>
  <c r="W580" i="6"/>
  <c r="W126" i="6"/>
  <c r="W663" i="6"/>
  <c r="W722" i="6"/>
  <c r="W686" i="6"/>
  <c r="W834" i="6"/>
  <c r="W260" i="6"/>
  <c r="W318" i="6"/>
  <c r="W450" i="6"/>
  <c r="W497" i="6"/>
  <c r="W178" i="6"/>
  <c r="W457" i="6"/>
  <c r="W985" i="6"/>
  <c r="W845" i="6"/>
  <c r="W479" i="6"/>
  <c r="W688" i="6"/>
  <c r="W795" i="6"/>
  <c r="W90" i="6"/>
  <c r="W443" i="6"/>
  <c r="W246" i="6"/>
  <c r="W495" i="6"/>
  <c r="W921" i="6"/>
  <c r="W481" i="6"/>
  <c r="W291" i="6"/>
  <c r="W50" i="6"/>
  <c r="W225" i="6"/>
  <c r="W237" i="6"/>
  <c r="W187" i="6"/>
  <c r="W75" i="6"/>
  <c r="W480" i="6"/>
  <c r="W374" i="6"/>
  <c r="W818" i="6"/>
  <c r="W262" i="6"/>
  <c r="W982" i="6"/>
  <c r="W79" i="6"/>
  <c r="W94" i="6"/>
  <c r="W44" i="6"/>
  <c r="W191" i="6"/>
  <c r="W706" i="6"/>
  <c r="W334" i="6"/>
  <c r="W967" i="6"/>
  <c r="W969" i="6"/>
  <c r="W499" i="6"/>
  <c r="W707" i="6"/>
  <c r="W149" i="6"/>
  <c r="W307" i="6"/>
  <c r="W35" i="6"/>
  <c r="W656" i="6"/>
  <c r="W894" i="6"/>
  <c r="W69" i="6"/>
  <c r="W62" i="6"/>
  <c r="W451" i="6"/>
  <c r="W103" i="6"/>
  <c r="W400" i="6"/>
  <c r="W165" i="6"/>
  <c r="W974" i="6"/>
  <c r="W775" i="6"/>
  <c r="W251" i="6"/>
  <c r="W2" i="6"/>
  <c r="W771" i="6"/>
  <c r="W513" i="6"/>
  <c r="W887" i="6"/>
  <c r="W842" i="6"/>
  <c r="W703" i="6"/>
  <c r="W727" i="6"/>
  <c r="W464" i="6"/>
  <c r="W419" i="6"/>
  <c r="W467" i="6"/>
  <c r="W268" i="6"/>
  <c r="W853" i="6"/>
  <c r="W852" i="6"/>
  <c r="W758" i="6"/>
  <c r="W968" i="6"/>
  <c r="W650" i="6"/>
  <c r="W837" i="6"/>
  <c r="W185" i="6"/>
  <c r="W437" i="6"/>
  <c r="W611" i="6"/>
  <c r="W861" i="6"/>
  <c r="W639" i="6"/>
  <c r="W604" i="6"/>
  <c r="W884" i="6"/>
  <c r="W19" i="6"/>
  <c r="W714" i="6"/>
  <c r="W883" i="6"/>
  <c r="W659" i="6"/>
  <c r="W711" i="6"/>
  <c r="W45" i="6"/>
  <c r="W731" i="6"/>
  <c r="W929" i="6"/>
  <c r="W498" i="6"/>
  <c r="W675" i="6"/>
  <c r="W236" i="6"/>
  <c r="W34" i="6"/>
  <c r="W465" i="6"/>
  <c r="W378" i="6"/>
  <c r="W824" i="6"/>
  <c r="W708" i="6"/>
  <c r="W53" i="6"/>
  <c r="W389" i="6"/>
  <c r="W838" i="6"/>
  <c r="W954" i="6"/>
  <c r="W792" i="6"/>
  <c r="W456" i="6"/>
  <c r="W435" i="6"/>
  <c r="W866" i="6"/>
  <c r="W299" i="6"/>
  <c r="W554" i="6"/>
  <c r="W234" i="6"/>
  <c r="W281" i="6"/>
  <c r="W431" i="6"/>
  <c r="W697" i="6"/>
  <c r="W312" i="6"/>
  <c r="W404" i="6"/>
  <c r="W83" i="6"/>
  <c r="W602" i="6"/>
  <c r="W322" i="6"/>
  <c r="W219" i="6"/>
  <c r="W20" i="6"/>
  <c r="W741" i="6"/>
  <c r="W750" i="6"/>
  <c r="W540" i="6"/>
  <c r="W329" i="6"/>
  <c r="W897" i="6"/>
  <c r="W319" i="6"/>
  <c r="W789" i="6"/>
  <c r="W632" i="6"/>
  <c r="W695" i="6"/>
  <c r="W74" i="6"/>
  <c r="W877" i="6"/>
  <c r="W8" i="6"/>
  <c r="W759" i="6"/>
  <c r="W15" i="6"/>
  <c r="W248" i="6"/>
  <c r="W934" i="6"/>
  <c r="W692" i="6"/>
  <c r="W514" i="6"/>
  <c r="W1001" i="6"/>
  <c r="W414" i="6"/>
  <c r="W855" i="6"/>
  <c r="W297" i="6"/>
  <c r="W167" i="6"/>
  <c r="W984" i="6"/>
  <c r="W33" i="6"/>
  <c r="W29" i="6"/>
  <c r="W86" i="6"/>
  <c r="W255" i="6"/>
  <c r="W316" i="6"/>
  <c r="W608" i="6"/>
  <c r="W492" i="6"/>
  <c r="W192" i="6"/>
  <c r="W917" i="6"/>
  <c r="W221" i="6"/>
  <c r="W259" i="6"/>
  <c r="W440" i="6"/>
  <c r="W702" i="6"/>
  <c r="W509" i="6"/>
  <c r="W247" i="6"/>
  <c r="W354" i="6"/>
  <c r="W244" i="6"/>
  <c r="W605" i="6"/>
  <c r="W13" i="6"/>
  <c r="W387" i="6"/>
  <c r="W942" i="6"/>
  <c r="W276" i="6"/>
  <c r="W807" i="6"/>
  <c r="W684" i="6"/>
  <c r="W112" i="6"/>
  <c r="W591" i="6"/>
  <c r="W224" i="6"/>
  <c r="W568" i="6"/>
  <c r="W292" i="6"/>
  <c r="W128" i="6"/>
  <c r="W407" i="6"/>
  <c r="W564" i="6"/>
  <c r="W772" i="6"/>
  <c r="W37" i="6"/>
  <c r="W129" i="6"/>
  <c r="W361" i="6"/>
  <c r="W790" i="6"/>
  <c r="W902" i="6"/>
  <c r="W685" i="6"/>
  <c r="W631" i="6"/>
  <c r="W856" i="6"/>
  <c r="W715" i="6"/>
  <c r="W418" i="6"/>
  <c r="W181" i="6"/>
  <c r="W745" i="6"/>
  <c r="W992" i="6"/>
  <c r="W691" i="6"/>
  <c r="W42" i="6"/>
  <c r="W157" i="6"/>
  <c r="W392" i="6"/>
  <c r="W138" i="6"/>
  <c r="W766" i="6"/>
  <c r="W603" i="6"/>
  <c r="W788" i="6"/>
  <c r="W732" i="6"/>
  <c r="W362" i="6"/>
  <c r="W612" i="6"/>
  <c r="W517" i="6"/>
  <c r="W380" i="6"/>
  <c r="W207" i="6"/>
  <c r="W505" i="6"/>
  <c r="W98" i="6"/>
  <c r="W54" i="6"/>
  <c r="W143" i="6"/>
  <c r="W606" i="6"/>
  <c r="W87" i="6"/>
  <c r="W938" i="6"/>
  <c r="W780" i="6"/>
  <c r="W60" i="6"/>
  <c r="W678" i="6"/>
  <c r="W621" i="6"/>
  <c r="W227" i="6"/>
  <c r="W277" i="6"/>
  <c r="W113" i="6"/>
  <c r="W468" i="6"/>
  <c r="W177" i="6"/>
  <c r="W508" i="6"/>
  <c r="W200" i="6"/>
  <c r="W770" i="6"/>
  <c r="W25" i="6"/>
  <c r="W478" i="6"/>
  <c r="W381" i="6"/>
  <c r="W538" i="6"/>
  <c r="W951" i="6"/>
  <c r="W49" i="6"/>
  <c r="W57" i="6"/>
  <c r="W891" i="6"/>
  <c r="W598" i="6"/>
  <c r="W371" i="6"/>
  <c r="W184" i="6"/>
  <c r="W830" i="6"/>
  <c r="W302" i="6"/>
  <c r="W993" i="6"/>
  <c r="W724" i="6"/>
  <c r="W547" i="6"/>
  <c r="W411" i="6"/>
  <c r="W719" i="6"/>
  <c r="W422" i="6"/>
  <c r="W160" i="6"/>
  <c r="W886" i="6"/>
  <c r="W327" i="6"/>
  <c r="W953" i="6"/>
  <c r="W313" i="6"/>
  <c r="W447" i="6"/>
  <c r="W915" i="6"/>
  <c r="W994" i="6"/>
  <c r="W413" i="6"/>
  <c r="W416" i="6"/>
  <c r="W159" i="6"/>
  <c r="W679" i="6"/>
  <c r="W704" i="6"/>
  <c r="W925" i="6"/>
  <c r="W872" i="6"/>
  <c r="W188" i="6"/>
  <c r="W206" i="6"/>
  <c r="W869" i="6"/>
  <c r="W220" i="6"/>
  <c r="W846" i="6"/>
  <c r="W890" i="6"/>
  <c r="W893" i="6"/>
  <c r="W309" i="6"/>
  <c r="W484" i="6"/>
  <c r="W586" i="6"/>
  <c r="W119" i="6"/>
  <c r="W216" i="6"/>
  <c r="W282" i="6"/>
  <c r="W383" i="6"/>
  <c r="W895" i="6"/>
  <c r="W578" i="6"/>
  <c r="W93" i="6"/>
  <c r="W446" i="6"/>
  <c r="W338" i="6"/>
  <c r="W366" i="6"/>
  <c r="W619" i="6"/>
  <c r="W286" i="6"/>
  <c r="W6" i="6"/>
  <c r="W501" i="6"/>
  <c r="W643" i="6"/>
  <c r="W537" i="6"/>
  <c r="W135" i="6"/>
  <c r="W405" i="6"/>
  <c r="W384" i="6"/>
  <c r="W232" i="6"/>
  <c r="W303" i="6"/>
  <c r="W859" i="6"/>
  <c r="W372" i="6"/>
  <c r="W976" i="6"/>
  <c r="W645" i="6"/>
  <c r="W444" i="6"/>
  <c r="W46" i="6"/>
  <c r="W593" i="6"/>
  <c r="W475" i="6"/>
  <c r="W261" i="6"/>
  <c r="W239" i="6"/>
  <c r="W615" i="6"/>
  <c r="W487" i="6"/>
  <c r="W370" i="6"/>
  <c r="W916" i="6"/>
  <c r="W833" i="6"/>
  <c r="W295" i="6"/>
  <c r="W17" i="6"/>
  <c r="W243" i="6"/>
  <c r="W521" i="6"/>
  <c r="W231" i="6"/>
  <c r="W961" i="6"/>
  <c r="W793" i="6"/>
  <c r="W959" i="6"/>
  <c r="W926" i="6"/>
  <c r="W111" i="6"/>
  <c r="W274" i="6"/>
  <c r="W746" i="6"/>
  <c r="W674" i="6"/>
  <c r="W543" i="6"/>
  <c r="W272" i="6"/>
  <c r="W617" i="6"/>
  <c r="W585" i="6"/>
  <c r="W787" i="6"/>
  <c r="W343" i="6"/>
  <c r="W377" i="6"/>
  <c r="W273" i="6"/>
  <c r="W27" i="6"/>
  <c r="W176" i="6"/>
  <c r="W502" i="6"/>
  <c r="W822" i="6"/>
  <c r="W391" i="6"/>
  <c r="W531" i="6"/>
  <c r="W164" i="6"/>
  <c r="W77" i="6"/>
  <c r="W613" i="6"/>
  <c r="W950" i="6"/>
  <c r="W141" i="6"/>
  <c r="W202" i="6"/>
  <c r="W705" i="6"/>
  <c r="W493" i="6"/>
  <c r="W669" i="6"/>
  <c r="W947" i="6"/>
  <c r="W912" i="6"/>
  <c r="W767" i="6"/>
  <c r="W304" i="6"/>
  <c r="W718" i="6"/>
  <c r="W350" i="6"/>
  <c r="W105" i="6"/>
  <c r="W336" i="6"/>
  <c r="W154" i="6"/>
  <c r="W144" i="6"/>
  <c r="W26" i="6"/>
  <c r="W222" i="6"/>
  <c r="W306" i="6"/>
  <c r="W22" i="6"/>
  <c r="W9" i="6"/>
  <c r="W535" i="6"/>
  <c r="W296" i="6"/>
  <c r="W544" i="6"/>
  <c r="W952" i="6"/>
  <c r="W344" i="6"/>
  <c r="W700" i="6"/>
  <c r="W283" i="6"/>
  <c r="W987" i="6"/>
  <c r="W403" i="6"/>
  <c r="W189" i="6"/>
  <c r="W903" i="6"/>
  <c r="W573" i="6"/>
  <c r="W637" i="6"/>
  <c r="W661" i="6"/>
  <c r="W341" i="6"/>
  <c r="W854" i="6"/>
  <c r="W32" i="6"/>
  <c r="W740" i="6"/>
  <c r="W802" i="6"/>
  <c r="W813" i="6"/>
  <c r="W796" i="6"/>
  <c r="W510" i="6"/>
  <c r="W490" i="6"/>
  <c r="W523" i="6"/>
  <c r="W552" i="6"/>
  <c r="W116" i="6"/>
  <c r="W47" i="6"/>
  <c r="W981" i="6"/>
  <c r="W562" i="6"/>
  <c r="W710" i="6"/>
  <c r="W657" i="6"/>
  <c r="W794" i="6"/>
  <c r="W601" i="6"/>
  <c r="W253" i="6"/>
  <c r="W814" i="6"/>
  <c r="W279" i="6"/>
  <c r="W557" i="6"/>
  <c r="W293" i="6"/>
  <c r="W136" i="6"/>
  <c r="W64" i="6"/>
  <c r="W229" i="6"/>
  <c r="W804" i="6"/>
  <c r="W485" i="6"/>
  <c r="W205" i="6"/>
  <c r="W778" i="6"/>
  <c r="W821" i="6"/>
  <c r="W298" i="6"/>
  <c r="W681" i="6"/>
  <c r="W581" i="6"/>
  <c r="W115" i="6"/>
  <c r="W252" i="6"/>
  <c r="W956" i="6"/>
  <c r="W990" i="6"/>
  <c r="W827" i="6"/>
  <c r="W905" i="6"/>
  <c r="W183" i="6"/>
  <c r="W39" i="6"/>
  <c r="W808" i="6"/>
  <c r="W946" i="6"/>
  <c r="W690" i="6"/>
  <c r="W195" i="6"/>
  <c r="W943" i="6"/>
  <c r="W3" i="6"/>
  <c r="W832" i="6"/>
  <c r="W579" i="6"/>
  <c r="W720" i="6"/>
  <c r="W616" i="6"/>
  <c r="W520" i="6"/>
  <c r="W170" i="6"/>
  <c r="W569" i="6"/>
  <c r="W761" i="6"/>
  <c r="W269" i="6"/>
  <c r="W289" i="6"/>
  <c r="W242" i="6"/>
  <c r="W265" i="6"/>
  <c r="W70" i="6"/>
  <c r="W146" i="6"/>
  <c r="W36" i="6"/>
  <c r="W670" i="6"/>
  <c r="W396" i="6"/>
  <c r="W658" i="6"/>
  <c r="W461" i="6"/>
  <c r="W363" i="6"/>
  <c r="W635" i="6"/>
  <c r="W980" i="6"/>
  <c r="W546" i="6"/>
  <c r="W124" i="6"/>
  <c r="W470" i="6"/>
  <c r="W109" i="6"/>
  <c r="W932" i="6"/>
  <c r="W570" i="6"/>
  <c r="W641" i="6"/>
  <c r="W744" i="6"/>
  <c r="W95" i="6"/>
  <c r="W769" i="6"/>
  <c r="W829" i="6"/>
  <c r="W162" i="6"/>
  <c r="W346" i="6"/>
  <c r="W550" i="6"/>
  <c r="W753" i="6"/>
  <c r="W972" i="6"/>
  <c r="W797" i="6"/>
  <c r="W100" i="6"/>
  <c r="W477" i="6"/>
  <c r="W600" i="6"/>
  <c r="W914" i="6"/>
  <c r="W317" i="6"/>
  <c r="W152" i="6"/>
  <c r="W879" i="6"/>
  <c r="W147" i="6"/>
  <c r="W494" i="6"/>
  <c r="W782" i="6"/>
  <c r="W469" i="6"/>
  <c r="W594" i="6"/>
  <c r="W851" i="6"/>
  <c r="W596" i="6"/>
  <c r="W107" i="6"/>
  <c r="W445" i="6"/>
  <c r="W506" i="6"/>
  <c r="W874" i="6"/>
  <c r="W862" i="6"/>
  <c r="W749" i="6"/>
  <c r="W300" i="6"/>
  <c r="W880" i="6"/>
  <c r="W353" i="6"/>
  <c r="W963" i="6"/>
  <c r="W14" i="6"/>
  <c r="W92" i="6"/>
  <c r="W541" i="6"/>
  <c r="W556" i="6"/>
  <c r="W998" i="6"/>
  <c r="W907" i="6"/>
  <c r="W949" i="6"/>
  <c r="W806" i="6"/>
  <c r="W665" i="6"/>
  <c r="W169" i="6"/>
  <c r="W452" i="6"/>
  <c r="W172" i="6"/>
  <c r="W625" i="6"/>
  <c r="W5" i="6"/>
  <c r="W335" i="6"/>
  <c r="W709" i="6"/>
  <c r="W567" i="6"/>
  <c r="W332" i="6"/>
  <c r="W931" i="6"/>
  <c r="W526" i="6"/>
  <c r="W563" i="6"/>
  <c r="W630" i="6"/>
  <c r="W368" i="6"/>
  <c r="W148" i="6"/>
  <c r="W410" i="6"/>
  <c r="W355" i="6"/>
  <c r="W382" i="6"/>
  <c r="W512" i="6"/>
  <c r="W442" i="6"/>
  <c r="W867" i="6"/>
  <c r="W104" i="6"/>
  <c r="W38" i="6"/>
  <c r="W18" i="6"/>
  <c r="W330" i="6"/>
  <c r="W595" i="6"/>
  <c r="W342" i="6"/>
  <c r="W868" i="6"/>
  <c r="W402" i="6"/>
  <c r="W106" i="6"/>
  <c r="W472" i="6"/>
  <c r="W85" i="6"/>
  <c r="W636" i="6"/>
  <c r="W310" i="6"/>
  <c r="W748" i="6"/>
  <c r="W565" i="6"/>
  <c r="W964" i="6"/>
  <c r="W359" i="6"/>
  <c r="W287" i="6"/>
  <c r="W256" i="6"/>
  <c r="W805" i="6"/>
  <c r="W773" i="6"/>
  <c r="W995" i="6"/>
  <c r="W539" i="6"/>
  <c r="W166" i="6"/>
  <c r="W28" i="6"/>
  <c r="W873" i="6"/>
  <c r="W721" i="6"/>
  <c r="W701" i="6"/>
  <c r="W809" i="6"/>
  <c r="W875" i="6"/>
  <c r="W642" i="6"/>
  <c r="W78" i="6"/>
  <c r="W390" i="6"/>
  <c r="W522" i="6"/>
  <c r="W584" i="6"/>
  <c r="W817" i="6"/>
  <c r="W118" i="6"/>
  <c r="W785" i="6"/>
  <c r="W294" i="6"/>
  <c r="W127" i="6"/>
  <c r="W266" i="6"/>
  <c r="W441" i="6"/>
  <c r="W161" i="6"/>
  <c r="W4" i="6"/>
  <c r="W406" i="6"/>
  <c r="W553" i="6"/>
  <c r="W325" i="6"/>
  <c r="W145" i="6"/>
  <c r="W937" i="6"/>
  <c r="W340" i="6"/>
  <c r="W439" i="6"/>
  <c r="W723" i="6"/>
  <c r="W459" i="6"/>
  <c r="W927" i="6"/>
  <c r="W235" i="6"/>
  <c r="W730" i="6"/>
  <c r="W906" i="6"/>
  <c r="W738" i="6"/>
  <c r="W320" i="6"/>
  <c r="W743" i="6"/>
  <c r="W1000" i="6"/>
  <c r="W768" i="6"/>
  <c r="W301" i="6"/>
  <c r="W258" i="6"/>
  <c r="W865" i="6"/>
  <c r="W429" i="6"/>
  <c r="W527" i="6"/>
  <c r="W545" i="6"/>
  <c r="W847" i="6"/>
  <c r="W908" i="6"/>
  <c r="W810" i="6"/>
  <c r="W534" i="6"/>
  <c r="W836" i="6"/>
  <c r="W609" i="6"/>
  <c r="W31" i="6"/>
  <c r="W729" i="6"/>
  <c r="W777" i="6"/>
  <c r="W786" i="6"/>
  <c r="W533" i="6"/>
  <c r="W351" i="6"/>
  <c r="W80" i="6"/>
  <c r="W30" i="6"/>
  <c r="W999" i="6"/>
  <c r="W933" i="6"/>
  <c r="W43" i="6"/>
  <c r="W89" i="6"/>
  <c r="W734" i="6"/>
  <c r="W393" i="6"/>
  <c r="W597" i="6"/>
  <c r="W156" i="6"/>
  <c r="W331" i="6"/>
  <c r="W58" i="6"/>
  <c r="W835" i="6"/>
  <c r="W337" i="6"/>
  <c r="W424" i="6"/>
  <c r="W515" i="6"/>
  <c r="W455" i="6"/>
  <c r="W762" i="6"/>
  <c r="W408" i="6"/>
  <c r="W489" i="6"/>
  <c r="W607" i="6"/>
  <c r="W449" i="6"/>
  <c r="W134" i="6"/>
  <c r="W654" i="6"/>
  <c r="W203" i="6"/>
  <c r="W123" i="6"/>
  <c r="W791" i="6"/>
  <c r="W398" i="6"/>
  <c r="W747" i="6"/>
  <c r="W228" i="6"/>
  <c r="W68" i="6"/>
  <c r="W712" i="6"/>
  <c r="W760" i="6"/>
  <c r="W820" i="6"/>
  <c r="W857" i="6"/>
  <c r="W640" i="6"/>
  <c r="W589" i="6"/>
  <c r="W516" i="6"/>
  <c r="W201" i="6"/>
  <c r="W168" i="6"/>
  <c r="W132" i="6"/>
  <c r="W130" i="6"/>
  <c r="W409" i="6"/>
  <c r="W588" i="6"/>
  <c r="W840" i="6"/>
  <c r="W725" i="6"/>
  <c r="W401" i="6"/>
  <c r="W173" i="6"/>
  <c r="W624" i="6"/>
  <c r="W496" i="6"/>
  <c r="W551" i="6"/>
  <c r="W71" i="6"/>
  <c r="W559" i="6"/>
  <c r="W530" i="6"/>
  <c r="W885" i="6"/>
  <c r="W153" i="6"/>
  <c r="W676" i="6"/>
  <c r="W939" i="6"/>
  <c r="W918" i="6"/>
  <c r="W209" i="6"/>
  <c r="W211" i="6"/>
  <c r="W966" i="6"/>
  <c r="W12" i="6"/>
  <c r="W379" i="6"/>
  <c r="W899" i="6"/>
  <c r="W689" i="6"/>
  <c r="W61" i="6"/>
  <c r="W250" i="6"/>
  <c r="W930" i="6"/>
  <c r="W532" i="6"/>
  <c r="W618" i="6"/>
  <c r="W348" i="6"/>
  <c r="W174" i="6"/>
  <c r="W996" i="6"/>
  <c r="W215" i="6"/>
  <c r="W323" i="6"/>
  <c r="W576" i="6"/>
  <c r="W962" i="6"/>
  <c r="W121" i="6"/>
  <c r="W737" i="6"/>
  <c r="W240" i="6"/>
  <c r="W140" i="6"/>
  <c r="W420" i="6"/>
  <c r="W210" i="6"/>
  <c r="W375" i="6"/>
  <c r="W536" i="6"/>
  <c r="W460" i="6"/>
  <c r="W765" i="6"/>
  <c r="W849" i="6"/>
  <c r="W66" i="6"/>
  <c r="W815" i="6"/>
  <c r="W986" i="6"/>
  <c r="W739" i="6"/>
  <c r="W577" i="6"/>
  <c r="W114" i="6"/>
  <c r="W919" i="6"/>
  <c r="W888" i="6"/>
  <c r="W973" i="6"/>
  <c r="W923" i="6"/>
  <c r="W800" i="6"/>
  <c r="W682" i="6"/>
  <c r="W24" i="6"/>
  <c r="W683" i="6"/>
  <c r="W108" i="6"/>
  <c r="W623" i="6"/>
  <c r="W358" i="6"/>
  <c r="W655" i="6"/>
  <c r="W844" i="6"/>
  <c r="W82" i="6"/>
  <c r="W979" i="6"/>
  <c r="W280" i="6"/>
  <c r="W321" i="6"/>
  <c r="W826" i="6"/>
  <c r="W264" i="6"/>
  <c r="W928" i="6"/>
  <c r="W948" i="6"/>
  <c r="W133" i="6"/>
  <c r="W155" i="6"/>
  <c r="W454" i="6"/>
  <c r="W622" i="6"/>
  <c r="W816" i="6"/>
  <c r="W488" i="6"/>
  <c r="W717" i="6"/>
  <c r="W7" i="6"/>
  <c r="W561" i="6"/>
  <c r="W876" i="6"/>
  <c r="W196" i="6"/>
  <c r="W213" i="6"/>
  <c r="W582" i="6"/>
  <c r="W97" i="6"/>
  <c r="W491" i="6"/>
  <c r="W290" i="6"/>
  <c r="W314" i="6"/>
  <c r="W16" i="6"/>
  <c r="W81" i="6"/>
  <c r="W726" i="6"/>
  <c r="W182" i="6"/>
  <c r="W649" i="6"/>
  <c r="W51" i="6"/>
  <c r="W548" i="6"/>
  <c r="W448" i="6"/>
  <c r="W180" i="6"/>
  <c r="W662" i="6"/>
  <c r="W881" i="6"/>
  <c r="W462" i="6"/>
  <c r="W131" i="6"/>
  <c r="W373" i="6"/>
  <c r="W629" i="6"/>
  <c r="W781" i="6"/>
  <c r="W99" i="6"/>
  <c r="W333" i="6"/>
  <c r="W668" i="6"/>
  <c r="W267" i="6"/>
  <c r="W356" i="6"/>
  <c r="W101" i="6"/>
  <c r="W549" i="6"/>
  <c r="W638" i="6"/>
  <c r="W871" i="6"/>
  <c r="W412" i="6"/>
  <c r="W122" i="6"/>
  <c r="V801" i="6"/>
  <c r="V40" i="6"/>
  <c r="V349" i="6"/>
  <c r="V117" i="6"/>
  <c r="V65" i="6"/>
  <c r="V483" i="6"/>
  <c r="V326" i="6"/>
  <c r="V369" i="6"/>
  <c r="V208" i="6"/>
  <c r="V278" i="6"/>
  <c r="V776" i="6"/>
  <c r="V158" i="6"/>
  <c r="V55" i="6"/>
  <c r="V819" i="6"/>
  <c r="V839" i="6"/>
  <c r="V432" i="6"/>
  <c r="V742" i="6"/>
  <c r="V102" i="6"/>
  <c r="V941" i="6"/>
  <c r="V199" i="6"/>
  <c r="V171" i="6"/>
  <c r="V91" i="6"/>
  <c r="V774" i="6"/>
  <c r="V500" i="6"/>
  <c r="V971" i="6"/>
  <c r="V599" i="6"/>
  <c r="V421" i="6"/>
  <c r="V471" i="6"/>
  <c r="V694" i="6"/>
  <c r="V426" i="6"/>
  <c r="V399" i="6"/>
  <c r="V755" i="6"/>
  <c r="V651" i="6"/>
  <c r="V892" i="6"/>
  <c r="V73" i="6"/>
  <c r="V76" i="6"/>
  <c r="V575" i="6"/>
  <c r="V88" i="6"/>
  <c r="V590" i="6"/>
  <c r="V680" i="6"/>
  <c r="V474" i="6"/>
  <c r="V896" i="6"/>
  <c r="V218" i="6"/>
  <c r="V558" i="6"/>
  <c r="V572" i="6"/>
  <c r="V664" i="6"/>
  <c r="V666" i="6"/>
  <c r="V423" i="6"/>
  <c r="V525" i="6"/>
  <c r="V831" i="6"/>
  <c r="V784" i="6"/>
  <c r="V864" i="6"/>
  <c r="V388" i="6"/>
  <c r="V397" i="6"/>
  <c r="V84" i="6"/>
  <c r="V901" i="6"/>
  <c r="V870" i="6"/>
  <c r="V193" i="6"/>
  <c r="V175" i="6"/>
  <c r="V230" i="6"/>
  <c r="V360" i="6"/>
  <c r="V415" i="6"/>
  <c r="V365" i="6"/>
  <c r="V583" i="6"/>
  <c r="V238" i="6"/>
  <c r="V799" i="6"/>
  <c r="V425" i="6"/>
  <c r="V614" i="6"/>
  <c r="V72" i="6"/>
  <c r="V560" i="6"/>
  <c r="V920" i="6"/>
  <c r="V11" i="6"/>
  <c r="V233" i="6"/>
  <c r="V507" i="6"/>
  <c r="V59" i="6"/>
  <c r="V592" i="6"/>
  <c r="V965" i="6"/>
  <c r="V889" i="6"/>
  <c r="V858" i="6"/>
  <c r="V357" i="6"/>
  <c r="V151" i="6"/>
  <c r="V900" i="6"/>
  <c r="V23" i="6"/>
  <c r="V453" i="6"/>
  <c r="V975" i="6"/>
  <c r="V988" i="6"/>
  <c r="V779" i="6"/>
  <c r="V803" i="6"/>
  <c r="V878" i="6"/>
  <c r="V566" i="6"/>
  <c r="V249" i="6"/>
  <c r="V909" i="6"/>
  <c r="V198" i="6"/>
  <c r="V194" i="6"/>
  <c r="V848" i="6"/>
  <c r="V528" i="6"/>
  <c r="V241" i="6"/>
  <c r="V150" i="6"/>
  <c r="V486" i="6"/>
  <c r="V989" i="6"/>
  <c r="V647" i="6"/>
  <c r="V751" i="6"/>
  <c r="V305" i="6"/>
  <c r="V254" i="6"/>
  <c r="V978" i="6"/>
  <c r="V308" i="6"/>
  <c r="V285" i="6"/>
  <c r="V860" i="6"/>
  <c r="V628" i="6"/>
  <c r="V364" i="6"/>
  <c r="V958" i="6"/>
  <c r="V427" i="6"/>
  <c r="V56" i="6"/>
  <c r="V324" i="6"/>
  <c r="V693" i="6"/>
  <c r="V10" i="6"/>
  <c r="V843" i="6"/>
  <c r="V672" i="6"/>
  <c r="V983" i="6"/>
  <c r="V756" i="6"/>
  <c r="V367" i="6"/>
  <c r="V223" i="6"/>
  <c r="V345" i="6"/>
  <c r="V288" i="6"/>
  <c r="V728" i="6"/>
  <c r="V571" i="6"/>
  <c r="V21" i="6"/>
  <c r="V763" i="6"/>
  <c r="V190" i="6"/>
  <c r="V245" i="6"/>
  <c r="V587" i="6"/>
  <c r="V217" i="6"/>
  <c r="V812" i="6"/>
  <c r="V212" i="6"/>
  <c r="V463" i="6"/>
  <c r="V634" i="6"/>
  <c r="V627" i="6"/>
  <c r="V752" i="6"/>
  <c r="V433" i="6"/>
  <c r="V142" i="6"/>
  <c r="V673" i="6"/>
  <c r="V311" i="6"/>
  <c r="V63" i="6"/>
  <c r="V395" i="6"/>
  <c r="V315" i="6"/>
  <c r="V644" i="6"/>
  <c r="V754" i="6"/>
  <c r="V163" i="6"/>
  <c r="V913" i="6"/>
  <c r="V863" i="6"/>
  <c r="V476" i="6"/>
  <c r="V828" i="6"/>
  <c r="V977" i="6"/>
  <c r="V376" i="6"/>
  <c r="V764" i="6"/>
  <c r="V922" i="6"/>
  <c r="V735" i="6"/>
  <c r="V386" i="6"/>
  <c r="V935" i="6"/>
  <c r="V41" i="6"/>
  <c r="V197" i="6"/>
  <c r="V633" i="6"/>
  <c r="V179" i="6"/>
  <c r="V910" i="6"/>
  <c r="V458" i="6"/>
  <c r="V339" i="6"/>
  <c r="V284" i="6"/>
  <c r="V52" i="6"/>
  <c r="V574" i="6"/>
  <c r="V667" i="6"/>
  <c r="V997" i="6"/>
  <c r="V898" i="6"/>
  <c r="V519" i="6"/>
  <c r="V482" i="6"/>
  <c r="V137" i="6"/>
  <c r="V436" i="6"/>
  <c r="V648" i="6"/>
  <c r="V542" i="6"/>
  <c r="V214" i="6"/>
  <c r="V944" i="6"/>
  <c r="V736" i="6"/>
  <c r="V503" i="6"/>
  <c r="V798" i="6"/>
  <c r="V529" i="6"/>
  <c r="V620" i="6"/>
  <c r="V716" i="6"/>
  <c r="V417" i="6"/>
  <c r="V841" i="6"/>
  <c r="V646" i="6"/>
  <c r="V428" i="6"/>
  <c r="V653" i="6"/>
  <c r="V430" i="6"/>
  <c r="V652" i="6"/>
  <c r="V698" i="6"/>
  <c r="V671" i="6"/>
  <c r="V555" i="6"/>
  <c r="V511" i="6"/>
  <c r="V970" i="6"/>
  <c r="V186" i="6"/>
  <c r="V733" i="6"/>
  <c r="V263" i="6"/>
  <c r="V226" i="6"/>
  <c r="V811" i="6"/>
  <c r="V955" i="6"/>
  <c r="V696" i="6"/>
  <c r="V139" i="6"/>
  <c r="V438" i="6"/>
  <c r="V626" i="6"/>
  <c r="V783" i="6"/>
  <c r="V850" i="6"/>
  <c r="V524" i="6"/>
  <c r="V882" i="6"/>
  <c r="V270" i="6"/>
  <c r="V120" i="6"/>
  <c r="V275" i="6"/>
  <c r="V352" i="6"/>
  <c r="V466" i="6"/>
  <c r="V347" i="6"/>
  <c r="V960" i="6"/>
  <c r="V660" i="6"/>
  <c r="V473" i="6"/>
  <c r="V940" i="6"/>
  <c r="V434" i="6"/>
  <c r="V394" i="6"/>
  <c r="V936" i="6"/>
  <c r="V687" i="6"/>
  <c r="V518" i="6"/>
  <c r="V96" i="6"/>
  <c r="V48" i="6"/>
  <c r="V825" i="6"/>
  <c r="V757" i="6"/>
  <c r="V204" i="6"/>
  <c r="V385" i="6"/>
  <c r="V699" i="6"/>
  <c r="V945" i="6"/>
  <c r="V125" i="6"/>
  <c r="V911" i="6"/>
  <c r="V904" i="6"/>
  <c r="V328" i="6"/>
  <c r="V110" i="6"/>
  <c r="V257" i="6"/>
  <c r="V504" i="6"/>
  <c r="V957" i="6"/>
  <c r="V67" i="6"/>
  <c r="V713" i="6"/>
  <c r="V271" i="6"/>
  <c r="V610" i="6"/>
  <c r="V924" i="6"/>
  <c r="V823" i="6"/>
  <c r="V677" i="6"/>
  <c r="V991" i="6"/>
  <c r="V580" i="6"/>
  <c r="V126" i="6"/>
  <c r="V663" i="6"/>
  <c r="V722" i="6"/>
  <c r="V686" i="6"/>
  <c r="V834" i="6"/>
  <c r="V260" i="6"/>
  <c r="V318" i="6"/>
  <c r="V450" i="6"/>
  <c r="V497" i="6"/>
  <c r="V178" i="6"/>
  <c r="V457" i="6"/>
  <c r="V985" i="6"/>
  <c r="V845" i="6"/>
  <c r="V479" i="6"/>
  <c r="V688" i="6"/>
  <c r="V795" i="6"/>
  <c r="V90" i="6"/>
  <c r="V443" i="6"/>
  <c r="V246" i="6"/>
  <c r="V495" i="6"/>
  <c r="V921" i="6"/>
  <c r="V481" i="6"/>
  <c r="V291" i="6"/>
  <c r="V50" i="6"/>
  <c r="V225" i="6"/>
  <c r="V237" i="6"/>
  <c r="V187" i="6"/>
  <c r="V75" i="6"/>
  <c r="V480" i="6"/>
  <c r="V374" i="6"/>
  <c r="V818" i="6"/>
  <c r="V262" i="6"/>
  <c r="V982" i="6"/>
  <c r="V79" i="6"/>
  <c r="V94" i="6"/>
  <c r="V44" i="6"/>
  <c r="V191" i="6"/>
  <c r="V706" i="6"/>
  <c r="V334" i="6"/>
  <c r="V967" i="6"/>
  <c r="V969" i="6"/>
  <c r="V499" i="6"/>
  <c r="V707" i="6"/>
  <c r="V149" i="6"/>
  <c r="V307" i="6"/>
  <c r="V35" i="6"/>
  <c r="V656" i="6"/>
  <c r="V894" i="6"/>
  <c r="V69" i="6"/>
  <c r="V62" i="6"/>
  <c r="V451" i="6"/>
  <c r="V103" i="6"/>
  <c r="V400" i="6"/>
  <c r="V165" i="6"/>
  <c r="V974" i="6"/>
  <c r="V775" i="6"/>
  <c r="V251" i="6"/>
  <c r="V2" i="6"/>
  <c r="V771" i="6"/>
  <c r="V513" i="6"/>
  <c r="V887" i="6"/>
  <c r="V842" i="6"/>
  <c r="V703" i="6"/>
  <c r="V727" i="6"/>
  <c r="V464" i="6"/>
  <c r="V419" i="6"/>
  <c r="V467" i="6"/>
  <c r="V268" i="6"/>
  <c r="V853" i="6"/>
  <c r="V852" i="6"/>
  <c r="V758" i="6"/>
  <c r="V968" i="6"/>
  <c r="V650" i="6"/>
  <c r="V837" i="6"/>
  <c r="V185" i="6"/>
  <c r="V437" i="6"/>
  <c r="V611" i="6"/>
  <c r="V861" i="6"/>
  <c r="V639" i="6"/>
  <c r="V604" i="6"/>
  <c r="V884" i="6"/>
  <c r="V19" i="6"/>
  <c r="V714" i="6"/>
  <c r="V883" i="6"/>
  <c r="V659" i="6"/>
  <c r="V711" i="6"/>
  <c r="V45" i="6"/>
  <c r="V731" i="6"/>
  <c r="V929" i="6"/>
  <c r="V498" i="6"/>
  <c r="V675" i="6"/>
  <c r="V236" i="6"/>
  <c r="V34" i="6"/>
  <c r="V465" i="6"/>
  <c r="V378" i="6"/>
  <c r="V824" i="6"/>
  <c r="V708" i="6"/>
  <c r="V53" i="6"/>
  <c r="V389" i="6"/>
  <c r="V838" i="6"/>
  <c r="V954" i="6"/>
  <c r="V792" i="6"/>
  <c r="V456" i="6"/>
  <c r="V435" i="6"/>
  <c r="V866" i="6"/>
  <c r="V299" i="6"/>
  <c r="V554" i="6"/>
  <c r="V234" i="6"/>
  <c r="V281" i="6"/>
  <c r="V431" i="6"/>
  <c r="V697" i="6"/>
  <c r="V312" i="6"/>
  <c r="V404" i="6"/>
  <c r="V83" i="6"/>
  <c r="V602" i="6"/>
  <c r="V322" i="6"/>
  <c r="V219" i="6"/>
  <c r="V20" i="6"/>
  <c r="V741" i="6"/>
  <c r="V750" i="6"/>
  <c r="V540" i="6"/>
  <c r="V329" i="6"/>
  <c r="V897" i="6"/>
  <c r="V319" i="6"/>
  <c r="V789" i="6"/>
  <c r="V632" i="6"/>
  <c r="V695" i="6"/>
  <c r="V74" i="6"/>
  <c r="V877" i="6"/>
  <c r="V8" i="6"/>
  <c r="V759" i="6"/>
  <c r="V15" i="6"/>
  <c r="V248" i="6"/>
  <c r="V934" i="6"/>
  <c r="V692" i="6"/>
  <c r="V514" i="6"/>
  <c r="V1001" i="6"/>
  <c r="V414" i="6"/>
  <c r="V855" i="6"/>
  <c r="V297" i="6"/>
  <c r="V167" i="6"/>
  <c r="V984" i="6"/>
  <c r="V33" i="6"/>
  <c r="V29" i="6"/>
  <c r="V86" i="6"/>
  <c r="V255" i="6"/>
  <c r="V316" i="6"/>
  <c r="V608" i="6"/>
  <c r="V492" i="6"/>
  <c r="V192" i="6"/>
  <c r="V917" i="6"/>
  <c r="V221" i="6"/>
  <c r="V259" i="6"/>
  <c r="V440" i="6"/>
  <c r="V702" i="6"/>
  <c r="V509" i="6"/>
  <c r="V247" i="6"/>
  <c r="V354" i="6"/>
  <c r="V244" i="6"/>
  <c r="V605" i="6"/>
  <c r="V13" i="6"/>
  <c r="V387" i="6"/>
  <c r="V942" i="6"/>
  <c r="V276" i="6"/>
  <c r="V807" i="6"/>
  <c r="V684" i="6"/>
  <c r="V112" i="6"/>
  <c r="V591" i="6"/>
  <c r="V224" i="6"/>
  <c r="V568" i="6"/>
  <c r="V292" i="6"/>
  <c r="V128" i="6"/>
  <c r="V407" i="6"/>
  <c r="V564" i="6"/>
  <c r="V772" i="6"/>
  <c r="V37" i="6"/>
  <c r="V129" i="6"/>
  <c r="V361" i="6"/>
  <c r="V790" i="6"/>
  <c r="V902" i="6"/>
  <c r="V685" i="6"/>
  <c r="V631" i="6"/>
  <c r="V856" i="6"/>
  <c r="V715" i="6"/>
  <c r="V418" i="6"/>
  <c r="V181" i="6"/>
  <c r="V745" i="6"/>
  <c r="V992" i="6"/>
  <c r="V691" i="6"/>
  <c r="V42" i="6"/>
  <c r="V157" i="6"/>
  <c r="V392" i="6"/>
  <c r="V138" i="6"/>
  <c r="V766" i="6"/>
  <c r="V603" i="6"/>
  <c r="V788" i="6"/>
  <c r="V732" i="6"/>
  <c r="V362" i="6"/>
  <c r="V612" i="6"/>
  <c r="V517" i="6"/>
  <c r="V380" i="6"/>
  <c r="V207" i="6"/>
  <c r="V505" i="6"/>
  <c r="V98" i="6"/>
  <c r="V54" i="6"/>
  <c r="V143" i="6"/>
  <c r="V606" i="6"/>
  <c r="V87" i="6"/>
  <c r="V938" i="6"/>
  <c r="V780" i="6"/>
  <c r="V60" i="6"/>
  <c r="V678" i="6"/>
  <c r="V621" i="6"/>
  <c r="V227" i="6"/>
  <c r="V277" i="6"/>
  <c r="V113" i="6"/>
  <c r="V468" i="6"/>
  <c r="V177" i="6"/>
  <c r="V508" i="6"/>
  <c r="V200" i="6"/>
  <c r="V770" i="6"/>
  <c r="V25" i="6"/>
  <c r="V478" i="6"/>
  <c r="V381" i="6"/>
  <c r="V538" i="6"/>
  <c r="V951" i="6"/>
  <c r="V49" i="6"/>
  <c r="V57" i="6"/>
  <c r="V891" i="6"/>
  <c r="V598" i="6"/>
  <c r="V371" i="6"/>
  <c r="V184" i="6"/>
  <c r="V830" i="6"/>
  <c r="V302" i="6"/>
  <c r="V993" i="6"/>
  <c r="V724" i="6"/>
  <c r="V547" i="6"/>
  <c r="V411" i="6"/>
  <c r="V719" i="6"/>
  <c r="V422" i="6"/>
  <c r="V160" i="6"/>
  <c r="V886" i="6"/>
  <c r="V327" i="6"/>
  <c r="V953" i="6"/>
  <c r="V313" i="6"/>
  <c r="V447" i="6"/>
  <c r="V915" i="6"/>
  <c r="V994" i="6"/>
  <c r="V413" i="6"/>
  <c r="V416" i="6"/>
  <c r="V159" i="6"/>
  <c r="V679" i="6"/>
  <c r="V704" i="6"/>
  <c r="V925" i="6"/>
  <c r="V872" i="6"/>
  <c r="V188" i="6"/>
  <c r="V206" i="6"/>
  <c r="V869" i="6"/>
  <c r="V220" i="6"/>
  <c r="V846" i="6"/>
  <c r="V890" i="6"/>
  <c r="V893" i="6"/>
  <c r="V309" i="6"/>
  <c r="V484" i="6"/>
  <c r="V586" i="6"/>
  <c r="V119" i="6"/>
  <c r="V216" i="6"/>
  <c r="V282" i="6"/>
  <c r="V383" i="6"/>
  <c r="V895" i="6"/>
  <c r="V578" i="6"/>
  <c r="V93" i="6"/>
  <c r="V446" i="6"/>
  <c r="V338" i="6"/>
  <c r="V366" i="6"/>
  <c r="V619" i="6"/>
  <c r="V286" i="6"/>
  <c r="V6" i="6"/>
  <c r="V501" i="6"/>
  <c r="V643" i="6"/>
  <c r="V537" i="6"/>
  <c r="V135" i="6"/>
  <c r="V405" i="6"/>
  <c r="V384" i="6"/>
  <c r="V232" i="6"/>
  <c r="V303" i="6"/>
  <c r="V859" i="6"/>
  <c r="V372" i="6"/>
  <c r="V976" i="6"/>
  <c r="V645" i="6"/>
  <c r="V444" i="6"/>
  <c r="V46" i="6"/>
  <c r="V593" i="6"/>
  <c r="V475" i="6"/>
  <c r="V261" i="6"/>
  <c r="V239" i="6"/>
  <c r="V615" i="6"/>
  <c r="V487" i="6"/>
  <c r="V370" i="6"/>
  <c r="V916" i="6"/>
  <c r="V833" i="6"/>
  <c r="V295" i="6"/>
  <c r="V17" i="6"/>
  <c r="V243" i="6"/>
  <c r="V521" i="6"/>
  <c r="V231" i="6"/>
  <c r="V961" i="6"/>
  <c r="V793" i="6"/>
  <c r="V959" i="6"/>
  <c r="V926" i="6"/>
  <c r="V111" i="6"/>
  <c r="V274" i="6"/>
  <c r="V746" i="6"/>
  <c r="V674" i="6"/>
  <c r="V543" i="6"/>
  <c r="V272" i="6"/>
  <c r="V617" i="6"/>
  <c r="V585" i="6"/>
  <c r="V787" i="6"/>
  <c r="V343" i="6"/>
  <c r="V377" i="6"/>
  <c r="V273" i="6"/>
  <c r="V27" i="6"/>
  <c r="V176" i="6"/>
  <c r="V502" i="6"/>
  <c r="V822" i="6"/>
  <c r="V391" i="6"/>
  <c r="V531" i="6"/>
  <c r="V164" i="6"/>
  <c r="V77" i="6"/>
  <c r="V613" i="6"/>
  <c r="V950" i="6"/>
  <c r="V141" i="6"/>
  <c r="V202" i="6"/>
  <c r="V705" i="6"/>
  <c r="V493" i="6"/>
  <c r="V669" i="6"/>
  <c r="V947" i="6"/>
  <c r="V912" i="6"/>
  <c r="V767" i="6"/>
  <c r="V304" i="6"/>
  <c r="V718" i="6"/>
  <c r="V350" i="6"/>
  <c r="V105" i="6"/>
  <c r="V336" i="6"/>
  <c r="V154" i="6"/>
  <c r="V144" i="6"/>
  <c r="V26" i="6"/>
  <c r="V222" i="6"/>
  <c r="V306" i="6"/>
  <c r="V22" i="6"/>
  <c r="V9" i="6"/>
  <c r="V535" i="6"/>
  <c r="V296" i="6"/>
  <c r="V544" i="6"/>
  <c r="V952" i="6"/>
  <c r="V344" i="6"/>
  <c r="V700" i="6"/>
  <c r="V283" i="6"/>
  <c r="V987" i="6"/>
  <c r="V403" i="6"/>
  <c r="V189" i="6"/>
  <c r="V903" i="6"/>
  <c r="V573" i="6"/>
  <c r="V637" i="6"/>
  <c r="V661" i="6"/>
  <c r="V341" i="6"/>
  <c r="V854" i="6"/>
  <c r="V32" i="6"/>
  <c r="V740" i="6"/>
  <c r="V802" i="6"/>
  <c r="V813" i="6"/>
  <c r="V796" i="6"/>
  <c r="V510" i="6"/>
  <c r="V490" i="6"/>
  <c r="V523" i="6"/>
  <c r="V552" i="6"/>
  <c r="V116" i="6"/>
  <c r="V47" i="6"/>
  <c r="V981" i="6"/>
  <c r="V562" i="6"/>
  <c r="V710" i="6"/>
  <c r="V657" i="6"/>
  <c r="V794" i="6"/>
  <c r="V601" i="6"/>
  <c r="V253" i="6"/>
  <c r="V814" i="6"/>
  <c r="V279" i="6"/>
  <c r="V557" i="6"/>
  <c r="V293" i="6"/>
  <c r="V136" i="6"/>
  <c r="V64" i="6"/>
  <c r="V229" i="6"/>
  <c r="V804" i="6"/>
  <c r="V485" i="6"/>
  <c r="V205" i="6"/>
  <c r="V778" i="6"/>
  <c r="V821" i="6"/>
  <c r="V298" i="6"/>
  <c r="V681" i="6"/>
  <c r="V581" i="6"/>
  <c r="V115" i="6"/>
  <c r="V252" i="6"/>
  <c r="V956" i="6"/>
  <c r="V990" i="6"/>
  <c r="V827" i="6"/>
  <c r="V905" i="6"/>
  <c r="V183" i="6"/>
  <c r="V39" i="6"/>
  <c r="V808" i="6"/>
  <c r="V946" i="6"/>
  <c r="V690" i="6"/>
  <c r="V195" i="6"/>
  <c r="V943" i="6"/>
  <c r="V3" i="6"/>
  <c r="V832" i="6"/>
  <c r="V579" i="6"/>
  <c r="V720" i="6"/>
  <c r="V616" i="6"/>
  <c r="V520" i="6"/>
  <c r="V170" i="6"/>
  <c r="V569" i="6"/>
  <c r="V761" i="6"/>
  <c r="V269" i="6"/>
  <c r="V289" i="6"/>
  <c r="V242" i="6"/>
  <c r="V265" i="6"/>
  <c r="V70" i="6"/>
  <c r="V146" i="6"/>
  <c r="V36" i="6"/>
  <c r="V670" i="6"/>
  <c r="V396" i="6"/>
  <c r="V658" i="6"/>
  <c r="V461" i="6"/>
  <c r="V363" i="6"/>
  <c r="V635" i="6"/>
  <c r="V980" i="6"/>
  <c r="V546" i="6"/>
  <c r="V124" i="6"/>
  <c r="V470" i="6"/>
  <c r="V109" i="6"/>
  <c r="V932" i="6"/>
  <c r="V570" i="6"/>
  <c r="V641" i="6"/>
  <c r="V744" i="6"/>
  <c r="V95" i="6"/>
  <c r="V769" i="6"/>
  <c r="V829" i="6"/>
  <c r="V162" i="6"/>
  <c r="V346" i="6"/>
  <c r="V550" i="6"/>
  <c r="V753" i="6"/>
  <c r="V972" i="6"/>
  <c r="V797" i="6"/>
  <c r="V100" i="6"/>
  <c r="V477" i="6"/>
  <c r="V600" i="6"/>
  <c r="V914" i="6"/>
  <c r="V317" i="6"/>
  <c r="V152" i="6"/>
  <c r="V879" i="6"/>
  <c r="V147" i="6"/>
  <c r="V494" i="6"/>
  <c r="V782" i="6"/>
  <c r="V469" i="6"/>
  <c r="V594" i="6"/>
  <c r="V851" i="6"/>
  <c r="V596" i="6"/>
  <c r="V107" i="6"/>
  <c r="V445" i="6"/>
  <c r="V506" i="6"/>
  <c r="V874" i="6"/>
  <c r="V862" i="6"/>
  <c r="V749" i="6"/>
  <c r="V300" i="6"/>
  <c r="V880" i="6"/>
  <c r="V353" i="6"/>
  <c r="V963" i="6"/>
  <c r="V14" i="6"/>
  <c r="V92" i="6"/>
  <c r="V541" i="6"/>
  <c r="V556" i="6"/>
  <c r="V998" i="6"/>
  <c r="V907" i="6"/>
  <c r="V949" i="6"/>
  <c r="V806" i="6"/>
  <c r="V665" i="6"/>
  <c r="V169" i="6"/>
  <c r="V452" i="6"/>
  <c r="V172" i="6"/>
  <c r="V625" i="6"/>
  <c r="V5" i="6"/>
  <c r="V335" i="6"/>
  <c r="V709" i="6"/>
  <c r="V567" i="6"/>
  <c r="V332" i="6"/>
  <c r="V931" i="6"/>
  <c r="V526" i="6"/>
  <c r="V563" i="6"/>
  <c r="V630" i="6"/>
  <c r="V368" i="6"/>
  <c r="V148" i="6"/>
  <c r="V410" i="6"/>
  <c r="V355" i="6"/>
  <c r="V382" i="6"/>
  <c r="V512" i="6"/>
  <c r="V442" i="6"/>
  <c r="V867" i="6"/>
  <c r="V104" i="6"/>
  <c r="V38" i="6"/>
  <c r="V18" i="6"/>
  <c r="V330" i="6"/>
  <c r="V595" i="6"/>
  <c r="V342" i="6"/>
  <c r="V868" i="6"/>
  <c r="V402" i="6"/>
  <c r="V106" i="6"/>
  <c r="V472" i="6"/>
  <c r="V85" i="6"/>
  <c r="V636" i="6"/>
  <c r="V310" i="6"/>
  <c r="V748" i="6"/>
  <c r="V565" i="6"/>
  <c r="V964" i="6"/>
  <c r="V359" i="6"/>
  <c r="V287" i="6"/>
  <c r="V256" i="6"/>
  <c r="V805" i="6"/>
  <c r="V773" i="6"/>
  <c r="V995" i="6"/>
  <c r="V539" i="6"/>
  <c r="V166" i="6"/>
  <c r="V28" i="6"/>
  <c r="V873" i="6"/>
  <c r="V721" i="6"/>
  <c r="V701" i="6"/>
  <c r="V809" i="6"/>
  <c r="V875" i="6"/>
  <c r="V642" i="6"/>
  <c r="V78" i="6"/>
  <c r="V390" i="6"/>
  <c r="V522" i="6"/>
  <c r="V584" i="6"/>
  <c r="V817" i="6"/>
  <c r="V118" i="6"/>
  <c r="V785" i="6"/>
  <c r="V294" i="6"/>
  <c r="V127" i="6"/>
  <c r="V266" i="6"/>
  <c r="V441" i="6"/>
  <c r="V161" i="6"/>
  <c r="V4" i="6"/>
  <c r="V406" i="6"/>
  <c r="V553" i="6"/>
  <c r="V325" i="6"/>
  <c r="V145" i="6"/>
  <c r="V937" i="6"/>
  <c r="V340" i="6"/>
  <c r="V439" i="6"/>
  <c r="V723" i="6"/>
  <c r="V459" i="6"/>
  <c r="V927" i="6"/>
  <c r="V235" i="6"/>
  <c r="V730" i="6"/>
  <c r="V906" i="6"/>
  <c r="V738" i="6"/>
  <c r="V320" i="6"/>
  <c r="V743" i="6"/>
  <c r="V1000" i="6"/>
  <c r="V768" i="6"/>
  <c r="V301" i="6"/>
  <c r="V258" i="6"/>
  <c r="V865" i="6"/>
  <c r="V429" i="6"/>
  <c r="V527" i="6"/>
  <c r="V545" i="6"/>
  <c r="V847" i="6"/>
  <c r="V908" i="6"/>
  <c r="V810" i="6"/>
  <c r="V534" i="6"/>
  <c r="V836" i="6"/>
  <c r="V609" i="6"/>
  <c r="V31" i="6"/>
  <c r="V729" i="6"/>
  <c r="V777" i="6"/>
  <c r="V786" i="6"/>
  <c r="V533" i="6"/>
  <c r="V351" i="6"/>
  <c r="V80" i="6"/>
  <c r="V30" i="6"/>
  <c r="V999" i="6"/>
  <c r="V933" i="6"/>
  <c r="V43" i="6"/>
  <c r="V89" i="6"/>
  <c r="V734" i="6"/>
  <c r="V393" i="6"/>
  <c r="V597" i="6"/>
  <c r="V156" i="6"/>
  <c r="V331" i="6"/>
  <c r="V58" i="6"/>
  <c r="V835" i="6"/>
  <c r="V337" i="6"/>
  <c r="V424" i="6"/>
  <c r="V515" i="6"/>
  <c r="V455" i="6"/>
  <c r="V762" i="6"/>
  <c r="V408" i="6"/>
  <c r="V489" i="6"/>
  <c r="V607" i="6"/>
  <c r="V449" i="6"/>
  <c r="V134" i="6"/>
  <c r="V654" i="6"/>
  <c r="V203" i="6"/>
  <c r="V123" i="6"/>
  <c r="V791" i="6"/>
  <c r="V398" i="6"/>
  <c r="V747" i="6"/>
  <c r="V228" i="6"/>
  <c r="V68" i="6"/>
  <c r="V712" i="6"/>
  <c r="V760" i="6"/>
  <c r="V820" i="6"/>
  <c r="V857" i="6"/>
  <c r="V640" i="6"/>
  <c r="V589" i="6"/>
  <c r="V516" i="6"/>
  <c r="V201" i="6"/>
  <c r="V168" i="6"/>
  <c r="V132" i="6"/>
  <c r="V130" i="6"/>
  <c r="V409" i="6"/>
  <c r="V588" i="6"/>
  <c r="V840" i="6"/>
  <c r="V725" i="6"/>
  <c r="V401" i="6"/>
  <c r="V173" i="6"/>
  <c r="V624" i="6"/>
  <c r="V496" i="6"/>
  <c r="V551" i="6"/>
  <c r="V71" i="6"/>
  <c r="V559" i="6"/>
  <c r="V530" i="6"/>
  <c r="V885" i="6"/>
  <c r="V153" i="6"/>
  <c r="V676" i="6"/>
  <c r="V939" i="6"/>
  <c r="V918" i="6"/>
  <c r="V209" i="6"/>
  <c r="V211" i="6"/>
  <c r="V966" i="6"/>
  <c r="V12" i="6"/>
  <c r="V379" i="6"/>
  <c r="V899" i="6"/>
  <c r="V689" i="6"/>
  <c r="V61" i="6"/>
  <c r="V250" i="6"/>
  <c r="V930" i="6"/>
  <c r="V532" i="6"/>
  <c r="V618" i="6"/>
  <c r="V348" i="6"/>
  <c r="V174" i="6"/>
  <c r="V996" i="6"/>
  <c r="V215" i="6"/>
  <c r="V323" i="6"/>
  <c r="V576" i="6"/>
  <c r="V962" i="6"/>
  <c r="V121" i="6"/>
  <c r="V737" i="6"/>
  <c r="V240" i="6"/>
  <c r="V140" i="6"/>
  <c r="V420" i="6"/>
  <c r="V210" i="6"/>
  <c r="V375" i="6"/>
  <c r="V536" i="6"/>
  <c r="V460" i="6"/>
  <c r="V765" i="6"/>
  <c r="V849" i="6"/>
  <c r="V66" i="6"/>
  <c r="V815" i="6"/>
  <c r="V986" i="6"/>
  <c r="V739" i="6"/>
  <c r="V577" i="6"/>
  <c r="V114" i="6"/>
  <c r="V919" i="6"/>
  <c r="V888" i="6"/>
  <c r="V973" i="6"/>
  <c r="V923" i="6"/>
  <c r="V800" i="6"/>
  <c r="V682" i="6"/>
  <c r="V24" i="6"/>
  <c r="V683" i="6"/>
  <c r="V108" i="6"/>
  <c r="V623" i="6"/>
  <c r="V358" i="6"/>
  <c r="V655" i="6"/>
  <c r="V844" i="6"/>
  <c r="V82" i="6"/>
  <c r="V979" i="6"/>
  <c r="V280" i="6"/>
  <c r="V321" i="6"/>
  <c r="V826" i="6"/>
  <c r="V264" i="6"/>
  <c r="V928" i="6"/>
  <c r="V948" i="6"/>
  <c r="V133" i="6"/>
  <c r="V155" i="6"/>
  <c r="V454" i="6"/>
  <c r="V622" i="6"/>
  <c r="V816" i="6"/>
  <c r="V488" i="6"/>
  <c r="V717" i="6"/>
  <c r="V7" i="6"/>
  <c r="V561" i="6"/>
  <c r="V876" i="6"/>
  <c r="V196" i="6"/>
  <c r="V213" i="6"/>
  <c r="V582" i="6"/>
  <c r="V97" i="6"/>
  <c r="V491" i="6"/>
  <c r="V290" i="6"/>
  <c r="V314" i="6"/>
  <c r="V16" i="6"/>
  <c r="V81" i="6"/>
  <c r="V726" i="6"/>
  <c r="V182" i="6"/>
  <c r="V649" i="6"/>
  <c r="V51" i="6"/>
  <c r="V548" i="6"/>
  <c r="V448" i="6"/>
  <c r="V180" i="6"/>
  <c r="V662" i="6"/>
  <c r="V881" i="6"/>
  <c r="V462" i="6"/>
  <c r="V131" i="6"/>
  <c r="V373" i="6"/>
  <c r="V629" i="6"/>
  <c r="V781" i="6"/>
  <c r="V99" i="6"/>
  <c r="V333" i="6"/>
  <c r="V668" i="6"/>
  <c r="V267" i="6"/>
  <c r="V356" i="6"/>
  <c r="V101" i="6"/>
  <c r="V549" i="6"/>
  <c r="V638" i="6"/>
  <c r="V871" i="6"/>
  <c r="V412" i="6"/>
  <c r="V122" i="6"/>
  <c r="U801" i="6"/>
  <c r="U40" i="6"/>
  <c r="U349" i="6"/>
  <c r="U117" i="6"/>
  <c r="U65" i="6"/>
  <c r="U483" i="6"/>
  <c r="U326" i="6"/>
  <c r="U369" i="6"/>
  <c r="U208" i="6"/>
  <c r="U278" i="6"/>
  <c r="U776" i="6"/>
  <c r="U158" i="6"/>
  <c r="U55" i="6"/>
  <c r="U819" i="6"/>
  <c r="U839" i="6"/>
  <c r="U432" i="6"/>
  <c r="U742" i="6"/>
  <c r="U102" i="6"/>
  <c r="U941" i="6"/>
  <c r="U199" i="6"/>
  <c r="U171" i="6"/>
  <c r="U91" i="6"/>
  <c r="U774" i="6"/>
  <c r="U500" i="6"/>
  <c r="U971" i="6"/>
  <c r="U599" i="6"/>
  <c r="U421" i="6"/>
  <c r="U471" i="6"/>
  <c r="U694" i="6"/>
  <c r="U426" i="6"/>
  <c r="U399" i="6"/>
  <c r="U755" i="6"/>
  <c r="U651" i="6"/>
  <c r="U892" i="6"/>
  <c r="U73" i="6"/>
  <c r="U76" i="6"/>
  <c r="U575" i="6"/>
  <c r="U88" i="6"/>
  <c r="U590" i="6"/>
  <c r="U680" i="6"/>
  <c r="U474" i="6"/>
  <c r="U896" i="6"/>
  <c r="U218" i="6"/>
  <c r="U558" i="6"/>
  <c r="U572" i="6"/>
  <c r="U664" i="6"/>
  <c r="U666" i="6"/>
  <c r="U423" i="6"/>
  <c r="U525" i="6"/>
  <c r="U831" i="6"/>
  <c r="U784" i="6"/>
  <c r="U864" i="6"/>
  <c r="U388" i="6"/>
  <c r="U397" i="6"/>
  <c r="U84" i="6"/>
  <c r="U901" i="6"/>
  <c r="U870" i="6"/>
  <c r="U193" i="6"/>
  <c r="U175" i="6"/>
  <c r="U230" i="6"/>
  <c r="U360" i="6"/>
  <c r="U415" i="6"/>
  <c r="U365" i="6"/>
  <c r="U583" i="6"/>
  <c r="U238" i="6"/>
  <c r="U799" i="6"/>
  <c r="U425" i="6"/>
  <c r="U614" i="6"/>
  <c r="U72" i="6"/>
  <c r="U560" i="6"/>
  <c r="U920" i="6"/>
  <c r="U11" i="6"/>
  <c r="U233" i="6"/>
  <c r="U507" i="6"/>
  <c r="U59" i="6"/>
  <c r="U592" i="6"/>
  <c r="U965" i="6"/>
  <c r="U889" i="6"/>
  <c r="U858" i="6"/>
  <c r="U357" i="6"/>
  <c r="U151" i="6"/>
  <c r="U900" i="6"/>
  <c r="U23" i="6"/>
  <c r="U453" i="6"/>
  <c r="U975" i="6"/>
  <c r="U988" i="6"/>
  <c r="U779" i="6"/>
  <c r="U803" i="6"/>
  <c r="U878" i="6"/>
  <c r="U566" i="6"/>
  <c r="U249" i="6"/>
  <c r="U909" i="6"/>
  <c r="U198" i="6"/>
  <c r="U194" i="6"/>
  <c r="U848" i="6"/>
  <c r="U528" i="6"/>
  <c r="U241" i="6"/>
  <c r="U150" i="6"/>
  <c r="U486" i="6"/>
  <c r="U989" i="6"/>
  <c r="U647" i="6"/>
  <c r="U751" i="6"/>
  <c r="U305" i="6"/>
  <c r="U254" i="6"/>
  <c r="U978" i="6"/>
  <c r="U308" i="6"/>
  <c r="U285" i="6"/>
  <c r="U860" i="6"/>
  <c r="U628" i="6"/>
  <c r="U364" i="6"/>
  <c r="U958" i="6"/>
  <c r="U427" i="6"/>
  <c r="U56" i="6"/>
  <c r="U324" i="6"/>
  <c r="U693" i="6"/>
  <c r="U10" i="6"/>
  <c r="U843" i="6"/>
  <c r="U672" i="6"/>
  <c r="U983" i="6"/>
  <c r="U756" i="6"/>
  <c r="U367" i="6"/>
  <c r="U223" i="6"/>
  <c r="U345" i="6"/>
  <c r="U288" i="6"/>
  <c r="U728" i="6"/>
  <c r="U571" i="6"/>
  <c r="U21" i="6"/>
  <c r="U763" i="6"/>
  <c r="U190" i="6"/>
  <c r="U245" i="6"/>
  <c r="U587" i="6"/>
  <c r="U217" i="6"/>
  <c r="U812" i="6"/>
  <c r="U212" i="6"/>
  <c r="U463" i="6"/>
  <c r="U634" i="6"/>
  <c r="U627" i="6"/>
  <c r="U752" i="6"/>
  <c r="U433" i="6"/>
  <c r="U142" i="6"/>
  <c r="U673" i="6"/>
  <c r="U311" i="6"/>
  <c r="U63" i="6"/>
  <c r="U395" i="6"/>
  <c r="U315" i="6"/>
  <c r="U644" i="6"/>
  <c r="U754" i="6"/>
  <c r="U163" i="6"/>
  <c r="U913" i="6"/>
  <c r="U863" i="6"/>
  <c r="U476" i="6"/>
  <c r="U828" i="6"/>
  <c r="U977" i="6"/>
  <c r="U376" i="6"/>
  <c r="U764" i="6"/>
  <c r="U922" i="6"/>
  <c r="U735" i="6"/>
  <c r="U386" i="6"/>
  <c r="U935" i="6"/>
  <c r="U41" i="6"/>
  <c r="U197" i="6"/>
  <c r="U633" i="6"/>
  <c r="U179" i="6"/>
  <c r="U910" i="6"/>
  <c r="U458" i="6"/>
  <c r="U339" i="6"/>
  <c r="U284" i="6"/>
  <c r="U52" i="6"/>
  <c r="U574" i="6"/>
  <c r="U667" i="6"/>
  <c r="U997" i="6"/>
  <c r="U898" i="6"/>
  <c r="U519" i="6"/>
  <c r="U482" i="6"/>
  <c r="U137" i="6"/>
  <c r="U436" i="6"/>
  <c r="U648" i="6"/>
  <c r="U542" i="6"/>
  <c r="U214" i="6"/>
  <c r="U944" i="6"/>
  <c r="U736" i="6"/>
  <c r="U503" i="6"/>
  <c r="U798" i="6"/>
  <c r="U529" i="6"/>
  <c r="U620" i="6"/>
  <c r="U716" i="6"/>
  <c r="U417" i="6"/>
  <c r="U841" i="6"/>
  <c r="U646" i="6"/>
  <c r="U428" i="6"/>
  <c r="U653" i="6"/>
  <c r="U430" i="6"/>
  <c r="U652" i="6"/>
  <c r="U698" i="6"/>
  <c r="U671" i="6"/>
  <c r="U555" i="6"/>
  <c r="U511" i="6"/>
  <c r="U970" i="6"/>
  <c r="U186" i="6"/>
  <c r="U733" i="6"/>
  <c r="U263" i="6"/>
  <c r="U226" i="6"/>
  <c r="U811" i="6"/>
  <c r="U955" i="6"/>
  <c r="U696" i="6"/>
  <c r="U139" i="6"/>
  <c r="U438" i="6"/>
  <c r="U626" i="6"/>
  <c r="U783" i="6"/>
  <c r="U850" i="6"/>
  <c r="U524" i="6"/>
  <c r="U882" i="6"/>
  <c r="U270" i="6"/>
  <c r="U120" i="6"/>
  <c r="U275" i="6"/>
  <c r="U352" i="6"/>
  <c r="U466" i="6"/>
  <c r="U347" i="6"/>
  <c r="U960" i="6"/>
  <c r="U660" i="6"/>
  <c r="U473" i="6"/>
  <c r="U940" i="6"/>
  <c r="U434" i="6"/>
  <c r="U394" i="6"/>
  <c r="U936" i="6"/>
  <c r="U687" i="6"/>
  <c r="U518" i="6"/>
  <c r="U96" i="6"/>
  <c r="U48" i="6"/>
  <c r="U825" i="6"/>
  <c r="U757" i="6"/>
  <c r="U204" i="6"/>
  <c r="U385" i="6"/>
  <c r="U699" i="6"/>
  <c r="U945" i="6"/>
  <c r="U125" i="6"/>
  <c r="U911" i="6"/>
  <c r="U904" i="6"/>
  <c r="U328" i="6"/>
  <c r="U110" i="6"/>
  <c r="U257" i="6"/>
  <c r="U504" i="6"/>
  <c r="U957" i="6"/>
  <c r="U67" i="6"/>
  <c r="U713" i="6"/>
  <c r="U271" i="6"/>
  <c r="U610" i="6"/>
  <c r="U924" i="6"/>
  <c r="U823" i="6"/>
  <c r="U677" i="6"/>
  <c r="U991" i="6"/>
  <c r="U580" i="6"/>
  <c r="U126" i="6"/>
  <c r="U663" i="6"/>
  <c r="U722" i="6"/>
  <c r="U686" i="6"/>
  <c r="U834" i="6"/>
  <c r="U260" i="6"/>
  <c r="U318" i="6"/>
  <c r="U450" i="6"/>
  <c r="U497" i="6"/>
  <c r="U178" i="6"/>
  <c r="U457" i="6"/>
  <c r="U985" i="6"/>
  <c r="U845" i="6"/>
  <c r="U479" i="6"/>
  <c r="U688" i="6"/>
  <c r="U795" i="6"/>
  <c r="U90" i="6"/>
  <c r="U443" i="6"/>
  <c r="U246" i="6"/>
  <c r="U495" i="6"/>
  <c r="U921" i="6"/>
  <c r="U481" i="6"/>
  <c r="U291" i="6"/>
  <c r="U50" i="6"/>
  <c r="U225" i="6"/>
  <c r="U237" i="6"/>
  <c r="U187" i="6"/>
  <c r="U75" i="6"/>
  <c r="U480" i="6"/>
  <c r="U374" i="6"/>
  <c r="U818" i="6"/>
  <c r="U262" i="6"/>
  <c r="U982" i="6"/>
  <c r="U79" i="6"/>
  <c r="U94" i="6"/>
  <c r="U44" i="6"/>
  <c r="U191" i="6"/>
  <c r="U706" i="6"/>
  <c r="U334" i="6"/>
  <c r="U967" i="6"/>
  <c r="U969" i="6"/>
  <c r="U499" i="6"/>
  <c r="U707" i="6"/>
  <c r="U149" i="6"/>
  <c r="U307" i="6"/>
  <c r="U35" i="6"/>
  <c r="U656" i="6"/>
  <c r="U894" i="6"/>
  <c r="U69" i="6"/>
  <c r="U62" i="6"/>
  <c r="U451" i="6"/>
  <c r="U103" i="6"/>
  <c r="U400" i="6"/>
  <c r="U165" i="6"/>
  <c r="U974" i="6"/>
  <c r="U775" i="6"/>
  <c r="U251" i="6"/>
  <c r="U2" i="6"/>
  <c r="U771" i="6"/>
  <c r="U513" i="6"/>
  <c r="U887" i="6"/>
  <c r="U842" i="6"/>
  <c r="U703" i="6"/>
  <c r="U727" i="6"/>
  <c r="U464" i="6"/>
  <c r="U419" i="6"/>
  <c r="U467" i="6"/>
  <c r="U268" i="6"/>
  <c r="U853" i="6"/>
  <c r="U852" i="6"/>
  <c r="U758" i="6"/>
  <c r="U968" i="6"/>
  <c r="U650" i="6"/>
  <c r="U837" i="6"/>
  <c r="U185" i="6"/>
  <c r="U437" i="6"/>
  <c r="U611" i="6"/>
  <c r="U861" i="6"/>
  <c r="U639" i="6"/>
  <c r="U604" i="6"/>
  <c r="U884" i="6"/>
  <c r="U19" i="6"/>
  <c r="U714" i="6"/>
  <c r="U883" i="6"/>
  <c r="U659" i="6"/>
  <c r="U711" i="6"/>
  <c r="U45" i="6"/>
  <c r="U731" i="6"/>
  <c r="U929" i="6"/>
  <c r="U498" i="6"/>
  <c r="U675" i="6"/>
  <c r="U236" i="6"/>
  <c r="U34" i="6"/>
  <c r="U465" i="6"/>
  <c r="U378" i="6"/>
  <c r="U824" i="6"/>
  <c r="U708" i="6"/>
  <c r="U53" i="6"/>
  <c r="U389" i="6"/>
  <c r="U838" i="6"/>
  <c r="U954" i="6"/>
  <c r="U792" i="6"/>
  <c r="U456" i="6"/>
  <c r="U435" i="6"/>
  <c r="U866" i="6"/>
  <c r="U299" i="6"/>
  <c r="U554" i="6"/>
  <c r="U234" i="6"/>
  <c r="U281" i="6"/>
  <c r="U431" i="6"/>
  <c r="U697" i="6"/>
  <c r="U312" i="6"/>
  <c r="U404" i="6"/>
  <c r="U83" i="6"/>
  <c r="U602" i="6"/>
  <c r="U322" i="6"/>
  <c r="U219" i="6"/>
  <c r="U20" i="6"/>
  <c r="U741" i="6"/>
  <c r="U750" i="6"/>
  <c r="U540" i="6"/>
  <c r="U329" i="6"/>
  <c r="U897" i="6"/>
  <c r="U319" i="6"/>
  <c r="U789" i="6"/>
  <c r="U632" i="6"/>
  <c r="U695" i="6"/>
  <c r="U74" i="6"/>
  <c r="U877" i="6"/>
  <c r="U8" i="6"/>
  <c r="U759" i="6"/>
  <c r="U15" i="6"/>
  <c r="U248" i="6"/>
  <c r="U934" i="6"/>
  <c r="U692" i="6"/>
  <c r="U514" i="6"/>
  <c r="U1001" i="6"/>
  <c r="U414" i="6"/>
  <c r="U855" i="6"/>
  <c r="U297" i="6"/>
  <c r="U167" i="6"/>
  <c r="U984" i="6"/>
  <c r="U33" i="6"/>
  <c r="U29" i="6"/>
  <c r="U86" i="6"/>
  <c r="U255" i="6"/>
  <c r="U316" i="6"/>
  <c r="U608" i="6"/>
  <c r="U492" i="6"/>
  <c r="U192" i="6"/>
  <c r="U917" i="6"/>
  <c r="U221" i="6"/>
  <c r="U259" i="6"/>
  <c r="U440" i="6"/>
  <c r="U702" i="6"/>
  <c r="U509" i="6"/>
  <c r="U247" i="6"/>
  <c r="U354" i="6"/>
  <c r="U244" i="6"/>
  <c r="U605" i="6"/>
  <c r="U13" i="6"/>
  <c r="U387" i="6"/>
  <c r="U942" i="6"/>
  <c r="U276" i="6"/>
  <c r="U807" i="6"/>
  <c r="U684" i="6"/>
  <c r="U112" i="6"/>
  <c r="U591" i="6"/>
  <c r="U224" i="6"/>
  <c r="U568" i="6"/>
  <c r="U292" i="6"/>
  <c r="U128" i="6"/>
  <c r="U407" i="6"/>
  <c r="U564" i="6"/>
  <c r="U772" i="6"/>
  <c r="U37" i="6"/>
  <c r="U129" i="6"/>
  <c r="U361" i="6"/>
  <c r="U790" i="6"/>
  <c r="U902" i="6"/>
  <c r="U685" i="6"/>
  <c r="U631" i="6"/>
  <c r="U856" i="6"/>
  <c r="U715" i="6"/>
  <c r="U418" i="6"/>
  <c r="U181" i="6"/>
  <c r="U745" i="6"/>
  <c r="U992" i="6"/>
  <c r="U691" i="6"/>
  <c r="U42" i="6"/>
  <c r="U157" i="6"/>
  <c r="U392" i="6"/>
  <c r="U138" i="6"/>
  <c r="U766" i="6"/>
  <c r="U603" i="6"/>
  <c r="U788" i="6"/>
  <c r="U732" i="6"/>
  <c r="U362" i="6"/>
  <c r="U612" i="6"/>
  <c r="U517" i="6"/>
  <c r="U380" i="6"/>
  <c r="U207" i="6"/>
  <c r="U505" i="6"/>
  <c r="U98" i="6"/>
  <c r="U54" i="6"/>
  <c r="U143" i="6"/>
  <c r="U606" i="6"/>
  <c r="U87" i="6"/>
  <c r="U938" i="6"/>
  <c r="U780" i="6"/>
  <c r="U60" i="6"/>
  <c r="U678" i="6"/>
  <c r="U621" i="6"/>
  <c r="U227" i="6"/>
  <c r="U277" i="6"/>
  <c r="U113" i="6"/>
  <c r="U468" i="6"/>
  <c r="U177" i="6"/>
  <c r="U508" i="6"/>
  <c r="U200" i="6"/>
  <c r="U770" i="6"/>
  <c r="U25" i="6"/>
  <c r="U478" i="6"/>
  <c r="U381" i="6"/>
  <c r="U538" i="6"/>
  <c r="U951" i="6"/>
  <c r="U49" i="6"/>
  <c r="U57" i="6"/>
  <c r="U891" i="6"/>
  <c r="U598" i="6"/>
  <c r="U371" i="6"/>
  <c r="U184" i="6"/>
  <c r="U830" i="6"/>
  <c r="U302" i="6"/>
  <c r="U993" i="6"/>
  <c r="U724" i="6"/>
  <c r="U547" i="6"/>
  <c r="U411" i="6"/>
  <c r="U719" i="6"/>
  <c r="U422" i="6"/>
  <c r="U160" i="6"/>
  <c r="U886" i="6"/>
  <c r="U327" i="6"/>
  <c r="U953" i="6"/>
  <c r="U313" i="6"/>
  <c r="U447" i="6"/>
  <c r="U915" i="6"/>
  <c r="U994" i="6"/>
  <c r="U413" i="6"/>
  <c r="U416" i="6"/>
  <c r="U159" i="6"/>
  <c r="U679" i="6"/>
  <c r="U704" i="6"/>
  <c r="U925" i="6"/>
  <c r="U872" i="6"/>
  <c r="U188" i="6"/>
  <c r="U206" i="6"/>
  <c r="U869" i="6"/>
  <c r="U220" i="6"/>
  <c r="U846" i="6"/>
  <c r="U890" i="6"/>
  <c r="U893" i="6"/>
  <c r="U309" i="6"/>
  <c r="U484" i="6"/>
  <c r="U586" i="6"/>
  <c r="U119" i="6"/>
  <c r="U216" i="6"/>
  <c r="U282" i="6"/>
  <c r="U383" i="6"/>
  <c r="U895" i="6"/>
  <c r="U578" i="6"/>
  <c r="U93" i="6"/>
  <c r="U446" i="6"/>
  <c r="U338" i="6"/>
  <c r="U366" i="6"/>
  <c r="U619" i="6"/>
  <c r="U286" i="6"/>
  <c r="U6" i="6"/>
  <c r="U501" i="6"/>
  <c r="U643" i="6"/>
  <c r="U537" i="6"/>
  <c r="U135" i="6"/>
  <c r="U405" i="6"/>
  <c r="U384" i="6"/>
  <c r="U232" i="6"/>
  <c r="U303" i="6"/>
  <c r="U859" i="6"/>
  <c r="U372" i="6"/>
  <c r="U976" i="6"/>
  <c r="U645" i="6"/>
  <c r="U444" i="6"/>
  <c r="U46" i="6"/>
  <c r="U593" i="6"/>
  <c r="U475" i="6"/>
  <c r="U261" i="6"/>
  <c r="U239" i="6"/>
  <c r="U615" i="6"/>
  <c r="U487" i="6"/>
  <c r="U370" i="6"/>
  <c r="U916" i="6"/>
  <c r="U833" i="6"/>
  <c r="U295" i="6"/>
  <c r="U17" i="6"/>
  <c r="U243" i="6"/>
  <c r="U521" i="6"/>
  <c r="U231" i="6"/>
  <c r="U961" i="6"/>
  <c r="U793" i="6"/>
  <c r="U959" i="6"/>
  <c r="U926" i="6"/>
  <c r="U111" i="6"/>
  <c r="U274" i="6"/>
  <c r="U746" i="6"/>
  <c r="U674" i="6"/>
  <c r="U543" i="6"/>
  <c r="U272" i="6"/>
  <c r="U617" i="6"/>
  <c r="U585" i="6"/>
  <c r="U787" i="6"/>
  <c r="U343" i="6"/>
  <c r="U377" i="6"/>
  <c r="U273" i="6"/>
  <c r="U27" i="6"/>
  <c r="U176" i="6"/>
  <c r="U502" i="6"/>
  <c r="U822" i="6"/>
  <c r="U391" i="6"/>
  <c r="U531" i="6"/>
  <c r="U164" i="6"/>
  <c r="U77" i="6"/>
  <c r="U613" i="6"/>
  <c r="U950" i="6"/>
  <c r="U141" i="6"/>
  <c r="U202" i="6"/>
  <c r="U705" i="6"/>
  <c r="U493" i="6"/>
  <c r="U669" i="6"/>
  <c r="U947" i="6"/>
  <c r="U912" i="6"/>
  <c r="U767" i="6"/>
  <c r="U304" i="6"/>
  <c r="U718" i="6"/>
  <c r="U350" i="6"/>
  <c r="U105" i="6"/>
  <c r="U336" i="6"/>
  <c r="U154" i="6"/>
  <c r="U144" i="6"/>
  <c r="U26" i="6"/>
  <c r="U222" i="6"/>
  <c r="U306" i="6"/>
  <c r="U22" i="6"/>
  <c r="U9" i="6"/>
  <c r="U535" i="6"/>
  <c r="U296" i="6"/>
  <c r="U544" i="6"/>
  <c r="U952" i="6"/>
  <c r="U344" i="6"/>
  <c r="U700" i="6"/>
  <c r="U283" i="6"/>
  <c r="U987" i="6"/>
  <c r="U403" i="6"/>
  <c r="U189" i="6"/>
  <c r="U903" i="6"/>
  <c r="U573" i="6"/>
  <c r="U637" i="6"/>
  <c r="U661" i="6"/>
  <c r="U341" i="6"/>
  <c r="U854" i="6"/>
  <c r="U32" i="6"/>
  <c r="U740" i="6"/>
  <c r="U802" i="6"/>
  <c r="U813" i="6"/>
  <c r="U796" i="6"/>
  <c r="U510" i="6"/>
  <c r="U490" i="6"/>
  <c r="U523" i="6"/>
  <c r="U552" i="6"/>
  <c r="U116" i="6"/>
  <c r="U47" i="6"/>
  <c r="U981" i="6"/>
  <c r="U562" i="6"/>
  <c r="U710" i="6"/>
  <c r="U657" i="6"/>
  <c r="U794" i="6"/>
  <c r="U601" i="6"/>
  <c r="U253" i="6"/>
  <c r="U814" i="6"/>
  <c r="U279" i="6"/>
  <c r="U557" i="6"/>
  <c r="U293" i="6"/>
  <c r="U136" i="6"/>
  <c r="U64" i="6"/>
  <c r="U229" i="6"/>
  <c r="U804" i="6"/>
  <c r="U485" i="6"/>
  <c r="U205" i="6"/>
  <c r="U778" i="6"/>
  <c r="U821" i="6"/>
  <c r="U298" i="6"/>
  <c r="U681" i="6"/>
  <c r="U581" i="6"/>
  <c r="U115" i="6"/>
  <c r="U252" i="6"/>
  <c r="U956" i="6"/>
  <c r="U990" i="6"/>
  <c r="U827" i="6"/>
  <c r="U905" i="6"/>
  <c r="U183" i="6"/>
  <c r="U39" i="6"/>
  <c r="U808" i="6"/>
  <c r="U946" i="6"/>
  <c r="U690" i="6"/>
  <c r="U195" i="6"/>
  <c r="U943" i="6"/>
  <c r="U3" i="6"/>
  <c r="U832" i="6"/>
  <c r="U579" i="6"/>
  <c r="U720" i="6"/>
  <c r="U616" i="6"/>
  <c r="U520" i="6"/>
  <c r="U170" i="6"/>
  <c r="U569" i="6"/>
  <c r="U761" i="6"/>
  <c r="U269" i="6"/>
  <c r="U289" i="6"/>
  <c r="U242" i="6"/>
  <c r="U265" i="6"/>
  <c r="U70" i="6"/>
  <c r="U146" i="6"/>
  <c r="U36" i="6"/>
  <c r="U670" i="6"/>
  <c r="U396" i="6"/>
  <c r="U658" i="6"/>
  <c r="U461" i="6"/>
  <c r="U363" i="6"/>
  <c r="U635" i="6"/>
  <c r="U980" i="6"/>
  <c r="U546" i="6"/>
  <c r="U124" i="6"/>
  <c r="U470" i="6"/>
  <c r="U109" i="6"/>
  <c r="U932" i="6"/>
  <c r="U570" i="6"/>
  <c r="U641" i="6"/>
  <c r="U744" i="6"/>
  <c r="U95" i="6"/>
  <c r="U769" i="6"/>
  <c r="U829" i="6"/>
  <c r="U162" i="6"/>
  <c r="U346" i="6"/>
  <c r="U550" i="6"/>
  <c r="U753" i="6"/>
  <c r="U972" i="6"/>
  <c r="U797" i="6"/>
  <c r="U100" i="6"/>
  <c r="U477" i="6"/>
  <c r="U600" i="6"/>
  <c r="U914" i="6"/>
  <c r="U317" i="6"/>
  <c r="U152" i="6"/>
  <c r="U879" i="6"/>
  <c r="U147" i="6"/>
  <c r="U494" i="6"/>
  <c r="U782" i="6"/>
  <c r="U469" i="6"/>
  <c r="U594" i="6"/>
  <c r="U851" i="6"/>
  <c r="U596" i="6"/>
  <c r="U107" i="6"/>
  <c r="U445" i="6"/>
  <c r="U506" i="6"/>
  <c r="U874" i="6"/>
  <c r="U862" i="6"/>
  <c r="U749" i="6"/>
  <c r="U300" i="6"/>
  <c r="U880" i="6"/>
  <c r="U353" i="6"/>
  <c r="U963" i="6"/>
  <c r="U14" i="6"/>
  <c r="U92" i="6"/>
  <c r="U541" i="6"/>
  <c r="U556" i="6"/>
  <c r="U998" i="6"/>
  <c r="U907" i="6"/>
  <c r="U949" i="6"/>
  <c r="U806" i="6"/>
  <c r="U665" i="6"/>
  <c r="U169" i="6"/>
  <c r="U452" i="6"/>
  <c r="U172" i="6"/>
  <c r="U625" i="6"/>
  <c r="U5" i="6"/>
  <c r="U335" i="6"/>
  <c r="U709" i="6"/>
  <c r="U567" i="6"/>
  <c r="U332" i="6"/>
  <c r="U931" i="6"/>
  <c r="U526" i="6"/>
  <c r="U563" i="6"/>
  <c r="U630" i="6"/>
  <c r="U368" i="6"/>
  <c r="U148" i="6"/>
  <c r="U410" i="6"/>
  <c r="U355" i="6"/>
  <c r="U382" i="6"/>
  <c r="U512" i="6"/>
  <c r="U442" i="6"/>
  <c r="U867" i="6"/>
  <c r="U104" i="6"/>
  <c r="U38" i="6"/>
  <c r="U18" i="6"/>
  <c r="U330" i="6"/>
  <c r="U595" i="6"/>
  <c r="U342" i="6"/>
  <c r="U868" i="6"/>
  <c r="U402" i="6"/>
  <c r="U106" i="6"/>
  <c r="U472" i="6"/>
  <c r="U85" i="6"/>
  <c r="U636" i="6"/>
  <c r="U310" i="6"/>
  <c r="U748" i="6"/>
  <c r="U565" i="6"/>
  <c r="U964" i="6"/>
  <c r="U359" i="6"/>
  <c r="U287" i="6"/>
  <c r="U256" i="6"/>
  <c r="U805" i="6"/>
  <c r="U773" i="6"/>
  <c r="U995" i="6"/>
  <c r="U539" i="6"/>
  <c r="U166" i="6"/>
  <c r="U28" i="6"/>
  <c r="U873" i="6"/>
  <c r="U721" i="6"/>
  <c r="U701" i="6"/>
  <c r="U809" i="6"/>
  <c r="U875" i="6"/>
  <c r="U642" i="6"/>
  <c r="U78" i="6"/>
  <c r="U390" i="6"/>
  <c r="U522" i="6"/>
  <c r="U584" i="6"/>
  <c r="U817" i="6"/>
  <c r="U118" i="6"/>
  <c r="U785" i="6"/>
  <c r="U294" i="6"/>
  <c r="U127" i="6"/>
  <c r="U266" i="6"/>
  <c r="U441" i="6"/>
  <c r="U161" i="6"/>
  <c r="U4" i="6"/>
  <c r="U406" i="6"/>
  <c r="U553" i="6"/>
  <c r="U325" i="6"/>
  <c r="U145" i="6"/>
  <c r="U937" i="6"/>
  <c r="U340" i="6"/>
  <c r="U439" i="6"/>
  <c r="U723" i="6"/>
  <c r="U459" i="6"/>
  <c r="U927" i="6"/>
  <c r="U235" i="6"/>
  <c r="U730" i="6"/>
  <c r="U906" i="6"/>
  <c r="U738" i="6"/>
  <c r="U320" i="6"/>
  <c r="U743" i="6"/>
  <c r="U1000" i="6"/>
  <c r="U768" i="6"/>
  <c r="U301" i="6"/>
  <c r="U258" i="6"/>
  <c r="U865" i="6"/>
  <c r="U429" i="6"/>
  <c r="U527" i="6"/>
  <c r="U545" i="6"/>
  <c r="U847" i="6"/>
  <c r="U908" i="6"/>
  <c r="U810" i="6"/>
  <c r="U534" i="6"/>
  <c r="U836" i="6"/>
  <c r="U609" i="6"/>
  <c r="U31" i="6"/>
  <c r="U729" i="6"/>
  <c r="U777" i="6"/>
  <c r="U786" i="6"/>
  <c r="U533" i="6"/>
  <c r="U351" i="6"/>
  <c r="U80" i="6"/>
  <c r="U30" i="6"/>
  <c r="U999" i="6"/>
  <c r="U933" i="6"/>
  <c r="U43" i="6"/>
  <c r="U89" i="6"/>
  <c r="U734" i="6"/>
  <c r="U393" i="6"/>
  <c r="U597" i="6"/>
  <c r="U156" i="6"/>
  <c r="U331" i="6"/>
  <c r="U58" i="6"/>
  <c r="U835" i="6"/>
  <c r="U337" i="6"/>
  <c r="U424" i="6"/>
  <c r="U515" i="6"/>
  <c r="U455" i="6"/>
  <c r="U762" i="6"/>
  <c r="U408" i="6"/>
  <c r="U489" i="6"/>
  <c r="U607" i="6"/>
  <c r="U449" i="6"/>
  <c r="U134" i="6"/>
  <c r="U654" i="6"/>
  <c r="U203" i="6"/>
  <c r="U123" i="6"/>
  <c r="U791" i="6"/>
  <c r="U398" i="6"/>
  <c r="U747" i="6"/>
  <c r="U228" i="6"/>
  <c r="U68" i="6"/>
  <c r="U712" i="6"/>
  <c r="U760" i="6"/>
  <c r="U820" i="6"/>
  <c r="U857" i="6"/>
  <c r="U640" i="6"/>
  <c r="U589" i="6"/>
  <c r="U516" i="6"/>
  <c r="U201" i="6"/>
  <c r="U168" i="6"/>
  <c r="U132" i="6"/>
  <c r="U130" i="6"/>
  <c r="U409" i="6"/>
  <c r="U588" i="6"/>
  <c r="U840" i="6"/>
  <c r="U725" i="6"/>
  <c r="U401" i="6"/>
  <c r="U173" i="6"/>
  <c r="U624" i="6"/>
  <c r="U496" i="6"/>
  <c r="U551" i="6"/>
  <c r="U71" i="6"/>
  <c r="U559" i="6"/>
  <c r="U530" i="6"/>
  <c r="U885" i="6"/>
  <c r="U153" i="6"/>
  <c r="U676" i="6"/>
  <c r="U939" i="6"/>
  <c r="U918" i="6"/>
  <c r="U209" i="6"/>
  <c r="U211" i="6"/>
  <c r="U966" i="6"/>
  <c r="U12" i="6"/>
  <c r="U379" i="6"/>
  <c r="U899" i="6"/>
  <c r="U689" i="6"/>
  <c r="U61" i="6"/>
  <c r="U250" i="6"/>
  <c r="U930" i="6"/>
  <c r="U532" i="6"/>
  <c r="U618" i="6"/>
  <c r="U348" i="6"/>
  <c r="U174" i="6"/>
  <c r="U996" i="6"/>
  <c r="U215" i="6"/>
  <c r="U323" i="6"/>
  <c r="U576" i="6"/>
  <c r="U962" i="6"/>
  <c r="U121" i="6"/>
  <c r="U737" i="6"/>
  <c r="U240" i="6"/>
  <c r="U140" i="6"/>
  <c r="U420" i="6"/>
  <c r="U210" i="6"/>
  <c r="U375" i="6"/>
  <c r="U536" i="6"/>
  <c r="U460" i="6"/>
  <c r="U765" i="6"/>
  <c r="U849" i="6"/>
  <c r="U66" i="6"/>
  <c r="U815" i="6"/>
  <c r="U986" i="6"/>
  <c r="U739" i="6"/>
  <c r="U577" i="6"/>
  <c r="U114" i="6"/>
  <c r="U919" i="6"/>
  <c r="U888" i="6"/>
  <c r="U973" i="6"/>
  <c r="U923" i="6"/>
  <c r="U800" i="6"/>
  <c r="U682" i="6"/>
  <c r="U24" i="6"/>
  <c r="U683" i="6"/>
  <c r="U108" i="6"/>
  <c r="U623" i="6"/>
  <c r="U358" i="6"/>
  <c r="U655" i="6"/>
  <c r="U844" i="6"/>
  <c r="U82" i="6"/>
  <c r="U979" i="6"/>
  <c r="U280" i="6"/>
  <c r="U321" i="6"/>
  <c r="U826" i="6"/>
  <c r="U264" i="6"/>
  <c r="U928" i="6"/>
  <c r="U948" i="6"/>
  <c r="U133" i="6"/>
  <c r="U155" i="6"/>
  <c r="U454" i="6"/>
  <c r="U622" i="6"/>
  <c r="U816" i="6"/>
  <c r="U488" i="6"/>
  <c r="U717" i="6"/>
  <c r="U7" i="6"/>
  <c r="U561" i="6"/>
  <c r="U876" i="6"/>
  <c r="U196" i="6"/>
  <c r="U213" i="6"/>
  <c r="U582" i="6"/>
  <c r="U97" i="6"/>
  <c r="U491" i="6"/>
  <c r="U290" i="6"/>
  <c r="U314" i="6"/>
  <c r="U16" i="6"/>
  <c r="U81" i="6"/>
  <c r="U726" i="6"/>
  <c r="U182" i="6"/>
  <c r="U649" i="6"/>
  <c r="U51" i="6"/>
  <c r="U548" i="6"/>
  <c r="U448" i="6"/>
  <c r="U180" i="6"/>
  <c r="U662" i="6"/>
  <c r="U881" i="6"/>
  <c r="U462" i="6"/>
  <c r="U131" i="6"/>
  <c r="U373" i="6"/>
  <c r="U629" i="6"/>
  <c r="U781" i="6"/>
  <c r="U99" i="6"/>
  <c r="U333" i="6"/>
  <c r="U668" i="6"/>
  <c r="U267" i="6"/>
  <c r="U356" i="6"/>
  <c r="U101" i="6"/>
  <c r="U549" i="6"/>
  <c r="U638" i="6"/>
  <c r="U871" i="6"/>
  <c r="U412" i="6"/>
  <c r="U122" i="6"/>
  <c r="T801" i="6"/>
  <c r="T40" i="6"/>
  <c r="T349" i="6"/>
  <c r="T117" i="6"/>
  <c r="T65" i="6"/>
  <c r="T483" i="6"/>
  <c r="T326" i="6"/>
  <c r="T369" i="6"/>
  <c r="T208" i="6"/>
  <c r="T278" i="6"/>
  <c r="T776" i="6"/>
  <c r="T158" i="6"/>
  <c r="T55" i="6"/>
  <c r="T819" i="6"/>
  <c r="T839" i="6"/>
  <c r="T432" i="6"/>
  <c r="T742" i="6"/>
  <c r="T102" i="6"/>
  <c r="T941" i="6"/>
  <c r="T199" i="6"/>
  <c r="T171" i="6"/>
  <c r="T91" i="6"/>
  <c r="T774" i="6"/>
  <c r="T500" i="6"/>
  <c r="T971" i="6"/>
  <c r="T599" i="6"/>
  <c r="T421" i="6"/>
  <c r="T471" i="6"/>
  <c r="T694" i="6"/>
  <c r="T426" i="6"/>
  <c r="T399" i="6"/>
  <c r="T755" i="6"/>
  <c r="T651" i="6"/>
  <c r="T892" i="6"/>
  <c r="T73" i="6"/>
  <c r="T76" i="6"/>
  <c r="T575" i="6"/>
  <c r="T88" i="6"/>
  <c r="T590" i="6"/>
  <c r="T680" i="6"/>
  <c r="T474" i="6"/>
  <c r="T896" i="6"/>
  <c r="T218" i="6"/>
  <c r="T558" i="6"/>
  <c r="T572" i="6"/>
  <c r="T664" i="6"/>
  <c r="T666" i="6"/>
  <c r="T423" i="6"/>
  <c r="T525" i="6"/>
  <c r="T831" i="6"/>
  <c r="T784" i="6"/>
  <c r="T864" i="6"/>
  <c r="T388" i="6"/>
  <c r="T397" i="6"/>
  <c r="T84" i="6"/>
  <c r="T901" i="6"/>
  <c r="T870" i="6"/>
  <c r="T193" i="6"/>
  <c r="T175" i="6"/>
  <c r="T230" i="6"/>
  <c r="T360" i="6"/>
  <c r="T415" i="6"/>
  <c r="T365" i="6"/>
  <c r="T583" i="6"/>
  <c r="T238" i="6"/>
  <c r="T799" i="6"/>
  <c r="T425" i="6"/>
  <c r="T614" i="6"/>
  <c r="T72" i="6"/>
  <c r="T560" i="6"/>
  <c r="T920" i="6"/>
  <c r="T11" i="6"/>
  <c r="T233" i="6"/>
  <c r="T507" i="6"/>
  <c r="T59" i="6"/>
  <c r="T592" i="6"/>
  <c r="T965" i="6"/>
  <c r="T889" i="6"/>
  <c r="T858" i="6"/>
  <c r="T357" i="6"/>
  <c r="T151" i="6"/>
  <c r="T900" i="6"/>
  <c r="T23" i="6"/>
  <c r="T453" i="6"/>
  <c r="T975" i="6"/>
  <c r="T988" i="6"/>
  <c r="T779" i="6"/>
  <c r="T803" i="6"/>
  <c r="T878" i="6"/>
  <c r="T566" i="6"/>
  <c r="T249" i="6"/>
  <c r="T909" i="6"/>
  <c r="T198" i="6"/>
  <c r="T194" i="6"/>
  <c r="T848" i="6"/>
  <c r="T528" i="6"/>
  <c r="T241" i="6"/>
  <c r="T150" i="6"/>
  <c r="T486" i="6"/>
  <c r="T989" i="6"/>
  <c r="T647" i="6"/>
  <c r="T751" i="6"/>
  <c r="T305" i="6"/>
  <c r="T254" i="6"/>
  <c r="T978" i="6"/>
  <c r="T308" i="6"/>
  <c r="T285" i="6"/>
  <c r="T860" i="6"/>
  <c r="T628" i="6"/>
  <c r="T364" i="6"/>
  <c r="T958" i="6"/>
  <c r="T427" i="6"/>
  <c r="T56" i="6"/>
  <c r="T324" i="6"/>
  <c r="T693" i="6"/>
  <c r="T10" i="6"/>
  <c r="T843" i="6"/>
  <c r="T672" i="6"/>
  <c r="T983" i="6"/>
  <c r="T756" i="6"/>
  <c r="T367" i="6"/>
  <c r="T223" i="6"/>
  <c r="T345" i="6"/>
  <c r="T288" i="6"/>
  <c r="T728" i="6"/>
  <c r="T571" i="6"/>
  <c r="T21" i="6"/>
  <c r="T763" i="6"/>
  <c r="T190" i="6"/>
  <c r="T245" i="6"/>
  <c r="T587" i="6"/>
  <c r="T217" i="6"/>
  <c r="T812" i="6"/>
  <c r="T212" i="6"/>
  <c r="T463" i="6"/>
  <c r="T634" i="6"/>
  <c r="T627" i="6"/>
  <c r="T752" i="6"/>
  <c r="T433" i="6"/>
  <c r="T142" i="6"/>
  <c r="T673" i="6"/>
  <c r="T311" i="6"/>
  <c r="T63" i="6"/>
  <c r="T395" i="6"/>
  <c r="T315" i="6"/>
  <c r="T644" i="6"/>
  <c r="T754" i="6"/>
  <c r="T163" i="6"/>
  <c r="T913" i="6"/>
  <c r="T863" i="6"/>
  <c r="T476" i="6"/>
  <c r="T828" i="6"/>
  <c r="T977" i="6"/>
  <c r="T376" i="6"/>
  <c r="T764" i="6"/>
  <c r="T922" i="6"/>
  <c r="T735" i="6"/>
  <c r="T386" i="6"/>
  <c r="T935" i="6"/>
  <c r="T41" i="6"/>
  <c r="T197" i="6"/>
  <c r="T633" i="6"/>
  <c r="T179" i="6"/>
  <c r="T910" i="6"/>
  <c r="T458" i="6"/>
  <c r="T339" i="6"/>
  <c r="T284" i="6"/>
  <c r="T52" i="6"/>
  <c r="T574" i="6"/>
  <c r="T667" i="6"/>
  <c r="T997" i="6"/>
  <c r="T898" i="6"/>
  <c r="T519" i="6"/>
  <c r="T482" i="6"/>
  <c r="T137" i="6"/>
  <c r="T436" i="6"/>
  <c r="T648" i="6"/>
  <c r="T542" i="6"/>
  <c r="T214" i="6"/>
  <c r="T944" i="6"/>
  <c r="T736" i="6"/>
  <c r="T503" i="6"/>
  <c r="T798" i="6"/>
  <c r="T529" i="6"/>
  <c r="T620" i="6"/>
  <c r="T716" i="6"/>
  <c r="T417" i="6"/>
  <c r="T841" i="6"/>
  <c r="T646" i="6"/>
  <c r="T428" i="6"/>
  <c r="T653" i="6"/>
  <c r="T430" i="6"/>
  <c r="T652" i="6"/>
  <c r="T698" i="6"/>
  <c r="T671" i="6"/>
  <c r="T555" i="6"/>
  <c r="T511" i="6"/>
  <c r="T970" i="6"/>
  <c r="T186" i="6"/>
  <c r="T733" i="6"/>
  <c r="T263" i="6"/>
  <c r="T226" i="6"/>
  <c r="T811" i="6"/>
  <c r="T955" i="6"/>
  <c r="T696" i="6"/>
  <c r="T139" i="6"/>
  <c r="T438" i="6"/>
  <c r="T626" i="6"/>
  <c r="T783" i="6"/>
  <c r="T850" i="6"/>
  <c r="T524" i="6"/>
  <c r="T882" i="6"/>
  <c r="T270" i="6"/>
  <c r="T120" i="6"/>
  <c r="T275" i="6"/>
  <c r="T352" i="6"/>
  <c r="T466" i="6"/>
  <c r="T347" i="6"/>
  <c r="T960" i="6"/>
  <c r="T660" i="6"/>
  <c r="T473" i="6"/>
  <c r="T940" i="6"/>
  <c r="T434" i="6"/>
  <c r="T394" i="6"/>
  <c r="T936" i="6"/>
  <c r="T687" i="6"/>
  <c r="T518" i="6"/>
  <c r="T96" i="6"/>
  <c r="T48" i="6"/>
  <c r="T825" i="6"/>
  <c r="T757" i="6"/>
  <c r="T204" i="6"/>
  <c r="T385" i="6"/>
  <c r="T699" i="6"/>
  <c r="T945" i="6"/>
  <c r="T125" i="6"/>
  <c r="T911" i="6"/>
  <c r="T904" i="6"/>
  <c r="T328" i="6"/>
  <c r="T110" i="6"/>
  <c r="T257" i="6"/>
  <c r="T504" i="6"/>
  <c r="T957" i="6"/>
  <c r="T67" i="6"/>
  <c r="T713" i="6"/>
  <c r="T271" i="6"/>
  <c r="T610" i="6"/>
  <c r="T924" i="6"/>
  <c r="T823" i="6"/>
  <c r="T677" i="6"/>
  <c r="T991" i="6"/>
  <c r="T580" i="6"/>
  <c r="T126" i="6"/>
  <c r="T663" i="6"/>
  <c r="T722" i="6"/>
  <c r="T686" i="6"/>
  <c r="T834" i="6"/>
  <c r="T260" i="6"/>
  <c r="T318" i="6"/>
  <c r="T450" i="6"/>
  <c r="T497" i="6"/>
  <c r="T178" i="6"/>
  <c r="T457" i="6"/>
  <c r="T985" i="6"/>
  <c r="T845" i="6"/>
  <c r="T479" i="6"/>
  <c r="T688" i="6"/>
  <c r="T795" i="6"/>
  <c r="T90" i="6"/>
  <c r="T443" i="6"/>
  <c r="T246" i="6"/>
  <c r="T495" i="6"/>
  <c r="T921" i="6"/>
  <c r="T481" i="6"/>
  <c r="T291" i="6"/>
  <c r="T50" i="6"/>
  <c r="T225" i="6"/>
  <c r="T237" i="6"/>
  <c r="T187" i="6"/>
  <c r="T75" i="6"/>
  <c r="T480" i="6"/>
  <c r="T374" i="6"/>
  <c r="T818" i="6"/>
  <c r="T262" i="6"/>
  <c r="T982" i="6"/>
  <c r="T79" i="6"/>
  <c r="T94" i="6"/>
  <c r="T44" i="6"/>
  <c r="T191" i="6"/>
  <c r="T706" i="6"/>
  <c r="T334" i="6"/>
  <c r="T967" i="6"/>
  <c r="T969" i="6"/>
  <c r="T499" i="6"/>
  <c r="T707" i="6"/>
  <c r="T149" i="6"/>
  <c r="T307" i="6"/>
  <c r="T35" i="6"/>
  <c r="T656" i="6"/>
  <c r="T894" i="6"/>
  <c r="T69" i="6"/>
  <c r="T62" i="6"/>
  <c r="T451" i="6"/>
  <c r="T103" i="6"/>
  <c r="T400" i="6"/>
  <c r="T165" i="6"/>
  <c r="T974" i="6"/>
  <c r="T775" i="6"/>
  <c r="T251" i="6"/>
  <c r="T2" i="6"/>
  <c r="T771" i="6"/>
  <c r="T513" i="6"/>
  <c r="T887" i="6"/>
  <c r="T842" i="6"/>
  <c r="T703" i="6"/>
  <c r="T727" i="6"/>
  <c r="T464" i="6"/>
  <c r="T419" i="6"/>
  <c r="T467" i="6"/>
  <c r="T268" i="6"/>
  <c r="T853" i="6"/>
  <c r="T852" i="6"/>
  <c r="T758" i="6"/>
  <c r="T968" i="6"/>
  <c r="T650" i="6"/>
  <c r="T837" i="6"/>
  <c r="T185" i="6"/>
  <c r="T437" i="6"/>
  <c r="T611" i="6"/>
  <c r="T861" i="6"/>
  <c r="T639" i="6"/>
  <c r="T604" i="6"/>
  <c r="T884" i="6"/>
  <c r="T19" i="6"/>
  <c r="T714" i="6"/>
  <c r="T883" i="6"/>
  <c r="T659" i="6"/>
  <c r="T711" i="6"/>
  <c r="T45" i="6"/>
  <c r="T731" i="6"/>
  <c r="T929" i="6"/>
  <c r="T498" i="6"/>
  <c r="T675" i="6"/>
  <c r="T236" i="6"/>
  <c r="T34" i="6"/>
  <c r="T465" i="6"/>
  <c r="T378" i="6"/>
  <c r="T824" i="6"/>
  <c r="T708" i="6"/>
  <c r="T53" i="6"/>
  <c r="T389" i="6"/>
  <c r="T838" i="6"/>
  <c r="T954" i="6"/>
  <c r="T792" i="6"/>
  <c r="T456" i="6"/>
  <c r="T435" i="6"/>
  <c r="T866" i="6"/>
  <c r="T299" i="6"/>
  <c r="T554" i="6"/>
  <c r="T234" i="6"/>
  <c r="T281" i="6"/>
  <c r="T431" i="6"/>
  <c r="T697" i="6"/>
  <c r="T312" i="6"/>
  <c r="T404" i="6"/>
  <c r="T83" i="6"/>
  <c r="T602" i="6"/>
  <c r="T322" i="6"/>
  <c r="T219" i="6"/>
  <c r="T20" i="6"/>
  <c r="T741" i="6"/>
  <c r="T750" i="6"/>
  <c r="T540" i="6"/>
  <c r="T329" i="6"/>
  <c r="T897" i="6"/>
  <c r="T319" i="6"/>
  <c r="T789" i="6"/>
  <c r="T632" i="6"/>
  <c r="T695" i="6"/>
  <c r="T74" i="6"/>
  <c r="T877" i="6"/>
  <c r="T8" i="6"/>
  <c r="T759" i="6"/>
  <c r="T15" i="6"/>
  <c r="T248" i="6"/>
  <c r="T934" i="6"/>
  <c r="T692" i="6"/>
  <c r="T514" i="6"/>
  <c r="T1001" i="6"/>
  <c r="T414" i="6"/>
  <c r="T855" i="6"/>
  <c r="T297" i="6"/>
  <c r="T167" i="6"/>
  <c r="T984" i="6"/>
  <c r="T33" i="6"/>
  <c r="T29" i="6"/>
  <c r="T86" i="6"/>
  <c r="T255" i="6"/>
  <c r="T316" i="6"/>
  <c r="T608" i="6"/>
  <c r="T492" i="6"/>
  <c r="T192" i="6"/>
  <c r="T917" i="6"/>
  <c r="T221" i="6"/>
  <c r="T259" i="6"/>
  <c r="T440" i="6"/>
  <c r="T702" i="6"/>
  <c r="T509" i="6"/>
  <c r="T247" i="6"/>
  <c r="T354" i="6"/>
  <c r="T244" i="6"/>
  <c r="T605" i="6"/>
  <c r="T13" i="6"/>
  <c r="T387" i="6"/>
  <c r="T942" i="6"/>
  <c r="T276" i="6"/>
  <c r="T807" i="6"/>
  <c r="T684" i="6"/>
  <c r="T112" i="6"/>
  <c r="T591" i="6"/>
  <c r="T224" i="6"/>
  <c r="T568" i="6"/>
  <c r="T292" i="6"/>
  <c r="T128" i="6"/>
  <c r="T407" i="6"/>
  <c r="T564" i="6"/>
  <c r="T772" i="6"/>
  <c r="T37" i="6"/>
  <c r="T129" i="6"/>
  <c r="T361" i="6"/>
  <c r="T790" i="6"/>
  <c r="T902" i="6"/>
  <c r="T685" i="6"/>
  <c r="T631" i="6"/>
  <c r="T856" i="6"/>
  <c r="T715" i="6"/>
  <c r="T418" i="6"/>
  <c r="T181" i="6"/>
  <c r="T745" i="6"/>
  <c r="T992" i="6"/>
  <c r="T691" i="6"/>
  <c r="T42" i="6"/>
  <c r="T157" i="6"/>
  <c r="T392" i="6"/>
  <c r="T138" i="6"/>
  <c r="T766" i="6"/>
  <c r="T603" i="6"/>
  <c r="T788" i="6"/>
  <c r="T732" i="6"/>
  <c r="T362" i="6"/>
  <c r="T612" i="6"/>
  <c r="T517" i="6"/>
  <c r="T380" i="6"/>
  <c r="T207" i="6"/>
  <c r="T505" i="6"/>
  <c r="T98" i="6"/>
  <c r="T54" i="6"/>
  <c r="T143" i="6"/>
  <c r="T606" i="6"/>
  <c r="T87" i="6"/>
  <c r="T938" i="6"/>
  <c r="T780" i="6"/>
  <c r="T60" i="6"/>
  <c r="T678" i="6"/>
  <c r="T621" i="6"/>
  <c r="T227" i="6"/>
  <c r="T277" i="6"/>
  <c r="T113" i="6"/>
  <c r="T468" i="6"/>
  <c r="T177" i="6"/>
  <c r="T508" i="6"/>
  <c r="T200" i="6"/>
  <c r="T770" i="6"/>
  <c r="T25" i="6"/>
  <c r="T478" i="6"/>
  <c r="T381" i="6"/>
  <c r="T538" i="6"/>
  <c r="T951" i="6"/>
  <c r="T49" i="6"/>
  <c r="T57" i="6"/>
  <c r="T891" i="6"/>
  <c r="T598" i="6"/>
  <c r="T371" i="6"/>
  <c r="T184" i="6"/>
  <c r="T830" i="6"/>
  <c r="T302" i="6"/>
  <c r="T993" i="6"/>
  <c r="T724" i="6"/>
  <c r="T547" i="6"/>
  <c r="T411" i="6"/>
  <c r="T719" i="6"/>
  <c r="T422" i="6"/>
  <c r="T160" i="6"/>
  <c r="T886" i="6"/>
  <c r="T327" i="6"/>
  <c r="T953" i="6"/>
  <c r="T313" i="6"/>
  <c r="T447" i="6"/>
  <c r="T915" i="6"/>
  <c r="T994" i="6"/>
  <c r="T413" i="6"/>
  <c r="T416" i="6"/>
  <c r="T159" i="6"/>
  <c r="T679" i="6"/>
  <c r="T704" i="6"/>
  <c r="T925" i="6"/>
  <c r="T872" i="6"/>
  <c r="T188" i="6"/>
  <c r="T206" i="6"/>
  <c r="T869" i="6"/>
  <c r="T220" i="6"/>
  <c r="T846" i="6"/>
  <c r="T890" i="6"/>
  <c r="T893" i="6"/>
  <c r="T309" i="6"/>
  <c r="T484" i="6"/>
  <c r="T586" i="6"/>
  <c r="T119" i="6"/>
  <c r="T216" i="6"/>
  <c r="T282" i="6"/>
  <c r="T383" i="6"/>
  <c r="T895" i="6"/>
  <c r="T578" i="6"/>
  <c r="T93" i="6"/>
  <c r="T446" i="6"/>
  <c r="T338" i="6"/>
  <c r="T366" i="6"/>
  <c r="T619" i="6"/>
  <c r="T286" i="6"/>
  <c r="T6" i="6"/>
  <c r="T501" i="6"/>
  <c r="T643" i="6"/>
  <c r="T537" i="6"/>
  <c r="T135" i="6"/>
  <c r="T405" i="6"/>
  <c r="T384" i="6"/>
  <c r="T232" i="6"/>
  <c r="T303" i="6"/>
  <c r="T859" i="6"/>
  <c r="T372" i="6"/>
  <c r="T976" i="6"/>
  <c r="T645" i="6"/>
  <c r="T444" i="6"/>
  <c r="T46" i="6"/>
  <c r="T593" i="6"/>
  <c r="T475" i="6"/>
  <c r="T261" i="6"/>
  <c r="T239" i="6"/>
  <c r="T615" i="6"/>
  <c r="T487" i="6"/>
  <c r="T370" i="6"/>
  <c r="T916" i="6"/>
  <c r="T833" i="6"/>
  <c r="T295" i="6"/>
  <c r="T17" i="6"/>
  <c r="T243" i="6"/>
  <c r="T521" i="6"/>
  <c r="T231" i="6"/>
  <c r="T961" i="6"/>
  <c r="T793" i="6"/>
  <c r="T959" i="6"/>
  <c r="T926" i="6"/>
  <c r="T111" i="6"/>
  <c r="T274" i="6"/>
  <c r="T746" i="6"/>
  <c r="T674" i="6"/>
  <c r="T543" i="6"/>
  <c r="T272" i="6"/>
  <c r="T617" i="6"/>
  <c r="T585" i="6"/>
  <c r="T787" i="6"/>
  <c r="T343" i="6"/>
  <c r="T377" i="6"/>
  <c r="T273" i="6"/>
  <c r="T27" i="6"/>
  <c r="T176" i="6"/>
  <c r="T502" i="6"/>
  <c r="T822" i="6"/>
  <c r="T391" i="6"/>
  <c r="T531" i="6"/>
  <c r="T164" i="6"/>
  <c r="T77" i="6"/>
  <c r="T613" i="6"/>
  <c r="T950" i="6"/>
  <c r="T141" i="6"/>
  <c r="T202" i="6"/>
  <c r="T705" i="6"/>
  <c r="T493" i="6"/>
  <c r="T669" i="6"/>
  <c r="T947" i="6"/>
  <c r="T912" i="6"/>
  <c r="T767" i="6"/>
  <c r="T304" i="6"/>
  <c r="T718" i="6"/>
  <c r="T350" i="6"/>
  <c r="T105" i="6"/>
  <c r="T336" i="6"/>
  <c r="T154" i="6"/>
  <c r="T144" i="6"/>
  <c r="T26" i="6"/>
  <c r="T222" i="6"/>
  <c r="T306" i="6"/>
  <c r="T22" i="6"/>
  <c r="T9" i="6"/>
  <c r="T535" i="6"/>
  <c r="T296" i="6"/>
  <c r="T544" i="6"/>
  <c r="T952" i="6"/>
  <c r="T344" i="6"/>
  <c r="T700" i="6"/>
  <c r="T283" i="6"/>
  <c r="T987" i="6"/>
  <c r="T403" i="6"/>
  <c r="T189" i="6"/>
  <c r="T903" i="6"/>
  <c r="T573" i="6"/>
  <c r="T637" i="6"/>
  <c r="T661" i="6"/>
  <c r="T341" i="6"/>
  <c r="T854" i="6"/>
  <c r="T32" i="6"/>
  <c r="T740" i="6"/>
  <c r="T802" i="6"/>
  <c r="T813" i="6"/>
  <c r="T796" i="6"/>
  <c r="T510" i="6"/>
  <c r="T490" i="6"/>
  <c r="T523" i="6"/>
  <c r="T552" i="6"/>
  <c r="T116" i="6"/>
  <c r="T47" i="6"/>
  <c r="T981" i="6"/>
  <c r="T562" i="6"/>
  <c r="T710" i="6"/>
  <c r="T657" i="6"/>
  <c r="T794" i="6"/>
  <c r="T601" i="6"/>
  <c r="T253" i="6"/>
  <c r="T814" i="6"/>
  <c r="T279" i="6"/>
  <c r="T557" i="6"/>
  <c r="T293" i="6"/>
  <c r="T136" i="6"/>
  <c r="T64" i="6"/>
  <c r="T229" i="6"/>
  <c r="T804" i="6"/>
  <c r="T485" i="6"/>
  <c r="T205" i="6"/>
  <c r="T778" i="6"/>
  <c r="T821" i="6"/>
  <c r="T298" i="6"/>
  <c r="T681" i="6"/>
  <c r="T581" i="6"/>
  <c r="T115" i="6"/>
  <c r="T252" i="6"/>
  <c r="T956" i="6"/>
  <c r="T990" i="6"/>
  <c r="T827" i="6"/>
  <c r="T905" i="6"/>
  <c r="T183" i="6"/>
  <c r="T39" i="6"/>
  <c r="T808" i="6"/>
  <c r="T946" i="6"/>
  <c r="T690" i="6"/>
  <c r="T195" i="6"/>
  <c r="T943" i="6"/>
  <c r="T3" i="6"/>
  <c r="T832" i="6"/>
  <c r="T579" i="6"/>
  <c r="T720" i="6"/>
  <c r="T616" i="6"/>
  <c r="T520" i="6"/>
  <c r="T170" i="6"/>
  <c r="T569" i="6"/>
  <c r="T761" i="6"/>
  <c r="T269" i="6"/>
  <c r="T289" i="6"/>
  <c r="T242" i="6"/>
  <c r="T265" i="6"/>
  <c r="T70" i="6"/>
  <c r="T146" i="6"/>
  <c r="T36" i="6"/>
  <c r="T670" i="6"/>
  <c r="T396" i="6"/>
  <c r="T658" i="6"/>
  <c r="T461" i="6"/>
  <c r="T363" i="6"/>
  <c r="T635" i="6"/>
  <c r="T980" i="6"/>
  <c r="T546" i="6"/>
  <c r="T124" i="6"/>
  <c r="T470" i="6"/>
  <c r="T109" i="6"/>
  <c r="T932" i="6"/>
  <c r="T570" i="6"/>
  <c r="T641" i="6"/>
  <c r="T744" i="6"/>
  <c r="T95" i="6"/>
  <c r="T769" i="6"/>
  <c r="T829" i="6"/>
  <c r="T162" i="6"/>
  <c r="T346" i="6"/>
  <c r="T550" i="6"/>
  <c r="T753" i="6"/>
  <c r="T972" i="6"/>
  <c r="T797" i="6"/>
  <c r="T100" i="6"/>
  <c r="T477" i="6"/>
  <c r="T600" i="6"/>
  <c r="T914" i="6"/>
  <c r="T317" i="6"/>
  <c r="T152" i="6"/>
  <c r="T879" i="6"/>
  <c r="T147" i="6"/>
  <c r="T494" i="6"/>
  <c r="T782" i="6"/>
  <c r="T469" i="6"/>
  <c r="T594" i="6"/>
  <c r="T851" i="6"/>
  <c r="T596" i="6"/>
  <c r="T107" i="6"/>
  <c r="T445" i="6"/>
  <c r="T506" i="6"/>
  <c r="T874" i="6"/>
  <c r="T862" i="6"/>
  <c r="T749" i="6"/>
  <c r="T300" i="6"/>
  <c r="T880" i="6"/>
  <c r="T353" i="6"/>
  <c r="T963" i="6"/>
  <c r="T14" i="6"/>
  <c r="T92" i="6"/>
  <c r="T541" i="6"/>
  <c r="T556" i="6"/>
  <c r="T998" i="6"/>
  <c r="T907" i="6"/>
  <c r="T949" i="6"/>
  <c r="T806" i="6"/>
  <c r="T665" i="6"/>
  <c r="T169" i="6"/>
  <c r="T452" i="6"/>
  <c r="T172" i="6"/>
  <c r="T625" i="6"/>
  <c r="T5" i="6"/>
  <c r="T335" i="6"/>
  <c r="T709" i="6"/>
  <c r="T567" i="6"/>
  <c r="T332" i="6"/>
  <c r="T931" i="6"/>
  <c r="T526" i="6"/>
  <c r="T563" i="6"/>
  <c r="T630" i="6"/>
  <c r="T368" i="6"/>
  <c r="T148" i="6"/>
  <c r="T410" i="6"/>
  <c r="T355" i="6"/>
  <c r="T382" i="6"/>
  <c r="T512" i="6"/>
  <c r="T442" i="6"/>
  <c r="T867" i="6"/>
  <c r="T104" i="6"/>
  <c r="T38" i="6"/>
  <c r="T18" i="6"/>
  <c r="T330" i="6"/>
  <c r="T595" i="6"/>
  <c r="T342" i="6"/>
  <c r="T868" i="6"/>
  <c r="T402" i="6"/>
  <c r="T106" i="6"/>
  <c r="T472" i="6"/>
  <c r="T85" i="6"/>
  <c r="T636" i="6"/>
  <c r="T310" i="6"/>
  <c r="T748" i="6"/>
  <c r="T565" i="6"/>
  <c r="T964" i="6"/>
  <c r="T359" i="6"/>
  <c r="T287" i="6"/>
  <c r="T256" i="6"/>
  <c r="T805" i="6"/>
  <c r="T773" i="6"/>
  <c r="T995" i="6"/>
  <c r="T539" i="6"/>
  <c r="T166" i="6"/>
  <c r="T28" i="6"/>
  <c r="T873" i="6"/>
  <c r="T721" i="6"/>
  <c r="T701" i="6"/>
  <c r="T809" i="6"/>
  <c r="T875" i="6"/>
  <c r="T642" i="6"/>
  <c r="T78" i="6"/>
  <c r="T390" i="6"/>
  <c r="T522" i="6"/>
  <c r="T584" i="6"/>
  <c r="T817" i="6"/>
  <c r="T118" i="6"/>
  <c r="T785" i="6"/>
  <c r="T294" i="6"/>
  <c r="T127" i="6"/>
  <c r="T266" i="6"/>
  <c r="T441" i="6"/>
  <c r="T161" i="6"/>
  <c r="T4" i="6"/>
  <c r="T406" i="6"/>
  <c r="T553" i="6"/>
  <c r="T325" i="6"/>
  <c r="T145" i="6"/>
  <c r="T937" i="6"/>
  <c r="T340" i="6"/>
  <c r="T439" i="6"/>
  <c r="T723" i="6"/>
  <c r="T459" i="6"/>
  <c r="T927" i="6"/>
  <c r="T235" i="6"/>
  <c r="T730" i="6"/>
  <c r="T906" i="6"/>
  <c r="T738" i="6"/>
  <c r="T320" i="6"/>
  <c r="T743" i="6"/>
  <c r="T1000" i="6"/>
  <c r="T768" i="6"/>
  <c r="T301" i="6"/>
  <c r="T258" i="6"/>
  <c r="T865" i="6"/>
  <c r="T429" i="6"/>
  <c r="T527" i="6"/>
  <c r="T545" i="6"/>
  <c r="T847" i="6"/>
  <c r="T908" i="6"/>
  <c r="T810" i="6"/>
  <c r="T534" i="6"/>
  <c r="T836" i="6"/>
  <c r="T609" i="6"/>
  <c r="T31" i="6"/>
  <c r="T729" i="6"/>
  <c r="T777" i="6"/>
  <c r="T786" i="6"/>
  <c r="T533" i="6"/>
  <c r="T351" i="6"/>
  <c r="T80" i="6"/>
  <c r="T30" i="6"/>
  <c r="T999" i="6"/>
  <c r="T933" i="6"/>
  <c r="T43" i="6"/>
  <c r="T89" i="6"/>
  <c r="T734" i="6"/>
  <c r="T393" i="6"/>
  <c r="T597" i="6"/>
  <c r="T156" i="6"/>
  <c r="T331" i="6"/>
  <c r="T58" i="6"/>
  <c r="T835" i="6"/>
  <c r="T337" i="6"/>
  <c r="T424" i="6"/>
  <c r="T515" i="6"/>
  <c r="T455" i="6"/>
  <c r="T762" i="6"/>
  <c r="T408" i="6"/>
  <c r="T489" i="6"/>
  <c r="T607" i="6"/>
  <c r="T449" i="6"/>
  <c r="T134" i="6"/>
  <c r="T654" i="6"/>
  <c r="T203" i="6"/>
  <c r="T123" i="6"/>
  <c r="T791" i="6"/>
  <c r="T398" i="6"/>
  <c r="T747" i="6"/>
  <c r="T228" i="6"/>
  <c r="T68" i="6"/>
  <c r="T712" i="6"/>
  <c r="T760" i="6"/>
  <c r="T820" i="6"/>
  <c r="T857" i="6"/>
  <c r="T640" i="6"/>
  <c r="T589" i="6"/>
  <c r="T516" i="6"/>
  <c r="T201" i="6"/>
  <c r="T168" i="6"/>
  <c r="T132" i="6"/>
  <c r="T130" i="6"/>
  <c r="T409" i="6"/>
  <c r="T588" i="6"/>
  <c r="T840" i="6"/>
  <c r="T725" i="6"/>
  <c r="T401" i="6"/>
  <c r="T173" i="6"/>
  <c r="T624" i="6"/>
  <c r="T496" i="6"/>
  <c r="T551" i="6"/>
  <c r="T71" i="6"/>
  <c r="T559" i="6"/>
  <c r="T530" i="6"/>
  <c r="T885" i="6"/>
  <c r="T153" i="6"/>
  <c r="T676" i="6"/>
  <c r="T939" i="6"/>
  <c r="T918" i="6"/>
  <c r="T209" i="6"/>
  <c r="T211" i="6"/>
  <c r="T966" i="6"/>
  <c r="T12" i="6"/>
  <c r="T379" i="6"/>
  <c r="T899" i="6"/>
  <c r="T689" i="6"/>
  <c r="T61" i="6"/>
  <c r="T250" i="6"/>
  <c r="T930" i="6"/>
  <c r="T532" i="6"/>
  <c r="T618" i="6"/>
  <c r="T348" i="6"/>
  <c r="T174" i="6"/>
  <c r="T996" i="6"/>
  <c r="T215" i="6"/>
  <c r="T323" i="6"/>
  <c r="T576" i="6"/>
  <c r="T962" i="6"/>
  <c r="T121" i="6"/>
  <c r="T737" i="6"/>
  <c r="T240" i="6"/>
  <c r="T140" i="6"/>
  <c r="T420" i="6"/>
  <c r="T210" i="6"/>
  <c r="T375" i="6"/>
  <c r="T536" i="6"/>
  <c r="T460" i="6"/>
  <c r="T765" i="6"/>
  <c r="T849" i="6"/>
  <c r="T66" i="6"/>
  <c r="T815" i="6"/>
  <c r="T986" i="6"/>
  <c r="T739" i="6"/>
  <c r="T577" i="6"/>
  <c r="T114" i="6"/>
  <c r="T919" i="6"/>
  <c r="T888" i="6"/>
  <c r="T973" i="6"/>
  <c r="T923" i="6"/>
  <c r="T800" i="6"/>
  <c r="T682" i="6"/>
  <c r="T24" i="6"/>
  <c r="T683" i="6"/>
  <c r="T108" i="6"/>
  <c r="T623" i="6"/>
  <c r="T358" i="6"/>
  <c r="T655" i="6"/>
  <c r="T844" i="6"/>
  <c r="T82" i="6"/>
  <c r="T979" i="6"/>
  <c r="T280" i="6"/>
  <c r="T321" i="6"/>
  <c r="T826" i="6"/>
  <c r="T264" i="6"/>
  <c r="T928" i="6"/>
  <c r="T948" i="6"/>
  <c r="T133" i="6"/>
  <c r="T155" i="6"/>
  <c r="T454" i="6"/>
  <c r="T622" i="6"/>
  <c r="T816" i="6"/>
  <c r="T488" i="6"/>
  <c r="T717" i="6"/>
  <c r="T7" i="6"/>
  <c r="T561" i="6"/>
  <c r="T876" i="6"/>
  <c r="T196" i="6"/>
  <c r="T213" i="6"/>
  <c r="T582" i="6"/>
  <c r="T97" i="6"/>
  <c r="T491" i="6"/>
  <c r="T290" i="6"/>
  <c r="T314" i="6"/>
  <c r="T16" i="6"/>
  <c r="T81" i="6"/>
  <c r="T726" i="6"/>
  <c r="T182" i="6"/>
  <c r="T649" i="6"/>
  <c r="T51" i="6"/>
  <c r="T548" i="6"/>
  <c r="T448" i="6"/>
  <c r="T180" i="6"/>
  <c r="T662" i="6"/>
  <c r="T881" i="6"/>
  <c r="T462" i="6"/>
  <c r="T131" i="6"/>
  <c r="T373" i="6"/>
  <c r="T629" i="6"/>
  <c r="T781" i="6"/>
  <c r="T99" i="6"/>
  <c r="T333" i="6"/>
  <c r="T668" i="6"/>
  <c r="T267" i="6"/>
  <c r="T356" i="6"/>
  <c r="T101" i="6"/>
  <c r="T549" i="6"/>
  <c r="T638" i="6"/>
  <c r="T871" i="6"/>
  <c r="T412" i="6"/>
  <c r="T122" i="6"/>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AA1001" i="6"/>
  <c r="Z1001" i="6"/>
  <c r="Y1001" i="6"/>
  <c r="AA1000" i="6"/>
  <c r="Z1000" i="6"/>
  <c r="Y1000" i="6"/>
  <c r="AA999" i="6"/>
  <c r="Z999" i="6"/>
  <c r="Y999" i="6"/>
  <c r="AA998" i="6"/>
  <c r="Z998" i="6"/>
  <c r="Y998" i="6"/>
  <c r="AA997" i="6"/>
  <c r="Z997" i="6"/>
  <c r="Y997" i="6"/>
  <c r="AA996" i="6"/>
  <c r="Z996" i="6"/>
  <c r="Y996" i="6"/>
  <c r="AA995" i="6"/>
  <c r="Z995" i="6"/>
  <c r="Y995" i="6"/>
  <c r="AA994" i="6"/>
  <c r="Z994" i="6"/>
  <c r="Y994" i="6"/>
  <c r="AA993" i="6"/>
  <c r="Z993" i="6"/>
  <c r="Y993" i="6"/>
  <c r="AA992" i="6"/>
  <c r="Z992" i="6"/>
  <c r="Y992" i="6"/>
  <c r="AA991" i="6"/>
  <c r="Z991" i="6"/>
  <c r="Y991" i="6"/>
  <c r="AA990" i="6"/>
  <c r="Z990" i="6"/>
  <c r="Y990" i="6"/>
  <c r="AA989" i="6"/>
  <c r="Z989" i="6"/>
  <c r="Y989" i="6"/>
  <c r="AA988" i="6"/>
  <c r="Z988" i="6"/>
  <c r="Y988" i="6"/>
  <c r="AA987" i="6"/>
  <c r="Z987" i="6"/>
  <c r="Y987" i="6"/>
  <c r="AA986" i="6"/>
  <c r="Z986" i="6"/>
  <c r="Y986" i="6"/>
  <c r="AA985" i="6"/>
  <c r="Z985" i="6"/>
  <c r="Y985" i="6"/>
  <c r="AA984" i="6"/>
  <c r="Z984" i="6"/>
  <c r="Y984" i="6"/>
  <c r="AA983" i="6"/>
  <c r="Z983" i="6"/>
  <c r="Y983" i="6"/>
  <c r="AA982" i="6"/>
  <c r="Z982" i="6"/>
  <c r="Y982" i="6"/>
  <c r="AA981" i="6"/>
  <c r="Z981" i="6"/>
  <c r="Y981" i="6"/>
  <c r="AA980" i="6"/>
  <c r="Z980" i="6"/>
  <c r="Y980" i="6"/>
  <c r="AA979" i="6"/>
  <c r="Z979" i="6"/>
  <c r="Y979" i="6"/>
  <c r="AA978" i="6"/>
  <c r="Z978" i="6"/>
  <c r="Y978" i="6"/>
  <c r="AA977" i="6"/>
  <c r="Z977" i="6"/>
  <c r="Y977" i="6"/>
  <c r="AA976" i="6"/>
  <c r="Z976" i="6"/>
  <c r="Y976" i="6"/>
  <c r="AA975" i="6"/>
  <c r="Z975" i="6"/>
  <c r="Y975" i="6"/>
  <c r="AA974" i="6"/>
  <c r="Z974" i="6"/>
  <c r="Y974" i="6"/>
  <c r="AA973" i="6"/>
  <c r="Z973" i="6"/>
  <c r="Y973" i="6"/>
  <c r="AA972" i="6"/>
  <c r="Z972" i="6"/>
  <c r="Y972" i="6"/>
  <c r="AA971" i="6"/>
  <c r="Z971" i="6"/>
  <c r="Y971" i="6"/>
  <c r="AA970" i="6"/>
  <c r="Z970" i="6"/>
  <c r="Y970" i="6"/>
  <c r="AA969" i="6"/>
  <c r="Z969" i="6"/>
  <c r="Y969" i="6"/>
  <c r="AA968" i="6"/>
  <c r="Z968" i="6"/>
  <c r="Y968" i="6"/>
  <c r="AA967" i="6"/>
  <c r="Z967" i="6"/>
  <c r="Y967" i="6"/>
  <c r="AA966" i="6"/>
  <c r="Z966" i="6"/>
  <c r="Y966" i="6"/>
  <c r="AA965" i="6"/>
  <c r="Z965" i="6"/>
  <c r="Y965" i="6"/>
  <c r="AA964" i="6"/>
  <c r="Z964" i="6"/>
  <c r="Y964" i="6"/>
  <c r="AA963" i="6"/>
  <c r="Z963" i="6"/>
  <c r="Y963" i="6"/>
  <c r="AA962" i="6"/>
  <c r="Z962" i="6"/>
  <c r="Y962" i="6"/>
  <c r="AA961" i="6"/>
  <c r="Z961" i="6"/>
  <c r="Y961" i="6"/>
  <c r="AA960" i="6"/>
  <c r="Z960" i="6"/>
  <c r="Y960" i="6"/>
  <c r="AA959" i="6"/>
  <c r="Z959" i="6"/>
  <c r="Y959" i="6"/>
  <c r="AA958" i="6"/>
  <c r="Z958" i="6"/>
  <c r="Y958" i="6"/>
  <c r="AA957" i="6"/>
  <c r="Z957" i="6"/>
  <c r="Y957" i="6"/>
  <c r="AA956" i="6"/>
  <c r="Z956" i="6"/>
  <c r="Y956" i="6"/>
  <c r="AA955" i="6"/>
  <c r="Z955" i="6"/>
  <c r="Y955" i="6"/>
  <c r="AA954" i="6"/>
  <c r="Z954" i="6"/>
  <c r="Y954" i="6"/>
  <c r="AA953" i="6"/>
  <c r="Z953" i="6"/>
  <c r="Y953" i="6"/>
  <c r="AA952" i="6"/>
  <c r="Z952" i="6"/>
  <c r="Y952" i="6"/>
  <c r="AA951" i="6"/>
  <c r="Z951" i="6"/>
  <c r="Y951" i="6"/>
  <c r="AA950" i="6"/>
  <c r="Z950" i="6"/>
  <c r="Y950" i="6"/>
  <c r="AA949" i="6"/>
  <c r="Z949" i="6"/>
  <c r="Y949" i="6"/>
  <c r="AA948" i="6"/>
  <c r="Z948" i="6"/>
  <c r="Y948" i="6"/>
  <c r="AA947" i="6"/>
  <c r="Z947" i="6"/>
  <c r="Y947" i="6"/>
  <c r="AA946" i="6"/>
  <c r="Z946" i="6"/>
  <c r="Y946" i="6"/>
  <c r="AA945" i="6"/>
  <c r="Z945" i="6"/>
  <c r="Y945" i="6"/>
  <c r="AA944" i="6"/>
  <c r="Z944" i="6"/>
  <c r="Y944" i="6"/>
  <c r="AA943" i="6"/>
  <c r="Z943" i="6"/>
  <c r="Y943" i="6"/>
  <c r="AA942" i="6"/>
  <c r="Z942" i="6"/>
  <c r="Y942" i="6"/>
  <c r="AA941" i="6"/>
  <c r="Z941" i="6"/>
  <c r="Y941" i="6"/>
  <c r="AA940" i="6"/>
  <c r="Z940" i="6"/>
  <c r="Y940" i="6"/>
  <c r="AA939" i="6"/>
  <c r="Z939" i="6"/>
  <c r="Y939" i="6"/>
  <c r="AA938" i="6"/>
  <c r="Z938" i="6"/>
  <c r="Y938" i="6"/>
  <c r="AA937" i="6"/>
  <c r="Z937" i="6"/>
  <c r="Y937" i="6"/>
  <c r="AA936" i="6"/>
  <c r="Z936" i="6"/>
  <c r="Y936" i="6"/>
  <c r="AA935" i="6"/>
  <c r="Z935" i="6"/>
  <c r="Y935" i="6"/>
  <c r="AA934" i="6"/>
  <c r="Z934" i="6"/>
  <c r="Y934" i="6"/>
  <c r="AA933" i="6"/>
  <c r="Z933" i="6"/>
  <c r="Y933" i="6"/>
  <c r="AA932" i="6"/>
  <c r="Z932" i="6"/>
  <c r="Y932" i="6"/>
  <c r="AA931" i="6"/>
  <c r="Z931" i="6"/>
  <c r="Y931" i="6"/>
  <c r="AA930" i="6"/>
  <c r="Z930" i="6"/>
  <c r="Y930" i="6"/>
  <c r="AA929" i="6"/>
  <c r="Z929" i="6"/>
  <c r="Y929" i="6"/>
  <c r="AA928" i="6"/>
  <c r="Z928" i="6"/>
  <c r="Y928" i="6"/>
  <c r="AA927" i="6"/>
  <c r="Z927" i="6"/>
  <c r="Y927" i="6"/>
  <c r="AA926" i="6"/>
  <c r="Z926" i="6"/>
  <c r="Y926" i="6"/>
  <c r="AA925" i="6"/>
  <c r="Z925" i="6"/>
  <c r="Y925" i="6"/>
  <c r="AA924" i="6"/>
  <c r="Z924" i="6"/>
  <c r="Y924" i="6"/>
  <c r="AA923" i="6"/>
  <c r="Z923" i="6"/>
  <c r="Y923" i="6"/>
  <c r="AA922" i="6"/>
  <c r="Z922" i="6"/>
  <c r="Y922" i="6"/>
  <c r="AA921" i="6"/>
  <c r="Z921" i="6"/>
  <c r="Y921" i="6"/>
  <c r="AA920" i="6"/>
  <c r="Z920" i="6"/>
  <c r="Y920" i="6"/>
  <c r="AA919" i="6"/>
  <c r="Z919" i="6"/>
  <c r="Y919" i="6"/>
  <c r="AA918" i="6"/>
  <c r="Z918" i="6"/>
  <c r="Y918" i="6"/>
  <c r="AA917" i="6"/>
  <c r="Z917" i="6"/>
  <c r="Y917" i="6"/>
  <c r="AA916" i="6"/>
  <c r="Z916" i="6"/>
  <c r="Y916" i="6"/>
  <c r="AA915" i="6"/>
  <c r="Z915" i="6"/>
  <c r="Y915" i="6"/>
  <c r="AA914" i="6"/>
  <c r="Z914" i="6"/>
  <c r="Y914" i="6"/>
  <c r="AA913" i="6"/>
  <c r="Z913" i="6"/>
  <c r="Y913" i="6"/>
  <c r="AA912" i="6"/>
  <c r="Z912" i="6"/>
  <c r="Y912" i="6"/>
  <c r="AA911" i="6"/>
  <c r="Z911" i="6"/>
  <c r="Y911" i="6"/>
  <c r="AA910" i="6"/>
  <c r="Z910" i="6"/>
  <c r="Y910" i="6"/>
  <c r="AA909" i="6"/>
  <c r="Z909" i="6"/>
  <c r="Y909" i="6"/>
  <c r="AA908" i="6"/>
  <c r="Z908" i="6"/>
  <c r="Y908" i="6"/>
  <c r="AA907" i="6"/>
  <c r="Z907" i="6"/>
  <c r="Y907" i="6"/>
  <c r="AA906" i="6"/>
  <c r="Z906" i="6"/>
  <c r="Y906" i="6"/>
  <c r="AA905" i="6"/>
  <c r="Z905" i="6"/>
  <c r="Y905" i="6"/>
  <c r="AA904" i="6"/>
  <c r="Z904" i="6"/>
  <c r="Y904" i="6"/>
  <c r="AA903" i="6"/>
  <c r="Z903" i="6"/>
  <c r="Y903" i="6"/>
  <c r="AA902" i="6"/>
  <c r="Z902" i="6"/>
  <c r="Y902" i="6"/>
  <c r="AA901" i="6"/>
  <c r="Z901" i="6"/>
  <c r="Y901" i="6"/>
  <c r="AA900" i="6"/>
  <c r="Z900" i="6"/>
  <c r="Y900" i="6"/>
  <c r="AA899" i="6"/>
  <c r="Z899" i="6"/>
  <c r="Y899" i="6"/>
  <c r="AA898" i="6"/>
  <c r="Z898" i="6"/>
  <c r="Y898" i="6"/>
  <c r="AA897" i="6"/>
  <c r="Z897" i="6"/>
  <c r="Y897" i="6"/>
  <c r="AA896" i="6"/>
  <c r="Z896" i="6"/>
  <c r="Y896" i="6"/>
  <c r="AA895" i="6"/>
  <c r="Z895" i="6"/>
  <c r="Y895" i="6"/>
  <c r="AA894" i="6"/>
  <c r="Z894" i="6"/>
  <c r="Y894" i="6"/>
  <c r="AA893" i="6"/>
  <c r="Z893" i="6"/>
  <c r="Y893" i="6"/>
  <c r="AA892" i="6"/>
  <c r="Z892" i="6"/>
  <c r="Y892" i="6"/>
  <c r="AA891" i="6"/>
  <c r="Z891" i="6"/>
  <c r="Y891" i="6"/>
  <c r="AA890" i="6"/>
  <c r="Z890" i="6"/>
  <c r="Y890" i="6"/>
  <c r="AA889" i="6"/>
  <c r="Z889" i="6"/>
  <c r="Y889" i="6"/>
  <c r="AA888" i="6"/>
  <c r="Z888" i="6"/>
  <c r="Y888" i="6"/>
  <c r="AA887" i="6"/>
  <c r="Z887" i="6"/>
  <c r="Y887" i="6"/>
  <c r="AA886" i="6"/>
  <c r="Z886" i="6"/>
  <c r="Y886" i="6"/>
  <c r="AA885" i="6"/>
  <c r="Z885" i="6"/>
  <c r="Y885" i="6"/>
  <c r="AA884" i="6"/>
  <c r="Z884" i="6"/>
  <c r="Y884" i="6"/>
  <c r="AA883" i="6"/>
  <c r="Z883" i="6"/>
  <c r="Y883" i="6"/>
  <c r="AA882" i="6"/>
  <c r="Z882" i="6"/>
  <c r="Y882" i="6"/>
  <c r="AA881" i="6"/>
  <c r="Z881" i="6"/>
  <c r="Y881" i="6"/>
  <c r="AA880" i="6"/>
  <c r="Z880" i="6"/>
  <c r="Y880" i="6"/>
  <c r="AA879" i="6"/>
  <c r="Z879" i="6"/>
  <c r="Y879" i="6"/>
  <c r="AA878" i="6"/>
  <c r="Z878" i="6"/>
  <c r="Y878" i="6"/>
  <c r="AA877" i="6"/>
  <c r="Z877" i="6"/>
  <c r="Y877" i="6"/>
  <c r="AA876" i="6"/>
  <c r="Z876" i="6"/>
  <c r="Y876" i="6"/>
  <c r="AA875" i="6"/>
  <c r="Z875" i="6"/>
  <c r="Y875" i="6"/>
  <c r="AA874" i="6"/>
  <c r="Z874" i="6"/>
  <c r="Y874" i="6"/>
  <c r="AA873" i="6"/>
  <c r="Z873" i="6"/>
  <c r="Y873" i="6"/>
  <c r="AA872" i="6"/>
  <c r="Z872" i="6"/>
  <c r="Y872" i="6"/>
  <c r="AA871" i="6"/>
  <c r="Z871" i="6"/>
  <c r="Y871" i="6"/>
  <c r="AA870" i="6"/>
  <c r="Z870" i="6"/>
  <c r="Y870" i="6"/>
  <c r="AA869" i="6"/>
  <c r="Z869" i="6"/>
  <c r="Y869" i="6"/>
  <c r="AA868" i="6"/>
  <c r="Z868" i="6"/>
  <c r="Y868" i="6"/>
  <c r="AA867" i="6"/>
  <c r="Z867" i="6"/>
  <c r="Y867" i="6"/>
  <c r="AA866" i="6"/>
  <c r="Z866" i="6"/>
  <c r="Y866" i="6"/>
  <c r="AA865" i="6"/>
  <c r="Z865" i="6"/>
  <c r="Y865" i="6"/>
  <c r="AA864" i="6"/>
  <c r="Z864" i="6"/>
  <c r="Y864" i="6"/>
  <c r="AA863" i="6"/>
  <c r="Z863" i="6"/>
  <c r="Y863" i="6"/>
  <c r="AA862" i="6"/>
  <c r="Z862" i="6"/>
  <c r="Y862" i="6"/>
  <c r="AA861" i="6"/>
  <c r="Z861" i="6"/>
  <c r="Y861" i="6"/>
  <c r="AA860" i="6"/>
  <c r="Z860" i="6"/>
  <c r="Y860" i="6"/>
  <c r="AA859" i="6"/>
  <c r="Z859" i="6"/>
  <c r="Y859" i="6"/>
  <c r="AA858" i="6"/>
  <c r="Z858" i="6"/>
  <c r="Y858" i="6"/>
  <c r="AA857" i="6"/>
  <c r="Z857" i="6"/>
  <c r="Y857" i="6"/>
  <c r="AA856" i="6"/>
  <c r="Z856" i="6"/>
  <c r="Y856" i="6"/>
  <c r="AA855" i="6"/>
  <c r="Z855" i="6"/>
  <c r="Y855" i="6"/>
  <c r="AA854" i="6"/>
  <c r="Z854" i="6"/>
  <c r="Y854" i="6"/>
  <c r="AA853" i="6"/>
  <c r="Z853" i="6"/>
  <c r="Y853" i="6"/>
  <c r="AA852" i="6"/>
  <c r="Z852" i="6"/>
  <c r="Y852" i="6"/>
  <c r="AA851" i="6"/>
  <c r="Z851" i="6"/>
  <c r="Y851" i="6"/>
  <c r="AA850" i="6"/>
  <c r="Z850" i="6"/>
  <c r="Y850" i="6"/>
  <c r="AA849" i="6"/>
  <c r="Z849" i="6"/>
  <c r="Y849" i="6"/>
  <c r="AA848" i="6"/>
  <c r="Z848" i="6"/>
  <c r="Y848" i="6"/>
  <c r="AA847" i="6"/>
  <c r="Z847" i="6"/>
  <c r="Y847" i="6"/>
  <c r="AA846" i="6"/>
  <c r="Z846" i="6"/>
  <c r="Y846" i="6"/>
  <c r="AA845" i="6"/>
  <c r="Z845" i="6"/>
  <c r="Y845" i="6"/>
  <c r="AA844" i="6"/>
  <c r="Z844" i="6"/>
  <c r="Y844" i="6"/>
  <c r="AA843" i="6"/>
  <c r="Z843" i="6"/>
  <c r="Y843" i="6"/>
  <c r="AA842" i="6"/>
  <c r="Z842" i="6"/>
  <c r="Y842" i="6"/>
  <c r="AA841" i="6"/>
  <c r="Z841" i="6"/>
  <c r="Y841" i="6"/>
  <c r="AA840" i="6"/>
  <c r="Z840" i="6"/>
  <c r="Y840" i="6"/>
  <c r="AA839" i="6"/>
  <c r="Z839" i="6"/>
  <c r="Y839" i="6"/>
  <c r="AA838" i="6"/>
  <c r="Z838" i="6"/>
  <c r="Y838" i="6"/>
  <c r="AA837" i="6"/>
  <c r="Z837" i="6"/>
  <c r="Y837" i="6"/>
  <c r="AA836" i="6"/>
  <c r="Z836" i="6"/>
  <c r="Y836" i="6"/>
  <c r="AA835" i="6"/>
  <c r="Z835" i="6"/>
  <c r="Y835" i="6"/>
  <c r="AA834" i="6"/>
  <c r="Z834" i="6"/>
  <c r="Y834" i="6"/>
  <c r="AA833" i="6"/>
  <c r="Z833" i="6"/>
  <c r="Y833" i="6"/>
  <c r="AA832" i="6"/>
  <c r="Z832" i="6"/>
  <c r="Y832" i="6"/>
  <c r="AA831" i="6"/>
  <c r="Z831" i="6"/>
  <c r="Y831" i="6"/>
  <c r="AA830" i="6"/>
  <c r="Z830" i="6"/>
  <c r="Y830" i="6"/>
  <c r="AA829" i="6"/>
  <c r="Z829" i="6"/>
  <c r="Y829" i="6"/>
  <c r="AA828" i="6"/>
  <c r="Z828" i="6"/>
  <c r="Y828" i="6"/>
  <c r="AA827" i="6"/>
  <c r="Z827" i="6"/>
  <c r="Y827" i="6"/>
  <c r="AA826" i="6"/>
  <c r="Z826" i="6"/>
  <c r="Y826" i="6"/>
  <c r="AA825" i="6"/>
  <c r="Z825" i="6"/>
  <c r="Y825" i="6"/>
  <c r="AA824" i="6"/>
  <c r="Z824" i="6"/>
  <c r="Y824" i="6"/>
  <c r="AA823" i="6"/>
  <c r="Z823" i="6"/>
  <c r="Y823" i="6"/>
  <c r="AA822" i="6"/>
  <c r="Z822" i="6"/>
  <c r="Y822" i="6"/>
  <c r="AA821" i="6"/>
  <c r="Z821" i="6"/>
  <c r="Y821" i="6"/>
  <c r="AA820" i="6"/>
  <c r="Z820" i="6"/>
  <c r="Y820" i="6"/>
  <c r="AA819" i="6"/>
  <c r="Z819" i="6"/>
  <c r="Y819" i="6"/>
  <c r="AA818" i="6"/>
  <c r="Z818" i="6"/>
  <c r="Y818" i="6"/>
  <c r="AA817" i="6"/>
  <c r="Z817" i="6"/>
  <c r="Y817" i="6"/>
  <c r="AA816" i="6"/>
  <c r="Z816" i="6"/>
  <c r="Y816" i="6"/>
  <c r="AA815" i="6"/>
  <c r="Z815" i="6"/>
  <c r="Y815" i="6"/>
  <c r="AA814" i="6"/>
  <c r="Z814" i="6"/>
  <c r="Y814" i="6"/>
  <c r="AA813" i="6"/>
  <c r="Z813" i="6"/>
  <c r="Y813" i="6"/>
  <c r="AA812" i="6"/>
  <c r="Z812" i="6"/>
  <c r="Y812" i="6"/>
  <c r="AA811" i="6"/>
  <c r="Z811" i="6"/>
  <c r="Y811" i="6"/>
  <c r="AA810" i="6"/>
  <c r="Z810" i="6"/>
  <c r="Y810" i="6"/>
  <c r="AA809" i="6"/>
  <c r="Z809" i="6"/>
  <c r="Y809" i="6"/>
  <c r="AA808" i="6"/>
  <c r="Z808" i="6"/>
  <c r="Y808" i="6"/>
  <c r="AA807" i="6"/>
  <c r="Z807" i="6"/>
  <c r="Y807" i="6"/>
  <c r="AA806" i="6"/>
  <c r="Z806" i="6"/>
  <c r="Y806" i="6"/>
  <c r="AA805" i="6"/>
  <c r="Z805" i="6"/>
  <c r="Y805" i="6"/>
  <c r="AA804" i="6"/>
  <c r="Z804" i="6"/>
  <c r="Y804" i="6"/>
  <c r="AA803" i="6"/>
  <c r="Z803" i="6"/>
  <c r="Y803" i="6"/>
  <c r="AA802" i="6"/>
  <c r="Z802" i="6"/>
  <c r="Y802" i="6"/>
  <c r="AA801" i="6"/>
  <c r="Z801" i="6"/>
  <c r="Y801" i="6"/>
  <c r="AA800" i="6"/>
  <c r="Z800" i="6"/>
  <c r="Y800" i="6"/>
  <c r="AA799" i="6"/>
  <c r="Z799" i="6"/>
  <c r="Y799" i="6"/>
  <c r="AA798" i="6"/>
  <c r="Z798" i="6"/>
  <c r="Y798" i="6"/>
  <c r="AA797" i="6"/>
  <c r="Z797" i="6"/>
  <c r="Y797" i="6"/>
  <c r="AA796" i="6"/>
  <c r="Z796" i="6"/>
  <c r="Y796" i="6"/>
  <c r="AA795" i="6"/>
  <c r="Z795" i="6"/>
  <c r="Y795" i="6"/>
  <c r="AA794" i="6"/>
  <c r="Z794" i="6"/>
  <c r="Y794" i="6"/>
  <c r="AA793" i="6"/>
  <c r="Z793" i="6"/>
  <c r="Y793" i="6"/>
  <c r="AA792" i="6"/>
  <c r="Z792" i="6"/>
  <c r="Y792" i="6"/>
  <c r="AA791" i="6"/>
  <c r="Z791" i="6"/>
  <c r="Y791" i="6"/>
  <c r="AA790" i="6"/>
  <c r="Z790" i="6"/>
  <c r="Y790" i="6"/>
  <c r="AA789" i="6"/>
  <c r="Z789" i="6"/>
  <c r="Y789" i="6"/>
  <c r="AA788" i="6"/>
  <c r="Z788" i="6"/>
  <c r="Y788" i="6"/>
  <c r="AA787" i="6"/>
  <c r="Z787" i="6"/>
  <c r="Y787" i="6"/>
  <c r="AA786" i="6"/>
  <c r="Z786" i="6"/>
  <c r="Y786" i="6"/>
  <c r="AA785" i="6"/>
  <c r="Z785" i="6"/>
  <c r="Y785" i="6"/>
  <c r="AA784" i="6"/>
  <c r="Z784" i="6"/>
  <c r="Y784" i="6"/>
  <c r="AA783" i="6"/>
  <c r="Z783" i="6"/>
  <c r="Y783" i="6"/>
  <c r="AA782" i="6"/>
  <c r="Z782" i="6"/>
  <c r="Y782" i="6"/>
  <c r="AA781" i="6"/>
  <c r="Z781" i="6"/>
  <c r="Y781" i="6"/>
  <c r="AA780" i="6"/>
  <c r="Z780" i="6"/>
  <c r="Y780" i="6"/>
  <c r="AA779" i="6"/>
  <c r="Z779" i="6"/>
  <c r="Y779" i="6"/>
  <c r="AA778" i="6"/>
  <c r="Z778" i="6"/>
  <c r="Y778" i="6"/>
  <c r="AA777" i="6"/>
  <c r="Z777" i="6"/>
  <c r="Y777" i="6"/>
  <c r="AA776" i="6"/>
  <c r="Z776" i="6"/>
  <c r="Y776" i="6"/>
  <c r="AA775" i="6"/>
  <c r="Z775" i="6"/>
  <c r="Y775" i="6"/>
  <c r="AA774" i="6"/>
  <c r="Z774" i="6"/>
  <c r="Y774" i="6"/>
  <c r="AA773" i="6"/>
  <c r="Z773" i="6"/>
  <c r="Y773" i="6"/>
  <c r="AA772" i="6"/>
  <c r="Z772" i="6"/>
  <c r="Y772" i="6"/>
  <c r="AA771" i="6"/>
  <c r="Z771" i="6"/>
  <c r="Y771" i="6"/>
  <c r="AA770" i="6"/>
  <c r="Z770" i="6"/>
  <c r="Y770" i="6"/>
  <c r="AA769" i="6"/>
  <c r="Z769" i="6"/>
  <c r="Y769" i="6"/>
  <c r="AA768" i="6"/>
  <c r="Z768" i="6"/>
  <c r="Y768" i="6"/>
  <c r="AA767" i="6"/>
  <c r="Z767" i="6"/>
  <c r="Y767" i="6"/>
  <c r="AA766" i="6"/>
  <c r="Z766" i="6"/>
  <c r="Y766" i="6"/>
  <c r="AA765" i="6"/>
  <c r="Z765" i="6"/>
  <c r="Y765" i="6"/>
  <c r="AA764" i="6"/>
  <c r="Z764" i="6"/>
  <c r="Y764" i="6"/>
  <c r="AA763" i="6"/>
  <c r="Z763" i="6"/>
  <c r="Y763" i="6"/>
  <c r="AA762" i="6"/>
  <c r="Z762" i="6"/>
  <c r="Y762" i="6"/>
  <c r="AA761" i="6"/>
  <c r="Z761" i="6"/>
  <c r="Y761" i="6"/>
  <c r="AA760" i="6"/>
  <c r="Z760" i="6"/>
  <c r="Y760" i="6"/>
  <c r="AA759" i="6"/>
  <c r="Z759" i="6"/>
  <c r="Y759" i="6"/>
  <c r="AA758" i="6"/>
  <c r="Z758" i="6"/>
  <c r="Y758" i="6"/>
  <c r="AA757" i="6"/>
  <c r="Z757" i="6"/>
  <c r="Y757" i="6"/>
  <c r="AA756" i="6"/>
  <c r="Z756" i="6"/>
  <c r="Y756" i="6"/>
  <c r="AA755" i="6"/>
  <c r="Z755" i="6"/>
  <c r="Y755" i="6"/>
  <c r="AA754" i="6"/>
  <c r="Z754" i="6"/>
  <c r="Y754" i="6"/>
  <c r="AA753" i="6"/>
  <c r="Z753" i="6"/>
  <c r="Y753" i="6"/>
  <c r="AA752" i="6"/>
  <c r="Z752" i="6"/>
  <c r="Y752" i="6"/>
  <c r="AA751" i="6"/>
  <c r="Z751" i="6"/>
  <c r="Y751" i="6"/>
  <c r="AA750" i="6"/>
  <c r="Z750" i="6"/>
  <c r="Y750" i="6"/>
  <c r="AA749" i="6"/>
  <c r="Z749" i="6"/>
  <c r="Y749" i="6"/>
  <c r="AA748" i="6"/>
  <c r="Z748" i="6"/>
  <c r="Y748" i="6"/>
  <c r="AA747" i="6"/>
  <c r="Z747" i="6"/>
  <c r="Y747" i="6"/>
  <c r="AA746" i="6"/>
  <c r="Z746" i="6"/>
  <c r="Y746" i="6"/>
  <c r="AA745" i="6"/>
  <c r="Z745" i="6"/>
  <c r="Y745" i="6"/>
  <c r="AA744" i="6"/>
  <c r="Z744" i="6"/>
  <c r="Y744" i="6"/>
  <c r="AA743" i="6"/>
  <c r="Z743" i="6"/>
  <c r="Y743" i="6"/>
  <c r="AA742" i="6"/>
  <c r="Z742" i="6"/>
  <c r="Y742" i="6"/>
  <c r="AA741" i="6"/>
  <c r="Z741" i="6"/>
  <c r="Y741" i="6"/>
  <c r="AA740" i="6"/>
  <c r="Z740" i="6"/>
  <c r="Y740" i="6"/>
  <c r="AA739" i="6"/>
  <c r="Z739" i="6"/>
  <c r="Y739" i="6"/>
  <c r="AA738" i="6"/>
  <c r="Z738" i="6"/>
  <c r="Y738" i="6"/>
  <c r="AA737" i="6"/>
  <c r="Z737" i="6"/>
  <c r="Y737" i="6"/>
  <c r="AA736" i="6"/>
  <c r="Z736" i="6"/>
  <c r="Y736" i="6"/>
  <c r="AA735" i="6"/>
  <c r="Z735" i="6"/>
  <c r="Y735" i="6"/>
  <c r="AA734" i="6"/>
  <c r="Z734" i="6"/>
  <c r="Y734" i="6"/>
  <c r="AA733" i="6"/>
  <c r="Z733" i="6"/>
  <c r="Y733" i="6"/>
  <c r="AA732" i="6"/>
  <c r="Z732" i="6"/>
  <c r="Y732" i="6"/>
  <c r="AA731" i="6"/>
  <c r="Z731" i="6"/>
  <c r="Y731" i="6"/>
  <c r="AA730" i="6"/>
  <c r="Z730" i="6"/>
  <c r="Y730" i="6"/>
  <c r="AA729" i="6"/>
  <c r="Z729" i="6"/>
  <c r="Y729" i="6"/>
  <c r="AA728" i="6"/>
  <c r="Z728" i="6"/>
  <c r="Y728" i="6"/>
  <c r="AA727" i="6"/>
  <c r="Z727" i="6"/>
  <c r="Y727" i="6"/>
  <c r="AA726" i="6"/>
  <c r="Z726" i="6"/>
  <c r="Y726" i="6"/>
  <c r="AA725" i="6"/>
  <c r="Z725" i="6"/>
  <c r="Y725" i="6"/>
  <c r="AA724" i="6"/>
  <c r="Z724" i="6"/>
  <c r="Y724" i="6"/>
  <c r="AA723" i="6"/>
  <c r="Z723" i="6"/>
  <c r="Y723" i="6"/>
  <c r="AA722" i="6"/>
  <c r="Z722" i="6"/>
  <c r="Y722" i="6"/>
  <c r="AA721" i="6"/>
  <c r="Z721" i="6"/>
  <c r="Y721" i="6"/>
  <c r="AA720" i="6"/>
  <c r="Z720" i="6"/>
  <c r="Y720" i="6"/>
  <c r="AA719" i="6"/>
  <c r="Z719" i="6"/>
  <c r="Y719" i="6"/>
  <c r="AA718" i="6"/>
  <c r="Z718" i="6"/>
  <c r="Y718" i="6"/>
  <c r="AA717" i="6"/>
  <c r="Z717" i="6"/>
  <c r="Y717" i="6"/>
  <c r="AA716" i="6"/>
  <c r="Z716" i="6"/>
  <c r="Y716" i="6"/>
  <c r="AA715" i="6"/>
  <c r="Z715" i="6"/>
  <c r="Y715" i="6"/>
  <c r="AA714" i="6"/>
  <c r="Z714" i="6"/>
  <c r="Y714" i="6"/>
  <c r="AA713" i="6"/>
  <c r="Z713" i="6"/>
  <c r="Y713" i="6"/>
  <c r="AA712" i="6"/>
  <c r="Z712" i="6"/>
  <c r="Y712" i="6"/>
  <c r="AA711" i="6"/>
  <c r="Z711" i="6"/>
  <c r="Y711" i="6"/>
  <c r="AA710" i="6"/>
  <c r="Z710" i="6"/>
  <c r="Y710" i="6"/>
  <c r="AA709" i="6"/>
  <c r="Z709" i="6"/>
  <c r="Y709" i="6"/>
  <c r="AA708" i="6"/>
  <c r="Z708" i="6"/>
  <c r="Y708" i="6"/>
  <c r="AA707" i="6"/>
  <c r="Z707" i="6"/>
  <c r="Y707" i="6"/>
  <c r="AA706" i="6"/>
  <c r="Z706" i="6"/>
  <c r="Y706" i="6"/>
  <c r="AA705" i="6"/>
  <c r="Z705" i="6"/>
  <c r="Y705" i="6"/>
  <c r="AA704" i="6"/>
  <c r="Z704" i="6"/>
  <c r="Y704" i="6"/>
  <c r="AA703" i="6"/>
  <c r="Z703" i="6"/>
  <c r="Y703" i="6"/>
  <c r="AA702" i="6"/>
  <c r="Z702" i="6"/>
  <c r="Y702" i="6"/>
  <c r="AA701" i="6"/>
  <c r="Z701" i="6"/>
  <c r="Y701" i="6"/>
  <c r="AA700" i="6"/>
  <c r="Z700" i="6"/>
  <c r="Y700" i="6"/>
  <c r="AA699" i="6"/>
  <c r="Z699" i="6"/>
  <c r="Y699" i="6"/>
  <c r="AA698" i="6"/>
  <c r="Z698" i="6"/>
  <c r="Y698" i="6"/>
  <c r="AA697" i="6"/>
  <c r="Z697" i="6"/>
  <c r="Y697" i="6"/>
  <c r="AA696" i="6"/>
  <c r="Z696" i="6"/>
  <c r="Y696" i="6"/>
  <c r="AA695" i="6"/>
  <c r="Z695" i="6"/>
  <c r="Y695" i="6"/>
  <c r="AA694" i="6"/>
  <c r="Z694" i="6"/>
  <c r="Y694" i="6"/>
  <c r="AA693" i="6"/>
  <c r="Z693" i="6"/>
  <c r="Y693" i="6"/>
  <c r="AA692" i="6"/>
  <c r="Z692" i="6"/>
  <c r="Y692" i="6"/>
  <c r="AA691" i="6"/>
  <c r="Z691" i="6"/>
  <c r="Y691" i="6"/>
  <c r="AA690" i="6"/>
  <c r="Z690" i="6"/>
  <c r="Y690" i="6"/>
  <c r="AA689" i="6"/>
  <c r="Z689" i="6"/>
  <c r="Y689" i="6"/>
  <c r="AA688" i="6"/>
  <c r="Z688" i="6"/>
  <c r="Y688" i="6"/>
  <c r="AA687" i="6"/>
  <c r="Z687" i="6"/>
  <c r="Y687" i="6"/>
  <c r="AA686" i="6"/>
  <c r="Z686" i="6"/>
  <c r="Y686" i="6"/>
  <c r="AA685" i="6"/>
  <c r="Z685" i="6"/>
  <c r="Y685" i="6"/>
  <c r="AA684" i="6"/>
  <c r="Z684" i="6"/>
  <c r="Y684" i="6"/>
  <c r="AA683" i="6"/>
  <c r="Z683" i="6"/>
  <c r="Y683" i="6"/>
  <c r="AA682" i="6"/>
  <c r="Z682" i="6"/>
  <c r="Y682" i="6"/>
  <c r="AA681" i="6"/>
  <c r="Z681" i="6"/>
  <c r="Y681" i="6"/>
  <c r="AA680" i="6"/>
  <c r="Z680" i="6"/>
  <c r="Y680" i="6"/>
  <c r="AA679" i="6"/>
  <c r="Z679" i="6"/>
  <c r="Y679" i="6"/>
  <c r="AA678" i="6"/>
  <c r="Z678" i="6"/>
  <c r="Y678" i="6"/>
  <c r="AA677" i="6"/>
  <c r="Z677" i="6"/>
  <c r="Y677" i="6"/>
  <c r="AA676" i="6"/>
  <c r="Z676" i="6"/>
  <c r="Y676" i="6"/>
  <c r="AA675" i="6"/>
  <c r="Z675" i="6"/>
  <c r="Y675" i="6"/>
  <c r="AA674" i="6"/>
  <c r="Z674" i="6"/>
  <c r="Y674" i="6"/>
  <c r="AA673" i="6"/>
  <c r="Z673" i="6"/>
  <c r="Y673" i="6"/>
  <c r="AA672" i="6"/>
  <c r="Z672" i="6"/>
  <c r="Y672" i="6"/>
  <c r="AA671" i="6"/>
  <c r="Z671" i="6"/>
  <c r="Y671" i="6"/>
  <c r="AA670" i="6"/>
  <c r="Z670" i="6"/>
  <c r="Y670" i="6"/>
  <c r="AA669" i="6"/>
  <c r="Z669" i="6"/>
  <c r="Y669" i="6"/>
  <c r="AA668" i="6"/>
  <c r="Z668" i="6"/>
  <c r="Y668" i="6"/>
  <c r="AA667" i="6"/>
  <c r="Z667" i="6"/>
  <c r="Y667" i="6"/>
  <c r="AA666" i="6"/>
  <c r="Z666" i="6"/>
  <c r="Y666" i="6"/>
  <c r="AA665" i="6"/>
  <c r="Z665" i="6"/>
  <c r="Y665" i="6"/>
  <c r="AA664" i="6"/>
  <c r="Z664" i="6"/>
  <c r="Y664" i="6"/>
  <c r="AA663" i="6"/>
  <c r="Z663" i="6"/>
  <c r="Y663" i="6"/>
  <c r="AA662" i="6"/>
  <c r="Z662" i="6"/>
  <c r="Y662" i="6"/>
  <c r="AA661" i="6"/>
  <c r="Z661" i="6"/>
  <c r="Y661" i="6"/>
  <c r="AA660" i="6"/>
  <c r="Z660" i="6"/>
  <c r="Y660" i="6"/>
  <c r="AA659" i="6"/>
  <c r="Z659" i="6"/>
  <c r="Y659" i="6"/>
  <c r="AA658" i="6"/>
  <c r="Z658" i="6"/>
  <c r="Y658" i="6"/>
  <c r="AA657" i="6"/>
  <c r="Z657" i="6"/>
  <c r="Y657" i="6"/>
  <c r="AA656" i="6"/>
  <c r="Z656" i="6"/>
  <c r="Y656" i="6"/>
  <c r="AA655" i="6"/>
  <c r="Z655" i="6"/>
  <c r="Y655" i="6"/>
  <c r="AA654" i="6"/>
  <c r="Z654" i="6"/>
  <c r="Y654" i="6"/>
  <c r="AA653" i="6"/>
  <c r="Z653" i="6"/>
  <c r="Y653" i="6"/>
  <c r="AA652" i="6"/>
  <c r="Z652" i="6"/>
  <c r="Y652" i="6"/>
  <c r="AA651" i="6"/>
  <c r="Z651" i="6"/>
  <c r="Y651" i="6"/>
  <c r="AA650" i="6"/>
  <c r="Z650" i="6"/>
  <c r="Y650" i="6"/>
  <c r="AA649" i="6"/>
  <c r="Z649" i="6"/>
  <c r="Y649" i="6"/>
  <c r="AA648" i="6"/>
  <c r="Z648" i="6"/>
  <c r="Y648" i="6"/>
  <c r="AA647" i="6"/>
  <c r="Z647" i="6"/>
  <c r="Y647" i="6"/>
  <c r="AA646" i="6"/>
  <c r="Z646" i="6"/>
  <c r="Y646" i="6"/>
  <c r="AA645" i="6"/>
  <c r="Z645" i="6"/>
  <c r="Y645" i="6"/>
  <c r="AA644" i="6"/>
  <c r="Z644" i="6"/>
  <c r="Y644" i="6"/>
  <c r="AA643" i="6"/>
  <c r="Z643" i="6"/>
  <c r="Y643" i="6"/>
  <c r="AA642" i="6"/>
  <c r="Z642" i="6"/>
  <c r="Y642" i="6"/>
  <c r="AA641" i="6"/>
  <c r="Z641" i="6"/>
  <c r="Y641" i="6"/>
  <c r="AA640" i="6"/>
  <c r="Z640" i="6"/>
  <c r="Y640" i="6"/>
  <c r="AA639" i="6"/>
  <c r="Z639" i="6"/>
  <c r="Y639" i="6"/>
  <c r="AA638" i="6"/>
  <c r="Z638" i="6"/>
  <c r="Y638" i="6"/>
  <c r="AA637" i="6"/>
  <c r="Z637" i="6"/>
  <c r="Y637" i="6"/>
  <c r="AA636" i="6"/>
  <c r="Z636" i="6"/>
  <c r="Y636" i="6"/>
  <c r="AA635" i="6"/>
  <c r="Z635" i="6"/>
  <c r="Y635" i="6"/>
  <c r="AA634" i="6"/>
  <c r="Z634" i="6"/>
  <c r="Y634" i="6"/>
  <c r="AA633" i="6"/>
  <c r="Z633" i="6"/>
  <c r="Y633" i="6"/>
  <c r="AA632" i="6"/>
  <c r="Z632" i="6"/>
  <c r="Y632" i="6"/>
  <c r="AA631" i="6"/>
  <c r="Z631" i="6"/>
  <c r="Y631" i="6"/>
  <c r="AA630" i="6"/>
  <c r="Z630" i="6"/>
  <c r="Y630" i="6"/>
  <c r="AA629" i="6"/>
  <c r="Z629" i="6"/>
  <c r="Y629" i="6"/>
  <c r="AA628" i="6"/>
  <c r="Z628" i="6"/>
  <c r="Y628" i="6"/>
  <c r="AA627" i="6"/>
  <c r="Z627" i="6"/>
  <c r="Y627" i="6"/>
  <c r="AA626" i="6"/>
  <c r="Z626" i="6"/>
  <c r="Y626" i="6"/>
  <c r="AA625" i="6"/>
  <c r="Z625" i="6"/>
  <c r="Y625" i="6"/>
  <c r="AA624" i="6"/>
  <c r="Z624" i="6"/>
  <c r="Y624" i="6"/>
  <c r="AA623" i="6"/>
  <c r="Z623" i="6"/>
  <c r="Y623" i="6"/>
  <c r="AA622" i="6"/>
  <c r="Z622" i="6"/>
  <c r="Y622" i="6"/>
  <c r="AA621" i="6"/>
  <c r="Z621" i="6"/>
  <c r="Y621" i="6"/>
  <c r="AA620" i="6"/>
  <c r="Z620" i="6"/>
  <c r="Y620" i="6"/>
  <c r="AA619" i="6"/>
  <c r="Z619" i="6"/>
  <c r="Y619" i="6"/>
  <c r="AA618" i="6"/>
  <c r="Z618" i="6"/>
  <c r="Y618" i="6"/>
  <c r="AA617" i="6"/>
  <c r="Z617" i="6"/>
  <c r="Y617" i="6"/>
  <c r="AA616" i="6"/>
  <c r="Z616" i="6"/>
  <c r="Y616" i="6"/>
  <c r="AA615" i="6"/>
  <c r="Z615" i="6"/>
  <c r="Y615" i="6"/>
  <c r="AA614" i="6"/>
  <c r="Z614" i="6"/>
  <c r="Y614" i="6"/>
  <c r="AA613" i="6"/>
  <c r="Z613" i="6"/>
  <c r="Y613" i="6"/>
  <c r="AA612" i="6"/>
  <c r="Z612" i="6"/>
  <c r="Y612" i="6"/>
  <c r="AA611" i="6"/>
  <c r="Z611" i="6"/>
  <c r="Y611" i="6"/>
  <c r="AA610" i="6"/>
  <c r="Z610" i="6"/>
  <c r="Y610" i="6"/>
  <c r="AA609" i="6"/>
  <c r="Z609" i="6"/>
  <c r="Y609" i="6"/>
  <c r="AA608" i="6"/>
  <c r="Z608" i="6"/>
  <c r="Y608" i="6"/>
  <c r="AA607" i="6"/>
  <c r="Z607" i="6"/>
  <c r="Y607" i="6"/>
  <c r="AA606" i="6"/>
  <c r="Z606" i="6"/>
  <c r="Y606" i="6"/>
  <c r="AA605" i="6"/>
  <c r="Z605" i="6"/>
  <c r="Y605" i="6"/>
  <c r="AA604" i="6"/>
  <c r="Z604" i="6"/>
  <c r="Y604" i="6"/>
  <c r="AA603" i="6"/>
  <c r="Z603" i="6"/>
  <c r="Y603" i="6"/>
  <c r="AA602" i="6"/>
  <c r="Z602" i="6"/>
  <c r="Y602" i="6"/>
  <c r="AA601" i="6"/>
  <c r="Z601" i="6"/>
  <c r="Y601" i="6"/>
  <c r="AA600" i="6"/>
  <c r="Z600" i="6"/>
  <c r="Y600" i="6"/>
  <c r="AA599" i="6"/>
  <c r="Z599" i="6"/>
  <c r="Y599" i="6"/>
  <c r="AA598" i="6"/>
  <c r="Z598" i="6"/>
  <c r="Y598" i="6"/>
  <c r="AA597" i="6"/>
  <c r="Z597" i="6"/>
  <c r="Y597" i="6"/>
  <c r="AA596" i="6"/>
  <c r="Z596" i="6"/>
  <c r="Y596" i="6"/>
  <c r="AA595" i="6"/>
  <c r="Z595" i="6"/>
  <c r="Y595" i="6"/>
  <c r="AA594" i="6"/>
  <c r="Z594" i="6"/>
  <c r="Y594" i="6"/>
  <c r="AA593" i="6"/>
  <c r="Z593" i="6"/>
  <c r="Y593" i="6"/>
  <c r="AA592" i="6"/>
  <c r="Z592" i="6"/>
  <c r="Y592" i="6"/>
  <c r="AA591" i="6"/>
  <c r="Z591" i="6"/>
  <c r="Y591" i="6"/>
  <c r="AA590" i="6"/>
  <c r="Z590" i="6"/>
  <c r="Y590" i="6"/>
  <c r="AA589" i="6"/>
  <c r="Z589" i="6"/>
  <c r="Y589" i="6"/>
  <c r="AA588" i="6"/>
  <c r="Z588" i="6"/>
  <c r="Y588" i="6"/>
  <c r="AA587" i="6"/>
  <c r="Z587" i="6"/>
  <c r="Y587" i="6"/>
  <c r="AA586" i="6"/>
  <c r="Z586" i="6"/>
  <c r="Y586" i="6"/>
  <c r="AA585" i="6"/>
  <c r="Z585" i="6"/>
  <c r="Y585" i="6"/>
  <c r="AA584" i="6"/>
  <c r="Z584" i="6"/>
  <c r="Y584" i="6"/>
  <c r="AA583" i="6"/>
  <c r="Z583" i="6"/>
  <c r="Y583" i="6"/>
  <c r="AA582" i="6"/>
  <c r="Z582" i="6"/>
  <c r="Y582" i="6"/>
  <c r="AA581" i="6"/>
  <c r="Z581" i="6"/>
  <c r="Y581" i="6"/>
  <c r="AA580" i="6"/>
  <c r="Z580" i="6"/>
  <c r="Y580" i="6"/>
  <c r="AA579" i="6"/>
  <c r="Z579" i="6"/>
  <c r="Y579" i="6"/>
  <c r="AA578" i="6"/>
  <c r="Z578" i="6"/>
  <c r="Y578" i="6"/>
  <c r="AA577" i="6"/>
  <c r="Z577" i="6"/>
  <c r="Y577" i="6"/>
  <c r="AA576" i="6"/>
  <c r="Z576" i="6"/>
  <c r="Y576" i="6"/>
  <c r="AA575" i="6"/>
  <c r="Z575" i="6"/>
  <c r="Y575" i="6"/>
  <c r="AA574" i="6"/>
  <c r="Z574" i="6"/>
  <c r="Y574" i="6"/>
  <c r="AA573" i="6"/>
  <c r="Z573" i="6"/>
  <c r="Y573" i="6"/>
  <c r="AA572" i="6"/>
  <c r="Z572" i="6"/>
  <c r="Y572" i="6"/>
  <c r="AA571" i="6"/>
  <c r="Z571" i="6"/>
  <c r="Y571" i="6"/>
  <c r="AA570" i="6"/>
  <c r="Z570" i="6"/>
  <c r="Y570" i="6"/>
  <c r="AA569" i="6"/>
  <c r="Z569" i="6"/>
  <c r="Y569" i="6"/>
  <c r="AA568" i="6"/>
  <c r="Z568" i="6"/>
  <c r="Y568" i="6"/>
  <c r="AA567" i="6"/>
  <c r="Z567" i="6"/>
  <c r="Y567" i="6"/>
  <c r="AA566" i="6"/>
  <c r="Z566" i="6"/>
  <c r="Y566" i="6"/>
  <c r="AA565" i="6"/>
  <c r="Z565" i="6"/>
  <c r="Y565" i="6"/>
  <c r="AA564" i="6"/>
  <c r="Z564" i="6"/>
  <c r="Y564" i="6"/>
  <c r="AA563" i="6"/>
  <c r="Z563" i="6"/>
  <c r="Y563" i="6"/>
  <c r="AA562" i="6"/>
  <c r="Z562" i="6"/>
  <c r="Y562" i="6"/>
  <c r="AA561" i="6"/>
  <c r="Z561" i="6"/>
  <c r="Y561" i="6"/>
  <c r="AA560" i="6"/>
  <c r="Z560" i="6"/>
  <c r="Y560" i="6"/>
  <c r="AA559" i="6"/>
  <c r="Z559" i="6"/>
  <c r="Y559" i="6"/>
  <c r="AA558" i="6"/>
  <c r="Z558" i="6"/>
  <c r="Y558" i="6"/>
  <c r="AA557" i="6"/>
  <c r="Z557" i="6"/>
  <c r="Y557" i="6"/>
  <c r="AA556" i="6"/>
  <c r="Z556" i="6"/>
  <c r="Y556" i="6"/>
  <c r="AA555" i="6"/>
  <c r="Z555" i="6"/>
  <c r="Y555" i="6"/>
  <c r="AA554" i="6"/>
  <c r="Z554" i="6"/>
  <c r="Y554" i="6"/>
  <c r="AA553" i="6"/>
  <c r="Z553" i="6"/>
  <c r="Y553" i="6"/>
  <c r="AA552" i="6"/>
  <c r="Z552" i="6"/>
  <c r="Y552" i="6"/>
  <c r="AA551" i="6"/>
  <c r="Z551" i="6"/>
  <c r="Y551" i="6"/>
  <c r="AA550" i="6"/>
  <c r="Z550" i="6"/>
  <c r="Y550" i="6"/>
  <c r="AA549" i="6"/>
  <c r="Z549" i="6"/>
  <c r="Y549" i="6"/>
  <c r="AA548" i="6"/>
  <c r="Z548" i="6"/>
  <c r="Y548" i="6"/>
  <c r="AA547" i="6"/>
  <c r="Z547" i="6"/>
  <c r="Y547" i="6"/>
  <c r="AA546" i="6"/>
  <c r="Z546" i="6"/>
  <c r="Y546" i="6"/>
  <c r="AA545" i="6"/>
  <c r="Z545" i="6"/>
  <c r="Y545" i="6"/>
  <c r="AA544" i="6"/>
  <c r="Z544" i="6"/>
  <c r="Y544" i="6"/>
  <c r="AA543" i="6"/>
  <c r="Z543" i="6"/>
  <c r="Y543" i="6"/>
  <c r="AA542" i="6"/>
  <c r="Z542" i="6"/>
  <c r="Y542" i="6"/>
  <c r="AA541" i="6"/>
  <c r="Z541" i="6"/>
  <c r="Y541" i="6"/>
  <c r="AA540" i="6"/>
  <c r="Z540" i="6"/>
  <c r="Y540" i="6"/>
  <c r="AA539" i="6"/>
  <c r="Z539" i="6"/>
  <c r="Y539" i="6"/>
  <c r="AA538" i="6"/>
  <c r="Z538" i="6"/>
  <c r="Y538" i="6"/>
  <c r="AA537" i="6"/>
  <c r="Z537" i="6"/>
  <c r="Y537" i="6"/>
  <c r="AA536" i="6"/>
  <c r="Z536" i="6"/>
  <c r="Y536" i="6"/>
  <c r="AA535" i="6"/>
  <c r="Z535" i="6"/>
  <c r="Y535" i="6"/>
  <c r="AA534" i="6"/>
  <c r="Z534" i="6"/>
  <c r="Y534" i="6"/>
  <c r="AA533" i="6"/>
  <c r="Z533" i="6"/>
  <c r="Y533" i="6"/>
  <c r="AA532" i="6"/>
  <c r="Z532" i="6"/>
  <c r="Y532" i="6"/>
  <c r="AA531" i="6"/>
  <c r="Z531" i="6"/>
  <c r="Y531" i="6"/>
  <c r="AA530" i="6"/>
  <c r="Z530" i="6"/>
  <c r="Y530" i="6"/>
  <c r="AA529" i="6"/>
  <c r="Z529" i="6"/>
  <c r="Y529" i="6"/>
  <c r="AA528" i="6"/>
  <c r="Z528" i="6"/>
  <c r="Y528" i="6"/>
  <c r="AA527" i="6"/>
  <c r="Z527" i="6"/>
  <c r="Y527" i="6"/>
  <c r="AA526" i="6"/>
  <c r="Z526" i="6"/>
  <c r="Y526" i="6"/>
  <c r="AA525" i="6"/>
  <c r="Z525" i="6"/>
  <c r="Y525" i="6"/>
  <c r="AA524" i="6"/>
  <c r="Z524" i="6"/>
  <c r="Y524" i="6"/>
  <c r="AA523" i="6"/>
  <c r="Z523" i="6"/>
  <c r="Y523" i="6"/>
  <c r="AA522" i="6"/>
  <c r="Z522" i="6"/>
  <c r="Y522" i="6"/>
  <c r="AA521" i="6"/>
  <c r="Z521" i="6"/>
  <c r="Y521" i="6"/>
  <c r="AA520" i="6"/>
  <c r="Z520" i="6"/>
  <c r="Y520" i="6"/>
  <c r="AA519" i="6"/>
  <c r="Z519" i="6"/>
  <c r="Y519" i="6"/>
  <c r="AA518" i="6"/>
  <c r="Z518" i="6"/>
  <c r="Y518" i="6"/>
  <c r="AA517" i="6"/>
  <c r="Z517" i="6"/>
  <c r="Y517" i="6"/>
  <c r="AA516" i="6"/>
  <c r="Z516" i="6"/>
  <c r="Y516" i="6"/>
  <c r="AA515" i="6"/>
  <c r="Z515" i="6"/>
  <c r="Y515" i="6"/>
  <c r="AA514" i="6"/>
  <c r="Z514" i="6"/>
  <c r="Y514" i="6"/>
  <c r="AA513" i="6"/>
  <c r="Z513" i="6"/>
  <c r="Y513" i="6"/>
  <c r="AA512" i="6"/>
  <c r="Z512" i="6"/>
  <c r="Y512" i="6"/>
  <c r="AA511" i="6"/>
  <c r="Z511" i="6"/>
  <c r="Y511" i="6"/>
  <c r="AA510" i="6"/>
  <c r="Z510" i="6"/>
  <c r="Y510" i="6"/>
  <c r="AA509" i="6"/>
  <c r="Z509" i="6"/>
  <c r="Y509" i="6"/>
  <c r="AA508" i="6"/>
  <c r="Z508" i="6"/>
  <c r="Y508" i="6"/>
  <c r="AA507" i="6"/>
  <c r="Z507" i="6"/>
  <c r="Y507" i="6"/>
  <c r="AA506" i="6"/>
  <c r="Z506" i="6"/>
  <c r="Y506" i="6"/>
  <c r="AA505" i="6"/>
  <c r="Z505" i="6"/>
  <c r="Y505" i="6"/>
  <c r="AA504" i="6"/>
  <c r="Z504" i="6"/>
  <c r="Y504" i="6"/>
  <c r="AA503" i="6"/>
  <c r="Z503" i="6"/>
  <c r="Y503" i="6"/>
  <c r="AA502" i="6"/>
  <c r="Z502" i="6"/>
  <c r="Y502" i="6"/>
  <c r="AA501" i="6"/>
  <c r="Z501" i="6"/>
  <c r="Y501" i="6"/>
  <c r="AA500" i="6"/>
  <c r="Z500" i="6"/>
  <c r="Y500" i="6"/>
  <c r="AA499" i="6"/>
  <c r="Z499" i="6"/>
  <c r="Y499" i="6"/>
  <c r="AA498" i="6"/>
  <c r="Z498" i="6"/>
  <c r="Y498" i="6"/>
  <c r="AA497" i="6"/>
  <c r="Z497" i="6"/>
  <c r="Y497" i="6"/>
  <c r="AA496" i="6"/>
  <c r="Z496" i="6"/>
  <c r="Y496" i="6"/>
  <c r="AA495" i="6"/>
  <c r="Z495" i="6"/>
  <c r="Y495" i="6"/>
  <c r="AA494" i="6"/>
  <c r="Z494" i="6"/>
  <c r="Y494" i="6"/>
  <c r="AA493" i="6"/>
  <c r="Z493" i="6"/>
  <c r="Y493" i="6"/>
  <c r="AA492" i="6"/>
  <c r="Z492" i="6"/>
  <c r="Y492" i="6"/>
  <c r="AA491" i="6"/>
  <c r="Z491" i="6"/>
  <c r="Y491" i="6"/>
  <c r="AA490" i="6"/>
  <c r="Z490" i="6"/>
  <c r="Y490" i="6"/>
  <c r="AA489" i="6"/>
  <c r="Z489" i="6"/>
  <c r="Y489" i="6"/>
  <c r="AA488" i="6"/>
  <c r="Z488" i="6"/>
  <c r="Y488" i="6"/>
  <c r="AA487" i="6"/>
  <c r="Z487" i="6"/>
  <c r="Y487" i="6"/>
  <c r="AA486" i="6"/>
  <c r="Z486" i="6"/>
  <c r="Y486" i="6"/>
  <c r="AA485" i="6"/>
  <c r="Z485" i="6"/>
  <c r="Y485" i="6"/>
  <c r="AA484" i="6"/>
  <c r="Z484" i="6"/>
  <c r="Y484" i="6"/>
  <c r="AA483" i="6"/>
  <c r="Z483" i="6"/>
  <c r="Y483" i="6"/>
  <c r="AA482" i="6"/>
  <c r="Z482" i="6"/>
  <c r="Y482" i="6"/>
  <c r="AA481" i="6"/>
  <c r="Z481" i="6"/>
  <c r="Y481" i="6"/>
  <c r="AA480" i="6"/>
  <c r="Z480" i="6"/>
  <c r="Y480" i="6"/>
  <c r="AA479" i="6"/>
  <c r="Z479" i="6"/>
  <c r="Y479" i="6"/>
  <c r="AA478" i="6"/>
  <c r="Z478" i="6"/>
  <c r="Y478" i="6"/>
  <c r="AA477" i="6"/>
  <c r="Z477" i="6"/>
  <c r="Y477" i="6"/>
  <c r="AA476" i="6"/>
  <c r="Z476" i="6"/>
  <c r="Y476" i="6"/>
  <c r="AA475" i="6"/>
  <c r="Z475" i="6"/>
  <c r="Y475" i="6"/>
  <c r="AA474" i="6"/>
  <c r="Z474" i="6"/>
  <c r="Y474" i="6"/>
  <c r="AA473" i="6"/>
  <c r="Z473" i="6"/>
  <c r="Y473" i="6"/>
  <c r="AA472" i="6"/>
  <c r="Z472" i="6"/>
  <c r="Y472" i="6"/>
  <c r="AA471" i="6"/>
  <c r="Z471" i="6"/>
  <c r="Y471" i="6"/>
  <c r="AA470" i="6"/>
  <c r="Z470" i="6"/>
  <c r="Y470" i="6"/>
  <c r="AA469" i="6"/>
  <c r="Z469" i="6"/>
  <c r="Y469" i="6"/>
  <c r="AA468" i="6"/>
  <c r="Z468" i="6"/>
  <c r="Y468" i="6"/>
  <c r="AA467" i="6"/>
  <c r="Z467" i="6"/>
  <c r="Y467" i="6"/>
  <c r="AA466" i="6"/>
  <c r="Z466" i="6"/>
  <c r="Y466" i="6"/>
  <c r="AA465" i="6"/>
  <c r="Z465" i="6"/>
  <c r="Y465" i="6"/>
  <c r="AA464" i="6"/>
  <c r="Z464" i="6"/>
  <c r="Y464" i="6"/>
  <c r="AA463" i="6"/>
  <c r="Z463" i="6"/>
  <c r="Y463" i="6"/>
  <c r="AA462" i="6"/>
  <c r="Z462" i="6"/>
  <c r="Y462" i="6"/>
  <c r="AA461" i="6"/>
  <c r="Z461" i="6"/>
  <c r="Y461" i="6"/>
  <c r="AA460" i="6"/>
  <c r="Z460" i="6"/>
  <c r="Y460" i="6"/>
  <c r="AA459" i="6"/>
  <c r="Z459" i="6"/>
  <c r="Y459" i="6"/>
  <c r="AA458" i="6"/>
  <c r="Z458" i="6"/>
  <c r="Y458" i="6"/>
  <c r="AA457" i="6"/>
  <c r="Z457" i="6"/>
  <c r="Y457" i="6"/>
  <c r="AA456" i="6"/>
  <c r="Z456" i="6"/>
  <c r="Y456" i="6"/>
  <c r="AA455" i="6"/>
  <c r="Z455" i="6"/>
  <c r="Y455" i="6"/>
  <c r="AA454" i="6"/>
  <c r="Z454" i="6"/>
  <c r="Y454" i="6"/>
  <c r="AA453" i="6"/>
  <c r="Z453" i="6"/>
  <c r="Y453" i="6"/>
  <c r="AA452" i="6"/>
  <c r="Z452" i="6"/>
  <c r="Y452" i="6"/>
  <c r="AA451" i="6"/>
  <c r="Z451" i="6"/>
  <c r="Y451" i="6"/>
  <c r="AA450" i="6"/>
  <c r="Z450" i="6"/>
  <c r="Y450" i="6"/>
  <c r="AA449" i="6"/>
  <c r="Z449" i="6"/>
  <c r="Y449" i="6"/>
  <c r="AA448" i="6"/>
  <c r="Z448" i="6"/>
  <c r="Y448" i="6"/>
  <c r="AA447" i="6"/>
  <c r="Z447" i="6"/>
  <c r="Y447" i="6"/>
  <c r="AA446" i="6"/>
  <c r="Z446" i="6"/>
  <c r="Y446" i="6"/>
  <c r="AA445" i="6"/>
  <c r="Z445" i="6"/>
  <c r="Y445" i="6"/>
  <c r="AA444" i="6"/>
  <c r="Z444" i="6"/>
  <c r="Y444" i="6"/>
  <c r="AA443" i="6"/>
  <c r="Z443" i="6"/>
  <c r="Y443" i="6"/>
  <c r="AA442" i="6"/>
  <c r="Z442" i="6"/>
  <c r="Y442" i="6"/>
  <c r="AA441" i="6"/>
  <c r="Z441" i="6"/>
  <c r="Y441" i="6"/>
  <c r="AA440" i="6"/>
  <c r="Z440" i="6"/>
  <c r="Y440" i="6"/>
  <c r="AA439" i="6"/>
  <c r="Z439" i="6"/>
  <c r="Y439" i="6"/>
  <c r="AA438" i="6"/>
  <c r="Z438" i="6"/>
  <c r="Y438" i="6"/>
  <c r="AA437" i="6"/>
  <c r="Z437" i="6"/>
  <c r="Y437" i="6"/>
  <c r="AA436" i="6"/>
  <c r="Z436" i="6"/>
  <c r="Y436" i="6"/>
  <c r="AA435" i="6"/>
  <c r="Z435" i="6"/>
  <c r="Y435" i="6"/>
  <c r="AA434" i="6"/>
  <c r="Z434" i="6"/>
  <c r="Y434" i="6"/>
  <c r="AA433" i="6"/>
  <c r="Z433" i="6"/>
  <c r="Y433" i="6"/>
  <c r="AA432" i="6"/>
  <c r="Z432" i="6"/>
  <c r="Y432" i="6"/>
  <c r="AA431" i="6"/>
  <c r="Z431" i="6"/>
  <c r="Y431" i="6"/>
  <c r="AA430" i="6"/>
  <c r="Z430" i="6"/>
  <c r="Y430" i="6"/>
  <c r="AA429" i="6"/>
  <c r="Z429" i="6"/>
  <c r="Y429" i="6"/>
  <c r="AA428" i="6"/>
  <c r="Z428" i="6"/>
  <c r="Y428" i="6"/>
  <c r="AA427" i="6"/>
  <c r="Z427" i="6"/>
  <c r="Y427" i="6"/>
  <c r="AA426" i="6"/>
  <c r="Z426" i="6"/>
  <c r="Y426" i="6"/>
  <c r="AA425" i="6"/>
  <c r="Z425" i="6"/>
  <c r="Y425" i="6"/>
  <c r="AA424" i="6"/>
  <c r="Z424" i="6"/>
  <c r="Y424" i="6"/>
  <c r="AA423" i="6"/>
  <c r="Z423" i="6"/>
  <c r="Y423" i="6"/>
  <c r="AA422" i="6"/>
  <c r="Z422" i="6"/>
  <c r="Y422" i="6"/>
  <c r="AA421" i="6"/>
  <c r="Z421" i="6"/>
  <c r="Y421" i="6"/>
  <c r="AA420" i="6"/>
  <c r="Z420" i="6"/>
  <c r="Y420" i="6"/>
  <c r="AA419" i="6"/>
  <c r="Z419" i="6"/>
  <c r="Y419" i="6"/>
  <c r="AA418" i="6"/>
  <c r="Z418" i="6"/>
  <c r="Y418" i="6"/>
  <c r="AA417" i="6"/>
  <c r="Z417" i="6"/>
  <c r="Y417" i="6"/>
  <c r="AA416" i="6"/>
  <c r="Z416" i="6"/>
  <c r="Y416" i="6"/>
  <c r="AA415" i="6"/>
  <c r="Z415" i="6"/>
  <c r="Y415" i="6"/>
  <c r="AA414" i="6"/>
  <c r="Z414" i="6"/>
  <c r="Y414" i="6"/>
  <c r="AA413" i="6"/>
  <c r="Z413" i="6"/>
  <c r="Y413" i="6"/>
  <c r="AA412" i="6"/>
  <c r="Z412" i="6"/>
  <c r="Y412" i="6"/>
  <c r="AA411" i="6"/>
  <c r="Z411" i="6"/>
  <c r="Y411" i="6"/>
  <c r="AA410" i="6"/>
  <c r="Z410" i="6"/>
  <c r="Y410" i="6"/>
  <c r="AA409" i="6"/>
  <c r="Z409" i="6"/>
  <c r="Y409" i="6"/>
  <c r="AA408" i="6"/>
  <c r="Z408" i="6"/>
  <c r="Y408" i="6"/>
  <c r="AA407" i="6"/>
  <c r="Z407" i="6"/>
  <c r="Y407" i="6"/>
  <c r="AA406" i="6"/>
  <c r="Z406" i="6"/>
  <c r="Y406" i="6"/>
  <c r="AA405" i="6"/>
  <c r="Z405" i="6"/>
  <c r="Y405" i="6"/>
  <c r="AA404" i="6"/>
  <c r="Z404" i="6"/>
  <c r="Y404" i="6"/>
  <c r="AA403" i="6"/>
  <c r="Z403" i="6"/>
  <c r="Y403" i="6"/>
  <c r="AA402" i="6"/>
  <c r="Z402" i="6"/>
  <c r="Y402" i="6"/>
  <c r="AA401" i="6"/>
  <c r="Z401" i="6"/>
  <c r="Y401" i="6"/>
  <c r="AA400" i="6"/>
  <c r="Z400" i="6"/>
  <c r="Y400" i="6"/>
  <c r="AA399" i="6"/>
  <c r="Z399" i="6"/>
  <c r="Y399" i="6"/>
  <c r="AA398" i="6"/>
  <c r="Z398" i="6"/>
  <c r="Y398" i="6"/>
  <c r="AA397" i="6"/>
  <c r="Z397" i="6"/>
  <c r="Y397" i="6"/>
  <c r="AA396" i="6"/>
  <c r="Z396" i="6"/>
  <c r="Y396" i="6"/>
  <c r="AA395" i="6"/>
  <c r="Z395" i="6"/>
  <c r="Y395" i="6"/>
  <c r="AA394" i="6"/>
  <c r="Z394" i="6"/>
  <c r="Y394" i="6"/>
  <c r="AA393" i="6"/>
  <c r="Z393" i="6"/>
  <c r="Y393" i="6"/>
  <c r="AA392" i="6"/>
  <c r="Z392" i="6"/>
  <c r="Y392" i="6"/>
  <c r="AA391" i="6"/>
  <c r="Z391" i="6"/>
  <c r="Y391" i="6"/>
  <c r="AA390" i="6"/>
  <c r="Z390" i="6"/>
  <c r="Y390" i="6"/>
  <c r="AA389" i="6"/>
  <c r="Z389" i="6"/>
  <c r="Y389" i="6"/>
  <c r="AA388" i="6"/>
  <c r="Z388" i="6"/>
  <c r="Y388" i="6"/>
  <c r="AA387" i="6"/>
  <c r="Z387" i="6"/>
  <c r="Y387" i="6"/>
  <c r="AA386" i="6"/>
  <c r="Z386" i="6"/>
  <c r="Y386" i="6"/>
  <c r="AA385" i="6"/>
  <c r="Z385" i="6"/>
  <c r="Y385" i="6"/>
  <c r="AA384" i="6"/>
  <c r="Z384" i="6"/>
  <c r="Y384" i="6"/>
  <c r="AA383" i="6"/>
  <c r="Z383" i="6"/>
  <c r="Y383" i="6"/>
  <c r="AA382" i="6"/>
  <c r="Z382" i="6"/>
  <c r="Y382" i="6"/>
  <c r="AA381" i="6"/>
  <c r="Z381" i="6"/>
  <c r="Y381" i="6"/>
  <c r="AA380" i="6"/>
  <c r="Z380" i="6"/>
  <c r="Y380" i="6"/>
  <c r="AA379" i="6"/>
  <c r="Z379" i="6"/>
  <c r="Y379" i="6"/>
  <c r="AA378" i="6"/>
  <c r="Z378" i="6"/>
  <c r="Y378" i="6"/>
  <c r="AA377" i="6"/>
  <c r="Z377" i="6"/>
  <c r="Y377" i="6"/>
  <c r="AA376" i="6"/>
  <c r="Z376" i="6"/>
  <c r="Y376" i="6"/>
  <c r="AA375" i="6"/>
  <c r="Z375" i="6"/>
  <c r="Y375" i="6"/>
  <c r="AA374" i="6"/>
  <c r="Z374" i="6"/>
  <c r="Y374" i="6"/>
  <c r="AA373" i="6"/>
  <c r="Z373" i="6"/>
  <c r="Y373" i="6"/>
  <c r="AA372" i="6"/>
  <c r="Z372" i="6"/>
  <c r="Y372" i="6"/>
  <c r="AA371" i="6"/>
  <c r="Z371" i="6"/>
  <c r="Y371" i="6"/>
  <c r="AA370" i="6"/>
  <c r="Z370" i="6"/>
  <c r="Y370" i="6"/>
  <c r="AA369" i="6"/>
  <c r="Z369" i="6"/>
  <c r="Y369" i="6"/>
  <c r="AA368" i="6"/>
  <c r="Z368" i="6"/>
  <c r="Y368" i="6"/>
  <c r="AA367" i="6"/>
  <c r="Z367" i="6"/>
  <c r="Y367" i="6"/>
  <c r="AA366" i="6"/>
  <c r="Z366" i="6"/>
  <c r="Y366" i="6"/>
  <c r="AA365" i="6"/>
  <c r="Z365" i="6"/>
  <c r="Y365" i="6"/>
  <c r="AA364" i="6"/>
  <c r="Z364" i="6"/>
  <c r="Y364" i="6"/>
  <c r="AA363" i="6"/>
  <c r="Z363" i="6"/>
  <c r="Y363" i="6"/>
  <c r="AA362" i="6"/>
  <c r="Z362" i="6"/>
  <c r="Y362" i="6"/>
  <c r="AA361" i="6"/>
  <c r="Z361" i="6"/>
  <c r="Y361" i="6"/>
  <c r="AA360" i="6"/>
  <c r="Z360" i="6"/>
  <c r="Y360" i="6"/>
  <c r="AA359" i="6"/>
  <c r="Z359" i="6"/>
  <c r="Y359" i="6"/>
  <c r="AA358" i="6"/>
  <c r="Z358" i="6"/>
  <c r="Y358" i="6"/>
  <c r="AA357" i="6"/>
  <c r="Z357" i="6"/>
  <c r="Y357" i="6"/>
  <c r="AA356" i="6"/>
  <c r="Z356" i="6"/>
  <c r="Y356" i="6"/>
  <c r="AA355" i="6"/>
  <c r="Z355" i="6"/>
  <c r="Y355" i="6"/>
  <c r="AA354" i="6"/>
  <c r="Z354" i="6"/>
  <c r="Y354" i="6"/>
  <c r="AA353" i="6"/>
  <c r="Z353" i="6"/>
  <c r="Y353" i="6"/>
  <c r="AA352" i="6"/>
  <c r="Z352" i="6"/>
  <c r="Y352" i="6"/>
  <c r="AA351" i="6"/>
  <c r="Z351" i="6"/>
  <c r="Y351" i="6"/>
  <c r="AA350" i="6"/>
  <c r="Z350" i="6"/>
  <c r="Y350" i="6"/>
  <c r="AA349" i="6"/>
  <c r="Z349" i="6"/>
  <c r="Y349" i="6"/>
  <c r="AA348" i="6"/>
  <c r="Z348" i="6"/>
  <c r="Y348" i="6"/>
  <c r="AA347" i="6"/>
  <c r="Z347" i="6"/>
  <c r="Y347" i="6"/>
  <c r="AA346" i="6"/>
  <c r="Z346" i="6"/>
  <c r="Y346" i="6"/>
  <c r="AA345" i="6"/>
  <c r="Z345" i="6"/>
  <c r="Y345" i="6"/>
  <c r="AA344" i="6"/>
  <c r="Z344" i="6"/>
  <c r="Y344" i="6"/>
  <c r="AA343" i="6"/>
  <c r="Z343" i="6"/>
  <c r="Y343" i="6"/>
  <c r="AA342" i="6"/>
  <c r="Z342" i="6"/>
  <c r="Y342" i="6"/>
  <c r="AA341" i="6"/>
  <c r="Z341" i="6"/>
  <c r="Y341" i="6"/>
  <c r="AA340" i="6"/>
  <c r="Z340" i="6"/>
  <c r="Y340" i="6"/>
  <c r="AA339" i="6"/>
  <c r="Z339" i="6"/>
  <c r="Y339" i="6"/>
  <c r="AA338" i="6"/>
  <c r="Z338" i="6"/>
  <c r="Y338" i="6"/>
  <c r="AA337" i="6"/>
  <c r="Z337" i="6"/>
  <c r="Y337" i="6"/>
  <c r="AA336" i="6"/>
  <c r="Z336" i="6"/>
  <c r="Y336" i="6"/>
  <c r="AA335" i="6"/>
  <c r="Z335" i="6"/>
  <c r="Y335" i="6"/>
  <c r="AA334" i="6"/>
  <c r="Z334" i="6"/>
  <c r="Y334" i="6"/>
  <c r="AA333" i="6"/>
  <c r="Z333" i="6"/>
  <c r="Y333" i="6"/>
  <c r="AA332" i="6"/>
  <c r="Z332" i="6"/>
  <c r="Y332" i="6"/>
  <c r="AA331" i="6"/>
  <c r="Z331" i="6"/>
  <c r="Y331" i="6"/>
  <c r="AA330" i="6"/>
  <c r="Z330" i="6"/>
  <c r="Y330" i="6"/>
  <c r="AA329" i="6"/>
  <c r="Z329" i="6"/>
  <c r="Y329" i="6"/>
  <c r="AA328" i="6"/>
  <c r="Z328" i="6"/>
  <c r="Y328" i="6"/>
  <c r="AA327" i="6"/>
  <c r="Z327" i="6"/>
  <c r="Y327" i="6"/>
  <c r="AA326" i="6"/>
  <c r="Z326" i="6"/>
  <c r="Y326" i="6"/>
  <c r="AA325" i="6"/>
  <c r="Z325" i="6"/>
  <c r="Y325" i="6"/>
  <c r="AA324" i="6"/>
  <c r="Z324" i="6"/>
  <c r="Y324" i="6"/>
  <c r="AA323" i="6"/>
  <c r="Z323" i="6"/>
  <c r="Y323" i="6"/>
  <c r="AA322" i="6"/>
  <c r="Z322" i="6"/>
  <c r="Y322" i="6"/>
  <c r="AA321" i="6"/>
  <c r="Z321" i="6"/>
  <c r="Y321" i="6"/>
  <c r="AA320" i="6"/>
  <c r="Z320" i="6"/>
  <c r="Y320" i="6"/>
  <c r="AA319" i="6"/>
  <c r="Z319" i="6"/>
  <c r="Y319" i="6"/>
  <c r="AA318" i="6"/>
  <c r="Z318" i="6"/>
  <c r="Y318" i="6"/>
  <c r="AA317" i="6"/>
  <c r="Z317" i="6"/>
  <c r="Y317" i="6"/>
  <c r="AA316" i="6"/>
  <c r="Z316" i="6"/>
  <c r="Y316" i="6"/>
  <c r="AA315" i="6"/>
  <c r="Z315" i="6"/>
  <c r="Y315" i="6"/>
  <c r="AA314" i="6"/>
  <c r="Z314" i="6"/>
  <c r="Y314" i="6"/>
  <c r="AA313" i="6"/>
  <c r="Z313" i="6"/>
  <c r="Y313" i="6"/>
  <c r="AA312" i="6"/>
  <c r="Z312" i="6"/>
  <c r="Y312" i="6"/>
  <c r="AA311" i="6"/>
  <c r="Z311" i="6"/>
  <c r="Y311" i="6"/>
  <c r="AA310" i="6"/>
  <c r="Z310" i="6"/>
  <c r="Y310" i="6"/>
  <c r="AA309" i="6"/>
  <c r="Z309" i="6"/>
  <c r="Y309" i="6"/>
  <c r="AA308" i="6"/>
  <c r="Z308" i="6"/>
  <c r="Y308" i="6"/>
  <c r="AA307" i="6"/>
  <c r="Z307" i="6"/>
  <c r="Y307" i="6"/>
  <c r="AA306" i="6"/>
  <c r="Z306" i="6"/>
  <c r="Y306" i="6"/>
  <c r="AA305" i="6"/>
  <c r="Z305" i="6"/>
  <c r="Y305" i="6"/>
  <c r="AA304" i="6"/>
  <c r="Z304" i="6"/>
  <c r="Y304" i="6"/>
  <c r="AA303" i="6"/>
  <c r="Z303" i="6"/>
  <c r="Y303" i="6"/>
  <c r="AA302" i="6"/>
  <c r="Z302" i="6"/>
  <c r="Y302" i="6"/>
  <c r="AA301" i="6"/>
  <c r="Z301" i="6"/>
  <c r="Y301" i="6"/>
  <c r="AA300" i="6"/>
  <c r="Z300" i="6"/>
  <c r="Y300" i="6"/>
  <c r="AA299" i="6"/>
  <c r="Z299" i="6"/>
  <c r="Y299" i="6"/>
  <c r="AA298" i="6"/>
  <c r="Z298" i="6"/>
  <c r="Y298" i="6"/>
  <c r="AA297" i="6"/>
  <c r="Z297" i="6"/>
  <c r="Y297" i="6"/>
  <c r="AA296" i="6"/>
  <c r="Z296" i="6"/>
  <c r="Y296" i="6"/>
  <c r="AA295" i="6"/>
  <c r="Z295" i="6"/>
  <c r="Y295" i="6"/>
  <c r="AA294" i="6"/>
  <c r="Z294" i="6"/>
  <c r="Y294" i="6"/>
  <c r="AA293" i="6"/>
  <c r="Z293" i="6"/>
  <c r="Y293" i="6"/>
  <c r="AA292" i="6"/>
  <c r="Z292" i="6"/>
  <c r="Y292" i="6"/>
  <c r="AA291" i="6"/>
  <c r="Z291" i="6"/>
  <c r="Y291" i="6"/>
  <c r="AA290" i="6"/>
  <c r="Z290" i="6"/>
  <c r="Y290" i="6"/>
  <c r="AA289" i="6"/>
  <c r="Z289" i="6"/>
  <c r="Y289" i="6"/>
  <c r="AA288" i="6"/>
  <c r="Z288" i="6"/>
  <c r="Y288" i="6"/>
  <c r="AA287" i="6"/>
  <c r="Z287" i="6"/>
  <c r="Y287" i="6"/>
  <c r="AA286" i="6"/>
  <c r="Z286" i="6"/>
  <c r="Y286" i="6"/>
  <c r="AA285" i="6"/>
  <c r="Z285" i="6"/>
  <c r="Y285" i="6"/>
  <c r="AA284" i="6"/>
  <c r="Z284" i="6"/>
  <c r="Y284" i="6"/>
  <c r="AA283" i="6"/>
  <c r="Z283" i="6"/>
  <c r="Y283" i="6"/>
  <c r="AA282" i="6"/>
  <c r="Z282" i="6"/>
  <c r="Y282" i="6"/>
  <c r="AA281" i="6"/>
  <c r="Z281" i="6"/>
  <c r="Y281" i="6"/>
  <c r="AA280" i="6"/>
  <c r="Z280" i="6"/>
  <c r="Y280" i="6"/>
  <c r="AA279" i="6"/>
  <c r="Z279" i="6"/>
  <c r="Y279" i="6"/>
  <c r="AA278" i="6"/>
  <c r="Z278" i="6"/>
  <c r="Y278" i="6"/>
  <c r="AA277" i="6"/>
  <c r="Z277" i="6"/>
  <c r="Y277" i="6"/>
  <c r="AA276" i="6"/>
  <c r="Z276" i="6"/>
  <c r="Y276" i="6"/>
  <c r="AA275" i="6"/>
  <c r="Z275" i="6"/>
  <c r="Y275" i="6"/>
  <c r="AA274" i="6"/>
  <c r="Z274" i="6"/>
  <c r="Y274" i="6"/>
  <c r="AA273" i="6"/>
  <c r="Z273" i="6"/>
  <c r="Y273" i="6"/>
  <c r="AA272" i="6"/>
  <c r="Z272" i="6"/>
  <c r="Y272" i="6"/>
  <c r="AA271" i="6"/>
  <c r="Z271" i="6"/>
  <c r="Y271" i="6"/>
  <c r="AA270" i="6"/>
  <c r="Z270" i="6"/>
  <c r="Y270" i="6"/>
  <c r="AA269" i="6"/>
  <c r="Z269" i="6"/>
  <c r="Y269" i="6"/>
  <c r="AA268" i="6"/>
  <c r="Z268" i="6"/>
  <c r="Y268" i="6"/>
  <c r="AA267" i="6"/>
  <c r="Z267" i="6"/>
  <c r="Y267" i="6"/>
  <c r="AA266" i="6"/>
  <c r="Z266" i="6"/>
  <c r="Y266" i="6"/>
  <c r="AA265" i="6"/>
  <c r="Z265" i="6"/>
  <c r="Y265" i="6"/>
  <c r="AA264" i="6"/>
  <c r="Z264" i="6"/>
  <c r="Y264" i="6"/>
  <c r="AA263" i="6"/>
  <c r="Z263" i="6"/>
  <c r="Y263" i="6"/>
  <c r="AA262" i="6"/>
  <c r="Z262" i="6"/>
  <c r="Y262" i="6"/>
  <c r="AA261" i="6"/>
  <c r="Z261" i="6"/>
  <c r="Y261" i="6"/>
  <c r="AA260" i="6"/>
  <c r="Z260" i="6"/>
  <c r="Y260" i="6"/>
  <c r="AA259" i="6"/>
  <c r="Z259" i="6"/>
  <c r="Y259" i="6"/>
  <c r="AA258" i="6"/>
  <c r="Z258" i="6"/>
  <c r="Y258" i="6"/>
  <c r="AA257" i="6"/>
  <c r="Z257" i="6"/>
  <c r="Y257" i="6"/>
  <c r="AA256" i="6"/>
  <c r="Z256" i="6"/>
  <c r="Y256" i="6"/>
  <c r="AA255" i="6"/>
  <c r="Z255" i="6"/>
  <c r="Y255" i="6"/>
  <c r="AA254" i="6"/>
  <c r="Z254" i="6"/>
  <c r="Y254" i="6"/>
  <c r="AA253" i="6"/>
  <c r="Z253" i="6"/>
  <c r="Y253" i="6"/>
  <c r="AA252" i="6"/>
  <c r="Z252" i="6"/>
  <c r="Y252" i="6"/>
  <c r="AA251" i="6"/>
  <c r="Z251" i="6"/>
  <c r="Y251" i="6"/>
  <c r="AA250" i="6"/>
  <c r="Z250" i="6"/>
  <c r="Y250" i="6"/>
  <c r="AA249" i="6"/>
  <c r="Z249" i="6"/>
  <c r="Y249" i="6"/>
  <c r="AA248" i="6"/>
  <c r="Z248" i="6"/>
  <c r="Y248" i="6"/>
  <c r="AA247" i="6"/>
  <c r="Z247" i="6"/>
  <c r="Y247" i="6"/>
  <c r="AA246" i="6"/>
  <c r="Z246" i="6"/>
  <c r="Y246" i="6"/>
  <c r="AA245" i="6"/>
  <c r="Z245" i="6"/>
  <c r="Y245" i="6"/>
  <c r="AA244" i="6"/>
  <c r="Z244" i="6"/>
  <c r="Y244" i="6"/>
  <c r="AA243" i="6"/>
  <c r="Z243" i="6"/>
  <c r="Y243" i="6"/>
  <c r="AA242" i="6"/>
  <c r="Z242" i="6"/>
  <c r="Y242" i="6"/>
  <c r="AA241" i="6"/>
  <c r="Z241" i="6"/>
  <c r="Y241" i="6"/>
  <c r="AA240" i="6"/>
  <c r="Z240" i="6"/>
  <c r="Y240" i="6"/>
  <c r="AA239" i="6"/>
  <c r="Z239" i="6"/>
  <c r="Y239" i="6"/>
  <c r="AA238" i="6"/>
  <c r="Z238" i="6"/>
  <c r="Y238" i="6"/>
  <c r="AA237" i="6"/>
  <c r="Z237" i="6"/>
  <c r="Y237" i="6"/>
  <c r="AA236" i="6"/>
  <c r="Z236" i="6"/>
  <c r="Y236" i="6"/>
  <c r="AA235" i="6"/>
  <c r="Z235" i="6"/>
  <c r="Y235" i="6"/>
  <c r="AA234" i="6"/>
  <c r="Z234" i="6"/>
  <c r="Y234" i="6"/>
  <c r="AA233" i="6"/>
  <c r="Z233" i="6"/>
  <c r="Y233" i="6"/>
  <c r="AA232" i="6"/>
  <c r="Z232" i="6"/>
  <c r="Y232" i="6"/>
  <c r="AA231" i="6"/>
  <c r="Z231" i="6"/>
  <c r="Y231" i="6"/>
  <c r="AA230" i="6"/>
  <c r="Z230" i="6"/>
  <c r="Y230" i="6"/>
  <c r="AA229" i="6"/>
  <c r="Z229" i="6"/>
  <c r="Y229" i="6"/>
  <c r="AA228" i="6"/>
  <c r="Z228" i="6"/>
  <c r="Y228" i="6"/>
  <c r="AA227" i="6"/>
  <c r="Z227" i="6"/>
  <c r="Y227" i="6"/>
  <c r="AA226" i="6"/>
  <c r="Z226" i="6"/>
  <c r="Y226" i="6"/>
  <c r="AA225" i="6"/>
  <c r="Z225" i="6"/>
  <c r="Y225" i="6"/>
  <c r="AA224" i="6"/>
  <c r="Z224" i="6"/>
  <c r="Y224" i="6"/>
  <c r="AA223" i="6"/>
  <c r="Z223" i="6"/>
  <c r="Y223" i="6"/>
  <c r="AA222" i="6"/>
  <c r="Z222" i="6"/>
  <c r="Y222" i="6"/>
  <c r="AA221" i="6"/>
  <c r="Z221" i="6"/>
  <c r="Y221" i="6"/>
  <c r="AA220" i="6"/>
  <c r="Z220" i="6"/>
  <c r="Y220" i="6"/>
  <c r="AA219" i="6"/>
  <c r="Z219" i="6"/>
  <c r="Y219" i="6"/>
  <c r="AA218" i="6"/>
  <c r="Z218" i="6"/>
  <c r="Y218" i="6"/>
  <c r="AA217" i="6"/>
  <c r="Z217" i="6"/>
  <c r="Y217" i="6"/>
  <c r="AA216" i="6"/>
  <c r="Z216" i="6"/>
  <c r="Y216" i="6"/>
  <c r="AA215" i="6"/>
  <c r="Z215" i="6"/>
  <c r="Y215" i="6"/>
  <c r="AA214" i="6"/>
  <c r="Z214" i="6"/>
  <c r="Y214" i="6"/>
  <c r="AA213" i="6"/>
  <c r="Z213" i="6"/>
  <c r="Y213" i="6"/>
  <c r="AA212" i="6"/>
  <c r="Z212" i="6"/>
  <c r="Y212" i="6"/>
  <c r="AA211" i="6"/>
  <c r="Z211" i="6"/>
  <c r="Y211" i="6"/>
  <c r="AA210" i="6"/>
  <c r="Z210" i="6"/>
  <c r="Y210" i="6"/>
  <c r="AA209" i="6"/>
  <c r="Z209" i="6"/>
  <c r="Y209" i="6"/>
  <c r="AA208" i="6"/>
  <c r="Z208" i="6"/>
  <c r="Y208" i="6"/>
  <c r="AA207" i="6"/>
  <c r="Z207" i="6"/>
  <c r="Y207" i="6"/>
  <c r="AA206" i="6"/>
  <c r="Z206" i="6"/>
  <c r="Y206" i="6"/>
  <c r="AA205" i="6"/>
  <c r="Z205" i="6"/>
  <c r="Y205" i="6"/>
  <c r="AA204" i="6"/>
  <c r="Z204" i="6"/>
  <c r="Y204" i="6"/>
  <c r="AA203" i="6"/>
  <c r="Z203" i="6"/>
  <c r="Y203" i="6"/>
  <c r="AA202" i="6"/>
  <c r="Z202" i="6"/>
  <c r="Y202" i="6"/>
  <c r="AA201" i="6"/>
  <c r="Z201" i="6"/>
  <c r="Y201" i="6"/>
  <c r="AA200" i="6"/>
  <c r="Z200" i="6"/>
  <c r="Y200" i="6"/>
  <c r="AA199" i="6"/>
  <c r="Z199" i="6"/>
  <c r="Y199" i="6"/>
  <c r="AA198" i="6"/>
  <c r="Z198" i="6"/>
  <c r="Y198" i="6"/>
  <c r="AA197" i="6"/>
  <c r="Z197" i="6"/>
  <c r="Y197" i="6"/>
  <c r="AA196" i="6"/>
  <c r="Z196" i="6"/>
  <c r="Y196" i="6"/>
  <c r="AA195" i="6"/>
  <c r="Z195" i="6"/>
  <c r="Y195" i="6"/>
  <c r="AA194" i="6"/>
  <c r="Z194" i="6"/>
  <c r="Y194" i="6"/>
  <c r="AA193" i="6"/>
  <c r="Z193" i="6"/>
  <c r="Y193" i="6"/>
  <c r="AA192" i="6"/>
  <c r="Z192" i="6"/>
  <c r="Y192" i="6"/>
  <c r="AA191" i="6"/>
  <c r="Z191" i="6"/>
  <c r="Y191" i="6"/>
  <c r="AA190" i="6"/>
  <c r="Z190" i="6"/>
  <c r="Y190" i="6"/>
  <c r="AA189" i="6"/>
  <c r="Z189" i="6"/>
  <c r="Y189" i="6"/>
  <c r="AA188" i="6"/>
  <c r="Z188" i="6"/>
  <c r="Y188" i="6"/>
  <c r="AA187" i="6"/>
  <c r="Z187" i="6"/>
  <c r="Y187" i="6"/>
  <c r="AA186" i="6"/>
  <c r="Z186" i="6"/>
  <c r="Y186" i="6"/>
  <c r="AA185" i="6"/>
  <c r="Z185" i="6"/>
  <c r="Y185" i="6"/>
  <c r="AA184" i="6"/>
  <c r="Z184" i="6"/>
  <c r="Y184" i="6"/>
  <c r="AA183" i="6"/>
  <c r="Z183" i="6"/>
  <c r="Y183" i="6"/>
  <c r="AA182" i="6"/>
  <c r="Z182" i="6"/>
  <c r="Y182" i="6"/>
  <c r="AA181" i="6"/>
  <c r="Z181" i="6"/>
  <c r="Y181" i="6"/>
  <c r="AA180" i="6"/>
  <c r="Z180" i="6"/>
  <c r="Y180" i="6"/>
  <c r="AA179" i="6"/>
  <c r="Z179" i="6"/>
  <c r="Y179" i="6"/>
  <c r="AA178" i="6"/>
  <c r="Z178" i="6"/>
  <c r="Y178" i="6"/>
  <c r="AA177" i="6"/>
  <c r="Z177" i="6"/>
  <c r="Y177" i="6"/>
  <c r="AA176" i="6"/>
  <c r="Z176" i="6"/>
  <c r="Y176" i="6"/>
  <c r="AA175" i="6"/>
  <c r="Z175" i="6"/>
  <c r="Y175" i="6"/>
  <c r="AA174" i="6"/>
  <c r="Z174" i="6"/>
  <c r="Y174" i="6"/>
  <c r="AA173" i="6"/>
  <c r="Z173" i="6"/>
  <c r="Y173" i="6"/>
  <c r="AA172" i="6"/>
  <c r="Z172" i="6"/>
  <c r="Y172" i="6"/>
  <c r="AA171" i="6"/>
  <c r="Z171" i="6"/>
  <c r="Y171" i="6"/>
  <c r="AA170" i="6"/>
  <c r="Z170" i="6"/>
  <c r="Y170" i="6"/>
  <c r="AA169" i="6"/>
  <c r="Z169" i="6"/>
  <c r="Y169" i="6"/>
  <c r="AA168" i="6"/>
  <c r="Z168" i="6"/>
  <c r="Y168" i="6"/>
  <c r="AA167" i="6"/>
  <c r="Z167" i="6"/>
  <c r="Y167" i="6"/>
  <c r="AA166" i="6"/>
  <c r="Z166" i="6"/>
  <c r="Y166" i="6"/>
  <c r="AA165" i="6"/>
  <c r="Z165" i="6"/>
  <c r="Y165" i="6"/>
  <c r="AA164" i="6"/>
  <c r="Z164" i="6"/>
  <c r="Y164" i="6"/>
  <c r="AA163" i="6"/>
  <c r="Z163" i="6"/>
  <c r="Y163" i="6"/>
  <c r="AA162" i="6"/>
  <c r="Z162" i="6"/>
  <c r="Y162" i="6"/>
  <c r="AA161" i="6"/>
  <c r="Z161" i="6"/>
  <c r="Y161" i="6"/>
  <c r="AA160" i="6"/>
  <c r="Z160" i="6"/>
  <c r="Y160" i="6"/>
  <c r="AA159" i="6"/>
  <c r="Z159" i="6"/>
  <c r="Y159" i="6"/>
  <c r="AA158" i="6"/>
  <c r="Z158" i="6"/>
  <c r="Y158" i="6"/>
  <c r="AA157" i="6"/>
  <c r="Z157" i="6"/>
  <c r="Y157" i="6"/>
  <c r="AA156" i="6"/>
  <c r="Z156" i="6"/>
  <c r="Y156" i="6"/>
  <c r="AA155" i="6"/>
  <c r="Z155" i="6"/>
  <c r="Y155" i="6"/>
  <c r="AA154" i="6"/>
  <c r="Z154" i="6"/>
  <c r="Y154" i="6"/>
  <c r="AA153" i="6"/>
  <c r="Z153" i="6"/>
  <c r="Y153" i="6"/>
  <c r="AA152" i="6"/>
  <c r="Z152" i="6"/>
  <c r="Y152" i="6"/>
  <c r="AA151" i="6"/>
  <c r="Z151" i="6"/>
  <c r="Y151" i="6"/>
  <c r="AA150" i="6"/>
  <c r="Z150" i="6"/>
  <c r="Y150" i="6"/>
  <c r="AA149" i="6"/>
  <c r="Z149" i="6"/>
  <c r="Y149" i="6"/>
  <c r="AA148" i="6"/>
  <c r="Z148" i="6"/>
  <c r="Y148" i="6"/>
  <c r="AA147" i="6"/>
  <c r="Z147" i="6"/>
  <c r="Y147" i="6"/>
  <c r="AA146" i="6"/>
  <c r="Z146" i="6"/>
  <c r="Y146" i="6"/>
  <c r="AA145" i="6"/>
  <c r="Z145" i="6"/>
  <c r="Y145" i="6"/>
  <c r="AA144" i="6"/>
  <c r="Z144" i="6"/>
  <c r="Y144" i="6"/>
  <c r="AA143" i="6"/>
  <c r="Z143" i="6"/>
  <c r="Y143" i="6"/>
  <c r="AA142" i="6"/>
  <c r="Z142" i="6"/>
  <c r="Y142" i="6"/>
  <c r="AA141" i="6"/>
  <c r="Z141" i="6"/>
  <c r="Y141" i="6"/>
  <c r="AA140" i="6"/>
  <c r="Z140" i="6"/>
  <c r="Y140" i="6"/>
  <c r="AA139" i="6"/>
  <c r="Z139" i="6"/>
  <c r="Y139" i="6"/>
  <c r="AA138" i="6"/>
  <c r="Z138" i="6"/>
  <c r="Y138" i="6"/>
  <c r="AA137" i="6"/>
  <c r="Z137" i="6"/>
  <c r="Y137" i="6"/>
  <c r="AA136" i="6"/>
  <c r="Z136" i="6"/>
  <c r="Y136" i="6"/>
  <c r="AA135" i="6"/>
  <c r="Z135" i="6"/>
  <c r="Y135" i="6"/>
  <c r="AA134" i="6"/>
  <c r="Z134" i="6"/>
  <c r="Y134" i="6"/>
  <c r="AA133" i="6"/>
  <c r="Z133" i="6"/>
  <c r="Y133" i="6"/>
  <c r="AA132" i="6"/>
  <c r="Z132" i="6"/>
  <c r="Y132" i="6"/>
  <c r="AA131" i="6"/>
  <c r="Z131" i="6"/>
  <c r="Y131" i="6"/>
  <c r="AA130" i="6"/>
  <c r="Z130" i="6"/>
  <c r="Y130" i="6"/>
  <c r="AA129" i="6"/>
  <c r="Z129" i="6"/>
  <c r="Y129" i="6"/>
  <c r="AA128" i="6"/>
  <c r="Z128" i="6"/>
  <c r="Y128" i="6"/>
  <c r="AA127" i="6"/>
  <c r="Z127" i="6"/>
  <c r="Y127" i="6"/>
  <c r="AA126" i="6"/>
  <c r="Z126" i="6"/>
  <c r="Y126" i="6"/>
  <c r="AA125" i="6"/>
  <c r="Z125" i="6"/>
  <c r="Y125" i="6"/>
  <c r="AA124" i="6"/>
  <c r="Z124" i="6"/>
  <c r="Y124" i="6"/>
  <c r="AA123" i="6"/>
  <c r="Z123" i="6"/>
  <c r="Y123" i="6"/>
  <c r="AA122" i="6"/>
  <c r="Z122" i="6"/>
  <c r="Y122" i="6"/>
  <c r="AA121" i="6"/>
  <c r="Z121" i="6"/>
  <c r="Y121" i="6"/>
  <c r="AA120" i="6"/>
  <c r="Z120" i="6"/>
  <c r="Y120" i="6"/>
  <c r="AA119" i="6"/>
  <c r="Z119" i="6"/>
  <c r="Y119" i="6"/>
  <c r="AA118" i="6"/>
  <c r="Z118" i="6"/>
  <c r="Y118" i="6"/>
  <c r="AA117" i="6"/>
  <c r="Z117" i="6"/>
  <c r="Y117" i="6"/>
  <c r="AA116" i="6"/>
  <c r="Z116" i="6"/>
  <c r="Y116" i="6"/>
  <c r="AA115" i="6"/>
  <c r="Z115" i="6"/>
  <c r="Y115" i="6"/>
  <c r="AA114" i="6"/>
  <c r="Z114" i="6"/>
  <c r="Y114" i="6"/>
  <c r="AA113" i="6"/>
  <c r="Z113" i="6"/>
  <c r="Y113" i="6"/>
  <c r="AA112" i="6"/>
  <c r="Z112" i="6"/>
  <c r="Y112" i="6"/>
  <c r="AA111" i="6"/>
  <c r="Z111" i="6"/>
  <c r="Y111" i="6"/>
  <c r="AA110" i="6"/>
  <c r="Z110" i="6"/>
  <c r="Y110" i="6"/>
  <c r="AA109" i="6"/>
  <c r="Z109" i="6"/>
  <c r="Y109" i="6"/>
  <c r="AA108" i="6"/>
  <c r="Z108" i="6"/>
  <c r="Y108" i="6"/>
  <c r="AA107" i="6"/>
  <c r="Z107" i="6"/>
  <c r="Y107" i="6"/>
  <c r="AA106" i="6"/>
  <c r="Z106" i="6"/>
  <c r="Y106" i="6"/>
  <c r="AA105" i="6"/>
  <c r="Z105" i="6"/>
  <c r="Y105" i="6"/>
  <c r="AA104" i="6"/>
  <c r="Z104" i="6"/>
  <c r="Y104" i="6"/>
  <c r="AA103" i="6"/>
  <c r="Z103" i="6"/>
  <c r="Y103" i="6"/>
  <c r="AA102" i="6"/>
  <c r="Z102" i="6"/>
  <c r="Y102" i="6"/>
  <c r="AA101" i="6"/>
  <c r="Z101" i="6"/>
  <c r="Y101" i="6"/>
  <c r="AA100" i="6"/>
  <c r="Z100" i="6"/>
  <c r="Y100" i="6"/>
  <c r="AA99" i="6"/>
  <c r="Z99" i="6"/>
  <c r="Y99" i="6"/>
  <c r="AA98" i="6"/>
  <c r="Z98" i="6"/>
  <c r="Y98" i="6"/>
  <c r="AA97" i="6"/>
  <c r="Z97" i="6"/>
  <c r="Y97" i="6"/>
  <c r="AA96" i="6"/>
  <c r="Z96" i="6"/>
  <c r="Y96" i="6"/>
  <c r="AA95" i="6"/>
  <c r="Z95" i="6"/>
  <c r="Y95" i="6"/>
  <c r="AA94" i="6"/>
  <c r="Z94" i="6"/>
  <c r="Y94" i="6"/>
  <c r="AA93" i="6"/>
  <c r="Z93" i="6"/>
  <c r="Y93" i="6"/>
  <c r="AA92" i="6"/>
  <c r="Z92" i="6"/>
  <c r="Y92" i="6"/>
  <c r="AA91" i="6"/>
  <c r="Z91" i="6"/>
  <c r="Y91" i="6"/>
  <c r="AA90" i="6"/>
  <c r="Z90" i="6"/>
  <c r="Y90" i="6"/>
  <c r="AA89" i="6"/>
  <c r="Z89" i="6"/>
  <c r="Y89" i="6"/>
  <c r="AA88" i="6"/>
  <c r="Z88" i="6"/>
  <c r="Y88" i="6"/>
  <c r="AA87" i="6"/>
  <c r="Z87" i="6"/>
  <c r="Y87" i="6"/>
  <c r="AA86" i="6"/>
  <c r="Z86" i="6"/>
  <c r="Y86" i="6"/>
  <c r="AA85" i="6"/>
  <c r="Z85" i="6"/>
  <c r="Y85" i="6"/>
  <c r="AA84" i="6"/>
  <c r="Z84" i="6"/>
  <c r="Y84" i="6"/>
  <c r="AA83" i="6"/>
  <c r="Z83" i="6"/>
  <c r="Y83" i="6"/>
  <c r="AA82" i="6"/>
  <c r="Z82" i="6"/>
  <c r="Y82" i="6"/>
  <c r="AA81" i="6"/>
  <c r="Z81" i="6"/>
  <c r="Y81" i="6"/>
  <c r="AA80" i="6"/>
  <c r="Z80" i="6"/>
  <c r="Y80" i="6"/>
  <c r="AA79" i="6"/>
  <c r="Z79" i="6"/>
  <c r="Y79" i="6"/>
  <c r="AA78" i="6"/>
  <c r="Z78" i="6"/>
  <c r="Y78" i="6"/>
  <c r="AA77" i="6"/>
  <c r="Z77" i="6"/>
  <c r="Y77" i="6"/>
  <c r="AA76" i="6"/>
  <c r="Z76" i="6"/>
  <c r="Y76" i="6"/>
  <c r="AA75" i="6"/>
  <c r="Z75" i="6"/>
  <c r="Y75" i="6"/>
  <c r="AA74" i="6"/>
  <c r="Z74" i="6"/>
  <c r="Y74" i="6"/>
  <c r="AA73" i="6"/>
  <c r="Z73" i="6"/>
  <c r="Y73" i="6"/>
  <c r="AA72" i="6"/>
  <c r="Z72" i="6"/>
  <c r="Y72" i="6"/>
  <c r="AA71" i="6"/>
  <c r="Z71" i="6"/>
  <c r="Y71" i="6"/>
  <c r="AA70" i="6"/>
  <c r="Z70" i="6"/>
  <c r="Y70" i="6"/>
  <c r="AA69" i="6"/>
  <c r="Z69" i="6"/>
  <c r="Y69" i="6"/>
  <c r="AA68" i="6"/>
  <c r="Z68" i="6"/>
  <c r="Y68" i="6"/>
  <c r="AA67" i="6"/>
  <c r="Z67" i="6"/>
  <c r="Y67" i="6"/>
  <c r="AA66" i="6"/>
  <c r="Z66" i="6"/>
  <c r="Y66" i="6"/>
  <c r="AA65" i="6"/>
  <c r="Z65" i="6"/>
  <c r="Y65" i="6"/>
  <c r="AA64" i="6"/>
  <c r="Z64" i="6"/>
  <c r="Y64" i="6"/>
  <c r="AA63" i="6"/>
  <c r="Z63" i="6"/>
  <c r="Y63" i="6"/>
  <c r="AA62" i="6"/>
  <c r="Z62" i="6"/>
  <c r="Y62" i="6"/>
  <c r="AA61" i="6"/>
  <c r="Z61" i="6"/>
  <c r="Y61" i="6"/>
  <c r="AA60" i="6"/>
  <c r="Z60" i="6"/>
  <c r="Y60" i="6"/>
  <c r="AA59" i="6"/>
  <c r="Z59" i="6"/>
  <c r="Y59" i="6"/>
  <c r="AA58" i="6"/>
  <c r="Z58" i="6"/>
  <c r="Y58" i="6"/>
  <c r="AA57" i="6"/>
  <c r="Z57" i="6"/>
  <c r="Y57" i="6"/>
  <c r="AA56" i="6"/>
  <c r="Z56" i="6"/>
  <c r="Y56" i="6"/>
  <c r="AA55" i="6"/>
  <c r="Z55" i="6"/>
  <c r="Y55" i="6"/>
  <c r="AA54" i="6"/>
  <c r="Z54" i="6"/>
  <c r="Y54" i="6"/>
  <c r="AA53" i="6"/>
  <c r="Z53" i="6"/>
  <c r="Y53" i="6"/>
  <c r="AA52" i="6"/>
  <c r="Z52" i="6"/>
  <c r="Y52" i="6"/>
  <c r="AA51" i="6"/>
  <c r="Z51" i="6"/>
  <c r="Y51" i="6"/>
  <c r="AA50" i="6"/>
  <c r="Z50" i="6"/>
  <c r="Y50" i="6"/>
  <c r="AA49" i="6"/>
  <c r="Z49" i="6"/>
  <c r="Y49" i="6"/>
  <c r="AA48" i="6"/>
  <c r="Z48" i="6"/>
  <c r="Y48" i="6"/>
  <c r="AA47" i="6"/>
  <c r="Z47" i="6"/>
  <c r="Y47" i="6"/>
  <c r="AA46" i="6"/>
  <c r="Z46" i="6"/>
  <c r="Y46" i="6"/>
  <c r="AA45" i="6"/>
  <c r="Z45" i="6"/>
  <c r="Y45" i="6"/>
  <c r="AA44" i="6"/>
  <c r="Z44" i="6"/>
  <c r="Y44" i="6"/>
  <c r="AA43" i="6"/>
  <c r="Z43" i="6"/>
  <c r="Y43" i="6"/>
  <c r="AA42" i="6"/>
  <c r="Z42" i="6"/>
  <c r="Y42" i="6"/>
  <c r="AA41" i="6"/>
  <c r="Z41" i="6"/>
  <c r="Y41" i="6"/>
  <c r="AA40" i="6"/>
  <c r="Z40" i="6"/>
  <c r="Y40" i="6"/>
  <c r="AA39" i="6"/>
  <c r="Z39" i="6"/>
  <c r="Y39" i="6"/>
  <c r="AA38" i="6"/>
  <c r="Z38" i="6"/>
  <c r="Y38" i="6"/>
  <c r="AA37" i="6"/>
  <c r="Z37" i="6"/>
  <c r="Y37" i="6"/>
  <c r="AA36" i="6"/>
  <c r="Z36" i="6"/>
  <c r="Y36" i="6"/>
  <c r="AA35" i="6"/>
  <c r="Z35" i="6"/>
  <c r="Y35" i="6"/>
  <c r="AA34" i="6"/>
  <c r="Z34" i="6"/>
  <c r="Y34" i="6"/>
  <c r="AA33" i="6"/>
  <c r="Z33" i="6"/>
  <c r="Y33" i="6"/>
  <c r="AA32" i="6"/>
  <c r="Z32" i="6"/>
  <c r="Y32" i="6"/>
  <c r="AA31" i="6"/>
  <c r="Z31" i="6"/>
  <c r="Y31" i="6"/>
  <c r="AA30" i="6"/>
  <c r="Z30" i="6"/>
  <c r="Y30" i="6"/>
  <c r="AA29" i="6"/>
  <c r="Z29" i="6"/>
  <c r="Y29" i="6"/>
  <c r="AA28" i="6"/>
  <c r="Z28" i="6"/>
  <c r="Y28" i="6"/>
  <c r="AA27" i="6"/>
  <c r="Z27" i="6"/>
  <c r="Y27" i="6"/>
  <c r="AA26" i="6"/>
  <c r="Z26" i="6"/>
  <c r="Y26" i="6"/>
  <c r="AA25" i="6"/>
  <c r="Z25" i="6"/>
  <c r="Y25" i="6"/>
  <c r="AA24" i="6"/>
  <c r="Z24" i="6"/>
  <c r="Y24" i="6"/>
  <c r="AA23" i="6"/>
  <c r="Z23" i="6"/>
  <c r="Y23" i="6"/>
  <c r="AA22" i="6"/>
  <c r="Z22" i="6"/>
  <c r="Y22" i="6"/>
  <c r="AA21" i="6"/>
  <c r="Z21" i="6"/>
  <c r="Y21" i="6"/>
  <c r="AA20" i="6"/>
  <c r="Z20" i="6"/>
  <c r="Y20" i="6"/>
  <c r="AA19" i="6"/>
  <c r="Z19" i="6"/>
  <c r="Y19" i="6"/>
  <c r="AA18" i="6"/>
  <c r="Z18" i="6"/>
  <c r="Y18" i="6"/>
  <c r="AA17" i="6"/>
  <c r="Z17" i="6"/>
  <c r="Y17" i="6"/>
  <c r="AA16" i="6"/>
  <c r="Z16" i="6"/>
  <c r="Y16" i="6"/>
  <c r="AA15" i="6"/>
  <c r="Z15" i="6"/>
  <c r="Y15" i="6"/>
  <c r="AA14" i="6"/>
  <c r="Z14" i="6"/>
  <c r="Y14" i="6"/>
  <c r="AA13" i="6"/>
  <c r="Z13" i="6"/>
  <c r="Y13" i="6"/>
  <c r="AA12" i="6"/>
  <c r="Z12" i="6"/>
  <c r="Y12" i="6"/>
  <c r="AA11" i="6"/>
  <c r="Z11" i="6"/>
  <c r="Y11" i="6"/>
  <c r="AA10" i="6"/>
  <c r="Z10" i="6"/>
  <c r="Y10" i="6"/>
  <c r="AA9" i="6"/>
  <c r="Z9" i="6"/>
  <c r="Y9" i="6"/>
  <c r="AA8" i="6"/>
  <c r="Z8" i="6"/>
  <c r="Y8" i="6"/>
  <c r="AA7" i="6"/>
  <c r="Z7" i="6"/>
  <c r="Y7" i="6"/>
  <c r="AA6" i="6"/>
  <c r="Z6" i="6"/>
  <c r="Y6" i="6"/>
  <c r="AA5" i="6"/>
  <c r="Z5" i="6"/>
  <c r="Y5" i="6"/>
  <c r="AA4" i="6"/>
  <c r="Z4" i="6"/>
  <c r="Y4" i="6"/>
  <c r="AA3" i="6"/>
  <c r="Z3" i="6"/>
  <c r="Y3" i="6"/>
  <c r="AA2" i="6"/>
  <c r="Z2" i="6"/>
  <c r="Y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4A6239-990B-4A8A-B53B-2EC8F778369B}"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2" xr16:uid="{F052B14D-ED50-4DCE-8CE9-93BF98FC0632}" keepAlive="1" name="Query - Sales_Data_1" description="Connection to the 'Sales_Data_1' query in the workbook." type="5" refreshedVersion="8" background="1" saveData="1">
    <dbPr connection="Provider=Microsoft.Mashup.OleDb.1;Data Source=$Workbook$;Location=Sales_Data_1;Extended Properties=&quot;&quot;" command="SELECT * FROM [Sales_Data_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<sst xmlns="http://schemas.openxmlformats.org/spreadsheetml/2006/main" count="29173" uniqueCount="3112">
  <si>
    <t>OrderID</t>
  </si>
  <si>
    <t>Order_Date</t>
  </si>
  <si>
    <t>Customer_Name</t>
  </si>
  <si>
    <t>Region</t>
  </si>
  <si>
    <t>Country</t>
  </si>
  <si>
    <t>City</t>
  </si>
  <si>
    <t>Product_Category</t>
  </si>
  <si>
    <t>Sub_Category</t>
  </si>
  <si>
    <t>Product_Name</t>
  </si>
  <si>
    <t>Quantity</t>
  </si>
  <si>
    <t>Unit_Price</t>
  </si>
  <si>
    <t>Discount</t>
  </si>
  <si>
    <t>Discounted_Price</t>
  </si>
  <si>
    <t>Sales</t>
  </si>
  <si>
    <t>Profit_Margin</t>
  </si>
  <si>
    <t>Profit_Amount</t>
  </si>
  <si>
    <t>Payment_Mode</t>
  </si>
  <si>
    <t>Delivery_Status</t>
  </si>
  <si>
    <t>Delivery_Days</t>
  </si>
  <si>
    <t>ORD1000</t>
  </si>
  <si>
    <t>Sara Khan</t>
  </si>
  <si>
    <t>South</t>
  </si>
  <si>
    <t>USA</t>
  </si>
  <si>
    <t>London</t>
  </si>
  <si>
    <t>Sports</t>
  </si>
  <si>
    <t>Yoga Mat</t>
  </si>
  <si>
    <t>Yoga Mat - 475</t>
  </si>
  <si>
    <t>UPI</t>
  </si>
  <si>
    <t>Cancelled</t>
  </si>
  <si>
    <t>ORD1001</t>
  </si>
  <si>
    <t>Amit Verma</t>
  </si>
  <si>
    <t>West</t>
  </si>
  <si>
    <t>UK</t>
  </si>
  <si>
    <t>Bangalore</t>
  </si>
  <si>
    <t>Books</t>
  </si>
  <si>
    <t>Biography</t>
  </si>
  <si>
    <t>Biography - 186</t>
  </si>
  <si>
    <t>Cash</t>
  </si>
  <si>
    <t>Pending</t>
  </si>
  <si>
    <t>ORD1002</t>
  </si>
  <si>
    <t>Priya Mehta</t>
  </si>
  <si>
    <t>East</t>
  </si>
  <si>
    <t>Canada</t>
  </si>
  <si>
    <t>Toronto</t>
  </si>
  <si>
    <t>Clothing</t>
  </si>
  <si>
    <t>Dress</t>
  </si>
  <si>
    <t>Dress - 518</t>
  </si>
  <si>
    <t>Debit Card</t>
  </si>
  <si>
    <t>Delivered</t>
  </si>
  <si>
    <t>ORD1003</t>
  </si>
  <si>
    <t>Biography - 853</t>
  </si>
  <si>
    <t>Credit Card</t>
  </si>
  <si>
    <t>ORD1004</t>
  </si>
  <si>
    <t>Biography - 298</t>
  </si>
  <si>
    <t>ORD1005</t>
  </si>
  <si>
    <t>David Lee</t>
  </si>
  <si>
    <t>North</t>
  </si>
  <si>
    <t>Furniture</t>
  </si>
  <si>
    <t>Chair</t>
  </si>
  <si>
    <t>Chair - 562</t>
  </si>
  <si>
    <t>ORD1006</t>
  </si>
  <si>
    <t>Dress - 536</t>
  </si>
  <si>
    <t>ORD1007</t>
  </si>
  <si>
    <t>Maria Singh</t>
  </si>
  <si>
    <t>T-Shirt</t>
  </si>
  <si>
    <t>T-Shirt - 409</t>
  </si>
  <si>
    <t>ORD1008</t>
  </si>
  <si>
    <t>India</t>
  </si>
  <si>
    <t>Delhi</t>
  </si>
  <si>
    <t>Dress - 695</t>
  </si>
  <si>
    <t>ORD1009</t>
  </si>
  <si>
    <t>Comics</t>
  </si>
  <si>
    <t>Comics - 853</t>
  </si>
  <si>
    <t>ORD1010</t>
  </si>
  <si>
    <t>Football</t>
  </si>
  <si>
    <t>Football - 380</t>
  </si>
  <si>
    <t>ORD1011</t>
  </si>
  <si>
    <t>T-Shirt - 422</t>
  </si>
  <si>
    <t>ORD1012</t>
  </si>
  <si>
    <t>Biography - 863</t>
  </si>
  <si>
    <t>ORD1013</t>
  </si>
  <si>
    <t>Sofa</t>
  </si>
  <si>
    <t>Sofa - 801</t>
  </si>
  <si>
    <t>ORD1014</t>
  </si>
  <si>
    <t>Football - 251</t>
  </si>
  <si>
    <t>ORD1015</t>
  </si>
  <si>
    <t>Chair - 401</t>
  </si>
  <si>
    <t>ORD1016</t>
  </si>
  <si>
    <t>Football - 377</t>
  </si>
  <si>
    <t>ORD1017</t>
  </si>
  <si>
    <t>Comics - 750</t>
  </si>
  <si>
    <t>ORD1018</t>
  </si>
  <si>
    <t>Electronics</t>
  </si>
  <si>
    <t>Laptop</t>
  </si>
  <si>
    <t>Laptop - 787</t>
  </si>
  <si>
    <t>ORD1019</t>
  </si>
  <si>
    <t>John Smith</t>
  </si>
  <si>
    <t>New York</t>
  </si>
  <si>
    <t>Football - 107</t>
  </si>
  <si>
    <t>ORD1020</t>
  </si>
  <si>
    <t>Bookshelf</t>
  </si>
  <si>
    <t>Bookshelf - 906</t>
  </si>
  <si>
    <t>ORD1021</t>
  </si>
  <si>
    <t>Mumbai</t>
  </si>
  <si>
    <t>Fiction</t>
  </si>
  <si>
    <t>Fiction - 334</t>
  </si>
  <si>
    <t>ORD1022</t>
  </si>
  <si>
    <t>Football - 774</t>
  </si>
  <si>
    <t>ORD1023</t>
  </si>
  <si>
    <t>Tablet</t>
  </si>
  <si>
    <t>Tablet - 660</t>
  </si>
  <si>
    <t>ORD1024</t>
  </si>
  <si>
    <t>Tablet - 401</t>
  </si>
  <si>
    <t>ORD1025</t>
  </si>
  <si>
    <t>T-Shirt - 137</t>
  </si>
  <si>
    <t>ORD1026</t>
  </si>
  <si>
    <t>Jeans</t>
  </si>
  <si>
    <t>Jeans - 235</t>
  </si>
  <si>
    <t>ORD1027</t>
  </si>
  <si>
    <t>Chair - 921</t>
  </si>
  <si>
    <t>ORD1028</t>
  </si>
  <si>
    <t>Cricket Bat</t>
  </si>
  <si>
    <t>Cricket Bat - 520</t>
  </si>
  <si>
    <t>ORD1029</t>
  </si>
  <si>
    <t>Football - 318</t>
  </si>
  <si>
    <t>ORD1030</t>
  </si>
  <si>
    <t>Jeans - 447</t>
  </si>
  <si>
    <t>ORD1031</t>
  </si>
  <si>
    <t>Yoga Mat - 907</t>
  </si>
  <si>
    <t>ORD1032</t>
  </si>
  <si>
    <t>Football - 645</t>
  </si>
  <si>
    <t>ORD1033</t>
  </si>
  <si>
    <t>Tablet - 963</t>
  </si>
  <si>
    <t>ORD1034</t>
  </si>
  <si>
    <t>T-Shirt - 178</t>
  </si>
  <si>
    <t>ORD1035</t>
  </si>
  <si>
    <t>Fiction - 847</t>
  </si>
  <si>
    <t>ORD1036</t>
  </si>
  <si>
    <t>Jacket</t>
  </si>
  <si>
    <t>Jacket - 994</t>
  </si>
  <si>
    <t>ORD1037</t>
  </si>
  <si>
    <t>Non-Fiction</t>
  </si>
  <si>
    <t>Non-Fiction - 372</t>
  </si>
  <si>
    <t>ORD1038</t>
  </si>
  <si>
    <t>Tablet - 260</t>
  </si>
  <si>
    <t>ORD1039</t>
  </si>
  <si>
    <t>Sofa - 786</t>
  </si>
  <si>
    <t>ORD1040</t>
  </si>
  <si>
    <t>Yoga Mat - 977</t>
  </si>
  <si>
    <t>ORD1041</t>
  </si>
  <si>
    <t>Tablet - 407</t>
  </si>
  <si>
    <t>ORD1042</t>
  </si>
  <si>
    <t>Cricket Bat - 473</t>
  </si>
  <si>
    <t>ORD1043</t>
  </si>
  <si>
    <t>Sofa - 832</t>
  </si>
  <si>
    <t>ORD1044</t>
  </si>
  <si>
    <t>Chair - 108</t>
  </si>
  <si>
    <t>ORD1045</t>
  </si>
  <si>
    <t>Laptop - 900</t>
  </si>
  <si>
    <t>ORD1046</t>
  </si>
  <si>
    <t>Chair - 543</t>
  </si>
  <si>
    <t>ORD1047</t>
  </si>
  <si>
    <t>Non-Fiction - 212</t>
  </si>
  <si>
    <t>ORD1048</t>
  </si>
  <si>
    <t>Bookshelf - 304</t>
  </si>
  <si>
    <t>ORD1049</t>
  </si>
  <si>
    <t>Cricket Bat - 504</t>
  </si>
  <si>
    <t>ORD1050</t>
  </si>
  <si>
    <t>Cricket Bat - 797</t>
  </si>
  <si>
    <t>ORD1051</t>
  </si>
  <si>
    <t>Football - 952</t>
  </si>
  <si>
    <t>ORD1052</t>
  </si>
  <si>
    <t>Cricket Bat - 296</t>
  </si>
  <si>
    <t>ORD1053</t>
  </si>
  <si>
    <t>Comics - 877</t>
  </si>
  <si>
    <t>ORD1054</t>
  </si>
  <si>
    <t>Jacket - 873</t>
  </si>
  <si>
    <t>ORD1055</t>
  </si>
  <si>
    <t>Earphones</t>
  </si>
  <si>
    <t>Earphones - 859</t>
  </si>
  <si>
    <t>ORD1056</t>
  </si>
  <si>
    <t>Cricket Bat - 214</t>
  </si>
  <si>
    <t>ORD1057</t>
  </si>
  <si>
    <t>Table</t>
  </si>
  <si>
    <t>Table - 220</t>
  </si>
  <si>
    <t>ORD1058</t>
  </si>
  <si>
    <t>Tennis Racket</t>
  </si>
  <si>
    <t>Tennis Racket - 752</t>
  </si>
  <si>
    <t>ORD1059</t>
  </si>
  <si>
    <t>Table - 164</t>
  </si>
  <si>
    <t>ORD1060</t>
  </si>
  <si>
    <t>Table - 375</t>
  </si>
  <si>
    <t>ORD1061</t>
  </si>
  <si>
    <t>Tennis Racket - 924</t>
  </si>
  <si>
    <t>ORD1062</t>
  </si>
  <si>
    <t>Non-Fiction - 338</t>
  </si>
  <si>
    <t>ORD1063</t>
  </si>
  <si>
    <t>Sofa - 401</t>
  </si>
  <si>
    <t>ORD1064</t>
  </si>
  <si>
    <t>Table - 491</t>
  </si>
  <si>
    <t>ORD1065</t>
  </si>
  <si>
    <t>Tennis Racket - 621</t>
  </si>
  <si>
    <t>ORD1066</t>
  </si>
  <si>
    <t>Chair - 468</t>
  </si>
  <si>
    <t>ORD1067</t>
  </si>
  <si>
    <t>Bookshelf - 332</t>
  </si>
  <si>
    <t>ORD1068</t>
  </si>
  <si>
    <t>Tennis Racket - 294</t>
  </si>
  <si>
    <t>ORD1069</t>
  </si>
  <si>
    <t>Tennis Racket - 111</t>
  </si>
  <si>
    <t>ORD1070</t>
  </si>
  <si>
    <t>Earphones - 788</t>
  </si>
  <si>
    <t>ORD1071</t>
  </si>
  <si>
    <t>Comics - 276</t>
  </si>
  <si>
    <t>ORD1072</t>
  </si>
  <si>
    <t>Comics - 316</t>
  </si>
  <si>
    <t>ORD1073</t>
  </si>
  <si>
    <t>Table - 110</t>
  </si>
  <si>
    <t>ORD1074</t>
  </si>
  <si>
    <t>Biography - 545</t>
  </si>
  <si>
    <t>ORD1075</t>
  </si>
  <si>
    <t>Chair - 729</t>
  </si>
  <si>
    <t>ORD1076</t>
  </si>
  <si>
    <t>Tablet - 263</t>
  </si>
  <si>
    <t>ORD1077</t>
  </si>
  <si>
    <t>Yoga Mat - 650</t>
  </si>
  <si>
    <t>ORD1078</t>
  </si>
  <si>
    <t>Football - 152</t>
  </si>
  <si>
    <t>ORD1079</t>
  </si>
  <si>
    <t>Cricket Bat - 317</t>
  </si>
  <si>
    <t>ORD1080</t>
  </si>
  <si>
    <t>Biography - 817</t>
  </si>
  <si>
    <t>ORD1081</t>
  </si>
  <si>
    <t>Laptop - 923</t>
  </si>
  <si>
    <t>ORD1082</t>
  </si>
  <si>
    <t>Fiction - 459</t>
  </si>
  <si>
    <t>ORD1083</t>
  </si>
  <si>
    <t>Fiction - 484</t>
  </si>
  <si>
    <t>ORD1084</t>
  </si>
  <si>
    <t>Tablet - 155</t>
  </si>
  <si>
    <t>ORD1085</t>
  </si>
  <si>
    <t>Tablet - 217</t>
  </si>
  <si>
    <t>ORD1086</t>
  </si>
  <si>
    <t>Mobile</t>
  </si>
  <si>
    <t>Mobile - 352</t>
  </si>
  <si>
    <t>ORD1087</t>
  </si>
  <si>
    <t>Mobile - 897</t>
  </si>
  <si>
    <t>ORD1088</t>
  </si>
  <si>
    <t>Yoga Mat - 879</t>
  </si>
  <si>
    <t>ORD1089</t>
  </si>
  <si>
    <t>Jeans - 902</t>
  </si>
  <si>
    <t>ORD1090</t>
  </si>
  <si>
    <t>T-Shirt - 944</t>
  </si>
  <si>
    <t>ORD1091</t>
  </si>
  <si>
    <t>Laptop - 279</t>
  </si>
  <si>
    <t>ORD1092</t>
  </si>
  <si>
    <t>Jacket - 514</t>
  </si>
  <si>
    <t>ORD1093</t>
  </si>
  <si>
    <t>T-Shirt - 969</t>
  </si>
  <si>
    <t>ORD1094</t>
  </si>
  <si>
    <t>Earphones - 334</t>
  </si>
  <si>
    <t>ORD1095</t>
  </si>
  <si>
    <t>T-Shirt - 954</t>
  </si>
  <si>
    <t>ORD1096</t>
  </si>
  <si>
    <t>Fiction - 807</t>
  </si>
  <si>
    <t>ORD1097</t>
  </si>
  <si>
    <t>Bookshelf - 919</t>
  </si>
  <si>
    <t>ORD1098</t>
  </si>
  <si>
    <t>Table - 179</t>
  </si>
  <si>
    <t>ORD1099</t>
  </si>
  <si>
    <t>Mobile - 746</t>
  </si>
  <si>
    <t>ORD1100</t>
  </si>
  <si>
    <t>Yoga Mat - 121</t>
  </si>
  <si>
    <t>ORD1101</t>
  </si>
  <si>
    <t>Tablet - 576</t>
  </si>
  <si>
    <t>ORD1102</t>
  </si>
  <si>
    <t>Cricket Bat - 942</t>
  </si>
  <si>
    <t>ORD1103</t>
  </si>
  <si>
    <t>Bookshelf - 539</t>
  </si>
  <si>
    <t>ORD1104</t>
  </si>
  <si>
    <t>Laptop - 836</t>
  </si>
  <si>
    <t>ORD1105</t>
  </si>
  <si>
    <t>Comics - 669</t>
  </si>
  <si>
    <t>ORD1106</t>
  </si>
  <si>
    <t>T-Shirt - 192</t>
  </si>
  <si>
    <t>ORD1107</t>
  </si>
  <si>
    <t>Yoga Mat - 291</t>
  </si>
  <si>
    <t>ORD1108</t>
  </si>
  <si>
    <t>T-Shirt - 202</t>
  </si>
  <si>
    <t>ORD1109</t>
  </si>
  <si>
    <t>Jeans - 495</t>
  </si>
  <si>
    <t>ORD1110</t>
  </si>
  <si>
    <t>Tablet - 106</t>
  </si>
  <si>
    <t>ORD1111</t>
  </si>
  <si>
    <t>Jacket - 739</t>
  </si>
  <si>
    <t>ORD1112</t>
  </si>
  <si>
    <t>Comics - 666</t>
  </si>
  <si>
    <t>ORD1113</t>
  </si>
  <si>
    <t>Dress - 330</t>
  </si>
  <si>
    <t>ORD1114</t>
  </si>
  <si>
    <t>Tablet - 973</t>
  </si>
  <si>
    <t>ORD1115</t>
  </si>
  <si>
    <t>Non-Fiction - 673</t>
  </si>
  <si>
    <t>ORD1116</t>
  </si>
  <si>
    <t>Bookshelf - 339</t>
  </si>
  <si>
    <t>ORD1117</t>
  </si>
  <si>
    <t>Jeans - 189</t>
  </si>
  <si>
    <t>ORD1118</t>
  </si>
  <si>
    <t>Laptop - 331</t>
  </si>
  <si>
    <t>ORD1119</t>
  </si>
  <si>
    <t>Chair - 556</t>
  </si>
  <si>
    <t>ORD1120</t>
  </si>
  <si>
    <t>Chair - 332</t>
  </si>
  <si>
    <t>ORD1121</t>
  </si>
  <si>
    <t>Cricket Bat - 453</t>
  </si>
  <si>
    <t>ORD1122</t>
  </si>
  <si>
    <t>Non-Fiction - 432</t>
  </si>
  <si>
    <t>ORD1123</t>
  </si>
  <si>
    <t>Dress - 538</t>
  </si>
  <si>
    <t>ORD1124</t>
  </si>
  <si>
    <t>Earphones - 474</t>
  </si>
  <si>
    <t>ORD1125</t>
  </si>
  <si>
    <t>Tennis Racket - 391</t>
  </si>
  <si>
    <t>ORD1126</t>
  </si>
  <si>
    <t>Non-Fiction - 444</t>
  </si>
  <si>
    <t>ORD1127</t>
  </si>
  <si>
    <t>Cricket Bat - 763</t>
  </si>
  <si>
    <t>ORD1128</t>
  </si>
  <si>
    <t>Non-Fiction - 527</t>
  </si>
  <si>
    <t>ORD1129</t>
  </si>
  <si>
    <t>Comics - 756</t>
  </si>
  <si>
    <t>ORD1130</t>
  </si>
  <si>
    <t>Jacket - 229</t>
  </si>
  <si>
    <t>ORD1131</t>
  </si>
  <si>
    <t>Non-Fiction - 240</t>
  </si>
  <si>
    <t>ORD1132</t>
  </si>
  <si>
    <t>Football - 514</t>
  </si>
  <si>
    <t>ORD1133</t>
  </si>
  <si>
    <t>Non-Fiction - 192</t>
  </si>
  <si>
    <t>ORD1134</t>
  </si>
  <si>
    <t>Dress - 725</t>
  </si>
  <si>
    <t>ORD1135</t>
  </si>
  <si>
    <t>T-Shirt - 383</t>
  </si>
  <si>
    <t>ORD1136</t>
  </si>
  <si>
    <t>Football - 754</t>
  </si>
  <si>
    <t>ORD1137</t>
  </si>
  <si>
    <t>Table - 322</t>
  </si>
  <si>
    <t>ORD1138</t>
  </si>
  <si>
    <t>Table - 843</t>
  </si>
  <si>
    <t>ORD1139</t>
  </si>
  <si>
    <t>Comics - 562</t>
  </si>
  <si>
    <t>ORD1140</t>
  </si>
  <si>
    <t>Tablet - 644</t>
  </si>
  <si>
    <t>ORD1141</t>
  </si>
  <si>
    <t>Biography - 375</t>
  </si>
  <si>
    <t>ORD1142</t>
  </si>
  <si>
    <t>Cricket Bat - 781</t>
  </si>
  <si>
    <t>ORD1143</t>
  </si>
  <si>
    <t>Yoga Mat - 239</t>
  </si>
  <si>
    <t>ORD1144</t>
  </si>
  <si>
    <t>Cricket Bat - 456</t>
  </si>
  <si>
    <t>ORD1145</t>
  </si>
  <si>
    <t>Tennis Racket - 812</t>
  </si>
  <si>
    <t>ORD1146</t>
  </si>
  <si>
    <t>Tennis Racket - 122</t>
  </si>
  <si>
    <t>ORD1147</t>
  </si>
  <si>
    <t>Jacket - 835</t>
  </si>
  <si>
    <t>ORD1148</t>
  </si>
  <si>
    <t>Bookshelf - 979</t>
  </si>
  <si>
    <t>ORD1149</t>
  </si>
  <si>
    <t>Football - 369</t>
  </si>
  <si>
    <t>ORD1150</t>
  </si>
  <si>
    <t>Mobile - 958</t>
  </si>
  <si>
    <t>ORD1151</t>
  </si>
  <si>
    <t>Tablet - 764</t>
  </si>
  <si>
    <t>ORD1152</t>
  </si>
  <si>
    <t>Mobile - 432</t>
  </si>
  <si>
    <t>ORD1153</t>
  </si>
  <si>
    <t>Mobile - 184</t>
  </si>
  <si>
    <t>ORD1154</t>
  </si>
  <si>
    <t>Dress - 720</t>
  </si>
  <si>
    <t>ORD1155</t>
  </si>
  <si>
    <t>Laptop - 130</t>
  </si>
  <si>
    <t>ORD1156</t>
  </si>
  <si>
    <t>Tennis Racket - 840</t>
  </si>
  <si>
    <t>ORD1157</t>
  </si>
  <si>
    <t>Comics - 339</t>
  </si>
  <si>
    <t>ORD1158</t>
  </si>
  <si>
    <t>Earphones - 989</t>
  </si>
  <si>
    <t>ORD1159</t>
  </si>
  <si>
    <t>Dress - 462</t>
  </si>
  <si>
    <t>ORD1160</t>
  </si>
  <si>
    <t>Jeans - 921</t>
  </si>
  <si>
    <t>ORD1161</t>
  </si>
  <si>
    <t>Tablet - 488</t>
  </si>
  <si>
    <t>ORD1162</t>
  </si>
  <si>
    <t>Fiction - 752</t>
  </si>
  <si>
    <t>ORD1163</t>
  </si>
  <si>
    <t>Earphones - 767</t>
  </si>
  <si>
    <t>ORD1164</t>
  </si>
  <si>
    <t>T-Shirt - 398</t>
  </si>
  <si>
    <t>ORD1165</t>
  </si>
  <si>
    <t>Chair - 956</t>
  </si>
  <si>
    <t>ORD1166</t>
  </si>
  <si>
    <t>Tennis Racket - 470</t>
  </si>
  <si>
    <t>ORD1167</t>
  </si>
  <si>
    <t>Jacket - 198</t>
  </si>
  <si>
    <t>ORD1168</t>
  </si>
  <si>
    <t>Earphones - 146</t>
  </si>
  <si>
    <t>ORD1169</t>
  </si>
  <si>
    <t>Tennis Racket - 938</t>
  </si>
  <si>
    <t>ORD1170</t>
  </si>
  <si>
    <t>Tablet - 521</t>
  </si>
  <si>
    <t>ORD1171</t>
  </si>
  <si>
    <t>Tablet - 579</t>
  </si>
  <si>
    <t>ORD1172</t>
  </si>
  <si>
    <t>Chair - 678</t>
  </si>
  <si>
    <t>ORD1173</t>
  </si>
  <si>
    <t>Yoga Mat - 161</t>
  </si>
  <si>
    <t>ORD1174</t>
  </si>
  <si>
    <t>Football - 208</t>
  </si>
  <si>
    <t>ORD1175</t>
  </si>
  <si>
    <t>Chair - 778</t>
  </si>
  <si>
    <t>ORD1176</t>
  </si>
  <si>
    <t>Jacket - 648</t>
  </si>
  <si>
    <t>ORD1177</t>
  </si>
  <si>
    <t>Laptop - 218</t>
  </si>
  <si>
    <t>ORD1178</t>
  </si>
  <si>
    <t>Comics - 697</t>
  </si>
  <si>
    <t>ORD1179</t>
  </si>
  <si>
    <t>Tablet - 481</t>
  </si>
  <si>
    <t>ORD1180</t>
  </si>
  <si>
    <t>Laptop - 491</t>
  </si>
  <si>
    <t>ORD1181</t>
  </si>
  <si>
    <t>Dress - 151</t>
  </si>
  <si>
    <t>ORD1182</t>
  </si>
  <si>
    <t>Tablet - 702</t>
  </si>
  <si>
    <t>ORD1183</t>
  </si>
  <si>
    <t>Bookshelf - 388</t>
  </si>
  <si>
    <t>ORD1184</t>
  </si>
  <si>
    <t>Table - 436</t>
  </si>
  <si>
    <t>ORD1185</t>
  </si>
  <si>
    <t>Tennis Racket - 909</t>
  </si>
  <si>
    <t>ORD1186</t>
  </si>
  <si>
    <t>Biography - 303</t>
  </si>
  <si>
    <t>ORD1187</t>
  </si>
  <si>
    <t>Earphones - 979</t>
  </si>
  <si>
    <t>ORD1188</t>
  </si>
  <si>
    <t>Mobile - 337</t>
  </si>
  <si>
    <t>ORD1189</t>
  </si>
  <si>
    <t>Dress - 481</t>
  </si>
  <si>
    <t>ORD1190</t>
  </si>
  <si>
    <t>Bookshelf - 766</t>
  </si>
  <si>
    <t>ORD1191</t>
  </si>
  <si>
    <t>Non-Fiction - 851</t>
  </si>
  <si>
    <t>ORD1192</t>
  </si>
  <si>
    <t>Tennis Racket - 235</t>
  </si>
  <si>
    <t>ORD1193</t>
  </si>
  <si>
    <t>Bookshelf - 506</t>
  </si>
  <si>
    <t>ORD1194</t>
  </si>
  <si>
    <t>Yoga Mat - 607</t>
  </si>
  <si>
    <t>ORD1195</t>
  </si>
  <si>
    <t>Dress - 461</t>
  </si>
  <si>
    <t>ORD1196</t>
  </si>
  <si>
    <t>T-Shirt - 480</t>
  </si>
  <si>
    <t>ORD1197</t>
  </si>
  <si>
    <t>Mobile - 980</t>
  </si>
  <si>
    <t>ORD1198</t>
  </si>
  <si>
    <t>Fiction - 675</t>
  </si>
  <si>
    <t>ORD1199</t>
  </si>
  <si>
    <t>Football - 734</t>
  </si>
  <si>
    <t>ORD1200</t>
  </si>
  <si>
    <t>Sofa - 353</t>
  </si>
  <si>
    <t>ORD1201</t>
  </si>
  <si>
    <t>Jacket - 576</t>
  </si>
  <si>
    <t>ORD1202</t>
  </si>
  <si>
    <t>Earphones - 213</t>
  </si>
  <si>
    <t>ORD1203</t>
  </si>
  <si>
    <t>Mobile - 119</t>
  </si>
  <si>
    <t>ORD1204</t>
  </si>
  <si>
    <t>Tennis Racket - 627</t>
  </si>
  <si>
    <t>ORD1205</t>
  </si>
  <si>
    <t>Jeans - 244</t>
  </si>
  <si>
    <t>ORD1206</t>
  </si>
  <si>
    <t>Comics - 307</t>
  </si>
  <si>
    <t>ORD1207</t>
  </si>
  <si>
    <t>T-Shirt - 630</t>
  </si>
  <si>
    <t>ORD1208</t>
  </si>
  <si>
    <t>Tennis Racket - 475</t>
  </si>
  <si>
    <t>ORD1209</t>
  </si>
  <si>
    <t>Cricket Bat - 603</t>
  </si>
  <si>
    <t>ORD1210</t>
  </si>
  <si>
    <t>Jacket - 265</t>
  </si>
  <si>
    <t>ORD1211</t>
  </si>
  <si>
    <t>Yoga Mat - 649</t>
  </si>
  <si>
    <t>ORD1212</t>
  </si>
  <si>
    <t>T-Shirt - 280</t>
  </si>
  <si>
    <t>ORD1213</t>
  </si>
  <si>
    <t>Sofa - 960</t>
  </si>
  <si>
    <t>ORD1214</t>
  </si>
  <si>
    <t>Dress - 716</t>
  </si>
  <si>
    <t>ORD1215</t>
  </si>
  <si>
    <t>T-Shirt - 711</t>
  </si>
  <si>
    <t>ORD1216</t>
  </si>
  <si>
    <t>Yoga Mat - 701</t>
  </si>
  <si>
    <t>ORD1217</t>
  </si>
  <si>
    <t>Football - 911</t>
  </si>
  <si>
    <t>ORD1218</t>
  </si>
  <si>
    <t>Mobile - 543</t>
  </si>
  <si>
    <t>ORD1219</t>
  </si>
  <si>
    <t>Laptop - 431</t>
  </si>
  <si>
    <t>ORD1220</t>
  </si>
  <si>
    <t>Sofa - 602</t>
  </si>
  <si>
    <t>ORD1221</t>
  </si>
  <si>
    <t>Laptop - 178</t>
  </si>
  <si>
    <t>ORD1222</t>
  </si>
  <si>
    <t>Dress - 684</t>
  </si>
  <si>
    <t>ORD1223</t>
  </si>
  <si>
    <t>Tennis Racket - 787</t>
  </si>
  <si>
    <t>ORD1224</t>
  </si>
  <si>
    <t>Mobile - 495</t>
  </si>
  <si>
    <t>ORD1225</t>
  </si>
  <si>
    <t>Tablet - 707</t>
  </si>
  <si>
    <t>ORD1226</t>
  </si>
  <si>
    <t>Table - 956</t>
  </si>
  <si>
    <t>ORD1227</t>
  </si>
  <si>
    <t>Sofa - 202</t>
  </si>
  <si>
    <t>ORD1228</t>
  </si>
  <si>
    <t>Jacket - 501</t>
  </si>
  <si>
    <t>ORD1229</t>
  </si>
  <si>
    <t>Tennis Racket - 323</t>
  </si>
  <si>
    <t>ORD1230</t>
  </si>
  <si>
    <t>Bookshelf - 617</t>
  </si>
  <si>
    <t>ORD1231</t>
  </si>
  <si>
    <t>Earphones - 733</t>
  </si>
  <si>
    <t>ORD1232</t>
  </si>
  <si>
    <t>Cricket Bat - 335</t>
  </si>
  <si>
    <t>ORD1233</t>
  </si>
  <si>
    <t>Cricket Bat - 526</t>
  </si>
  <si>
    <t>ORD1234</t>
  </si>
  <si>
    <t>Mobile - 215</t>
  </si>
  <si>
    <t>ORD1235</t>
  </si>
  <si>
    <t>Bookshelf - 262</t>
  </si>
  <si>
    <t>ORD1236</t>
  </si>
  <si>
    <t>Mobile - 325</t>
  </si>
  <si>
    <t>ORD1237</t>
  </si>
  <si>
    <t>Cricket Bat - 329</t>
  </si>
  <si>
    <t>ORD1238</t>
  </si>
  <si>
    <t>Non-Fiction - 281</t>
  </si>
  <si>
    <t>ORD1239</t>
  </si>
  <si>
    <t>Fiction - 348</t>
  </si>
  <si>
    <t>ORD1240</t>
  </si>
  <si>
    <t>Dress - 417</t>
  </si>
  <si>
    <t>ORD1241</t>
  </si>
  <si>
    <t>Tablet - 309</t>
  </si>
  <si>
    <t>ORD1242</t>
  </si>
  <si>
    <t>Earphones - 755</t>
  </si>
  <si>
    <t>ORD1243</t>
  </si>
  <si>
    <t>Jeans - 491</t>
  </si>
  <si>
    <t>ORD1244</t>
  </si>
  <si>
    <t>Jeans - 956</t>
  </si>
  <si>
    <t>ORD1245</t>
  </si>
  <si>
    <t>Dress - 195</t>
  </si>
  <si>
    <t>ORD1246</t>
  </si>
  <si>
    <t>Yoga Mat - 993</t>
  </si>
  <si>
    <t>ORD1247</t>
  </si>
  <si>
    <t>Laptop - 957</t>
  </si>
  <si>
    <t>ORD1248</t>
  </si>
  <si>
    <t>Football - 855</t>
  </si>
  <si>
    <t>ORD1249</t>
  </si>
  <si>
    <t>Jeans - 185</t>
  </si>
  <si>
    <t>ORD1250</t>
  </si>
  <si>
    <t>Earphones - 514</t>
  </si>
  <si>
    <t>ORD1251</t>
  </si>
  <si>
    <t>Tennis Racket - 493</t>
  </si>
  <si>
    <t>ORD1252</t>
  </si>
  <si>
    <t>Football - 795</t>
  </si>
  <si>
    <t>ORD1253</t>
  </si>
  <si>
    <t>Jacket - 732</t>
  </si>
  <si>
    <t>ORD1254</t>
  </si>
  <si>
    <t>Earphones - 943</t>
  </si>
  <si>
    <t>ORD1255</t>
  </si>
  <si>
    <t>Dress - 600</t>
  </si>
  <si>
    <t>ORD1256</t>
  </si>
  <si>
    <t>Laptop - 703</t>
  </si>
  <si>
    <t>ORD1257</t>
  </si>
  <si>
    <t>Non-Fiction - 681</t>
  </si>
  <si>
    <t>ORD1258</t>
  </si>
  <si>
    <t>Sofa - 232</t>
  </si>
  <si>
    <t>ORD1259</t>
  </si>
  <si>
    <t>Chair - 890</t>
  </si>
  <si>
    <t>ORD1260</t>
  </si>
  <si>
    <t>Table - 748</t>
  </si>
  <si>
    <t>ORD1261</t>
  </si>
  <si>
    <t>T-Shirt - 413</t>
  </si>
  <si>
    <t>ORD1262</t>
  </si>
  <si>
    <t>Biography - 798</t>
  </si>
  <si>
    <t>ORD1263</t>
  </si>
  <si>
    <t>Mobile - 320</t>
  </si>
  <si>
    <t>ORD1264</t>
  </si>
  <si>
    <t>Cricket Bat - 537</t>
  </si>
  <si>
    <t>ORD1265</t>
  </si>
  <si>
    <t>Laptop - 145</t>
  </si>
  <si>
    <t>ORD1266</t>
  </si>
  <si>
    <t>Tennis Racket - 889</t>
  </si>
  <si>
    <t>ORD1267</t>
  </si>
  <si>
    <t>Laptop - 291</t>
  </si>
  <si>
    <t>ORD1268</t>
  </si>
  <si>
    <t>Non-Fiction - 619</t>
  </si>
  <si>
    <t>ORD1269</t>
  </si>
  <si>
    <t>Football - 478</t>
  </si>
  <si>
    <t>ORD1270</t>
  </si>
  <si>
    <t>Jacket - 887</t>
  </si>
  <si>
    <t>ORD1271</t>
  </si>
  <si>
    <t>Mobile - 790</t>
  </si>
  <si>
    <t>ORD1272</t>
  </si>
  <si>
    <t>Earphones - 433</t>
  </si>
  <si>
    <t>ORD1273</t>
  </si>
  <si>
    <t>Football - 138</t>
  </si>
  <si>
    <t>ORD1274</t>
  </si>
  <si>
    <t>Jeans - 392</t>
  </si>
  <si>
    <t>ORD1275</t>
  </si>
  <si>
    <t>T-Shirt - 789</t>
  </si>
  <si>
    <t>ORD1276</t>
  </si>
  <si>
    <t>Fiction - 261</t>
  </si>
  <si>
    <t>ORD1277</t>
  </si>
  <si>
    <t>Jeans - 430</t>
  </si>
  <si>
    <t>ORD1278</t>
  </si>
  <si>
    <t>Jacket - 985</t>
  </si>
  <si>
    <t>ORD1279</t>
  </si>
  <si>
    <t>T-Shirt - 203</t>
  </si>
  <si>
    <t>ORD1280</t>
  </si>
  <si>
    <t>Sofa - 260</t>
  </si>
  <si>
    <t>ORD1281</t>
  </si>
  <si>
    <t>Non-Fiction - 898</t>
  </si>
  <si>
    <t>ORD1282</t>
  </si>
  <si>
    <t>Mobile - 734</t>
  </si>
  <si>
    <t>ORD1283</t>
  </si>
  <si>
    <t>Yoga Mat - 153</t>
  </si>
  <si>
    <t>ORD1284</t>
  </si>
  <si>
    <t>Laptop - 133</t>
  </si>
  <si>
    <t>ORD1285</t>
  </si>
  <si>
    <t>Non-Fiction - 341</t>
  </si>
  <si>
    <t>ORD1286</t>
  </si>
  <si>
    <t>Yoga Mat - 989</t>
  </si>
  <si>
    <t>ORD1287</t>
  </si>
  <si>
    <t>Fiction - 212</t>
  </si>
  <si>
    <t>ORD1288</t>
  </si>
  <si>
    <t>Jeans - 417</t>
  </si>
  <si>
    <t>ORD1289</t>
  </si>
  <si>
    <t>Football - 122</t>
  </si>
  <si>
    <t>ORD1290</t>
  </si>
  <si>
    <t>T-Shirt - 657</t>
  </si>
  <si>
    <t>ORD1291</t>
  </si>
  <si>
    <t>ORD1292</t>
  </si>
  <si>
    <t>Laptop - 746</t>
  </si>
  <si>
    <t>ORD1293</t>
  </si>
  <si>
    <t>Football - 217</t>
  </si>
  <si>
    <t>ORD1294</t>
  </si>
  <si>
    <t>Football - 800</t>
  </si>
  <si>
    <t>ORD1295</t>
  </si>
  <si>
    <t>Biography - 742</t>
  </si>
  <si>
    <t>ORD1296</t>
  </si>
  <si>
    <t>Comics - 311</t>
  </si>
  <si>
    <t>ORD1297</t>
  </si>
  <si>
    <t>T-Shirt - 517</t>
  </si>
  <si>
    <t>ORD1298</t>
  </si>
  <si>
    <t>Football - 212</t>
  </si>
  <si>
    <t>ORD1299</t>
  </si>
  <si>
    <t>Mobile - 143</t>
  </si>
  <si>
    <t>ORD1300</t>
  </si>
  <si>
    <t>Fiction - 227</t>
  </si>
  <si>
    <t>ORD1301</t>
  </si>
  <si>
    <t>Comics - 975</t>
  </si>
  <si>
    <t>ORD1302</t>
  </si>
  <si>
    <t>Laptop - 257</t>
  </si>
  <si>
    <t>ORD1303</t>
  </si>
  <si>
    <t>Comics - 884</t>
  </si>
  <si>
    <t>ORD1304</t>
  </si>
  <si>
    <t>Jeans - 926</t>
  </si>
  <si>
    <t>ORD1305</t>
  </si>
  <si>
    <t>ORD1306</t>
  </si>
  <si>
    <t>Earphones - 966</t>
  </si>
  <si>
    <t>ORD1307</t>
  </si>
  <si>
    <t>Football - 951</t>
  </si>
  <si>
    <t>ORD1308</t>
  </si>
  <si>
    <t>Biography - 611</t>
  </si>
  <si>
    <t>ORD1309</t>
  </si>
  <si>
    <t>Fiction - 144</t>
  </si>
  <si>
    <t>ORD1310</t>
  </si>
  <si>
    <t>Laptop - 207</t>
  </si>
  <si>
    <t>ORD1311</t>
  </si>
  <si>
    <t>T-Shirt - 318</t>
  </si>
  <si>
    <t>ORD1312</t>
  </si>
  <si>
    <t>Sofa - 542</t>
  </si>
  <si>
    <t>ORD1313</t>
  </si>
  <si>
    <t>Mobile - 929</t>
  </si>
  <si>
    <t>ORD1314</t>
  </si>
  <si>
    <t>Chair - 414</t>
  </si>
  <si>
    <t>ORD1315</t>
  </si>
  <si>
    <t>Chair - 276</t>
  </si>
  <si>
    <t>ORD1316</t>
  </si>
  <si>
    <t>Jeans - 327</t>
  </si>
  <si>
    <t>ORD1317</t>
  </si>
  <si>
    <t>Chair - 802</t>
  </si>
  <si>
    <t>ORD1318</t>
  </si>
  <si>
    <t>Bookshelf - 771</t>
  </si>
  <si>
    <t>ORD1319</t>
  </si>
  <si>
    <t>Jeans - 366</t>
  </si>
  <si>
    <t>ORD1320</t>
  </si>
  <si>
    <t>Table - 969</t>
  </si>
  <si>
    <t>ORD1321</t>
  </si>
  <si>
    <t>Table - 937</t>
  </si>
  <si>
    <t>ORD1322</t>
  </si>
  <si>
    <t>Bookshelf - 478</t>
  </si>
  <si>
    <t>ORD1323</t>
  </si>
  <si>
    <t>Mobile - 588</t>
  </si>
  <si>
    <t>ORD1324</t>
  </si>
  <si>
    <t>Earphones - 801</t>
  </si>
  <si>
    <t>ORD1325</t>
  </si>
  <si>
    <t>Mobile - 786</t>
  </si>
  <si>
    <t>ORD1326</t>
  </si>
  <si>
    <t>Jacket - 389</t>
  </si>
  <si>
    <t>ORD1327</t>
  </si>
  <si>
    <t>Fiction - 456</t>
  </si>
  <si>
    <t>ORD1328</t>
  </si>
  <si>
    <t>Sofa - 756</t>
  </si>
  <si>
    <t>ORD1329</t>
  </si>
  <si>
    <t>Chair - 843</t>
  </si>
  <si>
    <t>ORD1330</t>
  </si>
  <si>
    <t>Dress - 971</t>
  </si>
  <si>
    <t>ORD1331</t>
  </si>
  <si>
    <t>Sofa - 303</t>
  </si>
  <si>
    <t>ORD1332</t>
  </si>
  <si>
    <t>Mobile - 312</t>
  </si>
  <si>
    <t>ORD1333</t>
  </si>
  <si>
    <t>Fiction - 651</t>
  </si>
  <si>
    <t>ORD1334</t>
  </si>
  <si>
    <t>Cricket Bat - 886</t>
  </si>
  <si>
    <t>ORD1335</t>
  </si>
  <si>
    <t>Sofa - 422</t>
  </si>
  <si>
    <t>ORD1336</t>
  </si>
  <si>
    <t>Earphones - 693</t>
  </si>
  <si>
    <t>ORD1337</t>
  </si>
  <si>
    <t>Tennis Racket - 280</t>
  </si>
  <si>
    <t>ORD1338</t>
  </si>
  <si>
    <t>Biography - 598</t>
  </si>
  <si>
    <t>ORD1339</t>
  </si>
  <si>
    <t>Yoga Mat - 419</t>
  </si>
  <si>
    <t>ORD1340</t>
  </si>
  <si>
    <t>Laptop - 182</t>
  </si>
  <si>
    <t>ORD1341</t>
  </si>
  <si>
    <t>Tennis Racket - 402</t>
  </si>
  <si>
    <t>ORD1342</t>
  </si>
  <si>
    <t>Jacket - 361</t>
  </si>
  <si>
    <t>ORD1343</t>
  </si>
  <si>
    <t>Yoga Mat - 883</t>
  </si>
  <si>
    <t>ORD1344</t>
  </si>
  <si>
    <t>Sofa - 299</t>
  </si>
  <si>
    <t>ORD1345</t>
  </si>
  <si>
    <t>Table - 339</t>
  </si>
  <si>
    <t>ORD1346</t>
  </si>
  <si>
    <t>Jeans - 791</t>
  </si>
  <si>
    <t>ORD1347</t>
  </si>
  <si>
    <t>Tablet - 782</t>
  </si>
  <si>
    <t>ORD1348</t>
  </si>
  <si>
    <t>Sofa - 394</t>
  </si>
  <si>
    <t>ORD1349</t>
  </si>
  <si>
    <t>ORD1350</t>
  </si>
  <si>
    <t>Table - 788</t>
  </si>
  <si>
    <t>ORD1351</t>
  </si>
  <si>
    <t>Table - 980</t>
  </si>
  <si>
    <t>ORD1352</t>
  </si>
  <si>
    <t>Laptop - 495</t>
  </si>
  <si>
    <t>ORD1353</t>
  </si>
  <si>
    <t>Yoga Mat - 848</t>
  </si>
  <si>
    <t>ORD1354</t>
  </si>
  <si>
    <t>Chair - 237</t>
  </si>
  <si>
    <t>ORD1355</t>
  </si>
  <si>
    <t>Jeans - 938</t>
  </si>
  <si>
    <t>ORD1356</t>
  </si>
  <si>
    <t>ORD1357</t>
  </si>
  <si>
    <t>Comics - 922</t>
  </si>
  <si>
    <t>ORD1358</t>
  </si>
  <si>
    <t>Earphones - 228</t>
  </si>
  <si>
    <t>ORD1359</t>
  </si>
  <si>
    <t>Comics - 148</t>
  </si>
  <si>
    <t>ORD1360</t>
  </si>
  <si>
    <t>Tennis Racket - 775</t>
  </si>
  <si>
    <t>ORD1361</t>
  </si>
  <si>
    <t>Yoga Mat - 888</t>
  </si>
  <si>
    <t>ORD1362</t>
  </si>
  <si>
    <t>Tennis Racket - 392</t>
  </si>
  <si>
    <t>ORD1363</t>
  </si>
  <si>
    <t>Fiction - 727</t>
  </si>
  <si>
    <t>ORD1364</t>
  </si>
  <si>
    <t>Football - 635</t>
  </si>
  <si>
    <t>ORD1365</t>
  </si>
  <si>
    <t>Comics - 410</t>
  </si>
  <si>
    <t>ORD1366</t>
  </si>
  <si>
    <t>Cricket Bat - 636</t>
  </si>
  <si>
    <t>ORD1367</t>
  </si>
  <si>
    <t>Jacket - 738</t>
  </si>
  <si>
    <t>ORD1368</t>
  </si>
  <si>
    <t>Football - 333</t>
  </si>
  <si>
    <t>ORD1369</t>
  </si>
  <si>
    <t>Fiction - 308</t>
  </si>
  <si>
    <t>ORD1370</t>
  </si>
  <si>
    <t>Table - 704</t>
  </si>
  <si>
    <t>ORD1371</t>
  </si>
  <si>
    <t>Football - 193</t>
  </si>
  <si>
    <t>ORD1372</t>
  </si>
  <si>
    <t>Chair - 426</t>
  </si>
  <si>
    <t>ORD1373</t>
  </si>
  <si>
    <t>T-Shirt - 324</t>
  </si>
  <si>
    <t>ORD1374</t>
  </si>
  <si>
    <t>Laptop - 989</t>
  </si>
  <si>
    <t>ORD1375</t>
  </si>
  <si>
    <t>Dress - 891</t>
  </si>
  <si>
    <t>ORD1376</t>
  </si>
  <si>
    <t>Cricket Bat - 110</t>
  </si>
  <si>
    <t>ORD1377</t>
  </si>
  <si>
    <t>Chair - 428</t>
  </si>
  <si>
    <t>ORD1378</t>
  </si>
  <si>
    <t>Chair - 111</t>
  </si>
  <si>
    <t>ORD1379</t>
  </si>
  <si>
    <t>Fiction - 134</t>
  </si>
  <si>
    <t>ORD1380</t>
  </si>
  <si>
    <t>Sofa - 546</t>
  </si>
  <si>
    <t>ORD1381</t>
  </si>
  <si>
    <t>Biography - 551</t>
  </si>
  <si>
    <t>ORD1382</t>
  </si>
  <si>
    <t>Mobile - 839</t>
  </si>
  <si>
    <t>ORD1383</t>
  </si>
  <si>
    <t>Cricket Bat - 319</t>
  </si>
  <si>
    <t>ORD1384</t>
  </si>
  <si>
    <t>Comics - 540</t>
  </si>
  <si>
    <t>ORD1385</t>
  </si>
  <si>
    <t>Tablet - 752</t>
  </si>
  <si>
    <t>ORD1386</t>
  </si>
  <si>
    <t>Sofa - 634</t>
  </si>
  <si>
    <t>ORD1387</t>
  </si>
  <si>
    <t>Table - 694</t>
  </si>
  <si>
    <t>ORD1388</t>
  </si>
  <si>
    <t>Laptop - 328</t>
  </si>
  <si>
    <t>ORD1389</t>
  </si>
  <si>
    <t>Bookshelf - 443</t>
  </si>
  <si>
    <t>ORD1390</t>
  </si>
  <si>
    <t>Earphones - 179</t>
  </si>
  <si>
    <t>ORD1391</t>
  </si>
  <si>
    <t>Comics - 452</t>
  </si>
  <si>
    <t>ORD1392</t>
  </si>
  <si>
    <t>Non-Fiction - 495</t>
  </si>
  <si>
    <t>ORD1393</t>
  </si>
  <si>
    <t>Mobile - 389</t>
  </si>
  <si>
    <t>ORD1394</t>
  </si>
  <si>
    <t>Non-Fiction - 554</t>
  </si>
  <si>
    <t>ORD1395</t>
  </si>
  <si>
    <t>Biography - 942</t>
  </si>
  <si>
    <t>ORD1396</t>
  </si>
  <si>
    <t>Comics - 770</t>
  </si>
  <si>
    <t>ORD1397</t>
  </si>
  <si>
    <t>T-Shirt - 227</t>
  </si>
  <si>
    <t>ORD1398</t>
  </si>
  <si>
    <t>Yoga Mat - 801</t>
  </si>
  <si>
    <t>ORD1399</t>
  </si>
  <si>
    <t>Sofa - 642</t>
  </si>
  <si>
    <t>ORD1400</t>
  </si>
  <si>
    <t>Jacket - 997</t>
  </si>
  <si>
    <t>ORD1401</t>
  </si>
  <si>
    <t>Fiction - 458</t>
  </si>
  <si>
    <t>ORD1402</t>
  </si>
  <si>
    <t>Laptop - 626</t>
  </si>
  <si>
    <t>ORD1403</t>
  </si>
  <si>
    <t>Fiction - 412</t>
  </si>
  <si>
    <t>ORD1404</t>
  </si>
  <si>
    <t>Football - 174</t>
  </si>
  <si>
    <t>ORD1405</t>
  </si>
  <si>
    <t>Fiction - 645</t>
  </si>
  <si>
    <t>ORD1406</t>
  </si>
  <si>
    <t>Tablet - 970</t>
  </si>
  <si>
    <t>ORD1407</t>
  </si>
  <si>
    <t>Cricket Bat - 295</t>
  </si>
  <si>
    <t>ORD1408</t>
  </si>
  <si>
    <t>Comics - 942</t>
  </si>
  <si>
    <t>ORD1409</t>
  </si>
  <si>
    <t>Yoga Mat - 128</t>
  </si>
  <si>
    <t>ORD1410</t>
  </si>
  <si>
    <t>Table - 805</t>
  </si>
  <si>
    <t>ORD1411</t>
  </si>
  <si>
    <t>Bookshelf - 115</t>
  </si>
  <si>
    <t>ORD1412</t>
  </si>
  <si>
    <t>Biography - 522</t>
  </si>
  <si>
    <t>ORD1413</t>
  </si>
  <si>
    <t>Tennis Racket - 688</t>
  </si>
  <si>
    <t>ORD1414</t>
  </si>
  <si>
    <t>Earphones - 904</t>
  </si>
  <si>
    <t>ORD1415</t>
  </si>
  <si>
    <t>Comics - 692</t>
  </si>
  <si>
    <t>ORD1416</t>
  </si>
  <si>
    <t>Chair - 504</t>
  </si>
  <si>
    <t>ORD1417</t>
  </si>
  <si>
    <t>Chair - 735</t>
  </si>
  <si>
    <t>ORD1418</t>
  </si>
  <si>
    <t>Comics - 630</t>
  </si>
  <si>
    <t>ORD1419</t>
  </si>
  <si>
    <t>Cricket Bat - 713</t>
  </si>
  <si>
    <t>ORD1420</t>
  </si>
  <si>
    <t>Table - 176</t>
  </si>
  <si>
    <t>ORD1421</t>
  </si>
  <si>
    <t>Yoga Mat - 328</t>
  </si>
  <si>
    <t>ORD1422</t>
  </si>
  <si>
    <t>Table - 396</t>
  </si>
  <si>
    <t>ORD1423</t>
  </si>
  <si>
    <t>Bookshelf - 609</t>
  </si>
  <si>
    <t>ORD1424</t>
  </si>
  <si>
    <t>T-Shirt - 814</t>
  </si>
  <si>
    <t>ORD1425</t>
  </si>
  <si>
    <t>Table - 672</t>
  </si>
  <si>
    <t>ORD1426</t>
  </si>
  <si>
    <t>Laptop - 637</t>
  </si>
  <si>
    <t>ORD1427</t>
  </si>
  <si>
    <t>Biography - 682</t>
  </si>
  <si>
    <t>ORD1428</t>
  </si>
  <si>
    <t>Comics - 714</t>
  </si>
  <si>
    <t>ORD1429</t>
  </si>
  <si>
    <t>Tennis Racket - 425</t>
  </si>
  <si>
    <t>ORD1430</t>
  </si>
  <si>
    <t>Table - 462</t>
  </si>
  <si>
    <t>ORD1431</t>
  </si>
  <si>
    <t>Laptop - 768</t>
  </si>
  <si>
    <t>ORD1432</t>
  </si>
  <si>
    <t>Cricket Bat - 974</t>
  </si>
  <si>
    <t>ORD1433</t>
  </si>
  <si>
    <t>Jeans - 458</t>
  </si>
  <si>
    <t>ORD1434</t>
  </si>
  <si>
    <t>Tennis Racket - 805</t>
  </si>
  <si>
    <t>ORD1435</t>
  </si>
  <si>
    <t>Yoga Mat - 886</t>
  </si>
  <si>
    <t>ORD1436</t>
  </si>
  <si>
    <t>Table - 423</t>
  </si>
  <si>
    <t>ORD1437</t>
  </si>
  <si>
    <t>Dress - 797</t>
  </si>
  <si>
    <t>ORD1438</t>
  </si>
  <si>
    <t>ORD1439</t>
  </si>
  <si>
    <t>Laptop - 724</t>
  </si>
  <si>
    <t>ORD1440</t>
  </si>
  <si>
    <t>Tablet - 924</t>
  </si>
  <si>
    <t>ORD1441</t>
  </si>
  <si>
    <t>Non-Fiction - 264</t>
  </si>
  <si>
    <t>ORD1442</t>
  </si>
  <si>
    <t>T-Shirt - 672</t>
  </si>
  <si>
    <t>ORD1443</t>
  </si>
  <si>
    <t>Jeans - 703</t>
  </si>
  <si>
    <t>ORD1444</t>
  </si>
  <si>
    <t>Non-Fiction - 897</t>
  </si>
  <si>
    <t>ORD1445</t>
  </si>
  <si>
    <t>Tennis Racket - 554</t>
  </si>
  <si>
    <t>ORD1446</t>
  </si>
  <si>
    <t>Jeans - 252</t>
  </si>
  <si>
    <t>ORD1447</t>
  </si>
  <si>
    <t>Tablet - 836</t>
  </si>
  <si>
    <t>ORD1448</t>
  </si>
  <si>
    <t>Laptop - 226</t>
  </si>
  <si>
    <t>ORD1449</t>
  </si>
  <si>
    <t>Sofa - 292</t>
  </si>
  <si>
    <t>ORD1450</t>
  </si>
  <si>
    <t>T-Shirt - 726</t>
  </si>
  <si>
    <t>ORD1451</t>
  </si>
  <si>
    <t>Tennis Racket - 873</t>
  </si>
  <si>
    <t>ORD1452</t>
  </si>
  <si>
    <t>Biography - 629</t>
  </si>
  <si>
    <t>ORD1453</t>
  </si>
  <si>
    <t>Biography - 109</t>
  </si>
  <si>
    <t>ORD1454</t>
  </si>
  <si>
    <t>Football - 191</t>
  </si>
  <si>
    <t>ORD1455</t>
  </si>
  <si>
    <t>Sofa - 238</t>
  </si>
  <si>
    <t>ORD1456</t>
  </si>
  <si>
    <t>Comics - 580</t>
  </si>
  <si>
    <t>ORD1457</t>
  </si>
  <si>
    <t>T-Shirt - 548</t>
  </si>
  <si>
    <t>ORD1458</t>
  </si>
  <si>
    <t>Table - 432</t>
  </si>
  <si>
    <t>ORD1459</t>
  </si>
  <si>
    <t>Jacket - 968</t>
  </si>
  <si>
    <t>ORD1460</t>
  </si>
  <si>
    <t>Mobile - 439</t>
  </si>
  <si>
    <t>ORD1461</t>
  </si>
  <si>
    <t>Bookshelf - 151</t>
  </si>
  <si>
    <t>ORD1462</t>
  </si>
  <si>
    <t>Comics - 806</t>
  </si>
  <si>
    <t>ORD1463</t>
  </si>
  <si>
    <t>Sofa - 565</t>
  </si>
  <si>
    <t>ORD1464</t>
  </si>
  <si>
    <t>Table - 817</t>
  </si>
  <si>
    <t>ORD1465</t>
  </si>
  <si>
    <t>Sofa - 898</t>
  </si>
  <si>
    <t>ORD1466</t>
  </si>
  <si>
    <t>Table - 574</t>
  </si>
  <si>
    <t>ORD1467</t>
  </si>
  <si>
    <t>Jacket - 500</t>
  </si>
  <si>
    <t>ORD1468</t>
  </si>
  <si>
    <t>Laptop - 538</t>
  </si>
  <si>
    <t>ORD1469</t>
  </si>
  <si>
    <t>Football - 977</t>
  </si>
  <si>
    <t>ORD1470</t>
  </si>
  <si>
    <t>Sofa - 704</t>
  </si>
  <si>
    <t>ORD1471</t>
  </si>
  <si>
    <t>Biography - 920</t>
  </si>
  <si>
    <t>ORD1472</t>
  </si>
  <si>
    <t>ORD1473</t>
  </si>
  <si>
    <t>Biography - 697</t>
  </si>
  <si>
    <t>ORD1474</t>
  </si>
  <si>
    <t>Dress - 608</t>
  </si>
  <si>
    <t>ORD1475</t>
  </si>
  <si>
    <t>Fiction - 252</t>
  </si>
  <si>
    <t>ORD1476</t>
  </si>
  <si>
    <t>Football - 613</t>
  </si>
  <si>
    <t>ORD1477</t>
  </si>
  <si>
    <t>Tablet - 602</t>
  </si>
  <si>
    <t>ORD1478</t>
  </si>
  <si>
    <t>Fiction - 953</t>
  </si>
  <si>
    <t>ORD1479</t>
  </si>
  <si>
    <t>Comics - 871</t>
  </si>
  <si>
    <t>ORD1480</t>
  </si>
  <si>
    <t>Earphones - 775</t>
  </si>
  <si>
    <t>ORD1481</t>
  </si>
  <si>
    <t>Football - 105</t>
  </si>
  <si>
    <t>ORD1482</t>
  </si>
  <si>
    <t>Sofa - 599</t>
  </si>
  <si>
    <t>ORD1483</t>
  </si>
  <si>
    <t>Comics - 760</t>
  </si>
  <si>
    <t>ORD1484</t>
  </si>
  <si>
    <t>Earphones - 816</t>
  </si>
  <si>
    <t>ORD1485</t>
  </si>
  <si>
    <t>Jacket - 217</t>
  </si>
  <si>
    <t>ORD1486</t>
  </si>
  <si>
    <t>Tablet - 584</t>
  </si>
  <si>
    <t>ORD1487</t>
  </si>
  <si>
    <t>Dress - 700</t>
  </si>
  <si>
    <t>ORD1488</t>
  </si>
  <si>
    <t>Cricket Bat - 765</t>
  </si>
  <si>
    <t>ORD1489</t>
  </si>
  <si>
    <t>Bookshelf - 778</t>
  </si>
  <si>
    <t>ORD1490</t>
  </si>
  <si>
    <t>Laptop - 567</t>
  </si>
  <si>
    <t>ORD1491</t>
  </si>
  <si>
    <t>Non-Fiction - 260</t>
  </si>
  <si>
    <t>ORD1492</t>
  </si>
  <si>
    <t>Cricket Bat - 369</t>
  </si>
  <si>
    <t>ORD1493</t>
  </si>
  <si>
    <t>Laptop - 155</t>
  </si>
  <si>
    <t>ORD1494</t>
  </si>
  <si>
    <t>Non-Fiction - 327</t>
  </si>
  <si>
    <t>ORD1495</t>
  </si>
  <si>
    <t>Laptop - 948</t>
  </si>
  <si>
    <t>ORD1496</t>
  </si>
  <si>
    <t>Dress - 248</t>
  </si>
  <si>
    <t>ORD1497</t>
  </si>
  <si>
    <t>ORD1498</t>
  </si>
  <si>
    <t>Mobile - 243</t>
  </si>
  <si>
    <t>ORD1499</t>
  </si>
  <si>
    <t>Earphones - 849</t>
  </si>
  <si>
    <t>ORD1500</t>
  </si>
  <si>
    <t>Football - 883</t>
  </si>
  <si>
    <t>ORD1501</t>
  </si>
  <si>
    <t>Mobile - 731</t>
  </si>
  <si>
    <t>ORD1502</t>
  </si>
  <si>
    <t>Comics - 439</t>
  </si>
  <si>
    <t>ORD1503</t>
  </si>
  <si>
    <t>Jacket - 512</t>
  </si>
  <si>
    <t>ORD1504</t>
  </si>
  <si>
    <t>Jeans - 831</t>
  </si>
  <si>
    <t>ORD1505</t>
  </si>
  <si>
    <t>Mobile - 619</t>
  </si>
  <si>
    <t>ORD1506</t>
  </si>
  <si>
    <t>Football - 443</t>
  </si>
  <si>
    <t>ORD1507</t>
  </si>
  <si>
    <t>Tennis Racket - 486</t>
  </si>
  <si>
    <t>ORD1508</t>
  </si>
  <si>
    <t>Comics - 572</t>
  </si>
  <si>
    <t>ORD1509</t>
  </si>
  <si>
    <t>Laptop - 374</t>
  </si>
  <si>
    <t>ORD1510</t>
  </si>
  <si>
    <t>T-Shirt - 452</t>
  </si>
  <si>
    <t>ORD1511</t>
  </si>
  <si>
    <t>Football - 165</t>
  </si>
  <si>
    <t>ORD1512</t>
  </si>
  <si>
    <t>Earphones - 178</t>
  </si>
  <si>
    <t>ORD1513</t>
  </si>
  <si>
    <t>Yoga Mat - 697</t>
  </si>
  <si>
    <t>ORD1514</t>
  </si>
  <si>
    <t>Tennis Racket - 735</t>
  </si>
  <si>
    <t>ORD1515</t>
  </si>
  <si>
    <t>Jacket - 301</t>
  </si>
  <si>
    <t>ORD1516</t>
  </si>
  <si>
    <t>Sofa - 761</t>
  </si>
  <si>
    <t>ORD1517</t>
  </si>
  <si>
    <t>Non-Fiction - 657</t>
  </si>
  <si>
    <t>ORD1518</t>
  </si>
  <si>
    <t>Biography - 212</t>
  </si>
  <si>
    <t>ORD1519</t>
  </si>
  <si>
    <t>T-Shirt - 190</t>
  </si>
  <si>
    <t>ORD1520</t>
  </si>
  <si>
    <t>Football - 240</t>
  </si>
  <si>
    <t>ORD1521</t>
  </si>
  <si>
    <t>Laptop - 388</t>
  </si>
  <si>
    <t>ORD1522</t>
  </si>
  <si>
    <t>Cricket Bat - 829</t>
  </si>
  <si>
    <t>ORD1523</t>
  </si>
  <si>
    <t>Jeans - 688</t>
  </si>
  <si>
    <t>ORD1524</t>
  </si>
  <si>
    <t>Fiction - 510</t>
  </si>
  <si>
    <t>ORD1525</t>
  </si>
  <si>
    <t>Yoga Mat - 476</t>
  </si>
  <si>
    <t>ORD1526</t>
  </si>
  <si>
    <t>Fiction - 483</t>
  </si>
  <si>
    <t>ORD1527</t>
  </si>
  <si>
    <t>Earphones - 945</t>
  </si>
  <si>
    <t>ORD1528</t>
  </si>
  <si>
    <t>Biography - 251</t>
  </si>
  <si>
    <t>ORD1529</t>
  </si>
  <si>
    <t>Biography - 934</t>
  </si>
  <si>
    <t>ORD1530</t>
  </si>
  <si>
    <t>Sofa - 850</t>
  </si>
  <si>
    <t>ORD1531</t>
  </si>
  <si>
    <t>Chair - 726</t>
  </si>
  <si>
    <t>ORD1532</t>
  </si>
  <si>
    <t>Table - 418</t>
  </si>
  <si>
    <t>ORD1533</t>
  </si>
  <si>
    <t>Non-Fiction - 468</t>
  </si>
  <si>
    <t>ORD1534</t>
  </si>
  <si>
    <t>T-Shirt - 705</t>
  </si>
  <si>
    <t>ORD1535</t>
  </si>
  <si>
    <t>Comics - 659</t>
  </si>
  <si>
    <t>ORD1536</t>
  </si>
  <si>
    <t>Jacket - 802</t>
  </si>
  <si>
    <t>ORD1537</t>
  </si>
  <si>
    <t>Dress - 561</t>
  </si>
  <si>
    <t>ORD1538</t>
  </si>
  <si>
    <t>ORD1539</t>
  </si>
  <si>
    <t>Cricket Bat - 255</t>
  </si>
  <si>
    <t>ORD1540</t>
  </si>
  <si>
    <t>Mobile - 783</t>
  </si>
  <si>
    <t>ORD1541</t>
  </si>
  <si>
    <t>Chair - 576</t>
  </si>
  <si>
    <t>ORD1542</t>
  </si>
  <si>
    <t>Sofa - 500</t>
  </si>
  <si>
    <t>ORD1543</t>
  </si>
  <si>
    <t>Cricket Bat - 907</t>
  </si>
  <si>
    <t>ORD1544</t>
  </si>
  <si>
    <t>Mobile - 276</t>
  </si>
  <si>
    <t>ORD1545</t>
  </si>
  <si>
    <t>Biography - 440</t>
  </si>
  <si>
    <t>ORD1546</t>
  </si>
  <si>
    <t>Non-Fiction - 156</t>
  </si>
  <si>
    <t>ORD1547</t>
  </si>
  <si>
    <t>Table - 954</t>
  </si>
  <si>
    <t>ORD1548</t>
  </si>
  <si>
    <t>Earphones - 951</t>
  </si>
  <si>
    <t>ORD1549</t>
  </si>
  <si>
    <t>Table - 547</t>
  </si>
  <si>
    <t>ORD1550</t>
  </si>
  <si>
    <t>Jeans - 302</t>
  </si>
  <si>
    <t>ORD1551</t>
  </si>
  <si>
    <t>Chair - 796</t>
  </si>
  <si>
    <t>ORD1552</t>
  </si>
  <si>
    <t>Chair - 732</t>
  </si>
  <si>
    <t>ORD1553</t>
  </si>
  <si>
    <t>Biography - 837</t>
  </si>
  <si>
    <t>ORD1554</t>
  </si>
  <si>
    <t>Fiction - 301</t>
  </si>
  <si>
    <t>ORD1555</t>
  </si>
  <si>
    <t>Fiction - 429</t>
  </si>
  <si>
    <t>ORD1556</t>
  </si>
  <si>
    <t>Jeans - 462</t>
  </si>
  <si>
    <t>ORD1557</t>
  </si>
  <si>
    <t>Comics - 991</t>
  </si>
  <si>
    <t>ORD1558</t>
  </si>
  <si>
    <t>Laptop - 553</t>
  </si>
  <si>
    <t>ORD1559</t>
  </si>
  <si>
    <t>Tennis Racket - 455</t>
  </si>
  <si>
    <t>ORD1560</t>
  </si>
  <si>
    <t>Laptop - 315</t>
  </si>
  <si>
    <t>ORD1561</t>
  </si>
  <si>
    <t>Laptop - 654</t>
  </si>
  <si>
    <t>ORD1562</t>
  </si>
  <si>
    <t>Biography - 986</t>
  </si>
  <si>
    <t>ORD1563</t>
  </si>
  <si>
    <t>Yoga Mat - 122</t>
  </si>
  <si>
    <t>ORD1564</t>
  </si>
  <si>
    <t>Yoga Mat - 254</t>
  </si>
  <si>
    <t>ORD1565</t>
  </si>
  <si>
    <t>Tennis Racket - 285</t>
  </si>
  <si>
    <t>ORD1566</t>
  </si>
  <si>
    <t>Jeans - 348</t>
  </si>
  <si>
    <t>ORD1567</t>
  </si>
  <si>
    <t>Fiction - 848</t>
  </si>
  <si>
    <t>ORD1568</t>
  </si>
  <si>
    <t>Cricket Bat - 904</t>
  </si>
  <si>
    <t>ORD1569</t>
  </si>
  <si>
    <t>T-Shirt - 233</t>
  </si>
  <si>
    <t>ORD1570</t>
  </si>
  <si>
    <t>Sofa - 420</t>
  </si>
  <si>
    <t>ORD1571</t>
  </si>
  <si>
    <t>Bookshelf - 489</t>
  </si>
  <si>
    <t>ORD1572</t>
  </si>
  <si>
    <t>Jeans - 533</t>
  </si>
  <si>
    <t>ORD1573</t>
  </si>
  <si>
    <t>Jacket - 121</t>
  </si>
  <si>
    <t>ORD1574</t>
  </si>
  <si>
    <t>Biography - 972</t>
  </si>
  <si>
    <t>ORD1575</t>
  </si>
  <si>
    <t>Comics - 699</t>
  </si>
  <si>
    <t>ORD1576</t>
  </si>
  <si>
    <t>Table - 764</t>
  </si>
  <si>
    <t>ORD1577</t>
  </si>
  <si>
    <t>Yoga Mat - 224</t>
  </si>
  <si>
    <t>ORD1578</t>
  </si>
  <si>
    <t>Sofa - 178</t>
  </si>
  <si>
    <t>ORD1579</t>
  </si>
  <si>
    <t>Football - 957</t>
  </si>
  <si>
    <t>ORD1580</t>
  </si>
  <si>
    <t>Cricket Bat - 150</t>
  </si>
  <si>
    <t>ORD1581</t>
  </si>
  <si>
    <t>Non-Fiction - 827</t>
  </si>
  <si>
    <t>ORD1582</t>
  </si>
  <si>
    <t>Laptop - 275</t>
  </si>
  <si>
    <t>ORD1583</t>
  </si>
  <si>
    <t>Tablet - 969</t>
  </si>
  <si>
    <t>ORD1584</t>
  </si>
  <si>
    <t>Dress - 352</t>
  </si>
  <si>
    <t>ORD1585</t>
  </si>
  <si>
    <t>Biography - 345</t>
  </si>
  <si>
    <t>ORD1586</t>
  </si>
  <si>
    <t>Tennis Racket - 838</t>
  </si>
  <si>
    <t>ORD1587</t>
  </si>
  <si>
    <t>Earphones - 205</t>
  </si>
  <si>
    <t>ORD1588</t>
  </si>
  <si>
    <t>Yoga Mat - 292</t>
  </si>
  <si>
    <t>ORD1589</t>
  </si>
  <si>
    <t>Laptop - 415</t>
  </si>
  <si>
    <t>ORD1590</t>
  </si>
  <si>
    <t>ORD1591</t>
  </si>
  <si>
    <t>Mobile - 647</t>
  </si>
  <si>
    <t>ORD1592</t>
  </si>
  <si>
    <t>Fiction - 815</t>
  </si>
  <si>
    <t>ORD1593</t>
  </si>
  <si>
    <t>Sofa - 878</t>
  </si>
  <si>
    <t>ORD1594</t>
  </si>
  <si>
    <t>Cricket Bat - 367</t>
  </si>
  <si>
    <t>ORD1595</t>
  </si>
  <si>
    <t>Non-Fiction - 269</t>
  </si>
  <si>
    <t>ORD1596</t>
  </si>
  <si>
    <t>Non-Fiction - 650</t>
  </si>
  <si>
    <t>ORD1597</t>
  </si>
  <si>
    <t>Comics - 554</t>
  </si>
  <si>
    <t>ORD1598</t>
  </si>
  <si>
    <t>Non-Fiction - 750</t>
  </si>
  <si>
    <t>ORD1599</t>
  </si>
  <si>
    <t>Fiction - 391</t>
  </si>
  <si>
    <t>ORD1600</t>
  </si>
  <si>
    <t>Jeans - 663</t>
  </si>
  <si>
    <t>ORD1601</t>
  </si>
  <si>
    <t>Cricket Bat - 898</t>
  </si>
  <si>
    <t>ORD1602</t>
  </si>
  <si>
    <t>Fiction - 900</t>
  </si>
  <si>
    <t>ORD1603</t>
  </si>
  <si>
    <t>ORD1604</t>
  </si>
  <si>
    <t>Jacket - 245</t>
  </si>
  <si>
    <t>ORD1605</t>
  </si>
  <si>
    <t>Dress - 524</t>
  </si>
  <si>
    <t>ORD1606</t>
  </si>
  <si>
    <t>Football - 413</t>
  </si>
  <si>
    <t>ORD1607</t>
  </si>
  <si>
    <t>Laptop - 283</t>
  </si>
  <si>
    <t>ORD1608</t>
  </si>
  <si>
    <t>Chair - 763</t>
  </si>
  <si>
    <t>ORD1609</t>
  </si>
  <si>
    <t>Mobile - 812</t>
  </si>
  <si>
    <t>ORD1610</t>
  </si>
  <si>
    <t>Tablet - 227</t>
  </si>
  <si>
    <t>ORD1611</t>
  </si>
  <si>
    <t>Tablet - 386</t>
  </si>
  <si>
    <t>ORD1612</t>
  </si>
  <si>
    <t>Fiction - 922</t>
  </si>
  <si>
    <t>ORD1613</t>
  </si>
  <si>
    <t>T-Shirt - 352</t>
  </si>
  <si>
    <t>ORD1614</t>
  </si>
  <si>
    <t>Tablet - 877</t>
  </si>
  <si>
    <t>ORD1615</t>
  </si>
  <si>
    <t>Dress - 799</t>
  </si>
  <si>
    <t>ORD1616</t>
  </si>
  <si>
    <t>Football - 485</t>
  </si>
  <si>
    <t>ORD1617</t>
  </si>
  <si>
    <t>Chair - 329</t>
  </si>
  <si>
    <t>ORD1618</t>
  </si>
  <si>
    <t>Cricket Bat - 370</t>
  </si>
  <si>
    <t>ORD1619</t>
  </si>
  <si>
    <t>Tennis Racket - 870</t>
  </si>
  <si>
    <t>ORD1620</t>
  </si>
  <si>
    <t>Non-Fiction - 910</t>
  </si>
  <si>
    <t>ORD1621</t>
  </si>
  <si>
    <t>Sofa - 514</t>
  </si>
  <si>
    <t>ORD1622</t>
  </si>
  <si>
    <t>Football - 297</t>
  </si>
  <si>
    <t>ORD1623</t>
  </si>
  <si>
    <t>Football - 422</t>
  </si>
  <si>
    <t>ORD1624</t>
  </si>
  <si>
    <t>Table - 155</t>
  </si>
  <si>
    <t>ORD1625</t>
  </si>
  <si>
    <t>Chair - 930</t>
  </si>
  <si>
    <t>ORD1626</t>
  </si>
  <si>
    <t>Yoga Mat - 302</t>
  </si>
  <si>
    <t>ORD1627</t>
  </si>
  <si>
    <t>Sofa - 882</t>
  </si>
  <si>
    <t>ORD1628</t>
  </si>
  <si>
    <t>Yoga Mat - 720</t>
  </si>
  <si>
    <t>ORD1629</t>
  </si>
  <si>
    <t>Tennis Racket - 727</t>
  </si>
  <si>
    <t>ORD1630</t>
  </si>
  <si>
    <t>Non-Fiction - 703</t>
  </si>
  <si>
    <t>ORD1631</t>
  </si>
  <si>
    <t>Laptop - 237</t>
  </si>
  <si>
    <t>ORD1632</t>
  </si>
  <si>
    <t>Yoga Mat - 521</t>
  </si>
  <si>
    <t>ORD1633</t>
  </si>
  <si>
    <t>T-Shirt - 914</t>
  </si>
  <si>
    <t>ORD1634</t>
  </si>
  <si>
    <t>Tablet - 156</t>
  </si>
  <si>
    <t>ORD1635</t>
  </si>
  <si>
    <t>Laptop - 661</t>
  </si>
  <si>
    <t>ORD1636</t>
  </si>
  <si>
    <t>Laptop - 170</t>
  </si>
  <si>
    <t>ORD1637</t>
  </si>
  <si>
    <t>Biography - 693</t>
  </si>
  <si>
    <t>ORD1638</t>
  </si>
  <si>
    <t>Football - 471</t>
  </si>
  <si>
    <t>ORD1639</t>
  </si>
  <si>
    <t>Fiction - 716</t>
  </si>
  <si>
    <t>ORD1640</t>
  </si>
  <si>
    <t>Football - 699</t>
  </si>
  <si>
    <t>ORD1641</t>
  </si>
  <si>
    <t>Comics - 613</t>
  </si>
  <si>
    <t>ORD1642</t>
  </si>
  <si>
    <t>Fiction - 971</t>
  </si>
  <si>
    <t>ORD1643</t>
  </si>
  <si>
    <t>Dress - 183</t>
  </si>
  <si>
    <t>ORD1644</t>
  </si>
  <si>
    <t>Comics - 142</t>
  </si>
  <si>
    <t>ORD1645</t>
  </si>
  <si>
    <t>Sofa - 765</t>
  </si>
  <si>
    <t>ORD1646</t>
  </si>
  <si>
    <t>Dress - 938</t>
  </si>
  <si>
    <t>ORD1647</t>
  </si>
  <si>
    <t>Fiction - 705</t>
  </si>
  <si>
    <t>ORD1648</t>
  </si>
  <si>
    <t>Laptop - 909</t>
  </si>
  <si>
    <t>ORD1649</t>
  </si>
  <si>
    <t>ORD1650</t>
  </si>
  <si>
    <t>Chair - 494</t>
  </si>
  <si>
    <t>ORD1651</t>
  </si>
  <si>
    <t>ORD1652</t>
  </si>
  <si>
    <t>Dress - 389</t>
  </si>
  <si>
    <t>ORD1653</t>
  </si>
  <si>
    <t>Non-Fiction - 475</t>
  </si>
  <si>
    <t>ORD1654</t>
  </si>
  <si>
    <t>Fiction - 868</t>
  </si>
  <si>
    <t>ORD1655</t>
  </si>
  <si>
    <t>Tablet - 566</t>
  </si>
  <si>
    <t>ORD1656</t>
  </si>
  <si>
    <t>Earphones - 997</t>
  </si>
  <si>
    <t>ORD1657</t>
  </si>
  <si>
    <t>Chair - 312</t>
  </si>
  <si>
    <t>ORD1658</t>
  </si>
  <si>
    <t>Laptop - 247</t>
  </si>
  <si>
    <t>ORD1659</t>
  </si>
  <si>
    <t>Jacket - 672</t>
  </si>
  <si>
    <t>ORD1660</t>
  </si>
  <si>
    <t>Comics - 570</t>
  </si>
  <si>
    <t>ORD1661</t>
  </si>
  <si>
    <t>Table - 248</t>
  </si>
  <si>
    <t>ORD1662</t>
  </si>
  <si>
    <t>Earphones - 187</t>
  </si>
  <si>
    <t>ORD1663</t>
  </si>
  <si>
    <t>Dress - 423</t>
  </si>
  <si>
    <t>ORD1664</t>
  </si>
  <si>
    <t>ORD1665</t>
  </si>
  <si>
    <t>ORD1666</t>
  </si>
  <si>
    <t>Biography - 889</t>
  </si>
  <si>
    <t>ORD1667</t>
  </si>
  <si>
    <t>Tablet - 503</t>
  </si>
  <si>
    <t>ORD1668</t>
  </si>
  <si>
    <t>Chair - 181</t>
  </si>
  <si>
    <t>ORD1669</t>
  </si>
  <si>
    <t>Earphones - 740</t>
  </si>
  <si>
    <t>ORD1670</t>
  </si>
  <si>
    <t>Jeans - 385</t>
  </si>
  <si>
    <t>ORD1671</t>
  </si>
  <si>
    <t>Mobile - 481</t>
  </si>
  <si>
    <t>ORD1672</t>
  </si>
  <si>
    <t>Non-Fiction - 964</t>
  </si>
  <si>
    <t>ORD1673</t>
  </si>
  <si>
    <t>Cricket Bat - 891</t>
  </si>
  <si>
    <t>ORD1674</t>
  </si>
  <si>
    <t>Earphones - 369</t>
  </si>
  <si>
    <t>ORD1675</t>
  </si>
  <si>
    <t>Biography - 391</t>
  </si>
  <si>
    <t>ORD1676</t>
  </si>
  <si>
    <t>Fiction - 552</t>
  </si>
  <si>
    <t>ORD1677</t>
  </si>
  <si>
    <t>Dress - 814</t>
  </si>
  <si>
    <t>ORD1678</t>
  </si>
  <si>
    <t>Fiction - 123</t>
  </si>
  <si>
    <t>ORD1679</t>
  </si>
  <si>
    <t>Fiction - 962</t>
  </si>
  <si>
    <t>ORD1680</t>
  </si>
  <si>
    <t>Fiction - 410</t>
  </si>
  <si>
    <t>ORD1681</t>
  </si>
  <si>
    <t>Non-Fiction - 560</t>
  </si>
  <si>
    <t>ORD1682</t>
  </si>
  <si>
    <t>Bookshelf - 307</t>
  </si>
  <si>
    <t>ORD1683</t>
  </si>
  <si>
    <t>Chair - 891</t>
  </si>
  <si>
    <t>ORD1684</t>
  </si>
  <si>
    <t>Dress - 816</t>
  </si>
  <si>
    <t>ORD1685</t>
  </si>
  <si>
    <t>Mobile - 763</t>
  </si>
  <si>
    <t>ORD1686</t>
  </si>
  <si>
    <t>Fiction - 537</t>
  </si>
  <si>
    <t>ORD1687</t>
  </si>
  <si>
    <t>Tablet - 637</t>
  </si>
  <si>
    <t>ORD1688</t>
  </si>
  <si>
    <t>Mobile - 805</t>
  </si>
  <si>
    <t>ORD1689</t>
  </si>
  <si>
    <t>Jacket - 435</t>
  </si>
  <si>
    <t>ORD1690</t>
  </si>
  <si>
    <t>Biography - 521</t>
  </si>
  <si>
    <t>ORD1691</t>
  </si>
  <si>
    <t>Biography - 849</t>
  </si>
  <si>
    <t>ORD1692</t>
  </si>
  <si>
    <t>Football - 420</t>
  </si>
  <si>
    <t>ORD1693</t>
  </si>
  <si>
    <t>Earphones - 596</t>
  </si>
  <si>
    <t>ORD1694</t>
  </si>
  <si>
    <t>Tablet - 686</t>
  </si>
  <si>
    <t>ORD1695</t>
  </si>
  <si>
    <t>Chair - 262</t>
  </si>
  <si>
    <t>ORD1696</t>
  </si>
  <si>
    <t>Cricket Bat - 910</t>
  </si>
  <si>
    <t>ORD1697</t>
  </si>
  <si>
    <t>Chair - 640</t>
  </si>
  <si>
    <t>ORD1698</t>
  </si>
  <si>
    <t>Table - 264</t>
  </si>
  <si>
    <t>ORD1699</t>
  </si>
  <si>
    <t>Bookshelf - 948</t>
  </si>
  <si>
    <t>ORD1700</t>
  </si>
  <si>
    <t>Jacket - 797</t>
  </si>
  <si>
    <t>ORD1701</t>
  </si>
  <si>
    <t>Dress - 665</t>
  </si>
  <si>
    <t>ORD1702</t>
  </si>
  <si>
    <t>Bookshelf - 394</t>
  </si>
  <si>
    <t>ORD1703</t>
  </si>
  <si>
    <t>Yoga Mat - 141</t>
  </si>
  <si>
    <t>ORD1704</t>
  </si>
  <si>
    <t>Laptop - 384</t>
  </si>
  <si>
    <t>ORD1705</t>
  </si>
  <si>
    <t>ORD1706</t>
  </si>
  <si>
    <t>Comics - 237</t>
  </si>
  <si>
    <t>ORD1707</t>
  </si>
  <si>
    <t>Dress - 286</t>
  </si>
  <si>
    <t>ORD1708</t>
  </si>
  <si>
    <t>Laptop - 815</t>
  </si>
  <si>
    <t>ORD1709</t>
  </si>
  <si>
    <t>Laptop - 530</t>
  </si>
  <si>
    <t>ORD1710</t>
  </si>
  <si>
    <t>Comics - 653</t>
  </si>
  <si>
    <t>ORD1711</t>
  </si>
  <si>
    <t>Fiction - 961</t>
  </si>
  <si>
    <t>ORD1712</t>
  </si>
  <si>
    <t>Chair - 515</t>
  </si>
  <si>
    <t>ORD1713</t>
  </si>
  <si>
    <t>T-Shirt - 899</t>
  </si>
  <si>
    <t>ORD1714</t>
  </si>
  <si>
    <t>Jeans - 525</t>
  </si>
  <si>
    <t>ORD1715</t>
  </si>
  <si>
    <t>Yoga Mat - 515</t>
  </si>
  <si>
    <t>ORD1716</t>
  </si>
  <si>
    <t>Sofa - 125</t>
  </si>
  <si>
    <t>ORD1717</t>
  </si>
  <si>
    <t>Sofa - 470</t>
  </si>
  <si>
    <t>ORD1718</t>
  </si>
  <si>
    <t>Table - 484</t>
  </si>
  <si>
    <t>ORD1719</t>
  </si>
  <si>
    <t>Bookshelf - 155</t>
  </si>
  <si>
    <t>ORD1720</t>
  </si>
  <si>
    <t>Jacket - 352</t>
  </si>
  <si>
    <t>ORD1721</t>
  </si>
  <si>
    <t>T-Shirt - 733</t>
  </si>
  <si>
    <t>ORD1722</t>
  </si>
  <si>
    <t>Sofa - 205</t>
  </si>
  <si>
    <t>ORD1723</t>
  </si>
  <si>
    <t>Cricket Bat - 229</t>
  </si>
  <si>
    <t>ORD1724</t>
  </si>
  <si>
    <t>Mobile - 948</t>
  </si>
  <si>
    <t>ORD1725</t>
  </si>
  <si>
    <t>Laptop - 769</t>
  </si>
  <si>
    <t>ORD1726</t>
  </si>
  <si>
    <t>ORD1727</t>
  </si>
  <si>
    <t>Sofa - 842</t>
  </si>
  <si>
    <t>ORD1728</t>
  </si>
  <si>
    <t>Jacket - 407</t>
  </si>
  <si>
    <t>ORD1729</t>
  </si>
  <si>
    <t>Mobile - 190</t>
  </si>
  <si>
    <t>ORD1730</t>
  </si>
  <si>
    <t>Non-Fiction - 492</t>
  </si>
  <si>
    <t>ORD1731</t>
  </si>
  <si>
    <t>Biography - 633</t>
  </si>
  <si>
    <t>ORD1732</t>
  </si>
  <si>
    <t>Tennis Racket - 901</t>
  </si>
  <si>
    <t>ORD1733</t>
  </si>
  <si>
    <t>Chair - 209</t>
  </si>
  <si>
    <t>ORD1734</t>
  </si>
  <si>
    <t>Mobile - 660</t>
  </si>
  <si>
    <t>ORD1735</t>
  </si>
  <si>
    <t>Sofa - 740</t>
  </si>
  <si>
    <t>ORD1736</t>
  </si>
  <si>
    <t>Tablet - 684</t>
  </si>
  <si>
    <t>ORD1737</t>
  </si>
  <si>
    <t>Football - 439</t>
  </si>
  <si>
    <t>ORD1738</t>
  </si>
  <si>
    <t>Yoga Mat - 664</t>
  </si>
  <si>
    <t>ORD1739</t>
  </si>
  <si>
    <t>Non-Fiction - 455</t>
  </si>
  <si>
    <t>ORD1740</t>
  </si>
  <si>
    <t>Table - 991</t>
  </si>
  <si>
    <t>ORD1741</t>
  </si>
  <si>
    <t>Fiction - 267</t>
  </si>
  <si>
    <t>ORD1742</t>
  </si>
  <si>
    <t>Chair - 656</t>
  </si>
  <si>
    <t>ORD1743</t>
  </si>
  <si>
    <t>ORD1744</t>
  </si>
  <si>
    <t>Jacket - 204</t>
  </si>
  <si>
    <t>ORD1745</t>
  </si>
  <si>
    <t>Jeans - 249</t>
  </si>
  <si>
    <t>ORD1746</t>
  </si>
  <si>
    <t>Dress - 245</t>
  </si>
  <si>
    <t>ORD1747</t>
  </si>
  <si>
    <t>T-Shirt - 815</t>
  </si>
  <si>
    <t>ORD1748</t>
  </si>
  <si>
    <t>Mobile - 973</t>
  </si>
  <si>
    <t>ORD1749</t>
  </si>
  <si>
    <t>Jacket - 398</t>
  </si>
  <si>
    <t>ORD1750</t>
  </si>
  <si>
    <t>Cricket Bat - 266</t>
  </si>
  <si>
    <t>ORD1751</t>
  </si>
  <si>
    <t>Cricket Bat - 812</t>
  </si>
  <si>
    <t>ORD1752</t>
  </si>
  <si>
    <t>Laptop - 745</t>
  </si>
  <si>
    <t>ORD1753</t>
  </si>
  <si>
    <t>Dress - 822</t>
  </si>
  <si>
    <t>ORD1754</t>
  </si>
  <si>
    <t>Jacket - 147</t>
  </si>
  <si>
    <t>ORD1755</t>
  </si>
  <si>
    <t>Jeans - 737</t>
  </si>
  <si>
    <t>ORD1756</t>
  </si>
  <si>
    <t>Biography - 338</t>
  </si>
  <si>
    <t>ORD1757</t>
  </si>
  <si>
    <t>Bookshelf - 106</t>
  </si>
  <si>
    <t>ORD1758</t>
  </si>
  <si>
    <t>Biography - 563</t>
  </si>
  <si>
    <t>ORD1759</t>
  </si>
  <si>
    <t>Chair - 552</t>
  </si>
  <si>
    <t>ORD1760</t>
  </si>
  <si>
    <t>Jacket - 883</t>
  </si>
  <si>
    <t>ORD1761</t>
  </si>
  <si>
    <t>Dress - 996</t>
  </si>
  <si>
    <t>ORD1762</t>
  </si>
  <si>
    <t>Non-Fiction - 470</t>
  </si>
  <si>
    <t>ORD1763</t>
  </si>
  <si>
    <t>Comics - 648</t>
  </si>
  <si>
    <t>ORD1764</t>
  </si>
  <si>
    <t>Table - 586</t>
  </si>
  <si>
    <t>ORD1765</t>
  </si>
  <si>
    <t>Tennis Racket - 310</t>
  </si>
  <si>
    <t>ORD1766</t>
  </si>
  <si>
    <t>ORD1767</t>
  </si>
  <si>
    <t>Fiction - 224</t>
  </si>
  <si>
    <t>ORD1768</t>
  </si>
  <si>
    <t>Biography - 436</t>
  </si>
  <si>
    <t>ORD1769</t>
  </si>
  <si>
    <t>Mobile - 291</t>
  </si>
  <si>
    <t>ORD1770</t>
  </si>
  <si>
    <t>Comics - 829</t>
  </si>
  <si>
    <t>ORD1771</t>
  </si>
  <si>
    <t>Earphones - 313</t>
  </si>
  <si>
    <t>ORD1772</t>
  </si>
  <si>
    <t>Yoga Mat - 673</t>
  </si>
  <si>
    <t>ORD1773</t>
  </si>
  <si>
    <t>Sofa - 427</t>
  </si>
  <si>
    <t>ORD1774</t>
  </si>
  <si>
    <t>Table - 480</t>
  </si>
  <si>
    <t>ORD1775</t>
  </si>
  <si>
    <t>Laptop - 772</t>
  </si>
  <si>
    <t>ORD1776</t>
  </si>
  <si>
    <t>Chair - 677</t>
  </si>
  <si>
    <t>ORD1777</t>
  </si>
  <si>
    <t>ORD1778</t>
  </si>
  <si>
    <t>Dress - 338</t>
  </si>
  <si>
    <t>ORD1779</t>
  </si>
  <si>
    <t>Earphones - 631</t>
  </si>
  <si>
    <t>ORD1780</t>
  </si>
  <si>
    <t>Bookshelf - 799</t>
  </si>
  <si>
    <t>ORD1781</t>
  </si>
  <si>
    <t>Earphones - 181</t>
  </si>
  <si>
    <t>ORD1782</t>
  </si>
  <si>
    <t>Mobile - 462</t>
  </si>
  <si>
    <t>ORD1783</t>
  </si>
  <si>
    <t>Dress - 604</t>
  </si>
  <si>
    <t>ORD1784</t>
  </si>
  <si>
    <t>Comics - 301</t>
  </si>
  <si>
    <t>ORD1785</t>
  </si>
  <si>
    <t>Earphones - 603</t>
  </si>
  <si>
    <t>ORD1786</t>
  </si>
  <si>
    <t>Chair - 743</t>
  </si>
  <si>
    <t>ORD1787</t>
  </si>
  <si>
    <t>Yoga Mat - 136</t>
  </si>
  <si>
    <t>ORD1788</t>
  </si>
  <si>
    <t>Mobile - 743</t>
  </si>
  <si>
    <t>ORD1789</t>
  </si>
  <si>
    <t>Laptop - 688</t>
  </si>
  <si>
    <t>ORD1790</t>
  </si>
  <si>
    <t>Jeans - 700</t>
  </si>
  <si>
    <t>ORD1791</t>
  </si>
  <si>
    <t>Non-Fiction - 501</t>
  </si>
  <si>
    <t>ORD1792</t>
  </si>
  <si>
    <t>Cricket Bat - 864</t>
  </si>
  <si>
    <t>ORD1793</t>
  </si>
  <si>
    <t>Table - 955</t>
  </si>
  <si>
    <t>ORD1794</t>
  </si>
  <si>
    <t>Football - 805</t>
  </si>
  <si>
    <t>ORD1795</t>
  </si>
  <si>
    <t>Bookshelf - 275</t>
  </si>
  <si>
    <t>ORD1796</t>
  </si>
  <si>
    <t>Comics - 644</t>
  </si>
  <si>
    <t>ORD1797</t>
  </si>
  <si>
    <t>Table - 669</t>
  </si>
  <si>
    <t>ORD1798</t>
  </si>
  <si>
    <t>Jeans - 566</t>
  </si>
  <si>
    <t>ORD1799</t>
  </si>
  <si>
    <t>Jeans - 300</t>
  </si>
  <si>
    <t>ORD1800</t>
  </si>
  <si>
    <t>Dress - 639</t>
  </si>
  <si>
    <t>ORD1801</t>
  </si>
  <si>
    <t>Jacket - 646</t>
  </si>
  <si>
    <t>ORD1802</t>
  </si>
  <si>
    <t>Cricket Bat - 736</t>
  </si>
  <si>
    <t>ORD1803</t>
  </si>
  <si>
    <t>Biography - 493</t>
  </si>
  <si>
    <t>ORD1804</t>
  </si>
  <si>
    <t>Bookshelf - 932</t>
  </si>
  <si>
    <t>ORD1805</t>
  </si>
  <si>
    <t>Sofa - 141</t>
  </si>
  <si>
    <t>ORD1806</t>
  </si>
  <si>
    <t>Jacket - 696</t>
  </si>
  <si>
    <t>ORD1807</t>
  </si>
  <si>
    <t>Dress - 492</t>
  </si>
  <si>
    <t>ORD1808</t>
  </si>
  <si>
    <t>Laptop - 799</t>
  </si>
  <si>
    <t>ORD1809</t>
  </si>
  <si>
    <t>Biography - 722</t>
  </si>
  <si>
    <t>ORD1810</t>
  </si>
  <si>
    <t>Tennis Racket - 882</t>
  </si>
  <si>
    <t>ORD1811</t>
  </si>
  <si>
    <t>Chair - 540</t>
  </si>
  <si>
    <t>ORD1812</t>
  </si>
  <si>
    <t>Tablet - 936</t>
  </si>
  <si>
    <t>ORD1813</t>
  </si>
  <si>
    <t>Laptop - 716</t>
  </si>
  <si>
    <t>ORD1814</t>
  </si>
  <si>
    <t>Table - 605</t>
  </si>
  <si>
    <t>ORD1815</t>
  </si>
  <si>
    <t>Tennis Racket - 419</t>
  </si>
  <si>
    <t>ORD1816</t>
  </si>
  <si>
    <t>Tablet - 652</t>
  </si>
  <si>
    <t>ORD1817</t>
  </si>
  <si>
    <t>Earphones - 314</t>
  </si>
  <si>
    <t>ORD1818</t>
  </si>
  <si>
    <t>Comics - 170</t>
  </si>
  <si>
    <t>ORD1819</t>
  </si>
  <si>
    <t>Tennis Racket - 667</t>
  </si>
  <si>
    <t>ORD1820</t>
  </si>
  <si>
    <t>Mobile - 335</t>
  </si>
  <si>
    <t>ORD1821</t>
  </si>
  <si>
    <t>Tennis Racket - 380</t>
  </si>
  <si>
    <t>ORD1822</t>
  </si>
  <si>
    <t>Table - 716</t>
  </si>
  <si>
    <t>ORD1823</t>
  </si>
  <si>
    <t>Jeans - 986</t>
  </si>
  <si>
    <t>ORD1824</t>
  </si>
  <si>
    <t>Mobile - 261</t>
  </si>
  <si>
    <t>ORD1825</t>
  </si>
  <si>
    <t>Non-Fiction - 290</t>
  </si>
  <si>
    <t>ORD1826</t>
  </si>
  <si>
    <t>ORD1827</t>
  </si>
  <si>
    <t>Yoga Mat - 159</t>
  </si>
  <si>
    <t>ORD1828</t>
  </si>
  <si>
    <t>Chair - 992</t>
  </si>
  <si>
    <t>ORD1829</t>
  </si>
  <si>
    <t>Tablet - 916</t>
  </si>
  <si>
    <t>ORD1830</t>
  </si>
  <si>
    <t>Cricket Bat - 324</t>
  </si>
  <si>
    <t>ORD1831</t>
  </si>
  <si>
    <t>T-Shirt - 918</t>
  </si>
  <si>
    <t>ORD1832</t>
  </si>
  <si>
    <t>Sofa - 799</t>
  </si>
  <si>
    <t>ORD1833</t>
  </si>
  <si>
    <t>Tablet - 681</t>
  </si>
  <si>
    <t>ORD1834</t>
  </si>
  <si>
    <t>Comics - 904</t>
  </si>
  <si>
    <t>ORD1835</t>
  </si>
  <si>
    <t>Cricket Bat - 386</t>
  </si>
  <si>
    <t>ORD1836</t>
  </si>
  <si>
    <t>Chair - 268</t>
  </si>
  <si>
    <t>ORD1837</t>
  </si>
  <si>
    <t>Sofa - 161</t>
  </si>
  <si>
    <t>ORD1838</t>
  </si>
  <si>
    <t>Dress - 448</t>
  </si>
  <si>
    <t>ORD1839</t>
  </si>
  <si>
    <t>Dress - 541</t>
  </si>
  <si>
    <t>ORD1840</t>
  </si>
  <si>
    <t>Non-Fiction - 113</t>
  </si>
  <si>
    <t>ORD1841</t>
  </si>
  <si>
    <t>Comics - 263</t>
  </si>
  <si>
    <t>ORD1842</t>
  </si>
  <si>
    <t>Mobile - 519</t>
  </si>
  <si>
    <t>ORD1843</t>
  </si>
  <si>
    <t>Earphones - 856</t>
  </si>
  <si>
    <t>ORD1844</t>
  </si>
  <si>
    <t>Non-Fiction - 946</t>
  </si>
  <si>
    <t>ORD1845</t>
  </si>
  <si>
    <t>Comics - 619</t>
  </si>
  <si>
    <t>ORD1846</t>
  </si>
  <si>
    <t>Tennis Racket - 765</t>
  </si>
  <si>
    <t>ORD1847</t>
  </si>
  <si>
    <t>Jacket - 647</t>
  </si>
  <si>
    <t>ORD1848</t>
  </si>
  <si>
    <t>Laptop - 659</t>
  </si>
  <si>
    <t>ORD1849</t>
  </si>
  <si>
    <t>Jeans - 696</t>
  </si>
  <si>
    <t>ORD1850</t>
  </si>
  <si>
    <t>Dress - 127</t>
  </si>
  <si>
    <t>ORD1851</t>
  </si>
  <si>
    <t>Biography - 807</t>
  </si>
  <si>
    <t>ORD1852</t>
  </si>
  <si>
    <t>Yoga Mat - 545</t>
  </si>
  <si>
    <t>ORD1853</t>
  </si>
  <si>
    <t>Chair - 307</t>
  </si>
  <si>
    <t>ORD1854</t>
  </si>
  <si>
    <t>Cricket Bat - 569</t>
  </si>
  <si>
    <t>ORD1855</t>
  </si>
  <si>
    <t>Tennis Racket - 815</t>
  </si>
  <si>
    <t>ORD1856</t>
  </si>
  <si>
    <t>Dress - 918</t>
  </si>
  <si>
    <t>ORD1857</t>
  </si>
  <si>
    <t>Cricket Bat - 203</t>
  </si>
  <si>
    <t>ORD1858</t>
  </si>
  <si>
    <t>Tablet - 841</t>
  </si>
  <si>
    <t>ORD1859</t>
  </si>
  <si>
    <t>Dress - 525</t>
  </si>
  <si>
    <t>ORD1860</t>
  </si>
  <si>
    <t>Mobile - 200</t>
  </si>
  <si>
    <t>ORD1861</t>
  </si>
  <si>
    <t>Sofa - 640</t>
  </si>
  <si>
    <t>ORD1862</t>
  </si>
  <si>
    <t>T-Shirt - 738</t>
  </si>
  <si>
    <t>ORD1863</t>
  </si>
  <si>
    <t>Chair - 949</t>
  </si>
  <si>
    <t>ORD1864</t>
  </si>
  <si>
    <t>Jacket - 621</t>
  </si>
  <si>
    <t>ORD1865</t>
  </si>
  <si>
    <t>Comics - 205</t>
  </si>
  <si>
    <t>ORD1866</t>
  </si>
  <si>
    <t>Cricket Bat - 778</t>
  </si>
  <si>
    <t>ORD1867</t>
  </si>
  <si>
    <t>Non-Fiction - 868</t>
  </si>
  <si>
    <t>ORD1868</t>
  </si>
  <si>
    <t>ORD1869</t>
  </si>
  <si>
    <t>Football - 376</t>
  </si>
  <si>
    <t>ORD1870</t>
  </si>
  <si>
    <t>Jacket - 164</t>
  </si>
  <si>
    <t>ORD1871</t>
  </si>
  <si>
    <t>Football - 882</t>
  </si>
  <si>
    <t>ORD1872</t>
  </si>
  <si>
    <t>Laptop - 287</t>
  </si>
  <si>
    <t>ORD1873</t>
  </si>
  <si>
    <t>Tennis Racket - 416</t>
  </si>
  <si>
    <t>ORD1874</t>
  </si>
  <si>
    <t>Earphones - 237</t>
  </si>
  <si>
    <t>ORD1875</t>
  </si>
  <si>
    <t>Cricket Bat - 442</t>
  </si>
  <si>
    <t>ORD1876</t>
  </si>
  <si>
    <t>Laptop - 204</t>
  </si>
  <si>
    <t>ORD1877</t>
  </si>
  <si>
    <t>Bookshelf - 645</t>
  </si>
  <si>
    <t>ORD1878</t>
  </si>
  <si>
    <t>Biography - 479</t>
  </si>
  <si>
    <t>ORD1879</t>
  </si>
  <si>
    <t>Jeans - 209</t>
  </si>
  <si>
    <t>ORD1880</t>
  </si>
  <si>
    <t>Tennis Racket - 644</t>
  </si>
  <si>
    <t>ORD1881</t>
  </si>
  <si>
    <t>Biography - 453</t>
  </si>
  <si>
    <t>ORD1882</t>
  </si>
  <si>
    <t>Dress - 842</t>
  </si>
  <si>
    <t>ORD1883</t>
  </si>
  <si>
    <t>Jacket - 416</t>
  </si>
  <si>
    <t>ORD1884</t>
  </si>
  <si>
    <t>Earphones - 365</t>
  </si>
  <si>
    <t>ORD1885</t>
  </si>
  <si>
    <t>Bookshelf - 793</t>
  </si>
  <si>
    <t>ORD1886</t>
  </si>
  <si>
    <t>Table - 951</t>
  </si>
  <si>
    <t>ORD1887</t>
  </si>
  <si>
    <t>Fiction - 164</t>
  </si>
  <si>
    <t>ORD1888</t>
  </si>
  <si>
    <t>Chair - 432</t>
  </si>
  <si>
    <t>ORD1889</t>
  </si>
  <si>
    <t>Cricket Bat - 612</t>
  </si>
  <si>
    <t>ORD1890</t>
  </si>
  <si>
    <t>Chair - 232</t>
  </si>
  <si>
    <t>ORD1891</t>
  </si>
  <si>
    <t>Biography - 691</t>
  </si>
  <si>
    <t>ORD1892</t>
  </si>
  <si>
    <t>ORD1893</t>
  </si>
  <si>
    <t>Tennis Racket - 852</t>
  </si>
  <si>
    <t>ORD1894</t>
  </si>
  <si>
    <t>Mobile - 639</t>
  </si>
  <si>
    <t>ORD1895</t>
  </si>
  <si>
    <t>Non-Fiction - 834</t>
  </si>
  <si>
    <t>ORD1896</t>
  </si>
  <si>
    <t>Earphones - 634</t>
  </si>
  <si>
    <t>ORD1897</t>
  </si>
  <si>
    <t>Tablet - 595</t>
  </si>
  <si>
    <t>ORD1898</t>
  </si>
  <si>
    <t>Tablet - 720</t>
  </si>
  <si>
    <t>ORD1899</t>
  </si>
  <si>
    <t>T-Shirt - 718</t>
  </si>
  <si>
    <t>ORD1900</t>
  </si>
  <si>
    <t>Dress - 756</t>
  </si>
  <si>
    <t>ORD1901</t>
  </si>
  <si>
    <t>Earphones - 468</t>
  </si>
  <si>
    <t>ORD1902</t>
  </si>
  <si>
    <t>Fiction - 965</t>
  </si>
  <si>
    <t>ORD1903</t>
  </si>
  <si>
    <t>Yoga Mat - 750</t>
  </si>
  <si>
    <t>ORD1904</t>
  </si>
  <si>
    <t>Yoga Mat - 895</t>
  </si>
  <si>
    <t>ORD1905</t>
  </si>
  <si>
    <t>Table - 909</t>
  </si>
  <si>
    <t>ORD1906</t>
  </si>
  <si>
    <t>Comics - 198</t>
  </si>
  <si>
    <t>ORD1907</t>
  </si>
  <si>
    <t>Dress - 416</t>
  </si>
  <si>
    <t>ORD1908</t>
  </si>
  <si>
    <t>Mobile - 222</t>
  </si>
  <si>
    <t>ORD1909</t>
  </si>
  <si>
    <t>Sofa - 419</t>
  </si>
  <si>
    <t>ORD1910</t>
  </si>
  <si>
    <t>ORD1911</t>
  </si>
  <si>
    <t>Jeans - 692</t>
  </si>
  <si>
    <t>ORD1912</t>
  </si>
  <si>
    <t>Jeans - 594</t>
  </si>
  <si>
    <t>ORD1913</t>
  </si>
  <si>
    <t>Tablet - 556</t>
  </si>
  <si>
    <t>ORD1914</t>
  </si>
  <si>
    <t>Cricket Bat - 621</t>
  </si>
  <si>
    <t>ORD1915</t>
  </si>
  <si>
    <t>ORD1916</t>
  </si>
  <si>
    <t>ORD1917</t>
  </si>
  <si>
    <t>Earphones - 414</t>
  </si>
  <si>
    <t>ORD1918</t>
  </si>
  <si>
    <t>Biography - 808</t>
  </si>
  <si>
    <t>ORD1919</t>
  </si>
  <si>
    <t>Cricket Bat - 809</t>
  </si>
  <si>
    <t>ORD1920</t>
  </si>
  <si>
    <t>Jeans - 641</t>
  </si>
  <si>
    <t>ORD1921</t>
  </si>
  <si>
    <t>Biography - 578</t>
  </si>
  <si>
    <t>ORD1922</t>
  </si>
  <si>
    <t>Fiction - 119</t>
  </si>
  <si>
    <t>ORD1923</t>
  </si>
  <si>
    <t>Biography - 659</t>
  </si>
  <si>
    <t>ORD1924</t>
  </si>
  <si>
    <t>ORD1925</t>
  </si>
  <si>
    <t>ORD1926</t>
  </si>
  <si>
    <t>Table - 996</t>
  </si>
  <si>
    <t>ORD1927</t>
  </si>
  <si>
    <t>Cricket Bat - 231</t>
  </si>
  <si>
    <t>ORD1928</t>
  </si>
  <si>
    <t>Laptop - 455</t>
  </si>
  <si>
    <t>ORD1929</t>
  </si>
  <si>
    <t>Non-Fiction - 153</t>
  </si>
  <si>
    <t>ORD1930</t>
  </si>
  <si>
    <t>Bookshelf - 989</t>
  </si>
  <si>
    <t>ORD1931</t>
  </si>
  <si>
    <t>Earphones - 892</t>
  </si>
  <si>
    <t>ORD1932</t>
  </si>
  <si>
    <t>Sofa - 486</t>
  </si>
  <si>
    <t>ORD1933</t>
  </si>
  <si>
    <t>Dress - 364</t>
  </si>
  <si>
    <t>ORD1934</t>
  </si>
  <si>
    <t>Fiction - 314</t>
  </si>
  <si>
    <t>ORD1935</t>
  </si>
  <si>
    <t>Laptop - 559</t>
  </si>
  <si>
    <t>ORD1936</t>
  </si>
  <si>
    <t>Earphones - 557</t>
  </si>
  <si>
    <t>ORD1937</t>
  </si>
  <si>
    <t>Laptop - 901</t>
  </si>
  <si>
    <t>ORD1938</t>
  </si>
  <si>
    <t>Mobile - 142</t>
  </si>
  <si>
    <t>ORD1939</t>
  </si>
  <si>
    <t>Mobile - 685</t>
  </si>
  <si>
    <t>ORD1940</t>
  </si>
  <si>
    <t>Bookshelf - 961</t>
  </si>
  <si>
    <t>ORD1941</t>
  </si>
  <si>
    <t>Non-Fiction - 377</t>
  </si>
  <si>
    <t>ORD1942</t>
  </si>
  <si>
    <t>Jeans - 937</t>
  </si>
  <si>
    <t>ORD1943</t>
  </si>
  <si>
    <t>Jacket - 853</t>
  </si>
  <si>
    <t>ORD1944</t>
  </si>
  <si>
    <t>ORD1945</t>
  </si>
  <si>
    <t>Jeans - 449</t>
  </si>
  <si>
    <t>ORD1946</t>
  </si>
  <si>
    <t>Bookshelf - 805</t>
  </si>
  <si>
    <t>ORD1947</t>
  </si>
  <si>
    <t>Tennis Racket - 643</t>
  </si>
  <si>
    <t>ORD1948</t>
  </si>
  <si>
    <t>Fiction - 205</t>
  </si>
  <si>
    <t>ORD1949</t>
  </si>
  <si>
    <t>ORD1950</t>
  </si>
  <si>
    <t>Cricket Bat - 100</t>
  </si>
  <si>
    <t>ORD1951</t>
  </si>
  <si>
    <t>Dress - 856</t>
  </si>
  <si>
    <t>ORD1952</t>
  </si>
  <si>
    <t>Football - 683</t>
  </si>
  <si>
    <t>ORD1953</t>
  </si>
  <si>
    <t>Fiction - 531</t>
  </si>
  <si>
    <t>ORD1954</t>
  </si>
  <si>
    <t>Earphones - 405</t>
  </si>
  <si>
    <t>ORD1955</t>
  </si>
  <si>
    <t>Tablet - 626</t>
  </si>
  <si>
    <t>ORD1956</t>
  </si>
  <si>
    <t>Non-Fiction - 152</t>
  </si>
  <si>
    <t>ORD1957</t>
  </si>
  <si>
    <t>ORD1958</t>
  </si>
  <si>
    <t>Dress - 429</t>
  </si>
  <si>
    <t>ORD1959</t>
  </si>
  <si>
    <t>Laptop - 657</t>
  </si>
  <si>
    <t>ORD1960</t>
  </si>
  <si>
    <t>Cricket Bat - 424</t>
  </si>
  <si>
    <t>ORD1961</t>
  </si>
  <si>
    <t>Bookshelf - 213</t>
  </si>
  <si>
    <t>ORD1962</t>
  </si>
  <si>
    <t>Chair - 246</t>
  </si>
  <si>
    <t>ORD1963</t>
  </si>
  <si>
    <t>Non-Fiction - 265</t>
  </si>
  <si>
    <t>ORD1964</t>
  </si>
  <si>
    <t>Dress - 478</t>
  </si>
  <si>
    <t>ORD1965</t>
  </si>
  <si>
    <t>ORD1966</t>
  </si>
  <si>
    <t>Earphones - 728</t>
  </si>
  <si>
    <t>ORD1967</t>
  </si>
  <si>
    <t>Non-Fiction - 398</t>
  </si>
  <si>
    <t>ORD1968</t>
  </si>
  <si>
    <t>Football - 375</t>
  </si>
  <si>
    <t>ORD1969</t>
  </si>
  <si>
    <t>Biography - 888</t>
  </si>
  <si>
    <t>ORD1970</t>
  </si>
  <si>
    <t>Yoga Mat - 949</t>
  </si>
  <si>
    <t>ORD1971</t>
  </si>
  <si>
    <t>Fiction - 924</t>
  </si>
  <si>
    <t>ORD1972</t>
  </si>
  <si>
    <t>Non-Fiction - 277</t>
  </si>
  <si>
    <t>ORD1973</t>
  </si>
  <si>
    <t>Biography - 941</t>
  </si>
  <si>
    <t>ORD1974</t>
  </si>
  <si>
    <t>Yoga Mat - 453</t>
  </si>
  <si>
    <t>ORD1975</t>
  </si>
  <si>
    <t>Football - 253</t>
  </si>
  <si>
    <t>ORD1976</t>
  </si>
  <si>
    <t>Biography - 300</t>
  </si>
  <si>
    <t>ORD1977</t>
  </si>
  <si>
    <t>Chair - 977</t>
  </si>
  <si>
    <t>ORD1978</t>
  </si>
  <si>
    <t>Jeans - 214</t>
  </si>
  <si>
    <t>ORD1979</t>
  </si>
  <si>
    <t>T-Shirt - 770</t>
  </si>
  <si>
    <t>ORD1980</t>
  </si>
  <si>
    <t>T-Shirt - 653</t>
  </si>
  <si>
    <t>ORD1981</t>
  </si>
  <si>
    <t>Cricket Bat - 858</t>
  </si>
  <si>
    <t>ORD1982</t>
  </si>
  <si>
    <t>Cricket Bat - 167</t>
  </si>
  <si>
    <t>ORD1983</t>
  </si>
  <si>
    <t>Table - 544</t>
  </si>
  <si>
    <t>ORD1984</t>
  </si>
  <si>
    <t>T-Shirt - 544</t>
  </si>
  <si>
    <t>ORD1985</t>
  </si>
  <si>
    <t>T-Shirt - 425</t>
  </si>
  <si>
    <t>ORD1986</t>
  </si>
  <si>
    <t>Biography - 945</t>
  </si>
  <si>
    <t>ORD1987</t>
  </si>
  <si>
    <t>Football - 807</t>
  </si>
  <si>
    <t>ORD1988</t>
  </si>
  <si>
    <t>Jeans - 701</t>
  </si>
  <si>
    <t>ORD1989</t>
  </si>
  <si>
    <t>Sofa - 722</t>
  </si>
  <si>
    <t>ORD1990</t>
  </si>
  <si>
    <t>Table - 979</t>
  </si>
  <si>
    <t>ORD1991</t>
  </si>
  <si>
    <t>ORD1992</t>
  </si>
  <si>
    <t>Tennis Racket - 244</t>
  </si>
  <si>
    <t>ORD1993</t>
  </si>
  <si>
    <t>Table - 374</t>
  </si>
  <si>
    <t>ORD1994</t>
  </si>
  <si>
    <t>Non-Fiction - 608</t>
  </si>
  <si>
    <t>ORD1995</t>
  </si>
  <si>
    <t>Table - 278</t>
  </si>
  <si>
    <t>ORD1996</t>
  </si>
  <si>
    <t>Mobile - 852</t>
  </si>
  <si>
    <t>ORD1997</t>
  </si>
  <si>
    <t>Tablet - 937</t>
  </si>
  <si>
    <t>ORD1998</t>
  </si>
  <si>
    <t>Football - 930</t>
  </si>
  <si>
    <t>ORD1999</t>
  </si>
  <si>
    <t>Jeans - 576</t>
  </si>
  <si>
    <t>Ord1000</t>
  </si>
  <si>
    <t>Usa</t>
  </si>
  <si>
    <t>Ord1001</t>
  </si>
  <si>
    <t>Uk</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</si>
  <si>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</si>
  <si>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</si>
  <si>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</si>
  <si>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</si>
  <si>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</si>
  <si>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</si>
  <si>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</si>
  <si>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</si>
  <si>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</si>
  <si>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</si>
  <si>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</si>
  <si>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</si>
  <si>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</si>
  <si>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</si>
  <si>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</si>
  <si>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</si>
  <si>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</si>
  <si>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</si>
  <si>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</si>
  <si>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</si>
  <si>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</si>
  <si>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</si>
  <si>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</si>
  <si>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</si>
  <si>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</si>
  <si>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</si>
  <si>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</si>
  <si>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</si>
  <si>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</si>
  <si>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</si>
  <si>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</si>
  <si>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</si>
  <si>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</si>
  <si>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</si>
  <si>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</si>
  <si>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</si>
  <si>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</si>
  <si>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</si>
  <si>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</si>
  <si>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</si>
  <si>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</si>
  <si>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</si>
  <si>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</si>
  <si>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</si>
  <si>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</si>
  <si>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</si>
  <si>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</si>
  <si>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</si>
  <si>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</si>
  <si>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</si>
  <si>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</si>
  <si>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</si>
  <si>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</si>
  <si>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</si>
  <si>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</si>
  <si>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</si>
  <si>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</si>
  <si>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</si>
  <si>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</si>
  <si>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</si>
  <si>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</si>
  <si>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</si>
  <si>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</si>
  <si>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</si>
  <si>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</si>
  <si>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</si>
  <si>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</si>
  <si>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</si>
  <si>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</si>
  <si>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</si>
  <si>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</si>
  <si>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</si>
  <si>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</si>
  <si>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</si>
  <si>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</si>
  <si>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</si>
  <si>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</si>
  <si>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</si>
  <si>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</si>
  <si>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</si>
  <si>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</si>
  <si>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</si>
  <si>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</si>
  <si>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</si>
  <si>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</si>
  <si>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</si>
  <si>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</si>
  <si>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</si>
  <si>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</si>
  <si>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</si>
  <si>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</si>
  <si>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</si>
  <si>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</si>
  <si>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</si>
  <si>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</si>
  <si>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</si>
  <si>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</si>
  <si>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</si>
  <si>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</si>
  <si>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</si>
  <si>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</si>
  <si>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</si>
  <si>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</si>
  <si>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</si>
  <si>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</si>
  <si>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</si>
  <si>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</si>
  <si>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</si>
  <si>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</si>
  <si>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</si>
  <si>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</si>
  <si>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</si>
  <si>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</si>
  <si>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</si>
  <si>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</si>
  <si>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</si>
  <si>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</si>
  <si>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</si>
  <si>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</si>
  <si>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</si>
  <si>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</si>
  <si>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</si>
  <si>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</si>
  <si>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</si>
  <si>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</si>
  <si>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</si>
  <si>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</si>
  <si>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</si>
  <si>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</si>
  <si>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</si>
  <si>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</si>
  <si>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</si>
  <si>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</si>
  <si>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</si>
  <si>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</si>
  <si>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</si>
  <si>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</si>
  <si>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</si>
  <si>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</si>
  <si>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</si>
  <si>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</si>
  <si>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</si>
  <si>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</si>
  <si>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</si>
  <si>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</si>
  <si>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</si>
  <si>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</si>
  <si>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</si>
  <si>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</si>
  <si>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</si>
  <si>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</si>
  <si>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</si>
  <si>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</si>
  <si>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</si>
  <si>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</si>
  <si>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</si>
  <si>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</si>
  <si>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</si>
  <si>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</si>
  <si>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</si>
  <si>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</si>
  <si>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</si>
  <si>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</si>
  <si>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</si>
  <si>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</si>
  <si>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</si>
  <si>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</si>
  <si>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</si>
  <si>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</si>
  <si>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</si>
  <si>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</si>
  <si>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</si>
  <si>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</si>
  <si>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</si>
  <si>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</si>
  <si>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</si>
  <si>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</si>
  <si>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</si>
  <si>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</si>
  <si>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</si>
  <si>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</si>
  <si>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</si>
  <si>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</si>
  <si>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</si>
  <si>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</si>
  <si>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</si>
  <si>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</si>
  <si>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</si>
  <si>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</si>
  <si>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</si>
  <si>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</si>
  <si>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</si>
  <si>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</si>
  <si>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</si>
  <si>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</si>
  <si>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</si>
  <si>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</si>
  <si>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</si>
  <si>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</si>
  <si>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</si>
  <si>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</si>
  <si>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</si>
  <si>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</si>
  <si>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</si>
  <si>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</si>
  <si>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</si>
  <si>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</si>
  <si>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</si>
  <si>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</si>
  <si>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</si>
  <si>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</si>
  <si>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</si>
  <si>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</si>
  <si>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</si>
  <si>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</si>
  <si>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</si>
  <si>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</si>
  <si>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</si>
  <si>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</si>
  <si>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</si>
  <si>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</si>
  <si>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</si>
  <si>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</si>
  <si>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</si>
  <si>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</si>
  <si>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</si>
  <si>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</si>
  <si>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</si>
  <si>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</si>
  <si>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</si>
  <si>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</si>
  <si>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</si>
  <si>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</si>
  <si>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</si>
  <si>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</si>
  <si>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</si>
  <si>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</si>
  <si>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</si>
  <si>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</si>
  <si>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</si>
  <si>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</si>
  <si>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</si>
  <si>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</si>
  <si>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</si>
  <si>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</si>
  <si>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</si>
  <si>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</si>
  <si>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</si>
  <si>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</si>
  <si>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</si>
  <si>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</si>
  <si>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</si>
  <si>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</si>
  <si>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</si>
  <si>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</si>
  <si>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</si>
  <si>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</si>
  <si>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</si>
  <si>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</si>
  <si>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</si>
  <si>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</si>
  <si>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</si>
  <si>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</si>
  <si>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</si>
  <si>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</si>
  <si>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</si>
  <si>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</si>
  <si>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</si>
  <si>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</si>
  <si>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</si>
  <si>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</si>
  <si>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</si>
  <si>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</si>
  <si>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</si>
  <si>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</si>
  <si>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</si>
  <si>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</si>
  <si>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</si>
  <si>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</si>
  <si>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</si>
  <si>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</si>
  <si>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</si>
  <si>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</si>
  <si>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</si>
  <si>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</si>
  <si>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</si>
  <si>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</si>
  <si>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</si>
  <si>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</si>
  <si>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</si>
  <si>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</si>
  <si>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</si>
  <si>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</si>
  <si>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</si>
  <si>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</si>
  <si>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</si>
  <si>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</si>
  <si>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</si>
  <si>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</si>
  <si>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</si>
  <si>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</si>
  <si>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</si>
  <si>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</si>
  <si>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</si>
  <si>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</si>
  <si>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</si>
  <si>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</si>
  <si>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</si>
  <si>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</si>
  <si>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</si>
  <si>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</si>
  <si>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</si>
  <si>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</si>
  <si>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</si>
  <si>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</si>
  <si>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</si>
  <si>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</si>
  <si>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</si>
  <si>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</si>
  <si>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</si>
  <si>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</si>
  <si>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</si>
  <si>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</si>
  <si>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</si>
  <si>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</si>
  <si>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</si>
  <si>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</si>
  <si>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</si>
  <si>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</si>
  <si>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</si>
  <si>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</si>
  <si>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</si>
  <si>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</si>
  <si>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</si>
  <si>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</si>
  <si>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</si>
  <si>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</si>
  <si>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</si>
  <si>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</si>
  <si>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</si>
  <si>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</si>
  <si>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</si>
  <si>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</si>
  <si>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</si>
  <si>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</si>
  <si>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</si>
  <si>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</si>
  <si>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</si>
  <si>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</si>
  <si>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</si>
  <si>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</si>
  <si>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</si>
  <si>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</si>
  <si>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</si>
  <si>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</si>
  <si>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</si>
  <si>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</si>
  <si>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</si>
  <si>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</si>
  <si>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</si>
  <si>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</si>
  <si>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</si>
  <si>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</si>
  <si>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</si>
  <si>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</si>
  <si>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</si>
  <si>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</si>
  <si>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</si>
  <si>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</si>
  <si>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</si>
  <si>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</si>
  <si>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</si>
  <si>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</si>
  <si>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</si>
  <si>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</si>
  <si>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</si>
  <si>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</si>
  <si>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</si>
  <si>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</si>
  <si>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</si>
  <si>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</si>
  <si>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</si>
  <si>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</si>
  <si>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</si>
  <si>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</si>
  <si>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</si>
  <si>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</si>
  <si>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</si>
  <si>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</si>
  <si>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</si>
  <si>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</si>
  <si>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</si>
  <si>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</si>
  <si>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</si>
  <si>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</si>
  <si>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</si>
  <si>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</si>
  <si>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</si>
  <si>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</si>
  <si>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</si>
  <si>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</si>
  <si>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</si>
  <si>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</si>
  <si>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</si>
  <si>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</si>
  <si>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</si>
  <si>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</si>
  <si>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</si>
  <si>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</si>
  <si>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</si>
  <si>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</si>
  <si>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</si>
  <si>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</si>
  <si>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</si>
  <si>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</si>
  <si>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</si>
  <si>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</si>
  <si>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</si>
  <si>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</si>
  <si>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</si>
  <si>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</si>
  <si>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</si>
  <si>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</si>
  <si>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</si>
  <si>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</si>
  <si>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</si>
  <si>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</si>
  <si>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</si>
  <si>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</si>
  <si>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</si>
  <si>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</si>
  <si>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</si>
  <si>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</si>
  <si>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</si>
  <si>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</si>
  <si>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</si>
  <si>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</si>
  <si>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</si>
  <si>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</si>
  <si>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</si>
  <si>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</si>
  <si>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</si>
  <si>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</si>
  <si>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</si>
  <si>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</si>
  <si>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</si>
  <si>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</si>
  <si>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</si>
  <si>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</si>
  <si>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</si>
  <si>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</si>
  <si>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</si>
  <si>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</si>
  <si>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</si>
  <si>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</si>
  <si>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</si>
  <si>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</si>
  <si>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</si>
  <si>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</si>
  <si>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</si>
  <si>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</si>
  <si>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</si>
  <si>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</si>
  <si>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</si>
  <si>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</si>
  <si>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</si>
  <si>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</si>
  <si>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</si>
  <si>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</si>
  <si>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</si>
  <si>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</si>
  <si>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</si>
  <si>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</si>
  <si>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</si>
  <si>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</si>
  <si>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</si>
  <si>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</si>
  <si>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</si>
  <si>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</si>
  <si>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</si>
  <si>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</si>
  <si>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</si>
  <si>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</si>
  <si>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</si>
  <si>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</si>
  <si>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</si>
  <si>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</si>
  <si>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</si>
  <si>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</si>
  <si>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</si>
  <si>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</si>
  <si>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</si>
  <si>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</si>
  <si>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</si>
  <si>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</si>
  <si>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</si>
  <si>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</si>
  <si>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</si>
  <si>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</si>
  <si>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</si>
  <si>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</si>
  <si>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</si>
  <si>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</si>
  <si>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</si>
  <si>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</si>
  <si>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</si>
  <si>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</si>
  <si>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</si>
  <si>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</si>
  <si>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</si>
  <si>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</si>
  <si>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</si>
  <si>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</si>
  <si>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</si>
  <si>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</si>
  <si>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</si>
  <si>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</si>
  <si>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</si>
  <si>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</si>
  <si>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</si>
  <si>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</si>
  <si>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</si>
  <si>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</si>
  <si>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</si>
  <si>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</si>
  <si>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</si>
  <si>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</si>
  <si>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</si>
  <si>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</si>
  <si>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</si>
  <si>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</si>
  <si>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</si>
  <si>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</si>
  <si>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</si>
  <si>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</si>
  <si>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</si>
  <si>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</si>
  <si>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</si>
  <si>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</si>
  <si>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</si>
  <si>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</si>
  <si>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</si>
  <si>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</si>
  <si>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</si>
  <si>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</si>
  <si>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</si>
  <si>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</si>
  <si>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</si>
  <si>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</si>
  <si>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</si>
  <si>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</si>
  <si>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</si>
  <si>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</si>
  <si>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</si>
  <si>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</si>
  <si>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</si>
  <si>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</si>
  <si>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</si>
  <si>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</si>
  <si>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</si>
  <si>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</si>
  <si>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</si>
  <si>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</si>
  <si>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</si>
  <si>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</si>
  <si>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</si>
  <si>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</si>
  <si>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</si>
  <si>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</si>
  <si>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</si>
  <si>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</si>
  <si>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</si>
  <si>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</si>
  <si>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</si>
  <si>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</si>
  <si>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</si>
  <si>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</si>
  <si>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</si>
  <si>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</si>
  <si>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</si>
  <si>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</si>
  <si>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</si>
  <si>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</si>
  <si>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</si>
  <si>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</si>
  <si>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</si>
  <si>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</si>
  <si>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</si>
  <si>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</si>
  <si>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</si>
  <si>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</si>
  <si>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</si>
  <si>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</si>
  <si>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</si>
  <si>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</si>
  <si>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</si>
  <si>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</si>
  <si>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</si>
  <si>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</si>
  <si>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</si>
  <si>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</si>
  <si>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</si>
  <si>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</si>
  <si>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</si>
  <si>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</si>
  <si>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</si>
  <si>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</si>
  <si>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</si>
  <si>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</si>
  <si>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</si>
  <si>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</si>
  <si>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</si>
  <si>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</si>
  <si>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</si>
  <si>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</si>
  <si>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</si>
  <si>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</si>
  <si>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</si>
  <si>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</si>
  <si>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</si>
  <si>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</si>
  <si>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</si>
  <si>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</si>
  <si>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</si>
  <si>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</si>
  <si>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</si>
  <si>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</si>
  <si>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</si>
  <si>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</si>
  <si>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</si>
  <si>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</si>
  <si>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</si>
  <si>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</si>
  <si>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</si>
  <si>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</si>
  <si>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</si>
  <si>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</si>
  <si>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</si>
  <si>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</si>
  <si>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</si>
  <si>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</si>
  <si>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</si>
  <si>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</si>
  <si>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</si>
  <si>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</si>
  <si>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</si>
  <si>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</si>
  <si>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</si>
  <si>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</si>
  <si>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</si>
  <si>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</si>
  <si>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</si>
  <si>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</si>
  <si>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</si>
  <si>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</si>
  <si>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</si>
  <si>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</si>
  <si>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</si>
  <si>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</si>
  <si>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</si>
  <si>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</si>
  <si>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</si>
  <si>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</si>
  <si>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</si>
  <si>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</si>
  <si>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</si>
  <si>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</si>
  <si>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</si>
  <si>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</si>
  <si>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</si>
  <si>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</si>
  <si>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</si>
  <si>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</si>
  <si>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</si>
  <si>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</si>
  <si>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</si>
  <si>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</si>
  <si>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</si>
  <si>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</si>
  <si>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</si>
  <si>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</si>
  <si>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</si>
  <si>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</si>
  <si>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</si>
  <si>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</si>
  <si>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</si>
  <si>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</si>
  <si>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</si>
  <si>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</si>
  <si>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</si>
  <si>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</si>
  <si>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</si>
  <si>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</si>
  <si>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</si>
  <si>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</si>
  <si>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</si>
  <si>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</si>
  <si>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</si>
  <si>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</si>
  <si>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</si>
  <si>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</si>
  <si>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</si>
  <si>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</si>
  <si>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</si>
  <si>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</si>
  <si>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</si>
  <si>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</si>
  <si>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</si>
  <si>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</si>
  <si>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</si>
  <si>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</si>
  <si>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</si>
  <si>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</si>
  <si>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</si>
  <si>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</si>
  <si>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</si>
  <si>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</si>
  <si>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</si>
  <si>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</si>
  <si>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</si>
  <si>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</si>
  <si>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</si>
  <si>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</si>
  <si>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</si>
  <si>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</si>
  <si>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</si>
  <si>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</si>
  <si>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</si>
  <si>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</si>
  <si>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</si>
  <si>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</si>
  <si>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</si>
  <si>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</si>
  <si>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</si>
  <si>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</si>
  <si>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</si>
  <si>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</si>
  <si>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</si>
  <si>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</si>
  <si>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</si>
  <si>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</si>
  <si>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</si>
  <si>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</si>
  <si>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</si>
  <si>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</si>
  <si>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</si>
  <si>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</si>
  <si>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</si>
  <si>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</si>
  <si>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</si>
  <si>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</si>
  <si>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</si>
  <si>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</si>
  <si>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</si>
  <si>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</si>
  <si>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</si>
  <si>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</si>
  <si>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</si>
  <si>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</si>
  <si>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</si>
  <si>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</si>
  <si>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</si>
  <si>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</si>
  <si>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</si>
  <si>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</si>
  <si>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</si>
  <si>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</si>
  <si>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</si>
  <si>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</si>
  <si>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</si>
  <si>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</si>
  <si>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</si>
  <si>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</si>
  <si>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</si>
  <si>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</si>
  <si>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</si>
  <si>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</si>
  <si>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</si>
  <si>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</si>
  <si>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</si>
  <si>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</si>
  <si>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</si>
  <si>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</si>
  <si>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</si>
  <si>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</si>
  <si>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</si>
  <si>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</si>
  <si>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</si>
  <si>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</si>
  <si>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</si>
  <si>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</si>
  <si>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</si>
  <si>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</si>
  <si>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</si>
  <si>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</si>
  <si>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</si>
  <si>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</si>
  <si>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</si>
  <si>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</si>
  <si>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</si>
  <si>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</si>
  <si>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</si>
  <si>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</si>
  <si>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</si>
  <si>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</si>
  <si>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</si>
  <si>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</si>
  <si>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</si>
  <si>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</si>
  <si>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</si>
  <si>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</si>
  <si>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</si>
  <si>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</si>
  <si>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</si>
  <si>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</si>
  <si>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</si>
  <si>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</si>
  <si>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</si>
  <si>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</si>
  <si>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</si>
  <si>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</si>
  <si>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</si>
  <si>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</si>
  <si>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</si>
  <si>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</si>
  <si>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</si>
  <si>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</si>
  <si>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</si>
  <si>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</si>
  <si>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</si>
  <si>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</si>
  <si>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</si>
  <si>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</si>
  <si>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</si>
  <si>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</si>
  <si>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</si>
  <si>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</si>
  <si>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</si>
  <si>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</si>
  <si>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</si>
  <si>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</si>
  <si>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</si>
  <si>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</si>
  <si>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</si>
  <si>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</si>
  <si>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</si>
  <si>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</si>
  <si>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</si>
  <si>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</si>
  <si>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</si>
  <si>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</si>
  <si>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</si>
  <si>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</si>
  <si>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</si>
  <si>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</si>
  <si>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</si>
  <si>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</si>
  <si>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</si>
  <si>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</si>
  <si>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</si>
  <si>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</si>
  <si>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</si>
  <si>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</si>
  <si>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</si>
  <si>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</si>
  <si>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</si>
  <si>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</si>
  <si>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</si>
  <si>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</si>
  <si>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</si>
  <si>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</si>
  <si>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</si>
  <si>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</si>
  <si>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</si>
  <si>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</si>
  <si>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</si>
  <si>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</si>
  <si>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</si>
  <si>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</si>
  <si>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</si>
  <si>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</si>
  <si>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</si>
  <si>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</si>
  <si>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</si>
  <si>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</si>
  <si>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</si>
  <si>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</si>
  <si>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</si>
  <si>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</si>
  <si>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</si>
  <si>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</si>
  <si>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</si>
  <si>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</si>
  <si>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</si>
  <si>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</si>
  <si>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</si>
  <si>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</si>
  <si>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</si>
  <si>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</si>
  <si>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</si>
  <si>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</si>
  <si>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</si>
  <si>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</si>
  <si>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</si>
  <si>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</si>
  <si>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</si>
  <si>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</si>
  <si>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</si>
  <si>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</si>
  <si>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</si>
  <si>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</si>
  <si>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</si>
  <si>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</si>
  <si>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</si>
  <si>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</si>
  <si>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</si>
  <si>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</si>
  <si>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</si>
  <si>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</si>
  <si>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</si>
  <si>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</si>
  <si>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</si>
  <si>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</si>
  <si>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</si>
  <si>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</si>
  <si>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</si>
  <si>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</si>
  <si>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</si>
  <si>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</si>
  <si>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</si>
  <si>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</si>
  <si>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</si>
  <si>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</si>
  <si>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</si>
  <si>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</si>
  <si>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</si>
  <si>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</si>
  <si>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</si>
  <si>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</si>
  <si>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</si>
  <si>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</si>
  <si>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</si>
  <si>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</si>
  <si>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</si>
  <si>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</si>
  <si>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</si>
  <si>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</si>
  <si>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</si>
  <si>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</si>
  <si>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</si>
  <si>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</si>
  <si>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</si>
  <si>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</si>
  <si>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</si>
  <si>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</si>
  <si>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</si>
  <si>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</si>
  <si>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</si>
  <si>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</si>
  <si>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</si>
  <si>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</si>
  <si>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</si>
  <si>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</si>
  <si>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</si>
  <si>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</si>
  <si>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</si>
  <si>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</si>
  <si>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</si>
  <si>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</si>
  <si>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</si>
  <si>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</si>
  <si>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</si>
  <si>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</si>
  <si>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</si>
  <si>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</si>
  <si>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</si>
  <si>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</si>
  <si>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</si>
  <si>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</si>
  <si>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</si>
  <si>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</si>
  <si>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</si>
  <si>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</si>
  <si>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</si>
  <si>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</si>
  <si>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</si>
  <si>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</si>
  <si>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</si>
  <si>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</si>
  <si>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</si>
  <si>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</si>
  <si>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</si>
  <si>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</si>
  <si>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</si>
  <si>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</si>
  <si>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</si>
  <si>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</si>
  <si>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</si>
  <si>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Order_Year</t>
  </si>
  <si>
    <t>Order_Month_Name</t>
  </si>
  <si>
    <t>Order_Month_Number</t>
  </si>
  <si>
    <t>Order_Year_Month</t>
  </si>
  <si>
    <t>Total_Cost</t>
  </si>
  <si>
    <t>Delivery_Performance</t>
  </si>
  <si>
    <t>Profitability_Status</t>
  </si>
  <si>
    <t>Order_Size_Tier</t>
  </si>
  <si>
    <t>Sum of Sales</t>
  </si>
  <si>
    <t>total_revenue</t>
  </si>
  <si>
    <t>Sum of Profit_Amount</t>
  </si>
  <si>
    <t>Total Profit</t>
  </si>
  <si>
    <t>Average of Profit_Margin</t>
  </si>
  <si>
    <t>Total Orders Processed</t>
  </si>
  <si>
    <t>Total Product sold</t>
  </si>
  <si>
    <t>Row Labels</t>
  </si>
  <si>
    <t>Grand Total</t>
  </si>
  <si>
    <t>Sales and Product Performance</t>
  </si>
  <si>
    <t>Interactive analytics and KPI Tracking</t>
  </si>
  <si>
    <t>Nov</t>
  </si>
  <si>
    <t>2023-11</t>
  </si>
  <si>
    <t>Standard</t>
  </si>
  <si>
    <t>Profitable</t>
  </si>
  <si>
    <t>Low Value</t>
  </si>
  <si>
    <t>Oct</t>
  </si>
  <si>
    <t>2024-10</t>
  </si>
  <si>
    <t>Fast</t>
  </si>
  <si>
    <t>Mid Value</t>
  </si>
  <si>
    <t>Mar</t>
  </si>
  <si>
    <t>2025-03</t>
  </si>
  <si>
    <t>Jan</t>
  </si>
  <si>
    <t>2025-01</t>
  </si>
  <si>
    <t>Jun</t>
  </si>
  <si>
    <t>2024-06</t>
  </si>
  <si>
    <t>Aug</t>
  </si>
  <si>
    <t>2025-08</t>
  </si>
  <si>
    <t>Delayed</t>
  </si>
  <si>
    <t>2024-01</t>
  </si>
  <si>
    <t>High Value</t>
  </si>
  <si>
    <t>Apr</t>
  </si>
  <si>
    <t>2023-04</t>
  </si>
  <si>
    <t>2023-03</t>
  </si>
  <si>
    <t>2025-06</t>
  </si>
  <si>
    <t>Feb</t>
  </si>
  <si>
    <t>2024-02</t>
  </si>
  <si>
    <t>Dec</t>
  </si>
  <si>
    <t>2024-12</t>
  </si>
  <si>
    <t>Jul</t>
  </si>
  <si>
    <t>2024-07</t>
  </si>
  <si>
    <t>2025-02</t>
  </si>
  <si>
    <t>May</t>
  </si>
  <si>
    <t>2023-05</t>
  </si>
  <si>
    <t>2024-08</t>
  </si>
  <si>
    <t>2025-07</t>
  </si>
  <si>
    <t>2024-04</t>
  </si>
  <si>
    <t>2025-04</t>
  </si>
  <si>
    <t>Sep</t>
  </si>
  <si>
    <t>2024-09</t>
  </si>
  <si>
    <t>2023-12</t>
  </si>
  <si>
    <t>2024-11</t>
  </si>
  <si>
    <t>2024-03</t>
  </si>
  <si>
    <t>2023-01</t>
  </si>
  <si>
    <t>2023-06</t>
  </si>
  <si>
    <t>2023-10</t>
  </si>
  <si>
    <t>2024-05</t>
  </si>
  <si>
    <t>2025-05</t>
  </si>
  <si>
    <t>2023-09</t>
  </si>
  <si>
    <t>2023-02</t>
  </si>
  <si>
    <t>2023-08</t>
  </si>
  <si>
    <t>2025-09</t>
  </si>
  <si>
    <t>2023-07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</si>
</sst>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 #,##0.00;[Red]&quot;₹&quot;\ \-#,##0.00"/>
  </numFmts>
  <fonts count="4" x14ac:knownFonts="1">
    <font>
      <sz val="11"/>
      <color theme="1"/>
      <name val="Aptos Narrow"/>
      <family val="2"/>
      <scheme val="minor"/>
    </font>
    <font>
      <b/>
      <sz val="20"/>
      <color theme="1"/>
      <name val="Aptos Narrow"/>
      <family val="2"/>
      <scheme val="minor"/>
    </font>
    <font>
      <sz val="10"/>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3F6FA"/>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left>
      <right/>
      <top/>
      <bottom/>
      <diagonal/>
    </border>
    <border>
      <left/>
      <right style="thin">
        <color theme="1"/>
      </right>
      <top/>
      <bottom/>
      <diagonal/>
    </border>
    <border>
      <left/>
      <right/>
      <top style="thin">
        <color theme="1"/>
      </top>
      <bottom/>
      <diagonal/>
    </border>
  </borders>
  <cellStyleXfs count="1">
    <xf numFmtId="0" fontId="0" fillId="0" borderId="0"/>
  </cellStyleXfs>
  <cellXfs count="27">
    <xf numFmtId="0" fontId="0" fillId="0" borderId="0" xfId="0"/>
    <xf numFmtId="15" fontId="0" fillId="0" borderId="0" xfId="0" applyNumberFormat="1"/>
    <xf numFmtId="0" fontId="0" fillId="0" borderId="0" xfId="0" applyNumberFormat="1"/>
    <xf numFmtId="8" fontId="0" fillId="0" borderId="0" xfId="0" applyNumberFormat="1"/>
    <xf numFmtId="9"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0" fillId="2" borderId="0" xfId="0" applyFill="1" applyBorder="1"/>
    <xf numFmtId="0" fontId="0" fillId="3" borderId="0" xfId="0" applyFill="1" applyBorder="1" applyAlignment="1"/>
    <xf numFmtId="0" fontId="0" fillId="3" borderId="0" xfId="0" applyFill="1" applyBorder="1"/>
    <xf numFmtId="0" fontId="3" fillId="3" borderId="0" xfId="0" applyFont="1" applyFill="1" applyBorder="1"/>
    <xf numFmtId="0" fontId="0" fillId="3" borderId="2" xfId="0" applyFill="1" applyBorder="1" applyAlignment="1"/>
    <xf numFmtId="0" fontId="0" fillId="3" borderId="3" xfId="0" applyFill="1" applyBorder="1"/>
    <xf numFmtId="0" fontId="0" fillId="3" borderId="5" xfId="0" applyFill="1" applyBorder="1"/>
    <xf numFmtId="0" fontId="0" fillId="3" borderId="4"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2" borderId="9" xfId="0" applyFill="1" applyBorder="1"/>
    <xf numFmtId="0" fontId="0" fillId="3" borderId="10" xfId="0" applyFill="1" applyBorder="1"/>
    <xf numFmtId="0" fontId="0" fillId="2" borderId="11" xfId="0" applyFill="1" applyBorder="1"/>
    <xf numFmtId="0" fontId="1" fillId="3" borderId="1" xfId="0" applyFont="1" applyFill="1" applyBorder="1" applyAlignment="1">
      <alignment horizontal="left"/>
    </xf>
    <xf numFmtId="0" fontId="1" fillId="3" borderId="2" xfId="0" applyFont="1" applyFill="1" applyBorder="1" applyAlignment="1">
      <alignment horizontal="left"/>
    </xf>
    <xf numFmtId="0" fontId="2" fillId="3" borderId="4" xfId="0" applyFont="1" applyFill="1" applyBorder="1" applyAlignment="1">
      <alignment horizontal="left"/>
    </xf>
    <xf numFmtId="0" fontId="2" fillId="3" borderId="0" xfId="0" applyFont="1" applyFill="1" applyBorder="1" applyAlignment="1">
      <alignment horizontal="left"/>
    </xf>
  </cellXfs>
  <cellStyles count="1">
    <cellStyle name="Normal" xfId="0" builtinId="0"/>
  </cellStyles>
  <dxfs count="25">
    <dxf>
      <numFmt numFmtId="12" formatCode="&quot;₹&quot;\ #,##0.00;[Red]&quot;₹&quot;\ \-#,##0.00"/>
    </dxf>
    <dxf>
      <numFmt numFmtId="12" formatCode="&quot;₹&quot;\ #,##0.00;[Red]&quot;₹&quot;\ \-#,##0.00"/>
    </dxf>
    <dxf>
      <numFmt numFmtId="13"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0" formatCode="dd/mmm/yy"/>
    </dxf>
    <dxf>
      <numFmt numFmtId="0" formatCode="General"/>
    </dxf>
    <dxf>
      <font>
        <b/>
        <i val="0"/>
        <color theme="0"/>
      </font>
      <fill>
        <patternFill>
          <bgColor rgb="FF16324F"/>
        </patternFill>
      </fill>
    </dxf>
    <dxf>
      <fill>
        <patternFill patternType="solid">
          <bgColor rgb="FFFFFFFF"/>
        </patternFill>
      </fill>
    </dxf>
  </dxfs>
  <tableStyles count="1" defaultTableStyle="TableStyleMedium2" defaultPivotStyle="PivotStyleLight16">
    <tableStyle name="Slicer Style 1" pivot="0" table="0" count="4" xr9:uid="{DB2DE60F-E462-47AE-A66D-175F73CC91C2}">
      <tableStyleElement type="wholeTable" dxfId="24"/>
      <tableStyleElement type="headerRow" dxfId="23"/>
    </tableStyle>
  </tableStyles>
  <colors>
    <mruColors>
      <color rgb="FFDCEAF7"/>
      <color rgb="FF16324F"/>
      <color rgb="FFF3F6FA"/>
      <color rgb="FF18A6A6"/>
      <color rgb="FFFFFFFF"/>
      <color rgb="FFFF0000"/>
      <color rgb="FFFFB300"/>
      <color rgb="FF4A0001"/>
      <color rgb="FF938067"/>
      <color rgb="FF980002"/>
    </mruColors>
  </colors>
  <extLst>
    <ext xmlns:x14="http://schemas.microsoft.com/office/spreadsheetml/2009/9/main" uri="{46F421CA-312F-682f-3DD2-61675219B42D}">
      <x14:dxfs count="2">
        <dxf>
          <font>
            <color theme="0"/>
          </font>
          <fill>
            <patternFill>
              <bgColor rgb="FF18A6A6"/>
            </patternFill>
          </fill>
        </dxf>
        <dxf>
          <font>
            <color rgb="FF16324F"/>
          </font>
          <fill>
            <patternFill>
              <bgColor rgb="FFDCEAF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[Excel_Dashboard_Final.xlsx]Calculations_Pivot_Table!sales_per_product_category</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2">
                    <a:lumMod val="90000"/>
                    <a:lumOff val="10000"/>
                  </a:schemeClr>
                </a:solidFill>
              </a:rPr>
              <a:t>Yearly Sales &amp; Profit Trend</a:t>
            </a:r>
            <a:endParaRPr lang="en-IN" sz="1000" b="1">
              <a:solidFill>
                <a:schemeClr val="tx2">
                  <a:lumMod val="90000"/>
                  <a:lumOff val="10000"/>
                </a:schemeClr>
              </a:solidFill>
            </a:endParaRPr>
          </a:p>
        </c:rich>
      </c:tx>
      <c:layout>
        <c:manualLayout>
          <c:xMode val="edge"/>
          <c:yMode val="edge"/>
          <c:x val="2.2110016007810065E-2"/>
          <c:y val="1.4720550061750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Calculations_Pivot_Table!$V$1</c:f>
              <c:strCache>
                <c:ptCount val="1"/>
                <c:pt idx="0">
                  <c:v>Sum of Sales</c:v>
                </c:pt>
              </c:strCache>
            </c:strRef>
          </c:tx>
          <c:spPr>
            <a:ln w="28575" cap="rnd">
              <a:solidFill>
                <a:schemeClr val="accent4">
                  <a:tint val="77000"/>
                </a:schemeClr>
              </a:solidFill>
              <a:round/>
            </a:ln>
            <a:effectLst/>
          </c:spPr>
          <c:marker>
            <c:symbol val="none"/>
          </c:marker>
          <c:cat>
            <c:strRef>
              <c:f>Calculations_Pivot_Table!$T$2:$T$5</c:f>
              <c:strCache>
                <c:ptCount val="3"/>
                <c:pt idx="0">
                  <c:v>2023</c:v>
                </c:pt>
                <c:pt idx="1">
                  <c:v>2024</c:v>
                </c:pt>
                <c:pt idx="2">
                  <c:v>2025</c:v>
                </c:pt>
              </c:strCache>
            </c:strRef>
          </c:cat>
          <c:val>
            <c:numRef>
              <c:f>Calculations_Pivot_Table!$V$2:$V$5</c:f>
              <c:numCache>
                <c:formatCode>General</c:formatCode>
                <c:ptCount val="3"/>
                <c:pt idx="0">
                  <c:v>23186469.580000002</c:v>
                </c:pt>
                <c:pt idx="1">
                  <c:v>21430189.099999998</c:v>
                </c:pt>
                <c:pt idx="2">
                  <c:v>16098296.940000003</c:v>
                </c:pt>
              </c:numCache>
            </c:numRef>
          </c:val>
          <c:smooth val="0"/>
          <c:extLst>
            <c:ext xmlns:c16="http://schemas.microsoft.com/office/drawing/2014/chart" uri="{C3380CC4-5D6E-409C-BE32-E72D297353CC}">
              <c16:uniqueId val="{00000001-141F-4A15-8046-1353B811BCFA}"/>
            </c:ext>
          </c:extLst>
        </c:ser>
        <c:dLbls>
          <c:showLegendKey val="0"/>
          <c:showVal val="0"/>
          <c:showCatName val="0"/>
          <c:showSerName val="0"/>
          <c:showPercent val="0"/>
          <c:showBubbleSize val="0"/>
        </c:dLbls>
        <c:marker val="1"/>
        <c:smooth val="0"/>
        <c:axId val="83815807"/>
        <c:axId val="83826847"/>
      </c:lineChart>
      <c:lineChart>
        <c:grouping val="standard"/>
        <c:varyColors val="0"/>
        <c:ser>
          <c:idx val="0"/>
          <c:order val="0"/>
          <c:tx>
            <c:strRef>
              <c:f>Calculations_Pivot_Table!$U$1</c:f>
              <c:strCache>
                <c:ptCount val="1"/>
                <c:pt idx="0">
                  <c:v>Sum of Profit_Amount</c:v>
                </c:pt>
              </c:strCache>
            </c:strRef>
          </c:tx>
          <c:spPr>
            <a:ln w="28575" cap="rnd">
              <a:solidFill>
                <a:schemeClr val="accent4">
                  <a:shade val="76000"/>
                </a:schemeClr>
              </a:solidFill>
              <a:round/>
            </a:ln>
            <a:effectLst/>
          </c:spPr>
          <c:marker>
            <c:symbol val="none"/>
          </c:marker>
          <c:cat>
            <c:strRef>
              <c:f>Calculations_Pivot_Table!$T$2:$T$5</c:f>
              <c:strCache>
                <c:ptCount val="3"/>
                <c:pt idx="0">
                  <c:v>2023</c:v>
                </c:pt>
                <c:pt idx="1">
                  <c:v>2024</c:v>
                </c:pt>
                <c:pt idx="2">
                  <c:v>2025</c:v>
                </c:pt>
              </c:strCache>
            </c:strRef>
          </c:cat>
          <c:val>
            <c:numRef>
              <c:f>Calculations_Pivot_Table!$U$2:$U$5</c:f>
              <c:numCache>
                <c:formatCode>General</c:formatCode>
                <c:ptCount val="3"/>
                <c:pt idx="0">
                  <c:v>4197267.0100000016</c:v>
                </c:pt>
                <c:pt idx="1">
                  <c:v>3846825.2399999998</c:v>
                </c:pt>
                <c:pt idx="2">
                  <c:v>2908859.8</c:v>
                </c:pt>
              </c:numCache>
            </c:numRef>
          </c:val>
          <c:smooth val="0"/>
          <c:extLst>
            <c:ext xmlns:c16="http://schemas.microsoft.com/office/drawing/2014/chart" uri="{C3380CC4-5D6E-409C-BE32-E72D297353CC}">
              <c16:uniqueId val="{00000000-141F-4A15-8046-1353B811BCFA}"/>
            </c:ext>
          </c:extLst>
        </c:ser>
        <c:dLbls>
          <c:showLegendKey val="0"/>
          <c:showVal val="0"/>
          <c:showCatName val="0"/>
          <c:showSerName val="0"/>
          <c:showPercent val="0"/>
          <c:showBubbleSize val="0"/>
        </c:dLbls>
        <c:marker val="1"/>
        <c:smooth val="0"/>
        <c:axId val="2083045199"/>
        <c:axId val="2083040879"/>
      </c:lineChart>
      <c:catAx>
        <c:axId val="8381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6847"/>
        <c:crosses val="autoZero"/>
        <c:auto val="1"/>
        <c:lblAlgn val="ctr"/>
        <c:lblOffset val="100"/>
        <c:noMultiLvlLbl val="0"/>
      </c:catAx>
      <c:valAx>
        <c:axId val="83826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15807"/>
        <c:crosses val="autoZero"/>
        <c:crossBetween val="between"/>
      </c:valAx>
      <c:valAx>
        <c:axId val="208304087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045199"/>
        <c:crosses val="max"/>
        <c:crossBetween val="between"/>
      </c:valAx>
      <c:catAx>
        <c:axId val="2083045199"/>
        <c:scaling>
          <c:orientation val="minMax"/>
        </c:scaling>
        <c:delete val="1"/>
        <c:axPos val="b"/>
        <c:numFmt formatCode="General" sourceLinked="1"/>
        <c:majorTickMark val="out"/>
        <c:minorTickMark val="none"/>
        <c:tickLblPos val="nextTo"/>
        <c:crossAx val="2083040879"/>
        <c:crosses val="autoZero"/>
        <c:auto val="1"/>
        <c:lblAlgn val="ctr"/>
        <c:lblOffset val="100"/>
        <c:noMultiLvlLbl val="0"/>
      </c:cat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[Excel_Dashboard_Final.xlsx]Calculations_Pivot_Table!revenue_per_category</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2">
                    <a:lumMod val="90000"/>
                    <a:lumOff val="10000"/>
                  </a:schemeClr>
                </a:solidFill>
              </a:rPr>
              <a:t>Sales by Product</a:t>
            </a:r>
            <a:endParaRPr lang="en-US" sz="1000" b="1">
              <a:solidFill>
                <a:schemeClr val="tx2">
                  <a:lumMod val="90000"/>
                  <a:lumOff val="10000"/>
                </a:schemeClr>
              </a:solidFill>
            </a:endParaRPr>
          </a:p>
        </c:rich>
      </c:tx>
      <c:layout>
        <c:manualLayout>
          <c:xMode val="edge"/>
          <c:yMode val="edge"/>
          <c:x val="1.4795407977904048E-2"/>
          <c:y val="3.7768921602869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5023844684038"/>
          <c:y val="0.24621766421214131"/>
          <c:w val="0.62192652343977428"/>
          <c:h val="0.54617574268838265"/>
        </c:manualLayout>
      </c:layout>
      <c:barChart>
        <c:barDir val="bar"/>
        <c:grouping val="clustered"/>
        <c:varyColors val="0"/>
        <c:ser>
          <c:idx val="0"/>
          <c:order val="0"/>
          <c:tx>
            <c:strRef>
              <c:f>Calculations_Pivot_Table!$L$1</c:f>
              <c:strCache>
                <c:ptCount val="1"/>
                <c:pt idx="0">
                  <c:v>Total</c:v>
                </c:pt>
              </c:strCache>
            </c:strRef>
          </c:tx>
          <c:spPr>
            <a:solidFill>
              <a:schemeClr val="accent1"/>
            </a:solidFill>
            <a:ln>
              <a:noFill/>
            </a:ln>
            <a:effectLst/>
          </c:spPr>
          <c:invertIfNegative val="0"/>
          <c:cat>
            <c:strRef>
              <c:f>Calculations_Pivot_Table!$K$2:$K$12</c:f>
              <c:strCache>
                <c:ptCount val="10"/>
                <c:pt idx="0">
                  <c:v>Earphones - 181</c:v>
                </c:pt>
                <c:pt idx="1">
                  <c:v>Laptop - 328</c:v>
                </c:pt>
                <c:pt idx="2">
                  <c:v>Laptop - 923</c:v>
                </c:pt>
                <c:pt idx="3">
                  <c:v>Mobile - 335</c:v>
                </c:pt>
                <c:pt idx="4">
                  <c:v>Mobile - 495</c:v>
                </c:pt>
                <c:pt idx="5">
                  <c:v>Mobile - 519</c:v>
                </c:pt>
                <c:pt idx="6">
                  <c:v>Mobile - 660</c:v>
                </c:pt>
                <c:pt idx="7">
                  <c:v>Tablet - 401</c:v>
                </c:pt>
                <c:pt idx="8">
                  <c:v>Tablet - 521</c:v>
                </c:pt>
                <c:pt idx="9">
                  <c:v>Tablet - 556</c:v>
                </c:pt>
              </c:strCache>
            </c:strRef>
          </c:cat>
          <c:val>
            <c:numRef>
              <c:f>Calculations_Pivot_Table!$L$2:$L$12</c:f>
              <c:numCache>
                <c:formatCode>General</c:formatCode>
                <c:ptCount val="10"/>
                <c:pt idx="0">
                  <c:v>518577.36</c:v>
                </c:pt>
                <c:pt idx="1">
                  <c:v>610802.64</c:v>
                </c:pt>
                <c:pt idx="2">
                  <c:v>532378.89999999991</c:v>
                </c:pt>
                <c:pt idx="3">
                  <c:v>609284.16</c:v>
                </c:pt>
                <c:pt idx="4">
                  <c:v>526981.02</c:v>
                </c:pt>
                <c:pt idx="5">
                  <c:v>584192.69999999995</c:v>
                </c:pt>
                <c:pt idx="6">
                  <c:v>558706.80000000005</c:v>
                </c:pt>
                <c:pt idx="7">
                  <c:v>560867.15999999992</c:v>
                </c:pt>
                <c:pt idx="8">
                  <c:v>544771.80000000005</c:v>
                </c:pt>
                <c:pt idx="9">
                  <c:v>524106.36</c:v>
                </c:pt>
              </c:numCache>
            </c:numRef>
          </c:val>
          <c:extLst>
            <c:ext xmlns:c16="http://schemas.microsoft.com/office/drawing/2014/chart" uri="{C3380CC4-5D6E-409C-BE32-E72D297353CC}">
              <c16:uniqueId val="{00000000-AF0B-4D23-AAC7-438AD6446C1B}"/>
            </c:ext>
          </c:extLst>
        </c:ser>
        <c:dLbls>
          <c:showLegendKey val="0"/>
          <c:showVal val="0"/>
          <c:showCatName val="0"/>
          <c:showSerName val="0"/>
          <c:showPercent val="0"/>
          <c:showBubbleSize val="0"/>
        </c:dLbls>
        <c:gapWidth val="182"/>
        <c:axId val="1620852336"/>
        <c:axId val="1620851376"/>
      </c:barChart>
      <c:catAx>
        <c:axId val="162085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851376"/>
        <c:crosses val="autoZero"/>
        <c:auto val="1"/>
        <c:lblAlgn val="ctr"/>
        <c:lblOffset val="100"/>
        <c:noMultiLvlLbl val="0"/>
      </c:catAx>
      <c:valAx>
        <c:axId val="1620851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85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[Excel_Dashboard_Final.xlsx]Calculations_Pivot_Table!yearly_sales</c:name>
    <c:fmtId val="2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900" b="1" i="0" u="none" strike="noStrike" cap="none" normalizeH="0" baseline="0">
                <a:solidFill>
                  <a:schemeClr val="tx2">
                    <a:lumMod val="90000"/>
                    <a:lumOff val="10000"/>
                  </a:schemeClr>
                </a:solidFill>
              </a:rPr>
              <a:t>Sales &amp; Profit by Category</a:t>
            </a:r>
            <a:endParaRPr lang="en-IN" sz="900" b="1">
              <a:solidFill>
                <a:schemeClr val="tx2">
                  <a:lumMod val="90000"/>
                  <a:lumOff val="10000"/>
                </a:schemeClr>
              </a:solidFill>
            </a:endParaRPr>
          </a:p>
        </c:rich>
      </c:tx>
      <c:layout>
        <c:manualLayout>
          <c:xMode val="edge"/>
          <c:yMode val="edge"/>
          <c:x val="2.0490523384784614E-3"/>
          <c:y val="6.3800756767401533E-3"/>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138089169327"/>
          <c:y val="0.13323456775238474"/>
          <c:w val="0.5469193397216805"/>
          <c:h val="0.5787336504281182"/>
        </c:manualLayout>
      </c:layout>
      <c:barChart>
        <c:barDir val="col"/>
        <c:grouping val="clustered"/>
        <c:varyColors val="0"/>
        <c:ser>
          <c:idx val="0"/>
          <c:order val="0"/>
          <c:tx>
            <c:strRef>
              <c:f>Calculations_Pivot_Table!$F$1</c:f>
              <c:strCache>
                <c:ptCount val="1"/>
                <c:pt idx="0">
                  <c:v>Sum of Sales</c:v>
                </c:pt>
              </c:strCache>
            </c:strRef>
          </c:tx>
          <c:spPr>
            <a:solidFill>
              <a:schemeClr val="accent4">
                <a:shade val="76000"/>
                <a:alpha val="70000"/>
              </a:schemeClr>
            </a:solidFill>
            <a:ln>
              <a:noFill/>
            </a:ln>
            <a:effectLst/>
          </c:spPr>
          <c:invertIfNegative val="0"/>
          <c:cat>
            <c:strRef>
              <c:f>Calculations_Pivot_Table!$E$2:$E$7</c:f>
              <c:strCache>
                <c:ptCount val="5"/>
                <c:pt idx="0">
                  <c:v>Books</c:v>
                </c:pt>
                <c:pt idx="1">
                  <c:v>Clothing</c:v>
                </c:pt>
                <c:pt idx="2">
                  <c:v>Electronics</c:v>
                </c:pt>
                <c:pt idx="3">
                  <c:v>Furniture</c:v>
                </c:pt>
                <c:pt idx="4">
                  <c:v>Sports</c:v>
                </c:pt>
              </c:strCache>
            </c:strRef>
          </c:cat>
          <c:val>
            <c:numRef>
              <c:f>Calculations_Pivot_Table!$F$2:$F$7</c:f>
              <c:numCache>
                <c:formatCode>General</c:formatCode>
                <c:ptCount val="5"/>
                <c:pt idx="0">
                  <c:v>772284.36000000022</c:v>
                </c:pt>
                <c:pt idx="1">
                  <c:v>2193382.1499999994</c:v>
                </c:pt>
                <c:pt idx="2">
                  <c:v>41244408.189999983</c:v>
                </c:pt>
                <c:pt idx="3">
                  <c:v>8730535.9899999984</c:v>
                </c:pt>
                <c:pt idx="4">
                  <c:v>7774344.9299999988</c:v>
                </c:pt>
              </c:numCache>
            </c:numRef>
          </c:val>
          <c:extLst>
            <c:ext xmlns:c16="http://schemas.microsoft.com/office/drawing/2014/chart" uri="{C3380CC4-5D6E-409C-BE32-E72D297353CC}">
              <c16:uniqueId val="{00000000-8C23-41FC-8313-F402486E5259}"/>
            </c:ext>
          </c:extLst>
        </c:ser>
        <c:ser>
          <c:idx val="1"/>
          <c:order val="1"/>
          <c:tx>
            <c:strRef>
              <c:f>Calculations_Pivot_Table!$G$1</c:f>
              <c:strCache>
                <c:ptCount val="1"/>
                <c:pt idx="0">
                  <c:v>Sum of Profit_Amount</c:v>
                </c:pt>
              </c:strCache>
            </c:strRef>
          </c:tx>
          <c:spPr>
            <a:solidFill>
              <a:schemeClr val="accent4">
                <a:tint val="77000"/>
                <a:alpha val="70000"/>
              </a:schemeClr>
            </a:solidFill>
            <a:ln>
              <a:noFill/>
            </a:ln>
            <a:effectLst/>
          </c:spPr>
          <c:invertIfNegative val="0"/>
          <c:cat>
            <c:strRef>
              <c:f>Calculations_Pivot_Table!$E$2:$E$7</c:f>
              <c:strCache>
                <c:ptCount val="5"/>
                <c:pt idx="0">
                  <c:v>Books</c:v>
                </c:pt>
                <c:pt idx="1">
                  <c:v>Clothing</c:v>
                </c:pt>
                <c:pt idx="2">
                  <c:v>Electronics</c:v>
                </c:pt>
                <c:pt idx="3">
                  <c:v>Furniture</c:v>
                </c:pt>
                <c:pt idx="4">
                  <c:v>Sports</c:v>
                </c:pt>
              </c:strCache>
            </c:strRef>
          </c:cat>
          <c:val>
            <c:numRef>
              <c:f>Calculations_Pivot_Table!$G$2:$G$7</c:f>
              <c:numCache>
                <c:formatCode>General</c:formatCode>
                <c:ptCount val="5"/>
                <c:pt idx="0">
                  <c:v>308913.69000000018</c:v>
                </c:pt>
                <c:pt idx="1">
                  <c:v>767683.77000000025</c:v>
                </c:pt>
                <c:pt idx="2">
                  <c:v>6186661.1700000009</c:v>
                </c:pt>
                <c:pt idx="3">
                  <c:v>1746107.1899999995</c:v>
                </c:pt>
                <c:pt idx="4">
                  <c:v>1943586.2300000002</c:v>
                </c:pt>
              </c:numCache>
            </c:numRef>
          </c:val>
          <c:extLst>
            <c:ext xmlns:c16="http://schemas.microsoft.com/office/drawing/2014/chart" uri="{C3380CC4-5D6E-409C-BE32-E72D297353CC}">
              <c16:uniqueId val="{00000001-8C23-41FC-8313-F402486E5259}"/>
            </c:ext>
          </c:extLst>
        </c:ser>
        <c:dLbls>
          <c:showLegendKey val="0"/>
          <c:showVal val="0"/>
          <c:showCatName val="0"/>
          <c:showSerName val="0"/>
          <c:showPercent val="0"/>
          <c:showBubbleSize val="0"/>
        </c:dLbls>
        <c:gapWidth val="80"/>
        <c:overlap val="25"/>
        <c:axId val="1342344320"/>
        <c:axId val="1342345760"/>
      </c:barChart>
      <c:catAx>
        <c:axId val="134234432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42345760"/>
        <c:crosses val="autoZero"/>
        <c:auto val="1"/>
        <c:lblAlgn val="ctr"/>
        <c:lblOffset val="100"/>
        <c:noMultiLvlLbl val="0"/>
      </c:catAx>
      <c:valAx>
        <c:axId val="1342345760"/>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42344320"/>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[Excel_Dashboard_Final.xlsx]Calculations_Pivot_Table!revenue_per_region</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2">
                    <a:lumMod val="90000"/>
                    <a:lumOff val="10000"/>
                  </a:schemeClr>
                </a:solidFill>
              </a:rPr>
              <a:t>Sales by Region</a:t>
            </a:r>
            <a:endParaRPr lang="en-US" sz="1000" b="1">
              <a:solidFill>
                <a:schemeClr val="tx2">
                  <a:lumMod val="90000"/>
                  <a:lumOff val="10000"/>
                </a:schemeClr>
              </a:solidFill>
            </a:endParaRPr>
          </a:p>
        </c:rich>
      </c:tx>
      <c:layout>
        <c:manualLayout>
          <c:xMode val="edge"/>
          <c:yMode val="edge"/>
          <c:x val="4.4395403319654553E-2"/>
          <c:y val="4.9743395933629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Calculations_Pivot_Table!$O$1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D0-45DF-AD1B-DE2075C7D8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D0-45DF-AD1B-DE2075C7D8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D0-45DF-AD1B-DE2075C7D8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D0-45DF-AD1B-DE2075C7D8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Calculations_Pivot_Table!$N$2:$N$6</c:f>
              <c:strCache>
                <c:ptCount val="4"/>
                <c:pt idx="0">
                  <c:v>East</c:v>
                </c:pt>
                <c:pt idx="1">
                  <c:v>North</c:v>
                </c:pt>
                <c:pt idx="2">
                  <c:v>South</c:v>
                </c:pt>
                <c:pt idx="3">
                  <c:v>West</c:v>
                </c:pt>
              </c:strCache>
            </c:strRef>
          </c:cat>
          <c:val>
            <c:numRef>
              <c:f>Calculations_Pivot_Table!$O$2:$O$6</c:f>
              <c:numCache>
                <c:formatCode>General</c:formatCode>
                <c:ptCount val="4"/>
                <c:pt idx="0">
                  <c:v>17598171.289999999</c:v>
                </c:pt>
                <c:pt idx="1">
                  <c:v>12093869.700000001</c:v>
                </c:pt>
                <c:pt idx="2">
                  <c:v>18551130.940000001</c:v>
                </c:pt>
                <c:pt idx="3">
                  <c:v>12471783.690000003</c:v>
                </c:pt>
              </c:numCache>
            </c:numRef>
          </c:val>
          <c:extLst>
            <c:ext xmlns:c16="http://schemas.microsoft.com/office/drawing/2014/chart" uri="{C3380CC4-5D6E-409C-BE32-E72D297353CC}">
              <c16:uniqueId val="{00000008-42D0-45DF-AD1B-DE2075C7D8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159242</xdr:colOff>
      <xdr:row>3</xdr:row>
      <xdr:rowOff>7620</xdr:rowOff>
    </xdr:from>
    <xdr:to>
      <xdr:col>3</xdr:col>
      <xdr:colOff>524042</xdr:colOff>
      <xdr:row>5</xdr:row>
      <xdr:rowOff>181860</xdr:rowOff>
    </xdr:to>
    <xdr:grpSp>
      <xdr:nvGrpSpPr>
        <xdr:cNvPr id="2" name="Group 1">
          <a:extLst>
            <a:ext uri="{FF2B5EF4-FFF2-40B4-BE49-F238E27FC236}">
              <a16:creationId xmlns:a16="http://schemas.microsoft.com/office/drawing/2014/main" id="{E6D915ED-D6AA-9D2D-F459-AAA5FA64D49F}"/>
            </a:ext>
          </a:extLst>
        </xdr:cNvPr>
        <xdr:cNvGrpSpPr/>
      </xdr:nvGrpSpPr>
      <xdr:grpSpPr>
        <a:xfrm>
          <a:off x="767377" y="703678"/>
          <a:ext cx="1581069" cy="540586"/>
          <a:chOff x="845043" y="883920"/>
          <a:chExt cx="1524777" cy="533400"/>
        </a:xfrm>
        <a:solidFill>
          <a:srgbClr val="16324F"/>
        </a:solidFill>
      </xdr:grpSpPr>
      <xdr:sp macro="" textlink="">
        <xdr:nvSpPr>
          <xdr:cNvPr id="24" name="Rectangle: Rounded Corners 23">
            <a:extLst>
              <a:ext uri="{FF2B5EF4-FFF2-40B4-BE49-F238E27FC236}">
                <a16:creationId xmlns:a16="http://schemas.microsoft.com/office/drawing/2014/main" id="{6644A746-E963-27B3-D822-D3BCD13EE0A6}"/>
              </a:ext>
            </a:extLst>
          </xdr:cNvPr>
          <xdr:cNvSpPr/>
        </xdr:nvSpPr>
        <xdr:spPr>
          <a:xfrm>
            <a:off x="845043" y="883920"/>
            <a:ext cx="1524777" cy="533400"/>
          </a:xfrm>
          <a:prstGeom prst="roundRect">
            <a:avLst/>
          </a:prstGeom>
          <a:grp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Calculations_Pivot_Table!A2">
        <xdr:nvSpPr>
          <xdr:cNvPr id="25" name="TextBox 24">
            <a:extLst>
              <a:ext uri="{FF2B5EF4-FFF2-40B4-BE49-F238E27FC236}">
                <a16:creationId xmlns:a16="http://schemas.microsoft.com/office/drawing/2014/main" id="{69819748-0352-BD5D-2B37-90EA196FCDC9}"/>
              </a:ext>
            </a:extLst>
          </xdr:cNvPr>
          <xdr:cNvSpPr txBox="1"/>
        </xdr:nvSpPr>
        <xdr:spPr>
          <a:xfrm>
            <a:off x="946747" y="946067"/>
            <a:ext cx="1293183" cy="18846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136F92-ABBB-4451-A623-7FC09676B4CC}" type="TxLink">
              <a:rPr lang="en-US" sz="1100" b="1" i="0" u="none" strike="noStrike">
                <a:solidFill>
                  <a:schemeClr val="bg1"/>
                </a:solidFill>
                <a:latin typeface="Aptos Narrow"/>
              </a:rPr>
              <a:pPr algn="ctr"/>
              <a:t>₹ 6,07,14,955.62</a:t>
            </a:fld>
            <a:endParaRPr lang="en-IN" sz="1100" b="1">
              <a:solidFill>
                <a:schemeClr val="bg1"/>
              </a:solidFill>
            </a:endParaRPr>
          </a:p>
        </xdr:txBody>
      </xdr:sp>
      <xdr:sp macro="" textlink="">
        <xdr:nvSpPr>
          <xdr:cNvPr id="26" name="TextBox 25">
            <a:extLst>
              <a:ext uri="{FF2B5EF4-FFF2-40B4-BE49-F238E27FC236}">
                <a16:creationId xmlns:a16="http://schemas.microsoft.com/office/drawing/2014/main" id="{730B873C-FCF8-33AF-30E2-FB311B13AB54}"/>
              </a:ext>
            </a:extLst>
          </xdr:cNvPr>
          <xdr:cNvSpPr txBox="1"/>
        </xdr:nvSpPr>
        <xdr:spPr>
          <a:xfrm>
            <a:off x="988344" y="1117889"/>
            <a:ext cx="1185020" cy="219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DCEAF7"/>
                </a:solidFill>
              </a:rPr>
              <a:t>Total_Revenue</a:t>
            </a:r>
          </a:p>
        </xdr:txBody>
      </xdr:sp>
    </xdr:grpSp>
    <xdr:clientData/>
  </xdr:twoCellAnchor>
  <xdr:twoCellAnchor>
    <xdr:from>
      <xdr:col>4</xdr:col>
      <xdr:colOff>213361</xdr:colOff>
      <xdr:row>3</xdr:row>
      <xdr:rowOff>7618</xdr:rowOff>
    </xdr:from>
    <xdr:to>
      <xdr:col>6</xdr:col>
      <xdr:colOff>578161</xdr:colOff>
      <xdr:row>5</xdr:row>
      <xdr:rowOff>181858</xdr:rowOff>
    </xdr:to>
    <xdr:grpSp>
      <xdr:nvGrpSpPr>
        <xdr:cNvPr id="3" name="Group 2">
          <a:extLst>
            <a:ext uri="{FF2B5EF4-FFF2-40B4-BE49-F238E27FC236}">
              <a16:creationId xmlns:a16="http://schemas.microsoft.com/office/drawing/2014/main" id="{8878587E-21E5-2598-09B3-D99C6096E614}"/>
            </a:ext>
          </a:extLst>
        </xdr:cNvPr>
        <xdr:cNvGrpSpPr/>
      </xdr:nvGrpSpPr>
      <xdr:grpSpPr>
        <a:xfrm>
          <a:off x="2645899" y="703676"/>
          <a:ext cx="1581070" cy="540586"/>
          <a:chOff x="2735581" y="891539"/>
          <a:chExt cx="1607820" cy="525781"/>
        </a:xfrm>
      </xdr:grpSpPr>
      <xdr:sp macro="" textlink="">
        <xdr:nvSpPr>
          <xdr:cNvPr id="34" name="Rectangle: Rounded Corners 33">
            <a:extLst>
              <a:ext uri="{FF2B5EF4-FFF2-40B4-BE49-F238E27FC236}">
                <a16:creationId xmlns:a16="http://schemas.microsoft.com/office/drawing/2014/main" id="{BBFCFC3D-1129-EDB1-BB36-7C2F76BA5484}"/>
              </a:ext>
            </a:extLst>
          </xdr:cNvPr>
          <xdr:cNvSpPr/>
        </xdr:nvSpPr>
        <xdr:spPr>
          <a:xfrm>
            <a:off x="2735581" y="891539"/>
            <a:ext cx="1607820" cy="525781"/>
          </a:xfrm>
          <a:prstGeom prst="roundRect">
            <a:avLst/>
          </a:prstGeom>
          <a:solidFill>
            <a:srgbClr val="16324F"/>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lculations_Pivot_Table!A4">
        <xdr:nvSpPr>
          <xdr:cNvPr id="35" name="TextBox 34">
            <a:extLst>
              <a:ext uri="{FF2B5EF4-FFF2-40B4-BE49-F238E27FC236}">
                <a16:creationId xmlns:a16="http://schemas.microsoft.com/office/drawing/2014/main" id="{35E0DCE1-8243-7A27-E6C1-946EB3A584FC}"/>
              </a:ext>
            </a:extLst>
          </xdr:cNvPr>
          <xdr:cNvSpPr txBox="1"/>
        </xdr:nvSpPr>
        <xdr:spPr>
          <a:xfrm>
            <a:off x="2911528" y="931538"/>
            <a:ext cx="1227101" cy="192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DAD2DA-2E6F-4AB7-8F54-A7C4F3396B6F}" type="TxLink">
              <a:rPr lang="en-US" sz="1100" b="1" i="0" u="none" strike="noStrike">
                <a:solidFill>
                  <a:schemeClr val="bg1"/>
                </a:solidFill>
                <a:latin typeface="Aptos Narrow"/>
              </a:rPr>
              <a:pPr algn="ctr"/>
              <a:t>₹ 1,09,52,952.05</a:t>
            </a:fld>
            <a:endParaRPr lang="en-IN" sz="1100" b="1">
              <a:solidFill>
                <a:schemeClr val="bg1"/>
              </a:solidFill>
            </a:endParaRPr>
          </a:p>
        </xdr:txBody>
      </xdr:sp>
      <xdr:sp macro="" textlink="">
        <xdr:nvSpPr>
          <xdr:cNvPr id="36" name="TextBox 35">
            <a:extLst>
              <a:ext uri="{FF2B5EF4-FFF2-40B4-BE49-F238E27FC236}">
                <a16:creationId xmlns:a16="http://schemas.microsoft.com/office/drawing/2014/main" id="{D6496E81-C025-A365-7E83-A0FECF7AFC65}"/>
              </a:ext>
            </a:extLst>
          </xdr:cNvPr>
          <xdr:cNvSpPr txBox="1"/>
        </xdr:nvSpPr>
        <xdr:spPr>
          <a:xfrm>
            <a:off x="3016355" y="1121057"/>
            <a:ext cx="1079333" cy="19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DCEAF7"/>
                </a:solidFill>
              </a:rPr>
              <a:t>Total Profit</a:t>
            </a:r>
          </a:p>
        </xdr:txBody>
      </xdr:sp>
    </xdr:grpSp>
    <xdr:clientData/>
  </xdr:twoCellAnchor>
  <xdr:twoCellAnchor>
    <xdr:from>
      <xdr:col>7</xdr:col>
      <xdr:colOff>424870</xdr:colOff>
      <xdr:row>3</xdr:row>
      <xdr:rowOff>7620</xdr:rowOff>
    </xdr:from>
    <xdr:to>
      <xdr:col>10</xdr:col>
      <xdr:colOff>180070</xdr:colOff>
      <xdr:row>5</xdr:row>
      <xdr:rowOff>181860</xdr:rowOff>
    </xdr:to>
    <xdr:grpSp>
      <xdr:nvGrpSpPr>
        <xdr:cNvPr id="46" name="Group 45">
          <a:extLst>
            <a:ext uri="{FF2B5EF4-FFF2-40B4-BE49-F238E27FC236}">
              <a16:creationId xmlns:a16="http://schemas.microsoft.com/office/drawing/2014/main" id="{87C11A01-0199-6004-06D5-38B55424FE04}"/>
            </a:ext>
          </a:extLst>
        </xdr:cNvPr>
        <xdr:cNvGrpSpPr/>
      </xdr:nvGrpSpPr>
      <xdr:grpSpPr>
        <a:xfrm>
          <a:off x="4681812" y="703678"/>
          <a:ext cx="1579604" cy="540586"/>
          <a:chOff x="4494766" y="813531"/>
          <a:chExt cx="1370816" cy="594654"/>
        </a:xfrm>
      </xdr:grpSpPr>
      <xdr:sp macro="" textlink="">
        <xdr:nvSpPr>
          <xdr:cNvPr id="27" name="Rectangle: Rounded Corners 26">
            <a:extLst>
              <a:ext uri="{FF2B5EF4-FFF2-40B4-BE49-F238E27FC236}">
                <a16:creationId xmlns:a16="http://schemas.microsoft.com/office/drawing/2014/main" id="{11B4C1A3-F6E3-439B-9606-89F9AD0C6F63}"/>
              </a:ext>
            </a:extLst>
          </xdr:cNvPr>
          <xdr:cNvSpPr/>
        </xdr:nvSpPr>
        <xdr:spPr>
          <a:xfrm>
            <a:off x="4494766" y="813531"/>
            <a:ext cx="1370816" cy="594654"/>
          </a:xfrm>
          <a:prstGeom prst="roundRect">
            <a:avLst/>
          </a:prstGeom>
          <a:solidFill>
            <a:srgbClr val="16324F"/>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lculations_Pivot_Table!A6">
        <xdr:nvSpPr>
          <xdr:cNvPr id="30" name="TextBox 29">
            <a:extLst>
              <a:ext uri="{FF2B5EF4-FFF2-40B4-BE49-F238E27FC236}">
                <a16:creationId xmlns:a16="http://schemas.microsoft.com/office/drawing/2014/main" id="{977F0165-97E3-4A42-A0A6-1B002ED328DC}"/>
              </a:ext>
            </a:extLst>
          </xdr:cNvPr>
          <xdr:cNvSpPr txBox="1"/>
        </xdr:nvSpPr>
        <xdr:spPr>
          <a:xfrm>
            <a:off x="4785101" y="830322"/>
            <a:ext cx="856282" cy="21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B8796A-9E68-48E3-A1B2-23719891296B}" type="TxLink">
              <a:rPr lang="en-US" sz="1100" b="1" i="0" u="none" strike="noStrike">
                <a:solidFill>
                  <a:schemeClr val="bg1"/>
                </a:solidFill>
                <a:latin typeface="Aptos Narrow"/>
              </a:rPr>
              <a:pPr algn="ctr"/>
              <a:t>27%</a:t>
            </a:fld>
            <a:endParaRPr lang="en-IN" sz="1100" b="1">
              <a:solidFill>
                <a:schemeClr val="bg1"/>
              </a:solidFill>
            </a:endParaRPr>
          </a:p>
        </xdr:txBody>
      </xdr:sp>
      <xdr:sp macro="" textlink="">
        <xdr:nvSpPr>
          <xdr:cNvPr id="37" name="TextBox 36">
            <a:extLst>
              <a:ext uri="{FF2B5EF4-FFF2-40B4-BE49-F238E27FC236}">
                <a16:creationId xmlns:a16="http://schemas.microsoft.com/office/drawing/2014/main" id="{7A4232D6-4086-40D0-9736-A85079D55913}"/>
              </a:ext>
            </a:extLst>
          </xdr:cNvPr>
          <xdr:cNvSpPr txBox="1"/>
        </xdr:nvSpPr>
        <xdr:spPr>
          <a:xfrm>
            <a:off x="4601877" y="959644"/>
            <a:ext cx="1187003" cy="399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30" b="1">
                <a:solidFill>
                  <a:srgbClr val="DCEAF7"/>
                </a:solidFill>
              </a:rPr>
              <a:t>Average of Profit_Margin</a:t>
            </a:r>
          </a:p>
        </xdr:txBody>
      </xdr:sp>
    </xdr:grpSp>
    <xdr:clientData/>
  </xdr:twoCellAnchor>
  <xdr:twoCellAnchor>
    <xdr:from>
      <xdr:col>11</xdr:col>
      <xdr:colOff>46139</xdr:colOff>
      <xdr:row>3</xdr:row>
      <xdr:rowOff>6653</xdr:rowOff>
    </xdr:from>
    <xdr:to>
      <xdr:col>13</xdr:col>
      <xdr:colOff>288667</xdr:colOff>
      <xdr:row>5</xdr:row>
      <xdr:rowOff>179910</xdr:rowOff>
    </xdr:to>
    <xdr:grpSp>
      <xdr:nvGrpSpPr>
        <xdr:cNvPr id="6" name="Group 5">
          <a:extLst>
            <a:ext uri="{FF2B5EF4-FFF2-40B4-BE49-F238E27FC236}">
              <a16:creationId xmlns:a16="http://schemas.microsoft.com/office/drawing/2014/main" id="{2F0FD6F1-F1B5-FB9A-9F46-3E32FF668A5E}"/>
            </a:ext>
          </a:extLst>
        </xdr:cNvPr>
        <xdr:cNvGrpSpPr/>
      </xdr:nvGrpSpPr>
      <xdr:grpSpPr>
        <a:xfrm>
          <a:off x="6735620" y="702711"/>
          <a:ext cx="1458797" cy="539603"/>
          <a:chOff x="6744284" y="812934"/>
          <a:chExt cx="1557587" cy="525780"/>
        </a:xfrm>
        <a:solidFill>
          <a:srgbClr val="16324F"/>
        </a:solidFill>
      </xdr:grpSpPr>
      <xdr:sp macro="" textlink="">
        <xdr:nvSpPr>
          <xdr:cNvPr id="28" name="Rectangle: Rounded Corners 27">
            <a:extLst>
              <a:ext uri="{FF2B5EF4-FFF2-40B4-BE49-F238E27FC236}">
                <a16:creationId xmlns:a16="http://schemas.microsoft.com/office/drawing/2014/main" id="{7D57F618-0CF7-4C0A-8B13-63658972940D}"/>
              </a:ext>
            </a:extLst>
          </xdr:cNvPr>
          <xdr:cNvSpPr/>
        </xdr:nvSpPr>
        <xdr:spPr>
          <a:xfrm>
            <a:off x="6744284" y="812934"/>
            <a:ext cx="1557587" cy="525780"/>
          </a:xfrm>
          <a:prstGeom prst="roundRect">
            <a:avLst/>
          </a:prstGeom>
          <a:grp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lculations_Pivot_Table!A8">
        <xdr:nvSpPr>
          <xdr:cNvPr id="31" name="TextBox 30">
            <a:extLst>
              <a:ext uri="{FF2B5EF4-FFF2-40B4-BE49-F238E27FC236}">
                <a16:creationId xmlns:a16="http://schemas.microsoft.com/office/drawing/2014/main" id="{BDA0000D-6FB2-4C75-85BE-72F03184A5DB}"/>
              </a:ext>
            </a:extLst>
          </xdr:cNvPr>
          <xdr:cNvSpPr txBox="1"/>
        </xdr:nvSpPr>
        <xdr:spPr>
          <a:xfrm>
            <a:off x="7008970" y="849287"/>
            <a:ext cx="1042295" cy="17988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698BE9-0DD1-4DED-9DB0-07931C2A6DEF}" type="TxLink">
              <a:rPr lang="en-US" sz="1100" b="1" i="0" u="none" strike="noStrike">
                <a:solidFill>
                  <a:schemeClr val="bg1"/>
                </a:solidFill>
                <a:latin typeface="Aptos Narrow"/>
              </a:rPr>
              <a:pPr algn="ctr"/>
              <a:t>1000</a:t>
            </a:fld>
            <a:endParaRPr lang="en-IN" sz="1100" b="1">
              <a:solidFill>
                <a:schemeClr val="bg1"/>
              </a:solidFill>
            </a:endParaRPr>
          </a:p>
        </xdr:txBody>
      </xdr:sp>
      <xdr:sp macro="" textlink="">
        <xdr:nvSpPr>
          <xdr:cNvPr id="38" name="TextBox 37">
            <a:extLst>
              <a:ext uri="{FF2B5EF4-FFF2-40B4-BE49-F238E27FC236}">
                <a16:creationId xmlns:a16="http://schemas.microsoft.com/office/drawing/2014/main" id="{A25A3B07-62F7-46C1-BB5A-9952FC1F4FCC}"/>
              </a:ext>
            </a:extLst>
          </xdr:cNvPr>
          <xdr:cNvSpPr txBox="1"/>
        </xdr:nvSpPr>
        <xdr:spPr>
          <a:xfrm>
            <a:off x="6747841" y="1044961"/>
            <a:ext cx="1530621" cy="21574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rgbClr val="DCEAF7"/>
                </a:solidFill>
              </a:rPr>
              <a:t>Total Orders Processed</a:t>
            </a:r>
          </a:p>
        </xdr:txBody>
      </xdr:sp>
    </xdr:grpSp>
    <xdr:clientData/>
  </xdr:twoCellAnchor>
  <xdr:twoCellAnchor>
    <xdr:from>
      <xdr:col>14</xdr:col>
      <xdr:colOff>130314</xdr:colOff>
      <xdr:row>3</xdr:row>
      <xdr:rowOff>15240</xdr:rowOff>
    </xdr:from>
    <xdr:to>
      <xdr:col>16</xdr:col>
      <xdr:colOff>495114</xdr:colOff>
      <xdr:row>6</xdr:row>
      <xdr:rowOff>6600</xdr:rowOff>
    </xdr:to>
    <xdr:grpSp>
      <xdr:nvGrpSpPr>
        <xdr:cNvPr id="4" name="Group 3">
          <a:extLst>
            <a:ext uri="{FF2B5EF4-FFF2-40B4-BE49-F238E27FC236}">
              <a16:creationId xmlns:a16="http://schemas.microsoft.com/office/drawing/2014/main" id="{998E2BDC-20DA-46E9-9F91-0656AFDC6F93}"/>
            </a:ext>
          </a:extLst>
        </xdr:cNvPr>
        <xdr:cNvGrpSpPr/>
      </xdr:nvGrpSpPr>
      <xdr:grpSpPr>
        <a:xfrm>
          <a:off x="8644199" y="711298"/>
          <a:ext cx="1581069" cy="540879"/>
          <a:chOff x="8603754" y="868680"/>
          <a:chExt cx="1584000" cy="540000"/>
        </a:xfrm>
      </xdr:grpSpPr>
      <xdr:sp macro="" textlink="">
        <xdr:nvSpPr>
          <xdr:cNvPr id="29" name="Rectangle: Rounded Corners 28">
            <a:extLst>
              <a:ext uri="{FF2B5EF4-FFF2-40B4-BE49-F238E27FC236}">
                <a16:creationId xmlns:a16="http://schemas.microsoft.com/office/drawing/2014/main" id="{D4CB88EB-D7B1-4A2B-A211-FE6491E9D8DA}"/>
              </a:ext>
            </a:extLst>
          </xdr:cNvPr>
          <xdr:cNvSpPr/>
        </xdr:nvSpPr>
        <xdr:spPr>
          <a:xfrm>
            <a:off x="8603754" y="868680"/>
            <a:ext cx="1584000" cy="540000"/>
          </a:xfrm>
          <a:prstGeom prst="roundRect">
            <a:avLst/>
          </a:prstGeom>
          <a:solidFill>
            <a:srgbClr val="16324F"/>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lculations_Pivot_Table!A10">
        <xdr:nvSpPr>
          <xdr:cNvPr id="32" name="TextBox 31">
            <a:extLst>
              <a:ext uri="{FF2B5EF4-FFF2-40B4-BE49-F238E27FC236}">
                <a16:creationId xmlns:a16="http://schemas.microsoft.com/office/drawing/2014/main" id="{7159F6BE-3CDC-4FCF-A559-7481023423E0}"/>
              </a:ext>
            </a:extLst>
          </xdr:cNvPr>
          <xdr:cNvSpPr txBox="1"/>
        </xdr:nvSpPr>
        <xdr:spPr>
          <a:xfrm>
            <a:off x="8895123" y="887016"/>
            <a:ext cx="919566" cy="207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5D44A5-2F27-48C3-92EE-6044AEC353D2}" type="TxLink">
              <a:rPr lang="en-US" sz="1100" b="1" i="0" u="none" strike="noStrike">
                <a:solidFill>
                  <a:schemeClr val="bg1"/>
                </a:solidFill>
                <a:latin typeface="Aptos Narrow"/>
              </a:rPr>
              <a:pPr algn="ctr"/>
              <a:t>5013</a:t>
            </a:fld>
            <a:endParaRPr lang="en-IN" sz="1100" b="1">
              <a:solidFill>
                <a:schemeClr val="bg1"/>
              </a:solidFill>
            </a:endParaRPr>
          </a:p>
        </xdr:txBody>
      </xdr:sp>
      <xdr:sp macro="" textlink="">
        <xdr:nvSpPr>
          <xdr:cNvPr id="39" name="TextBox 38">
            <a:extLst>
              <a:ext uri="{FF2B5EF4-FFF2-40B4-BE49-F238E27FC236}">
                <a16:creationId xmlns:a16="http://schemas.microsoft.com/office/drawing/2014/main" id="{AD9CCAC2-4874-45F5-9DCE-9B89C40E6968}"/>
              </a:ext>
            </a:extLst>
          </xdr:cNvPr>
          <xdr:cNvSpPr txBox="1"/>
        </xdr:nvSpPr>
        <xdr:spPr>
          <a:xfrm>
            <a:off x="8753950" y="1067041"/>
            <a:ext cx="1266736" cy="240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rgbClr val="DCEAF7"/>
                </a:solidFill>
              </a:rPr>
              <a:t>Total Products sold</a:t>
            </a:r>
          </a:p>
        </xdr:txBody>
      </xdr:sp>
    </xdr:grpSp>
    <xdr:clientData/>
  </xdr:twoCellAnchor>
  <xdr:twoCellAnchor>
    <xdr:from>
      <xdr:col>1</xdr:col>
      <xdr:colOff>163455</xdr:colOff>
      <xdr:row>6</xdr:row>
      <xdr:rowOff>127902</xdr:rowOff>
    </xdr:from>
    <xdr:to>
      <xdr:col>6</xdr:col>
      <xdr:colOff>598130</xdr:colOff>
      <xdr:row>16</xdr:row>
      <xdr:rowOff>24581</xdr:rowOff>
    </xdr:to>
    <xdr:graphicFrame macro="">
      <xdr:nvGraphicFramePr>
        <xdr:cNvPr id="40" name="Chart 39">
          <a:extLst>
            <a:ext uri="{FF2B5EF4-FFF2-40B4-BE49-F238E27FC236}">
              <a16:creationId xmlns:a16="http://schemas.microsoft.com/office/drawing/2014/main" id="{BB4FA57B-DA9F-42FD-8000-30EE3D286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359657</xdr:colOff>
      <xdr:row>6</xdr:row>
      <xdr:rowOff>96778</xdr:rowOff>
    </xdr:from>
    <xdr:to>
      <xdr:col>16</xdr:col>
      <xdr:colOff>470628</xdr:colOff>
      <xdr:row>14</xdr:row>
      <xdr:rowOff>163871</xdr:rowOff>
    </xdr:to>
    <xdr:graphicFrame macro="">
      <xdr:nvGraphicFramePr>
        <xdr:cNvPr id="41" name="Chart 40">
          <a:extLst>
            <a:ext uri="{FF2B5EF4-FFF2-40B4-BE49-F238E27FC236}">
              <a16:creationId xmlns:a16="http://schemas.microsoft.com/office/drawing/2014/main" id="{667E249D-D500-4475-A446-F28B349BE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183312</xdr:colOff>
      <xdr:row>17</xdr:row>
      <xdr:rowOff>70269</xdr:rowOff>
    </xdr:from>
    <xdr:to>
      <xdr:col>7</xdr:col>
      <xdr:colOff>1</xdr:colOff>
      <xdr:row>28</xdr:row>
      <xdr:rowOff>49161</xdr:rowOff>
    </xdr:to>
    <xdr:graphicFrame macro="">
      <xdr:nvGraphicFramePr>
        <xdr:cNvPr id="43" name="Chart 42">
          <a:extLst>
            <a:ext uri="{FF2B5EF4-FFF2-40B4-BE49-F238E27FC236}">
              <a16:creationId xmlns:a16="http://schemas.microsoft.com/office/drawing/2014/main" id="{0B3649AD-9F76-4EAB-83F8-EB52F9229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426063</xdr:colOff>
      <xdr:row>21</xdr:row>
      <xdr:rowOff>90130</xdr:rowOff>
    </xdr:from>
    <xdr:to>
      <xdr:col>16</xdr:col>
      <xdr:colOff>458838</xdr:colOff>
      <xdr:row>28</xdr:row>
      <xdr:rowOff>9423</xdr:rowOff>
    </xdr:to>
    <mc:AlternateContent xmlns:mc="http://schemas.openxmlformats.org/markup-compatibility/2006" xmlns:tsle="http://schemas.microsoft.com/office/drawing/2012/timeslicer">
      <mc:Choice Requires="tsle">
        <xdr:graphicFrame macro="">
          <xdr:nvGraphicFramePr>
            <xdr:cNvPr id="47" name="Order_Date">
              <a:extLst>
                <a:ext uri="{FF2B5EF4-FFF2-40B4-BE49-F238E27FC236}">
                  <a16:creationId xmlns:a16="http://schemas.microsoft.com/office/drawing/2014/main" id="{855AAF91-0070-4A47-A2F2-65A5CBF92E6E}"/>
                </a:ext>
              </a:extLst>
            </xdr:cNvPr>
            <xdr:cNvGraphicFramePr>
              <a:graphicFrameLocks/>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723678" y="4083303"/>
              <a:ext cx="2465314" cy="12015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335936</xdr:colOff>
      <xdr:row>6</xdr:row>
      <xdr:rowOff>106518</xdr:rowOff>
    </xdr:from>
    <xdr:to>
      <xdr:col>10</xdr:col>
      <xdr:colOff>236418</xdr:colOff>
      <xdr:row>13</xdr:row>
      <xdr:rowOff>104711</xdr:rowOff>
    </xdr:to>
    <mc:AlternateContent xmlns:mc="http://schemas.openxmlformats.org/markup-compatibility/2006" xmlns:a14="http://schemas.microsoft.com/office/drawing/2010/main">
      <mc:Choice Requires="a14">
        <xdr:graphicFrame macro="">
          <xdr:nvGraphicFramePr>
            <xdr:cNvPr id="49" name="Product_Category">
              <a:extLst>
                <a:ext uri="{FF2B5EF4-FFF2-40B4-BE49-F238E27FC236}">
                  <a16:creationId xmlns:a16="http://schemas.microsoft.com/office/drawing/2014/main" id="{C6A2E865-D3FC-441C-AAB9-861E4CC39E6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4592878" y="1352095"/>
              <a:ext cx="1724886" cy="1280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335935</xdr:colOff>
      <xdr:row>13</xdr:row>
      <xdr:rowOff>16384</xdr:rowOff>
    </xdr:from>
    <xdr:to>
      <xdr:col>10</xdr:col>
      <xdr:colOff>213032</xdr:colOff>
      <xdr:row>19</xdr:row>
      <xdr:rowOff>131097</xdr:rowOff>
    </xdr:to>
    <mc:AlternateContent xmlns:mc="http://schemas.openxmlformats.org/markup-compatibility/2006" xmlns:a14="http://schemas.microsoft.com/office/drawing/2010/main">
      <mc:Choice Requires="a14">
        <xdr:graphicFrame macro="">
          <xdr:nvGraphicFramePr>
            <xdr:cNvPr id="48" name="Delivery_Status">
              <a:extLst>
                <a:ext uri="{FF2B5EF4-FFF2-40B4-BE49-F238E27FC236}">
                  <a16:creationId xmlns:a16="http://schemas.microsoft.com/office/drawing/2014/main" id="{8740B440-5AB5-4894-9494-2B018E726A92}"/>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4592877" y="2544172"/>
              <a:ext cx="1701501" cy="1213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417871</xdr:colOff>
      <xdr:row>15</xdr:row>
      <xdr:rowOff>44160</xdr:rowOff>
    </xdr:from>
    <xdr:to>
      <xdr:col>16</xdr:col>
      <xdr:colOff>450645</xdr:colOff>
      <xdr:row>21</xdr:row>
      <xdr:rowOff>42612</xdr:rowOff>
    </xdr:to>
    <mc:AlternateContent xmlns:mc="http://schemas.openxmlformats.org/markup-compatibility/2006" xmlns:a14="http://schemas.microsoft.com/office/drawing/2010/main">
      <mc:Choice Requires="a14">
        <xdr:graphicFrame macro="">
          <xdr:nvGraphicFramePr>
            <xdr:cNvPr id="50" name="Payment_Mode">
              <a:extLst>
                <a:ext uri="{FF2B5EF4-FFF2-40B4-BE49-F238E27FC236}">
                  <a16:creationId xmlns:a16="http://schemas.microsoft.com/office/drawing/2014/main" id="{9DCD093B-BFA2-41B0-9505-A93ADA007FE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7715486" y="2938295"/>
              <a:ext cx="2465313" cy="1097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420128</xdr:colOff>
      <xdr:row>19</xdr:row>
      <xdr:rowOff>161740</xdr:rowOff>
    </xdr:from>
    <xdr:to>
      <xdr:col>12</xdr:col>
      <xdr:colOff>359483</xdr:colOff>
      <xdr:row>28</xdr:row>
      <xdr:rowOff>15417</xdr:rowOff>
    </xdr:to>
    <mc:AlternateContent xmlns:mc="http://schemas.openxmlformats.org/markup-compatibility/2006" xmlns:a14="http://schemas.microsoft.com/office/drawing/2010/main">
      <mc:Choice Requires="a14">
        <xdr:graphicFrame macro="">
          <xdr:nvGraphicFramePr>
            <xdr:cNvPr id="51" name="Region">
              <a:extLst>
                <a:ext uri="{FF2B5EF4-FFF2-40B4-BE49-F238E27FC236}">
                  <a16:creationId xmlns:a16="http://schemas.microsoft.com/office/drawing/2014/main" id="{9A4576AE-F8BE-4B79-9231-85D2338188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01474" y="3788567"/>
              <a:ext cx="1155624" cy="1502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81934</xdr:colOff>
      <xdr:row>19</xdr:row>
      <xdr:rowOff>128493</xdr:rowOff>
    </xdr:from>
    <xdr:to>
      <xdr:col>10</xdr:col>
      <xdr:colOff>352321</xdr:colOff>
      <xdr:row>28</xdr:row>
      <xdr:rowOff>47165</xdr:rowOff>
    </xdr:to>
    <xdr:graphicFrame macro="">
      <xdr:nvGraphicFramePr>
        <xdr:cNvPr id="42" name="Chart 41">
          <a:extLst>
            <a:ext uri="{FF2B5EF4-FFF2-40B4-BE49-F238E27FC236}">
              <a16:creationId xmlns:a16="http://schemas.microsoft.com/office/drawing/2014/main" id="{B2AFB175-9E78-45A1-9CBE-BDBC63DFF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309.000601273146" createdVersion="8" refreshedVersion="8" minRefreshableVersion="3" recordCount="1000" xr:uid="{3B2139D1-DE43-458A-84BE-69850A0CEF84}">
  <cacheSource type="worksheet">
    <worksheetSource name="Sales_data"/>
  </cacheSource>
  <cacheFields count="30">
    <cacheField name="OrderID" numFmtId="0">
      <sharedItems count="1000">
        <s v="Ord1309"/>
        <s v="Ord1666"/>
        <s v="Ord1803"/>
        <s v="Ord1743"/>
        <s v="Ord1529"/>
        <s v="Ord1963"/>
        <s v="Ord1381"/>
        <s v="Ord1603"/>
        <s v="Ord1115"/>
        <s v="Ord1071"/>
        <s v="Ord1902"/>
        <s v="Ord1412"/>
        <s v="Ord1730"/>
        <s v="Ord1383"/>
        <s v="Ord1973"/>
        <s v="Ord1554"/>
        <s v="Ord1762"/>
        <s v="Ord1333"/>
        <s v="Ord1369"/>
        <s v="Ord1126"/>
        <s v="Ord1602"/>
        <s v="Ord1082"/>
        <s v="Ord1941"/>
        <s v="Ord1473"/>
        <s v="Ord1599"/>
        <s v="Ord1574"/>
        <s v="Ord1784"/>
        <s v="Ord1395"/>
        <s v="Ord1841"/>
        <s v="Ord1834"/>
        <s v="Ord1620"/>
        <s v="Ord1394"/>
        <s v="Ord1344"/>
        <s v="Ord1297"/>
        <s v="Ord1681"/>
        <s v="Ord1427"/>
        <s v="Ord1761"/>
        <s v="Ord1660"/>
        <s v="Ord1001"/>
        <s v="Ord1159"/>
        <s v="Ord1441"/>
        <s v="Ord1844"/>
        <s v="Ord1287"/>
        <s v="Ord1338"/>
        <s v="Ord1543"/>
        <s v="Ord1630"/>
        <s v="Ord1228"/>
        <s v="Ord1478"/>
        <s v="Ord1275"/>
        <s v="Ord1978"/>
        <s v="Ord1167"/>
        <s v="Ord1349"/>
        <s v="Ord1456"/>
        <s v="Ord1012"/>
        <s v="Ord1112"/>
        <s v="Ord1479"/>
        <s v="Ord1851"/>
        <s v="Ord1074"/>
        <s v="Ord1462"/>
        <s v="Ord1906"/>
        <s v="Ord1301"/>
        <s v="Ord1142"/>
        <s v="Ord1643"/>
        <s v="Ord1004"/>
        <s v="Ord1929"/>
        <s v="Ord1243"/>
        <s v="Ord1870"/>
        <s v="Ord1300"/>
        <s v="Ord1679"/>
        <s v="Ord1891"/>
        <s v="Ord1068"/>
        <s v="Ord1034"/>
        <s v="Ord1379"/>
        <s v="Ord1279"/>
        <s v="Ord1035"/>
        <s v="Ord1581"/>
        <s v="Ord1791"/>
        <s v="Ord1285"/>
        <s v="Ord1840"/>
        <s v="Ord1974"/>
        <s v="Ord1948"/>
        <s v="Ord1365"/>
        <s v="Ord1054"/>
        <s v="Ord1770"/>
        <s v="Ord1396"/>
        <s v="Ord1459"/>
        <s v="Ord1037"/>
        <s v="Ord1845"/>
        <s v="Ord1268"/>
        <s v="Ord1021"/>
        <s v="Ord1731"/>
        <s v="Ord1523"/>
        <s v="Ord1286"/>
        <s v="Ord1697"/>
        <s v="Ord1227"/>
        <s v="Ord1969"/>
        <s v="Ord1455"/>
        <s v="Ord1989"/>
        <s v="Ord1706"/>
        <s v="Ord1994"/>
        <s v="Ord1017"/>
        <s v="Ord1303"/>
        <s v="Ord1760"/>
        <s v="Ord1595"/>
        <s v="Ord1768"/>
        <s v="Ord1720"/>
        <s v="Ord1943"/>
        <s v="Ord1692"/>
        <s v="Ord1239"/>
        <s v="Ord1562"/>
        <s v="Ord1418"/>
        <s v="Ord1467"/>
        <s v="Ord1934"/>
        <s v="Ord1653"/>
        <s v="Ord1629"/>
        <s v="Ord1003"/>
        <s v="Ord1796"/>
        <s v="Ord1517"/>
        <s v="Ord1213"/>
        <s v="Ord1918"/>
        <s v="Ord1999"/>
        <s v="Ord1865"/>
        <s v="Ord1690"/>
        <s v="Ord1235"/>
        <s v="Ord1252"/>
        <s v="Ord1799"/>
        <s v="Ord1423"/>
        <s v="Ord1428"/>
        <s v="Ord1881"/>
        <s v="Ord1985"/>
        <s v="Ord1880"/>
        <s v="Ord1956"/>
        <s v="Ord1862"/>
        <s v="Ord1533"/>
        <s v="Ord1642"/>
        <s v="Ord1174"/>
        <s v="Ord1444"/>
        <s v="Ord1205"/>
        <s v="Ord1921"/>
        <s v="Ord1584"/>
        <s v="Ord1139"/>
        <s v="Ord1457"/>
        <s v="Ord1598"/>
        <s v="Ord1807"/>
        <s v="Ord1680"/>
        <s v="Ord1713"/>
        <s v="Ord1753"/>
        <s v="Ord1295"/>
        <s v="Ord1097"/>
        <s v="Ord1080"/>
        <s v="Ord1711"/>
        <s v="Ord1895"/>
        <s v="Ord1597"/>
        <s v="Ord1957"/>
        <s v="Ord1849"/>
        <s v="Ord1442"/>
        <s v="Ord1011"/>
        <s v="Ord1502"/>
        <s v="Ord1492"/>
        <s v="Ord1802"/>
        <s v="Ord1700"/>
        <s v="Ord1147"/>
        <s v="Ord1580"/>
        <s v="Ord1305"/>
        <s v="Ord1783"/>
        <s v="Ord1392"/>
        <s v="Ord1879"/>
        <s v="Ord1739"/>
        <s v="Ord1672"/>
        <s v="Ord1020"/>
        <s v="Ord1741"/>
        <s v="Ord1887"/>
        <s v="Ord1912"/>
        <s v="Ord1058"/>
        <s v="Ord1575"/>
        <s v="Ord1469"/>
        <s v="Ord1261"/>
        <s v="Ord1162"/>
        <s v="Ord1981"/>
        <s v="Ord1437"/>
        <s v="Ord1976"/>
        <s v="Ord1659"/>
        <s v="Ord1483"/>
        <s v="Ord1326"/>
        <s v="Ord1198"/>
        <s v="Ord1278"/>
        <s v="Ord1507"/>
        <s v="Ord1613"/>
        <s v="Ord1128"/>
        <s v="Ord1288"/>
        <s v="Ord1401"/>
        <s v="Ord1057"/>
        <s v="Ord1093"/>
        <s v="Ord1664"/>
        <s v="Ord1966"/>
        <s v="Ord1160"/>
        <s v="Ord1092"/>
        <s v="Ord1019"/>
        <s v="Ord1471"/>
        <s v="Ord1878"/>
        <s v="Ord1585"/>
        <s v="Ord1864"/>
        <s v="Ord1231"/>
        <s v="Ord1647"/>
        <s v="Ord1508"/>
        <s v="Ord1453"/>
        <s v="Ord1008"/>
        <s v="Ord1899"/>
        <s v="Ord1923"/>
        <s v="Ord1900"/>
        <s v="Ord1133"/>
        <s v="Ord1967"/>
        <s v="Ord1178"/>
        <s v="Ord1914"/>
        <s v="Ord1518"/>
        <s v="Ord1131"/>
        <s v="Ord1042"/>
        <s v="Ord1368"/>
        <s v="Ord1510"/>
        <s v="Ord1403"/>
        <s v="Ord1600"/>
        <s v="Ord1121"/>
        <s v="Ord1420"/>
        <s v="Ord1276"/>
        <s v="Ord1201"/>
        <s v="Ord1465"/>
        <s v="Ord1869"/>
        <s v="Ord1644"/>
        <s v="Ord1059"/>
        <s v="Ord1557"/>
        <s v="Ord1536"/>
        <s v="Ord1072"/>
        <s v="Ord1359"/>
        <s v="Ord1814"/>
        <s v="Ord1343"/>
        <s v="Ord1277"/>
        <s v="Ord1064"/>
        <s v="Ord1547"/>
        <s v="Ord1920"/>
        <s v="Ord1096"/>
        <s v="Ord1677"/>
        <s v="Ord1555"/>
        <s v="Ord1410"/>
        <s v="Ord1129"/>
        <s v="Ord1270"/>
        <s v="Ord1408"/>
        <s v="Ord1384"/>
        <s v="Ord1090"/>
        <s v="Ord1907"/>
        <s v="Ord1308"/>
        <s v="Ord1654"/>
        <s v="Ord1637"/>
        <s v="Ord1103"/>
        <s v="Ord1397"/>
        <s v="Ord1778"/>
        <s v="Ord1240"/>
        <s v="Ord1823"/>
        <s v="Ord1404"/>
        <s v="Ord1257"/>
        <s v="Ord1546"/>
        <s v="Ord1283"/>
        <s v="Ord1200"/>
        <s v="Ord1953"/>
        <s v="Ord1678"/>
        <s v="Ord1800"/>
        <s v="Ord1992"/>
        <s v="Ord1319"/>
        <s v="Ord1675"/>
        <s v="Ord1212"/>
        <s v="Ord1245"/>
        <s v="Ord1567"/>
        <s v="Ord1573"/>
        <s v="Ord1563"/>
        <s v="Ord1214"/>
        <s v="Ord1415"/>
        <s v="Ord1466"/>
        <s v="Ord1009"/>
        <s v="Ord1639"/>
        <s v="Ord1950"/>
        <s v="Ord1360"/>
        <s v="Ord1519"/>
        <s v="Ord1610"/>
        <s v="Ord1166"/>
        <s v="Ord1106"/>
        <s v="Ord1528"/>
        <s v="Ord1777"/>
        <s v="Ord1123"/>
        <s v="Ord1676"/>
        <s v="Ord1971"/>
        <s v="Ord1274"/>
        <s v="Ord1422"/>
        <s v="Ord1641"/>
        <s v="Ord1798"/>
        <s v="Ord1553"/>
        <s v="Ord1605"/>
        <s v="Ord1391"/>
        <s v="Ord1650"/>
        <s v="Ord1357"/>
        <s v="Ord1726"/>
        <s v="Ord1822"/>
        <s v="Ord1485"/>
        <s v="Ord1537"/>
        <s v="Ord1592"/>
        <s v="Ord1102"/>
        <s v="Ord1601"/>
        <s v="Ord1296"/>
        <s v="Ord1105"/>
        <s v="Ord1514"/>
        <s v="Ord1772"/>
        <s v="Ord1141"/>
        <s v="Ord1363"/>
        <s v="Ord1496"/>
        <s v="Ord1972"/>
        <s v="Ord1144"/>
        <s v="Ord1398"/>
        <s v="Ord1710"/>
        <s v="Ord1258"/>
        <s v="Ord1375"/>
        <s v="Ord1818"/>
        <s v="Ord1951"/>
        <s v="Ord1367"/>
        <s v="Ord1915"/>
        <s v="Ord1113"/>
        <s v="Ord1806"/>
        <s v="Ord1006"/>
        <s v="Ord1494"/>
        <s v="Ord1238"/>
        <s v="Ord1373"/>
        <s v="Ord1763"/>
        <s v="Ord1850"/>
        <s v="Ord1747"/>
        <s v="Ord1990"/>
        <s v="Ord1290"/>
        <s v="Ord1744"/>
        <s v="Ord1596"/>
        <s v="Ord1853"/>
        <s v="Ord1525"/>
        <s v="Ord1165"/>
        <s v="Ord1809"/>
        <s v="Ord1618"/>
        <s v="Ord1765"/>
        <s v="Ord1571"/>
        <s v="Ord1608"/>
        <s v="Ord1122"/>
        <s v="Ord1701"/>
        <s v="Ord1217"/>
        <s v="Ord1911"/>
        <s v="Ord1002"/>
        <s v="Ord1594"/>
        <s v="Ord1839"/>
        <s v="Ord1215"/>
        <s v="Ord1728"/>
        <s v="Ord1409"/>
        <s v="Ord1755"/>
        <s v="Ord1993"/>
        <s v="Ord1079"/>
        <s v="Ord1945"/>
        <s v="Ord1776"/>
        <s v="Ord1060"/>
        <s v="Ord1429"/>
        <s v="Ord1449"/>
        <s v="Ord1686"/>
        <s v="Ord1109"/>
        <s v="Ord1062"/>
        <s v="Ord1526"/>
        <s v="Ord1120"/>
        <s v="Ord1752"/>
        <s v="Ord1007"/>
        <s v="Ord1550"/>
        <s v="Ord1482"/>
        <s v="Ord1539"/>
        <s v="Ord1986"/>
        <s v="Ord1281"/>
        <s v="Ord1924"/>
        <s v="Ord1153"/>
        <s v="Ord1572"/>
        <s v="Ord1346"/>
        <s v="Ord1903"/>
        <s v="Ord1452"/>
        <s v="Ord1475"/>
        <s v="Ord1756"/>
        <s v="Ord1520"/>
        <s v="Ord1535"/>
        <s v="Ord1232"/>
        <s v="Ord1157"/>
        <s v="Ord1413"/>
        <s v="Ord1052"/>
        <s v="Ord1350"/>
        <s v="Ord1792"/>
        <s v="Ord1578"/>
        <s v="Ord1443"/>
        <s v="Ord1847"/>
        <s v="Ord1223"/>
        <s v="Ord1143"/>
        <s v="Ord1683"/>
        <s v="Ord1053"/>
        <s v="Ord1867"/>
        <s v="Ord1030"/>
        <s v="Ord1304"/>
        <s v="Ord1886"/>
        <s v="Ord1767"/>
        <s v="Ord1612"/>
        <s v="Ord1364"/>
        <s v="Ord1534"/>
        <s v="Ord1804"/>
        <s v="Ord1424"/>
        <s v="Ord1858"/>
        <s v="Ord1882"/>
        <s v="Ord1754"/>
        <s v="Ord1489"/>
        <s v="Ord1998"/>
        <s v="Ord1500"/>
        <s v="Ord1389"/>
        <s v="Ord1061"/>
        <s v="Ord1501"/>
        <s v="Ord1186"/>
        <s v="Ord1436"/>
        <s v="Ord1317"/>
        <s v="Ord1922"/>
        <s v="Ord1026"/>
        <s v="Ord1491"/>
        <s v="Ord1047"/>
        <s v="Ord1854"/>
        <s v="Ord1066"/>
        <s v="Ord1029"/>
        <s v="Ord1111"/>
        <s v="Ord1189"/>
        <s v="Ord1825"/>
        <s v="Ord1191"/>
        <s v="Ord1361"/>
        <s v="Ord1015"/>
        <s v="Ord1138"/>
        <s v="Ord1222"/>
        <s v="Ord1355"/>
        <s v="Ord1175"/>
        <s v="Ord1327"/>
        <s v="Ord1206"/>
        <s v="Ord1810"/>
        <s v="Ord1405"/>
        <s v="Ord1801"/>
        <s v="Ord1758"/>
        <s v="Ord1269"/>
        <s v="Ord1542"/>
        <s v="Ord1721"/>
        <s v="Ord1524"/>
        <s v="Ord1497"/>
        <s v="Ord1980"/>
        <s v="Ord1861"/>
        <s v="Ord1259"/>
        <s v="Ord1302"/>
        <s v="Ord1740"/>
        <s v="Ord1083"/>
        <s v="Ord1958"/>
        <s v="Ord1856"/>
        <s v="Ord1354"/>
        <s v="Ord1262"/>
        <s v="Ord1164"/>
        <s v="Ord1812"/>
        <s v="Ord1926"/>
        <s v="Ord1685"/>
        <s v="Ord1984"/>
        <s v="Ord1134"/>
        <s v="Ord1316"/>
        <s v="Ord1345"/>
        <s v="Ord1216"/>
        <s v="Ord1318"/>
        <s v="Ord1468"/>
        <s v="Ord1716"/>
        <s v="Ord1691"/>
        <s v="Ord1027"/>
        <s v="Ord1769"/>
        <s v="Ord1220"/>
        <s v="Ord1040"/>
        <s v="Ord1545"/>
        <s v="Ord1150"/>
        <s v="Ord1707"/>
        <s v="Ord1474"/>
        <s v="Ord1265"/>
        <s v="Ord1280"/>
        <s v="Ord1273"/>
        <s v="Ord1173"/>
        <s v="Ord1005"/>
        <s v="Ord1515"/>
        <s v="Ord1646"/>
        <s v="Ord1098"/>
        <s v="Ord1549"/>
        <s v="Ord1961"/>
        <s v="Ord1859"/>
        <s v="Ord1626"/>
        <s v="Ord1970"/>
        <s v="Ord1400"/>
        <s v="Ord1587"/>
        <s v="Ord1714"/>
        <s v="Ord1271"/>
        <s v="Ord1889"/>
        <s v="Ord1260"/>
        <s v="Ord1341"/>
        <s v="Ord1293"/>
        <s v="Ord1023"/>
        <s v="Ord1530"/>
        <s v="Ord1576"/>
        <s v="Ord1181"/>
        <s v="Ord1241"/>
        <s v="Ord1454"/>
        <s v="Ord1722"/>
        <s v="Ord1073"/>
        <s v="Ord1470"/>
        <s v="Ord1407"/>
        <s v="Ord1625"/>
        <s v="Ord1196"/>
        <s v="Ord1757"/>
        <s v="Ord1311"/>
        <s v="Ord1387"/>
        <s v="Ord1855"/>
        <s v="Ord1877"/>
        <s v="Ord1451"/>
        <s v="Ord1226"/>
        <s v="Ord1172"/>
        <s v="Ord1671"/>
        <s v="Ord1556"/>
        <s v="Ord1793"/>
        <s v="Ord1627"/>
        <s v="Ord1210"/>
        <s v="Ord1048"/>
        <s v="Ord1749"/>
        <s v="Ord1826"/>
        <s v="Ord1095"/>
        <s v="Ord1183"/>
        <s v="Ord1893"/>
        <s v="Ord1579"/>
        <s v="Ord1909"/>
        <s v="Ord1838"/>
        <s v="Ord1831"/>
        <s v="Ord1604"/>
        <s v="Ord1925"/>
        <s v="Ord1532"/>
        <s v="Ord1476"/>
        <s v="Ord1782"/>
        <s v="Ord1372"/>
        <s v="Ord1732"/>
        <s v="Ord1177"/>
        <s v="Ord1566"/>
        <s v="Ord1606"/>
        <s v="Ord1827"/>
        <s v="Ord1689"/>
        <s v="Ord1488"/>
        <s v="Ord1979"/>
        <s v="Ord1995"/>
        <s v="Ord1702"/>
        <s v="Ord1890"/>
        <s v="Ord1628"/>
        <s v="Ord1805"/>
        <s v="Ord1358"/>
        <s v="Ord1195"/>
        <s v="Ord1733"/>
        <s v="Ord1640"/>
        <s v="Ord1043"/>
        <s v="Ord1892"/>
        <s v="Ord1069"/>
        <s v="Ord1964"/>
        <s v="Ord1632"/>
        <s v="Ord1750"/>
        <s v="Ord1425"/>
        <s v="Ord1774"/>
        <s v="Ord1089"/>
        <s v="Ord1746"/>
        <s v="Ord1421"/>
        <s v="Ord1673"/>
        <s v="Ord1694"/>
        <s v="Ord1125"/>
        <s v="Ord1044"/>
        <s v="Ord1615"/>
        <s v="Ord1168"/>
        <s v="Ord1036"/>
        <s v="Ord1916"/>
        <s v="Ord1933"/>
        <s v="Ord1522"/>
        <s v="Ord1668"/>
        <s v="Ord1251"/>
        <s v="Ord1652"/>
        <s v="Ord1968"/>
        <s v="Ord1063"/>
        <s v="Ord1794"/>
        <s v="Ord1569"/>
        <s v="Ord1516"/>
        <s v="Ord1130"/>
        <s v="Ord1883"/>
        <s v="Ord1876"/>
        <s v="Ord1038"/>
        <s v="Ord1419"/>
        <s v="Ord1075"/>
        <s v="Ord1544"/>
        <s v="Ord1717"/>
        <s v="Ord1764"/>
        <s v="Ord1719"/>
        <s v="Ord1848"/>
        <s v="Ord1481"/>
        <s v="Ord1025"/>
        <s v="Ord1708"/>
        <s v="Ord1636"/>
        <s v="Ord1366"/>
        <s v="Ord1446"/>
        <s v="Ord1331"/>
        <s v="Ord1411"/>
        <s v="Ord1458"/>
        <s v="Ord1860"/>
        <s v="Ord1399"/>
        <s v="Ord1833"/>
        <s v="Ord1246"/>
        <s v="Ord1328"/>
        <s v="Ord1450"/>
        <s v="Ord1582"/>
        <s v="Ord1067"/>
        <s v="Ord1548"/>
        <s v="Ord1670"/>
        <s v="Ord1568"/>
        <s v="Ord1910"/>
        <s v="Ord1527"/>
        <s v="Ord1184"/>
        <s v="Ord1464"/>
        <s v="Ord1959"/>
        <s v="Ord1944"/>
        <s v="Ord1888"/>
        <s v="Ord1742"/>
        <s v="Ord1207"/>
        <s v="Ord1136"/>
        <s v="Ord1108"/>
        <s v="Ord1987"/>
        <s v="Ord1751"/>
        <s v="Ord1433"/>
        <s v="Ord1377"/>
        <s v="Ord1161"/>
        <s v="Ord1135"/>
        <s v="Ord1687"/>
        <s v="Ord1771"/>
        <s v="Ord1616"/>
        <s v="Ord1996"/>
        <s v="Ord1330"/>
        <s v="Ord1875"/>
        <s v="Ord1695"/>
        <s v="Ord1790"/>
        <s v="Ord1531"/>
        <s v="Ord1145"/>
        <s v="Ord1541"/>
        <s v="Ord1188"/>
        <s v="Ord1100"/>
        <s v="Ord1176"/>
        <s v="Ord1977"/>
        <s v="Ord1324"/>
        <s v="Ord1032"/>
        <s v="Ord1192"/>
        <s v="Ord1190"/>
        <s v="Ord1863"/>
        <s v="Ord1946"/>
        <s v="Ord1298"/>
        <s v="Ord1634"/>
        <s v="Ord1684"/>
        <s v="Ord1336"/>
        <s v="Ord1219"/>
        <s v="Ord1617"/>
        <s v="Ord1982"/>
        <s v="Ord1253"/>
        <s v="Ord1045"/>
        <s v="Ord1738"/>
        <s v="Ord1046"/>
        <s v="Ord1169"/>
        <s v="Ord1991"/>
        <s v="Ord1588"/>
        <s v="Ord1682"/>
        <s v="Ord1194"/>
        <s v="Ord1117"/>
        <s v="Ord1140"/>
        <s v="Ord1565"/>
        <s v="Ord1342"/>
        <s v="Ord1896"/>
        <s v="Ord1249"/>
        <s v="Ord1463"/>
        <s v="Ord1503"/>
        <s v="Ord1039"/>
        <s v="Ord1651"/>
        <s v="Ord1940"/>
        <s v="Ord1942"/>
        <s v="Ord1417"/>
        <s v="Ord1432"/>
        <s v="Ord1255"/>
        <s v="Ord1225"/>
        <s v="Ord1266"/>
        <s v="Ord1905"/>
        <s v="Ord1663"/>
        <s v="Ord1440"/>
        <s v="Ord1386"/>
        <s v="Ord1114"/>
        <s v="Ord1028"/>
        <s v="Ord1378"/>
        <s v="Ord1204"/>
        <s v="Ord1362"/>
        <s v="Ord1193"/>
        <s v="Ord1233"/>
        <s v="Ord1609"/>
        <s v="Ord1787"/>
        <s v="Ord1406"/>
        <s v="Ord1314"/>
        <s v="Ord1504"/>
        <s v="Ord1586"/>
        <s v="Ord1289"/>
        <s v="Ord1294"/>
        <s v="Ord1348"/>
        <s v="Ord1745"/>
        <s v="Ord1633"/>
        <s v="Ord1337"/>
        <s v="Ord1871"/>
        <s v="Ord1244"/>
        <s v="Ord1334"/>
        <s v="Ord1435"/>
        <s v="Ord1185"/>
        <s v="Ord1962"/>
        <s v="Ord1593"/>
        <s v="Ord1490"/>
        <s v="Ord1669"/>
        <s v="Ord1786"/>
        <s v="Ord1254"/>
        <s v="Ord1811"/>
        <s v="Ord1487"/>
        <s v="Ord1885"/>
        <s v="Ord1975"/>
        <s v="Ord1315"/>
        <s v="Ord1124"/>
        <s v="Ord1835"/>
        <s v="Ord1815"/>
        <s v="Ord1339"/>
        <s v="Ord1448"/>
        <s v="Ord1199"/>
        <s v="Ord1846"/>
        <s v="Ord1156"/>
        <s v="Ord1180"/>
        <s v="Ord1919"/>
        <s v="Ord1817"/>
        <s v="Ord1932"/>
        <s v="Ord1621"/>
        <s v="Ord1370"/>
        <s v="Ord1016"/>
        <s v="Ord1819"/>
        <s v="Ord1696"/>
        <s v="Ord1438"/>
        <s v="Ord1564"/>
        <s v="Ord1868"/>
        <s v="Ord1773"/>
        <s v="Ord1725"/>
        <s v="Ord1371"/>
        <s v="Ord1101"/>
        <s v="Ord1137"/>
        <s v="Ord1703"/>
        <s v="Ord1146"/>
        <s v="Ord1031"/>
        <s v="Ord1119"/>
        <s v="Ord1230"/>
        <s v="Ord1322"/>
        <s v="Ord1382"/>
        <s v="Ord1872"/>
        <s v="Ord1674"/>
        <s v="Ord1857"/>
        <s v="Ord1127"/>
        <s v="Ord1154"/>
        <s v="Ord1927"/>
        <s v="Ord1445"/>
        <s v="Ord1591"/>
        <s v="Ord1821"/>
        <s v="Ord1698"/>
        <s v="Ord1472"/>
        <s v="Ord1310"/>
        <s v="Ord1426"/>
        <s v="Ord1780"/>
        <s v="Ord1022"/>
        <s v="Ord1307"/>
        <s v="Ord1010"/>
        <s v="Ord1836"/>
        <s v="Ord1648"/>
        <s v="Ord1086"/>
        <s v="Ord1461"/>
        <s v="Ord1988"/>
        <s v="Ord1715"/>
        <s v="Ord1208"/>
        <s v="Ord1050"/>
        <s v="Ord1797"/>
        <s v="Ord1837"/>
        <s v="Ord1570"/>
        <s v="Ord1447"/>
        <s v="Ord1376"/>
        <s v="Ord1430"/>
        <s v="Ord1866"/>
        <s v="Ord1353"/>
        <s v="Ord1559"/>
        <s v="Ord1635"/>
        <s v="Ord1267"/>
        <s v="Ord1624"/>
        <s v="Ord1705"/>
        <s v="Ord1182"/>
        <s v="Ord1065"/>
        <s v="Ord1939"/>
        <s v="Ord1000"/>
        <s v="Ord1622"/>
        <s v="Ord1087"/>
        <s v="Ord1645"/>
        <s v="Ord1779"/>
        <s v="Ord1737"/>
        <s v="Ord1416"/>
        <s v="Ord1661"/>
        <s v="Ord1788"/>
        <s v="Ord1830"/>
        <s v="Ord1202"/>
        <s v="Ord1132"/>
        <s v="Ord1623"/>
        <s v="Ord1638"/>
        <s v="Ord1930"/>
        <s v="Ord1960"/>
        <s v="Ord1795"/>
        <s v="Ord1282"/>
        <s v="Ord1013"/>
        <s v="Ord1873"/>
        <s v="Ord1649"/>
        <s v="Ord1577"/>
        <s v="Ord1248"/>
        <s v="Ord1347"/>
        <s v="Ord1229"/>
        <s v="Ord1952"/>
        <s v="Ord1657"/>
        <s v="Ord1151"/>
        <s v="Ord1699"/>
        <s v="Ord1484"/>
        <s v="Ord1049"/>
        <s v="Ord1667"/>
        <s v="Ord1552"/>
        <s v="Ord1256"/>
        <s v="Ord1852"/>
        <s v="Ord1832"/>
        <s v="Ord1325"/>
        <s v="Ord1351"/>
        <s v="Ord1014"/>
        <s v="Ord1884"/>
        <s v="Ord1187"/>
        <s v="Ord1313"/>
        <s v="Ord1116"/>
        <s v="Ord1947"/>
        <s v="Ord1264"/>
        <s v="Ord1511"/>
        <s v="Ord1828"/>
        <s v="Ord1094"/>
        <s v="Ord1928"/>
        <s v="Ord1209"/>
        <s v="Ord1718"/>
        <s v="Ord1321"/>
        <s v="Ord1320"/>
        <s v="Ord1619"/>
        <s v="Ord1390"/>
        <s v="Ord1434"/>
        <s v="Ord1874"/>
        <s v="Ord1078"/>
        <s v="Ord1538"/>
        <s v="Ord1107"/>
        <s v="Ord1329"/>
        <s v="Ord1724"/>
        <s v="Ord1149"/>
        <s v="Ord1051"/>
        <s v="Ord1824"/>
        <s v="Ord1356"/>
        <s v="Ord1759"/>
        <s v="Ord1766"/>
        <s v="Ord1509"/>
        <s v="Ord1056"/>
        <s v="Ord1997"/>
        <s v="Ord1506"/>
        <s v="Ord1785"/>
        <s v="Ord1723"/>
        <s v="Ord1789"/>
        <s v="Ord1965"/>
        <s v="Ord1380"/>
        <s v="Ord1088"/>
        <s v="Ord1712"/>
        <s v="Ord1727"/>
        <s v="Ord1983"/>
        <s v="Ord1211"/>
        <s v="Ord1335"/>
        <s v="Ord1332"/>
        <s v="Ord1894"/>
        <s v="Ord1493"/>
        <s v="Ord1312"/>
        <s v="Ord1936"/>
        <s v="Ord1077"/>
        <s v="Ord1512"/>
        <s v="Ord1480"/>
        <s v="Ord1033"/>
        <s v="Ord1513"/>
        <s v="Ord1299"/>
        <s v="Ord1521"/>
        <s v="Ord1041"/>
        <s v="Ord1374"/>
        <s v="Ord1171"/>
        <s v="Ord1904"/>
        <s v="Ord1081"/>
        <s v="Ord1055"/>
        <s v="Ord1431"/>
        <s v="Ord1614"/>
        <s v="Ord1237"/>
        <s v="Ord1658"/>
        <s v="Ord1816"/>
        <s v="Ord1735"/>
        <s v="Ord1829"/>
        <s v="Ord1091"/>
        <s v="Ord1163"/>
        <s v="Ord1236"/>
        <s v="Ord1590"/>
        <s v="Ord1148"/>
        <s v="Ord1709"/>
        <s v="Ord1498"/>
        <s v="Ord1551"/>
        <s v="Ord1402"/>
        <s v="Ord1898"/>
        <s v="Ord1935"/>
        <s v="Ord1070"/>
        <s v="Ord1272"/>
        <s v="Ord1155"/>
        <s v="Ord1938"/>
        <s v="Ord1247"/>
        <s v="Ord1505"/>
        <s v="Ord1561"/>
        <s v="Ord1813"/>
        <s v="Ord1954"/>
        <s v="Ord1340"/>
        <s v="Ord1908"/>
        <s v="Ord1748"/>
        <s v="Ord1693"/>
        <s v="Ord1843"/>
        <s v="Ord1385"/>
        <s v="Ord1158"/>
        <s v="Ord1224"/>
        <s v="Ord1808"/>
        <s v="Ord1460"/>
        <s v="Ord1897"/>
        <s v="Ord1221"/>
        <s v="Ord1018"/>
        <s v="Ord1414"/>
        <s v="Ord1665"/>
        <s v="Ord1179"/>
        <s v="Ord1234"/>
        <s v="Ord1662"/>
        <s v="Ord1589"/>
        <s v="Ord1955"/>
        <s v="Ord1736"/>
        <s v="Ord1583"/>
        <s v="Ord1477"/>
        <s v="Ord1607"/>
        <s v="Ord1495"/>
        <s v="Ord1352"/>
        <s v="Ord1203"/>
        <s v="Ord1655"/>
        <s v="Ord1242"/>
        <s v="Ord1110"/>
        <s v="Ord1560"/>
        <s v="Ord1218"/>
        <s v="Ord1558"/>
        <s v="Ord1917"/>
        <s v="Ord1729"/>
        <s v="Ord1775"/>
        <s v="Ord1076"/>
        <s v="Ord1901"/>
        <s v="Ord1291"/>
        <s v="Ord1323"/>
        <s v="Ord1292"/>
        <s v="Ord1197"/>
        <s v="Ord1024"/>
        <s v="Ord1704"/>
        <s v="Ord1937"/>
        <s v="Ord1306"/>
        <s v="Ord1084"/>
        <s v="Ord1540"/>
        <s v="Ord1152"/>
        <s v="Ord1104"/>
        <s v="Ord1949"/>
        <s v="Ord1688"/>
        <s v="Ord1631"/>
        <s v="Ord1284"/>
        <s v="Ord1118"/>
        <s v="Ord1393"/>
        <s v="Ord1263"/>
        <s v="Ord1931"/>
        <s v="Ord1611"/>
        <s v="Ord1085"/>
        <s v="Ord1099"/>
        <s v="Ord1656"/>
        <s v="Ord1250"/>
        <s v="Ord1439"/>
        <s v="Ord1486"/>
        <s v="Ord1499"/>
        <s v="Ord1781"/>
        <s v="Ord1913"/>
        <s v="Ord1170"/>
        <s v="Ord1734"/>
        <s v="Ord1842"/>
        <s v="Ord1820"/>
        <s v="Ord1388"/>
      </sharedItems>
    </cacheField>
    <cacheField name="Order_Date" numFmtId="15">
      <sharedItems containsSemiMixedTypes="0" containsNonDate="0" containsDate="1" containsString="0" minDate="2023-01-01T00:00:00" maxDate="2025-09-27T00:00:00" count="1000">
        <d v="2023-11-06T00:00:00"/>
        <d v="2024-10-28T00:00:00"/>
        <d v="2025-03-14T00:00:00"/>
        <d v="2025-01-13T00:00:00"/>
        <d v="2024-06-13T00:00:00"/>
        <d v="2025-08-21T00:00:00"/>
        <d v="2024-01-17T00:00:00"/>
        <d v="2024-08-26T00:00:00"/>
        <d v="2023-04-26T00:00:00"/>
        <d v="2023-03-13T00:00:00"/>
        <d v="2025-06-21T00:00:00"/>
        <d v="2024-02-17T00:00:00"/>
        <d v="2024-12-31T00:00:00"/>
        <d v="2024-01-19T00:00:00"/>
        <d v="2025-08-31T00:00:00"/>
        <d v="2024-07-08T00:00:00"/>
        <d v="2025-02-01T00:00:00"/>
        <d v="2023-11-30T00:00:00"/>
        <d v="2024-01-05T00:00:00"/>
        <d v="2023-05-07T00:00:00"/>
        <d v="2024-08-25T00:00:00"/>
        <d v="2023-03-24T00:00:00"/>
        <d v="2025-07-30T00:00:00"/>
        <d v="2024-04-18T00:00:00"/>
        <d v="2024-08-22T00:00:00"/>
        <d v="2024-07-28T00:00:00"/>
        <d v="2025-02-23T00:00:00"/>
        <d v="2024-01-31T00:00:00"/>
        <d v="2025-04-21T00:00:00"/>
        <d v="2025-04-14T00:00:00"/>
        <d v="2024-09-12T00:00:00"/>
        <d v="2024-01-30T00:00:00"/>
        <d v="2023-12-11T00:00:00"/>
        <d v="2023-10-25T00:00:00"/>
        <d v="2024-11-12T00:00:00"/>
        <d v="2024-03-03T00:00:00"/>
        <d v="2025-01-31T00:00:00"/>
        <d v="2024-10-22T00:00:00"/>
        <d v="2023-01-02T00:00:00"/>
        <d v="2023-06-09T00:00:00"/>
        <d v="2024-03-17T00:00:00"/>
        <d v="2025-04-24T00:00:00"/>
        <d v="2023-10-15T00:00:00"/>
        <d v="2023-12-05T00:00:00"/>
        <d v="2024-06-27T00:00:00"/>
        <d v="2024-09-22T00:00:00"/>
        <d v="2023-08-17T00:00:00"/>
        <d v="2024-04-23T00:00:00"/>
        <d v="2023-10-03T00:00:00"/>
        <d v="2025-09-05T00:00:00"/>
        <d v="2023-06-17T00:00:00"/>
        <d v="2023-12-16T00:00:00"/>
        <d v="2024-04-01T00:00:00"/>
        <d v="2023-01-13T00:00:00"/>
        <d v="2023-04-23T00:00:00"/>
        <d v="2024-04-24T00:00:00"/>
        <d v="2025-05-01T00:00:00"/>
        <d v="2023-03-16T00:00:00"/>
        <d v="2024-04-07T00:00:00"/>
        <d v="2025-06-25T00:00:00"/>
        <d v="2023-10-29T00:00:00"/>
        <d v="2023-05-23T00:00:00"/>
        <d v="2024-10-05T00:00:00"/>
        <d v="2023-01-05T00:00:00"/>
        <d v="2025-07-18T00:00:00"/>
        <d v="2023-09-01T00:00:00"/>
        <d v="2025-05-20T00:00:00"/>
        <d v="2023-10-28T00:00:00"/>
        <d v="2024-11-10T00:00:00"/>
        <d v="2025-06-10T00:00:00"/>
        <d v="2023-03-10T00:00:00"/>
        <d v="2023-02-04T00:00:00"/>
        <d v="2024-01-15T00:00:00"/>
        <d v="2023-10-07T00:00:00"/>
        <d v="2023-02-05T00:00:00"/>
        <d v="2024-08-04T00:00:00"/>
        <d v="2025-03-02T00:00:00"/>
        <d v="2023-10-13T00:00:00"/>
        <d v="2025-04-20T00:00:00"/>
        <d v="2025-09-01T00:00:00"/>
        <d v="2025-08-06T00:00:00"/>
        <d v="2024-01-01T00:00:00"/>
        <d v="2023-02-24T00:00:00"/>
        <d v="2025-02-09T00:00:00"/>
        <d v="2024-02-01T00:00:00"/>
        <d v="2024-04-04T00:00:00"/>
        <d v="2023-02-07T00:00:00"/>
        <d v="2025-04-25T00:00:00"/>
        <d v="2023-09-26T00:00:00"/>
        <d v="2023-01-22T00:00:00"/>
        <d v="2025-01-01T00:00:00"/>
        <d v="2024-06-07T00:00:00"/>
        <d v="2023-10-14T00:00:00"/>
        <d v="2024-11-28T00:00:00"/>
        <d v="2023-08-16T00:00:00"/>
        <d v="2025-08-27T00:00:00"/>
        <d v="2024-03-31T00:00:00"/>
        <d v="2025-09-16T00:00:00"/>
        <d v="2024-12-07T00:00:00"/>
        <d v="2025-09-21T00:00:00"/>
        <d v="2023-01-18T00:00:00"/>
        <d v="2023-10-31T00:00:00"/>
        <d v="2025-01-30T00:00:00"/>
        <d v="2024-08-18T00:00:00"/>
        <d v="2025-02-07T00:00:00"/>
        <d v="2024-12-21T00:00:00"/>
        <d v="2025-08-01T00:00:00"/>
        <d v="2024-11-23T00:00:00"/>
        <d v="2023-08-28T00:00:00"/>
        <d v="2024-07-16T00:00:00"/>
        <d v="2024-02-23T00:00:00"/>
        <d v="2024-04-12T00:00:00"/>
        <d v="2025-07-23T00:00:00"/>
        <d v="2024-10-15T00:00:00"/>
        <d v="2024-09-21T00:00:00"/>
        <d v="2023-01-04T00:00:00"/>
        <d v="2025-03-07T00:00:00"/>
        <d v="2024-06-01T00:00:00"/>
        <d v="2023-08-02T00:00:00"/>
        <d v="2025-07-07T00:00:00"/>
        <d v="2025-09-26T00:00:00"/>
        <d v="2025-05-15T00:00:00"/>
        <d v="2024-11-21T00:00:00"/>
        <d v="2023-08-24T00:00:00"/>
        <d v="2023-09-10T00:00:00"/>
        <d v="2025-03-10T00:00:00"/>
        <d v="2024-02-28T00:00:00"/>
        <d v="2024-03-04T00:00:00"/>
        <d v="2025-05-31T00:00:00"/>
        <d v="2025-09-12T00:00:00"/>
        <d v="2025-05-30T00:00:00"/>
        <d v="2025-08-14T00:00:00"/>
        <d v="2025-05-12T00:00:00"/>
        <d v="2024-06-17T00:00:00"/>
        <d v="2024-10-04T00:00:00"/>
        <d v="2023-06-24T00:00:00"/>
        <d v="2024-03-20T00:00:00"/>
        <d v="2023-07-25T00:00:00"/>
        <d v="2025-07-10T00:00:00"/>
        <d v="2024-08-07T00:00:00"/>
        <d v="2023-05-20T00:00:00"/>
        <d v="2024-04-02T00:00:00"/>
        <d v="2024-08-21T00:00:00"/>
        <d v="2025-03-18T00:00:00"/>
        <d v="2024-11-11T00:00:00"/>
        <d v="2024-12-14T00:00:00"/>
        <d v="2025-01-23T00:00:00"/>
        <d v="2023-10-23T00:00:00"/>
        <d v="2023-04-08T00:00:00"/>
        <d v="2023-03-22T00:00:00"/>
        <d v="2024-12-12T00:00:00"/>
        <d v="2025-06-14T00:00:00"/>
        <d v="2024-08-20T00:00:00"/>
        <d v="2025-08-15T00:00:00"/>
        <d v="2025-04-29T00:00:00"/>
        <d v="2024-03-18T00:00:00"/>
        <d v="2023-01-12T00:00:00"/>
        <d v="2024-05-17T00:00:00"/>
        <d v="2024-05-07T00:00:00"/>
        <d v="2025-03-13T00:00:00"/>
        <d v="2024-12-01T00:00:00"/>
        <d v="2023-05-28T00:00:00"/>
        <d v="2024-08-03T00:00:00"/>
        <d v="2023-11-02T00:00:00"/>
        <d v="2025-02-22T00:00:00"/>
        <d v="2024-01-28T00:00:00"/>
        <d v="2025-05-29T00:00:00"/>
        <d v="2025-01-09T00:00:00"/>
        <d v="2024-11-03T00:00:00"/>
        <d v="2023-01-21T00:00:00"/>
        <d v="2025-01-11T00:00:00"/>
        <d v="2025-06-06T00:00:00"/>
        <d v="2025-07-01T00:00:00"/>
        <d v="2023-02-28T00:00:00"/>
        <d v="2024-07-29T00:00:00"/>
        <d v="2024-04-14T00:00:00"/>
        <d v="2023-09-19T00:00:00"/>
        <d v="2023-06-12T00:00:00"/>
        <d v="2025-09-08T00:00:00"/>
        <d v="2024-03-13T00:00:00"/>
        <d v="2025-09-03T00:00:00"/>
        <d v="2024-10-21T00:00:00"/>
        <d v="2024-04-28T00:00:00"/>
        <d v="2023-11-23T00:00:00"/>
        <d v="2023-07-18T00:00:00"/>
        <d v="2023-10-06T00:00:00"/>
        <d v="2024-05-22T00:00:00"/>
        <d v="2024-09-05T00:00:00"/>
        <d v="2023-05-09T00:00:00"/>
        <d v="2023-10-16T00:00:00"/>
        <d v="2024-02-06T00:00:00"/>
        <d v="2023-02-27T00:00:00"/>
        <d v="2023-04-04T00:00:00"/>
        <d v="2024-10-26T00:00:00"/>
        <d v="2025-08-24T00:00:00"/>
        <d v="2023-06-10T00:00:00"/>
        <d v="2023-04-03T00:00:00"/>
        <d v="2023-01-20T00:00:00"/>
        <d v="2024-04-16T00:00:00"/>
        <d v="2025-05-28T00:00:00"/>
        <d v="2024-08-08T00:00:00"/>
        <d v="2025-05-14T00:00:00"/>
        <d v="2023-08-20T00:00:00"/>
        <d v="2024-10-09T00:00:00"/>
        <d v="2024-05-23T00:00:00"/>
        <d v="2024-03-29T00:00:00"/>
        <d v="2023-01-09T00:00:00"/>
        <d v="2025-06-18T00:00:00"/>
        <d v="2025-07-12T00:00:00"/>
        <d v="2025-06-19T00:00:00"/>
        <d v="2023-05-14T00:00:00"/>
        <d v="2025-08-25T00:00:00"/>
        <d v="2023-06-28T00:00:00"/>
        <d v="2025-07-03T00:00:00"/>
        <d v="2024-06-02T00:00:00"/>
        <d v="2023-05-12T00:00:00"/>
        <d v="2023-02-12T00:00:00"/>
        <d v="2024-01-04T00:00:00"/>
        <d v="2024-05-25T00:00:00"/>
        <d v="2024-02-08T00:00:00"/>
        <d v="2024-08-23T00:00:00"/>
        <d v="2023-05-02T00:00:00"/>
        <d v="2024-02-25T00:00:00"/>
        <d v="2023-10-04T00:00:00"/>
        <d v="2023-07-21T00:00:00"/>
        <d v="2024-04-10T00:00:00"/>
        <d v="2025-05-19T00:00:00"/>
        <d v="2024-10-06T00:00:00"/>
        <d v="2023-03-01T00:00:00"/>
        <d v="2024-07-11T00:00:00"/>
        <d v="2024-06-20T00:00:00"/>
        <d v="2023-03-14T00:00:00"/>
        <d v="2023-12-26T00:00:00"/>
        <d v="2025-03-25T00:00:00"/>
        <d v="2023-12-10T00:00:00"/>
        <d v="2023-10-05T00:00:00"/>
        <d v="2023-03-06T00:00:00"/>
        <d v="2024-07-01T00:00:00"/>
        <d v="2025-07-09T00:00:00"/>
        <d v="2023-04-07T00:00:00"/>
        <d v="2024-11-08T00:00:00"/>
        <d v="2024-07-09T00:00:00"/>
        <d v="2024-02-15T00:00:00"/>
        <d v="2023-05-10T00:00:00"/>
        <d v="2023-09-28T00:00:00"/>
        <d v="2024-02-13T00:00:00"/>
        <d v="2024-01-20T00:00:00"/>
        <d v="2023-04-01T00:00:00"/>
        <d v="2025-06-26T00:00:00"/>
        <d v="2023-11-05T00:00:00"/>
        <d v="2024-10-16T00:00:00"/>
        <d v="2024-09-29T00:00:00"/>
        <d v="2023-04-14T00:00:00"/>
        <d v="2024-02-02T00:00:00"/>
        <d v="2025-02-17T00:00:00"/>
        <d v="2023-08-29T00:00:00"/>
        <d v="2025-04-03T00:00:00"/>
        <d v="2024-02-09T00:00:00"/>
        <d v="2023-09-15T00:00:00"/>
        <d v="2024-06-30T00:00:00"/>
        <d v="2023-10-11T00:00:00"/>
        <d v="2023-07-20T00:00:00"/>
        <d v="2025-08-11T00:00:00"/>
        <d v="2024-11-09T00:00:00"/>
        <d v="2025-03-11T00:00:00"/>
        <d v="2025-09-19T00:00:00"/>
        <d v="2023-11-16T00:00:00"/>
        <d v="2024-11-06T00:00:00"/>
        <d v="2023-08-01T00:00:00"/>
        <d v="2023-09-03T00:00:00"/>
        <d v="2024-07-21T00:00:00"/>
        <d v="2024-07-27T00:00:00"/>
        <d v="2024-07-17T00:00:00"/>
        <d v="2023-08-03T00:00:00"/>
        <d v="2024-02-20T00:00:00"/>
        <d v="2024-04-11T00:00:00"/>
        <d v="2023-01-10T00:00:00"/>
        <d v="2024-10-01T00:00:00"/>
        <d v="2025-08-08T00:00:00"/>
        <d v="2023-12-27T00:00:00"/>
        <d v="2024-06-03T00:00:00"/>
        <d v="2024-09-02T00:00:00"/>
        <d v="2023-06-16T00:00:00"/>
        <d v="2023-04-17T00:00:00"/>
        <d v="2024-06-12T00:00:00"/>
        <d v="2025-02-16T00:00:00"/>
        <d v="2023-05-04T00:00:00"/>
        <d v="2024-11-07T00:00:00"/>
        <d v="2025-08-29T00:00:00"/>
        <d v="2023-10-02T00:00:00"/>
        <d v="2024-02-27T00:00:00"/>
        <d v="2024-10-03T00:00:00"/>
        <d v="2025-03-09T00:00:00"/>
        <d v="2024-07-07T00:00:00"/>
        <d v="2024-08-28T00:00:00"/>
        <d v="2024-01-27T00:00:00"/>
        <d v="2024-10-12T00:00:00"/>
        <d v="2023-12-24T00:00:00"/>
        <d v="2024-12-27T00:00:00"/>
        <d v="2025-04-02T00:00:00"/>
        <d v="2024-04-30T00:00:00"/>
        <d v="2024-06-21T00:00:00"/>
        <d v="2024-08-15T00:00:00"/>
        <d v="2023-04-13T00:00:00"/>
        <d v="2024-08-24T00:00:00"/>
        <d v="2023-10-24T00:00:00"/>
        <d v="2023-04-16T00:00:00"/>
        <d v="2024-05-29T00:00:00"/>
        <d v="2025-02-11T00:00:00"/>
        <d v="2023-05-22T00:00:00"/>
        <d v="2023-12-30T00:00:00"/>
        <d v="2024-05-11T00:00:00"/>
        <d v="2025-08-30T00:00:00"/>
        <d v="2023-05-25T00:00:00"/>
        <d v="2024-02-03T00:00:00"/>
        <d v="2024-12-11T00:00:00"/>
        <d v="2023-09-16T00:00:00"/>
        <d v="2024-01-11T00:00:00"/>
        <d v="2025-03-29T00:00:00"/>
        <d v="2025-08-09T00:00:00"/>
        <d v="2024-01-03T00:00:00"/>
        <d v="2025-07-04T00:00:00"/>
        <d v="2023-04-24T00:00:00"/>
        <d v="2025-03-17T00:00:00"/>
        <d v="2023-01-07T00:00:00"/>
        <d v="2024-05-09T00:00:00"/>
        <d v="2023-08-27T00:00:00"/>
        <d v="2024-01-09T00:00:00"/>
        <d v="2025-02-02T00:00:00"/>
        <d v="2025-04-30T00:00:00"/>
        <d v="2025-01-17T00:00:00"/>
        <d v="2025-09-17T00:00:00"/>
        <d v="2023-10-18T00:00:00"/>
        <d v="2025-01-14T00:00:00"/>
        <d v="2024-08-19T00:00:00"/>
        <d v="2025-05-03T00:00:00"/>
        <d v="2024-06-09T00:00:00"/>
        <d v="2023-06-15T00:00:00"/>
        <d v="2025-03-20T00:00:00"/>
        <d v="2024-09-10T00:00:00"/>
        <d v="2025-02-04T00:00:00"/>
        <d v="2024-07-25T00:00:00"/>
        <d v="2024-08-31T00:00:00"/>
        <d v="2023-05-03T00:00:00"/>
        <d v="2024-12-02T00:00:00"/>
        <d v="2023-08-06T00:00:00"/>
        <d v="2025-06-30T00:00:00"/>
        <d v="2023-01-03T00:00:00"/>
        <d v="2024-08-17T00:00:00"/>
        <d v="2025-04-19T00:00:00"/>
        <d v="2023-08-04T00:00:00"/>
        <d v="2024-12-29T00:00:00"/>
        <d v="2024-02-14T00:00:00"/>
        <d v="2025-01-25T00:00:00"/>
        <d v="2025-09-20T00:00:00"/>
        <d v="2023-03-21T00:00:00"/>
        <d v="2025-08-03T00:00:00"/>
        <d v="2025-02-15T00:00:00"/>
        <d v="2023-03-02T00:00:00"/>
        <d v="2024-03-05T00:00:00"/>
        <d v="2024-03-25T00:00:00"/>
        <d v="2024-11-17T00:00:00"/>
        <d v="2023-04-20T00:00:00"/>
        <d v="2023-03-04T00:00:00"/>
        <d v="2024-06-10T00:00:00"/>
        <d v="2023-05-01T00:00:00"/>
        <d v="2025-01-22T00:00:00"/>
        <d v="2023-01-08T00:00:00"/>
        <d v="2024-07-04T00:00:00"/>
        <d v="2024-04-27T00:00:00"/>
        <d v="2024-06-23T00:00:00"/>
        <d v="2025-09-13T00:00:00"/>
        <d v="2023-10-09T00:00:00"/>
        <d v="2025-07-13T00:00:00"/>
        <d v="2023-06-03T00:00:00"/>
        <d v="2024-07-26T00:00:00"/>
        <d v="2023-12-13T00:00:00"/>
        <d v="2025-06-22T00:00:00"/>
        <d v="2024-03-28T00:00:00"/>
        <d v="2024-04-20T00:00:00"/>
        <d v="2025-01-26T00:00:00"/>
        <d v="2024-06-04T00:00:00"/>
        <d v="2024-06-19T00:00:00"/>
        <d v="2023-08-21T00:00:00"/>
        <d v="2023-06-07T00:00:00"/>
        <d v="2024-02-18T00:00:00"/>
        <d v="2023-02-22T00:00:00"/>
        <d v="2023-12-17T00:00:00"/>
        <d v="2025-03-03T00:00:00"/>
        <d v="2024-08-01T00:00:00"/>
        <d v="2024-03-19T00:00:00"/>
        <d v="2025-04-27T00:00:00"/>
        <d v="2023-08-12T00:00:00"/>
        <d v="2023-05-24T00:00:00"/>
        <d v="2024-11-14T00:00:00"/>
        <d v="2023-02-23T00:00:00"/>
        <d v="2025-05-17T00:00:00"/>
        <d v="2023-01-31T00:00:00"/>
        <d v="2023-11-01T00:00:00"/>
        <d v="2025-06-05T00:00:00"/>
        <d v="2025-02-06T00:00:00"/>
        <d v="2024-09-04T00:00:00"/>
        <d v="2023-12-31T00:00:00"/>
        <d v="2024-06-18T00:00:00"/>
        <d v="2025-03-15T00:00:00"/>
        <d v="2024-02-29T00:00:00"/>
        <d v="2025-05-08T00:00:00"/>
        <d v="2025-06-01T00:00:00"/>
        <d v="2025-01-24T00:00:00"/>
        <d v="2024-05-04T00:00:00"/>
        <d v="2025-09-25T00:00:00"/>
        <d v="2024-05-15T00:00:00"/>
        <d v="2024-01-25T00:00:00"/>
        <d v="2023-03-03T00:00:00"/>
        <d v="2024-05-16T00:00:00"/>
        <d v="2023-07-06T00:00:00"/>
        <d v="2024-03-12T00:00:00"/>
        <d v="2023-11-14T00:00:00"/>
        <d v="2025-07-11T00:00:00"/>
        <d v="2023-01-27T00:00:00"/>
        <d v="2024-05-06T00:00:00"/>
        <d v="2023-02-17T00:00:00"/>
        <d v="2025-05-04T00:00:00"/>
        <d v="2023-03-08T00:00:00"/>
        <d v="2023-01-30T00:00:00"/>
        <d v="2023-04-22T00:00:00"/>
        <d v="2023-07-09T00:00:00"/>
        <d v="2025-04-05T00:00:00"/>
        <d v="2023-07-11T00:00:00"/>
        <d v="2023-12-28T00:00:00"/>
        <d v="2023-01-16T00:00:00"/>
        <d v="2023-05-19T00:00:00"/>
        <d v="2023-08-11T00:00:00"/>
        <d v="2023-12-22T00:00:00"/>
        <d v="2023-06-25T00:00:00"/>
        <d v="2023-11-24T00:00:00"/>
        <d v="2023-07-26T00:00:00"/>
        <d v="2025-03-21T00:00:00"/>
        <d v="2024-02-10T00:00:00"/>
        <d v="2025-03-12T00:00:00"/>
        <d v="2025-01-28T00:00:00"/>
        <d v="2023-09-27T00:00:00"/>
        <d v="2024-06-26T00:00:00"/>
        <d v="2024-12-22T00:00:00"/>
        <d v="2024-06-08T00:00:00"/>
        <d v="2024-05-12T00:00:00"/>
        <d v="2025-09-07T00:00:00"/>
        <d v="2025-05-11T00:00:00"/>
        <d v="2023-09-17T00:00:00"/>
        <d v="2023-10-30T00:00:00"/>
        <d v="2025-01-10T00:00:00"/>
        <d v="2023-03-25T00:00:00"/>
        <d v="2025-08-16T00:00:00"/>
        <d v="2025-05-06T00:00:00"/>
        <d v="2023-12-21T00:00:00"/>
        <d v="2023-09-20T00:00:00"/>
        <d v="2023-06-14T00:00:00"/>
        <d v="2025-03-23T00:00:00"/>
        <d v="2025-07-15T00:00:00"/>
        <d v="2024-11-16T00:00:00"/>
        <d v="2025-09-11T00:00:00"/>
        <d v="2023-05-15T00:00:00"/>
        <d v="2023-11-13T00:00:00"/>
        <d v="2023-12-12T00:00:00"/>
        <d v="2023-08-05T00:00:00"/>
        <d v="2023-11-15T00:00:00"/>
        <d v="2024-04-13T00:00:00"/>
        <d v="2024-12-17T00:00:00"/>
        <d v="2024-11-22T00:00:00"/>
        <d v="2023-01-28T00:00:00"/>
        <d v="2025-02-08T00:00:00"/>
        <d v="2023-08-09T00:00:00"/>
        <d v="2023-02-10T00:00:00"/>
        <d v="2024-06-29T00:00:00"/>
        <d v="2023-05-31T00:00:00"/>
        <d v="2024-12-08T00:00:00"/>
        <d v="2024-04-19T00:00:00"/>
        <d v="2023-09-23T00:00:00"/>
        <d v="2023-10-08T00:00:00"/>
        <d v="2023-10-01T00:00:00"/>
        <d v="2023-06-23T00:00:00"/>
        <d v="2023-01-06T00:00:00"/>
        <d v="2024-05-30T00:00:00"/>
        <d v="2024-10-08T00:00:00"/>
        <d v="2023-04-09T00:00:00"/>
        <d v="2024-07-03T00:00:00"/>
        <d v="2025-08-19T00:00:00"/>
        <d v="2025-05-09T00:00:00"/>
        <d v="2024-09-18T00:00:00"/>
        <d v="2025-08-28T00:00:00"/>
        <d v="2024-02-05T00:00:00"/>
        <d v="2024-08-10T00:00:00"/>
        <d v="2024-12-15T00:00:00"/>
        <d v="2023-09-29T00:00:00"/>
        <d v="2025-06-08T00:00:00"/>
        <d v="2023-09-18T00:00:00"/>
        <d v="2023-12-08T00:00:00"/>
        <d v="2023-10-21T00:00:00"/>
        <d v="2023-01-24T00:00:00"/>
        <d v="2024-06-14T00:00:00"/>
        <d v="2024-07-30T00:00:00"/>
        <d v="2023-07-01T00:00:00"/>
        <d v="2023-08-30T00:00:00"/>
        <d v="2024-03-30T00:00:00"/>
        <d v="2024-12-23T00:00:00"/>
        <d v="2023-03-15T00:00:00"/>
        <d v="2024-04-15T00:00:00"/>
        <d v="2024-02-12T00:00:00"/>
        <d v="2024-09-17T00:00:00"/>
        <d v="2023-07-16T00:00:00"/>
        <d v="2025-01-27T00:00:00"/>
        <d v="2023-11-08T00:00:00"/>
        <d v="2024-01-23T00:00:00"/>
        <d v="2025-05-05T00:00:00"/>
        <d v="2025-05-27T00:00:00"/>
        <d v="2024-03-27T00:00:00"/>
        <d v="2023-08-15T00:00:00"/>
        <d v="2023-06-22T00:00:00"/>
        <d v="2024-11-02T00:00:00"/>
        <d v="2024-07-10T00:00:00"/>
        <d v="2025-03-04T00:00:00"/>
        <d v="2024-09-19T00:00:00"/>
        <d v="2023-07-30T00:00:00"/>
        <d v="2023-02-18T00:00:00"/>
        <d v="2025-01-19T00:00:00"/>
        <d v="2025-04-06T00:00:00"/>
        <d v="2023-04-06T00:00:00"/>
        <d v="2023-07-03T00:00:00"/>
        <d v="2025-06-12T00:00:00"/>
        <d v="2024-08-02T00:00:00"/>
        <d v="2025-06-28T00:00:00"/>
        <d v="2025-04-18T00:00:00"/>
        <d v="2025-04-11T00:00:00"/>
        <d v="2024-08-27T00:00:00"/>
        <d v="2025-07-14T00:00:00"/>
        <d v="2024-06-16T00:00:00"/>
        <d v="2024-04-21T00:00:00"/>
        <d v="2025-02-21T00:00:00"/>
        <d v="2024-01-08T00:00:00"/>
        <d v="2025-01-02T00:00:00"/>
        <d v="2023-06-27T00:00:00"/>
        <d v="2024-07-20T00:00:00"/>
        <d v="2024-08-29T00:00:00"/>
        <d v="2025-04-07T00:00:00"/>
        <d v="2024-11-20T00:00:00"/>
        <d v="2024-05-03T00:00:00"/>
        <d v="2025-09-06T00:00:00"/>
        <d v="2025-09-22T00:00:00"/>
        <d v="2024-12-03T00:00:00"/>
        <d v="2025-06-09T00:00:00"/>
        <d v="2024-09-20T00:00:00"/>
        <d v="2025-03-16T00:00:00"/>
        <d v="2023-12-25T00:00:00"/>
        <d v="2023-07-15T00:00:00"/>
        <d v="2025-01-03T00:00:00"/>
        <d v="2024-10-02T00:00:00"/>
        <d v="2023-02-13T00:00:00"/>
        <d v="2025-06-11T00:00:00"/>
        <d v="2023-03-11T00:00:00"/>
        <d v="2025-08-22T00:00:00"/>
        <d v="2024-09-24T00:00:00"/>
        <d v="2025-01-20T00:00:00"/>
        <d v="2024-03-01T00:00:00"/>
        <d v="2025-02-13T00:00:00"/>
        <d v="2023-03-31T00:00:00"/>
        <d v="2025-01-16T00:00:00"/>
        <d v="2024-02-26T00:00:00"/>
        <d v="2024-11-04T00:00:00"/>
        <d v="2024-11-25T00:00:00"/>
        <d v="2023-05-06T00:00:00"/>
        <d v="2023-02-14T00:00:00"/>
        <d v="2024-09-07T00:00:00"/>
        <d v="2023-06-18T00:00:00"/>
        <d v="2023-02-06T00:00:00"/>
        <d v="2025-07-05T00:00:00"/>
        <d v="2025-07-22T00:00:00"/>
        <d v="2024-06-06T00:00:00"/>
        <d v="2024-10-30T00:00:00"/>
        <d v="2023-09-09T00:00:00"/>
        <d v="2024-10-14T00:00:00"/>
        <d v="2025-08-26T00:00:00"/>
        <d v="2023-03-05T00:00:00"/>
        <d v="2025-03-05T00:00:00"/>
        <d v="2024-07-23T00:00:00"/>
        <d v="2024-05-31T00:00:00"/>
        <d v="2023-05-11T00:00:00"/>
        <d v="2025-06-02T00:00:00"/>
        <d v="2025-05-26T00:00:00"/>
        <d v="2023-02-08T00:00:00"/>
        <d v="2024-02-24T00:00:00"/>
        <d v="2023-03-17T00:00:00"/>
        <d v="2024-06-28T00:00:00"/>
        <d v="2024-12-18T00:00:00"/>
        <d v="2025-02-03T00:00:00"/>
        <d v="2024-12-20T00:00:00"/>
        <d v="2025-04-28T00:00:00"/>
        <d v="2024-04-26T00:00:00"/>
        <d v="2023-01-26T00:00:00"/>
        <d v="2024-12-09T00:00:00"/>
        <d v="2024-09-28T00:00:00"/>
        <d v="2024-01-02T00:00:00"/>
        <d v="2024-03-22T00:00:00"/>
        <d v="2023-11-28T00:00:00"/>
        <d v="2024-02-16T00:00:00"/>
        <d v="2024-04-03T00:00:00"/>
        <d v="2025-05-10T00:00:00"/>
        <d v="2024-02-04T00:00:00"/>
        <d v="2025-04-13T00:00:00"/>
        <d v="2023-09-04T00:00:00"/>
        <d v="2023-11-25T00:00:00"/>
        <d v="2024-03-26T00:00:00"/>
        <d v="2024-08-05T00:00:00"/>
        <d v="2023-03-09T00:00:00"/>
        <d v="2024-07-02T00:00:00"/>
        <d v="2024-11-01T00:00:00"/>
        <d v="2024-07-22T00:00:00"/>
        <d v="2025-06-29T00:00:00"/>
        <d v="2024-06-11T00:00:00"/>
        <d v="2023-07-04T00:00:00"/>
        <d v="2024-04-09T00:00:00"/>
        <d v="2025-08-17T00:00:00"/>
        <d v="2025-08-02T00:00:00"/>
        <d v="2025-06-07T00:00:00"/>
        <d v="2025-01-12T00:00:00"/>
        <d v="2023-07-27T00:00:00"/>
        <d v="2023-05-17T00:00:00"/>
        <d v="2023-04-19T00:00:00"/>
        <d v="2025-09-14T00:00:00"/>
        <d v="2025-01-21T00:00:00"/>
        <d v="2024-03-09T00:00:00"/>
        <d v="2024-01-13T00:00:00"/>
        <d v="2023-06-11T00:00:00"/>
        <d v="2023-05-16T00:00:00"/>
        <d v="2024-11-18T00:00:00"/>
        <d v="2025-02-10T00:00:00"/>
        <d v="2024-09-08T00:00:00"/>
        <d v="2025-09-23T00:00:00"/>
        <d v="2023-11-27T00:00:00"/>
        <d v="2025-05-25T00:00:00"/>
        <d v="2024-11-26T00:00:00"/>
        <d v="2025-03-01T00:00:00"/>
        <d v="2024-06-15T00:00:00"/>
        <d v="2023-05-26T00:00:00"/>
        <d v="2024-06-25T00:00:00"/>
        <d v="2023-07-08T00:00:00"/>
        <d v="2023-04-11T00:00:00"/>
        <d v="2023-06-26T00:00:00"/>
        <d v="2025-09-04T00:00:00"/>
        <d v="2023-11-21T00:00:00"/>
        <d v="2023-02-02T00:00:00"/>
        <d v="2023-07-12T00:00:00"/>
        <d v="2023-07-10T00:00:00"/>
        <d v="2025-05-13T00:00:00"/>
        <d v="2025-08-04T00:00:00"/>
        <d v="2023-10-26T00:00:00"/>
        <d v="2024-09-26T00:00:00"/>
        <d v="2024-11-15T00:00:00"/>
        <d v="2023-12-03T00:00:00"/>
        <d v="2023-08-08T00:00:00"/>
        <d v="2024-09-09T00:00:00"/>
        <d v="2025-09-09T00:00:00"/>
        <d v="2023-09-11T00:00:00"/>
        <d v="2023-02-15T00:00:00"/>
        <d v="2025-01-08T00:00:00"/>
        <d v="2023-02-16T00:00:00"/>
        <d v="2023-06-19T00:00:00"/>
        <d v="2025-09-18T00:00:00"/>
        <d v="2024-08-11T00:00:00"/>
        <d v="2024-11-13T00:00:00"/>
        <d v="2023-07-14T00:00:00"/>
        <d v="2023-04-28T00:00:00"/>
        <d v="2023-05-21T00:00:00"/>
        <d v="2024-07-19T00:00:00"/>
        <d v="2023-12-09T00:00:00"/>
        <d v="2025-06-15T00:00:00"/>
        <d v="2023-09-07T00:00:00"/>
        <d v="2024-04-08T00:00:00"/>
        <d v="2024-05-18T00:00:00"/>
        <d v="2023-02-09T00:00:00"/>
        <d v="2024-10-13T00:00:00"/>
        <d v="2025-07-29T00:00:00"/>
        <d v="2025-07-31T00:00:00"/>
        <d v="2024-02-22T00:00:00"/>
        <d v="2024-03-08T00:00:00"/>
        <d v="2023-09-13T00:00:00"/>
        <d v="2023-08-14T00:00:00"/>
        <d v="2023-09-24T00:00:00"/>
        <d v="2025-06-24T00:00:00"/>
        <d v="2024-10-25T00:00:00"/>
        <d v="2024-03-16T00:00:00"/>
        <d v="2024-01-22T00:00:00"/>
        <d v="2023-04-25T00:00:00"/>
        <d v="2023-01-29T00:00:00"/>
        <d v="2024-01-14T00:00:00"/>
        <d v="2023-07-24T00:00:00"/>
        <d v="2023-12-29T00:00:00"/>
        <d v="2023-07-13T00:00:00"/>
        <d v="2023-08-22T00:00:00"/>
        <d v="2024-09-01T00:00:00"/>
        <d v="2025-02-26T00:00:00"/>
        <d v="2024-02-11T00:00:00"/>
        <d v="2023-11-11T00:00:00"/>
        <d v="2024-05-19T00:00:00"/>
        <d v="2024-08-09T00:00:00"/>
        <d v="2023-10-17T00:00:00"/>
        <d v="2023-10-22T00:00:00"/>
        <d v="2023-12-15T00:00:00"/>
        <d v="2025-01-15T00:00:00"/>
        <d v="2024-09-25T00:00:00"/>
        <d v="2023-12-04T00:00:00"/>
        <d v="2025-05-21T00:00:00"/>
        <d v="2023-09-02T00:00:00"/>
        <d v="2023-12-01T00:00:00"/>
        <d v="2024-03-11T00:00:00"/>
        <d v="2023-07-05T00:00:00"/>
        <d v="2025-08-20T00:00:00"/>
        <d v="2024-08-16T00:00:00"/>
        <d v="2024-05-05T00:00:00"/>
        <d v="2024-10-31T00:00:00"/>
        <d v="2025-02-25T00:00:00"/>
        <d v="2023-09-12T00:00:00"/>
        <d v="2025-03-22T00:00:00"/>
        <d v="2024-05-02T00:00:00"/>
        <d v="2025-06-04T00:00:00"/>
        <d v="2025-09-02T00:00:00"/>
        <d v="2023-11-12T00:00:00"/>
        <d v="2023-05-05T00:00:00"/>
        <d v="2025-04-15T00:00:00"/>
        <d v="2025-03-26T00:00:00"/>
        <d v="2023-12-06T00:00:00"/>
        <d v="2024-03-24T00:00:00"/>
        <d v="2023-07-19T00:00:00"/>
        <d v="2025-04-26T00:00:00"/>
        <d v="2023-06-06T00:00:00"/>
        <d v="2023-06-30T00:00:00"/>
        <d v="2025-07-08T00:00:00"/>
        <d v="2025-03-28T00:00:00"/>
        <d v="2025-07-21T00:00:00"/>
        <d v="2024-09-13T00:00:00"/>
        <d v="2024-01-06T00:00:00"/>
        <d v="2023-01-17T00:00:00"/>
        <d v="2025-03-30T00:00:00"/>
        <d v="2024-11-27T00:00:00"/>
        <d v="2024-03-14T00:00:00"/>
        <d v="2024-07-18T00:00:00"/>
        <d v="2025-05-18T00:00:00"/>
        <d v="2025-02-12T00:00:00"/>
        <d v="2024-12-26T00:00:00"/>
        <d v="2024-01-07T00:00:00"/>
        <d v="2023-04-12T00:00:00"/>
        <d v="2023-05-18T00:00:00"/>
        <d v="2024-12-04T00:00:00"/>
        <d v="2023-05-27T00:00:00"/>
        <d v="2023-02-01T00:00:00"/>
        <d v="2023-04-30T00:00:00"/>
        <d v="2023-08-19T00:00:00"/>
        <d v="2023-11-19T00:00:00"/>
        <d v="2024-01-18T00:00:00"/>
        <d v="2025-05-22T00:00:00"/>
        <d v="2024-11-05T00:00:00"/>
        <d v="2025-05-07T00:00:00"/>
        <d v="2023-05-08T00:00:00"/>
        <d v="2023-06-04T00:00:00"/>
        <d v="2025-07-16T00:00:00"/>
        <d v="2024-03-21T00:00:00"/>
        <d v="2024-08-14T00:00:00"/>
        <d v="2025-04-01T00:00:00"/>
        <d v="2024-11-29T00:00:00"/>
        <d v="2024-04-17T00:00:00"/>
        <d v="2023-11-07T00:00:00"/>
        <d v="2024-03-02T00:00:00"/>
        <d v="2025-02-19T00:00:00"/>
        <d v="2023-01-23T00:00:00"/>
        <d v="2023-11-04T00:00:00"/>
        <d v="2023-01-11T00:00:00"/>
        <d v="2025-04-16T00:00:00"/>
        <d v="2024-10-10T00:00:00"/>
        <d v="2023-03-28T00:00:00"/>
        <d v="2024-04-06T00:00:00"/>
        <d v="2025-09-15T00:00:00"/>
        <d v="2024-12-16T00:00:00"/>
        <d v="2023-07-28T00:00:00"/>
        <d v="2023-02-20T00:00:00"/>
        <d v="2025-03-08T00:00:00"/>
        <d v="2025-04-17T00:00:00"/>
        <d v="2024-07-24T00:00:00"/>
        <d v="2024-03-23T00:00:00"/>
        <d v="2024-01-12T00:00:00"/>
        <d v="2024-03-06T00:00:00"/>
        <d v="2025-05-16T00:00:00"/>
        <d v="2023-12-20T00:00:00"/>
        <d v="2024-07-13T00:00:00"/>
        <d v="2024-09-27T00:00:00"/>
        <d v="2023-09-25T00:00:00"/>
        <d v="2024-09-16T00:00:00"/>
        <d v="2024-12-06T00:00:00"/>
        <d v="2023-07-02T00:00:00"/>
        <d v="2023-03-07T00:00:00"/>
        <d v="2025-07-28T00:00:00"/>
        <d v="2023-01-01T00:00:00"/>
        <d v="2024-09-14T00:00:00"/>
        <d v="2023-03-29T00:00:00"/>
        <d v="2024-10-07T00:00:00"/>
        <d v="2025-02-18T00:00:00"/>
        <d v="2025-01-07T00:00:00"/>
        <d v="2024-02-21T00:00:00"/>
        <d v="2024-10-23T00:00:00"/>
        <d v="2025-02-27T00:00:00"/>
        <d v="2025-04-10T00:00:00"/>
        <d v="2023-07-22T00:00:00"/>
        <d v="2023-05-13T00:00:00"/>
        <d v="2024-09-15T00:00:00"/>
        <d v="2024-09-30T00:00:00"/>
        <d v="2025-07-19T00:00:00"/>
        <d v="2025-08-18T00:00:00"/>
        <d v="2025-03-06T00:00:00"/>
        <d v="2023-10-10T00:00:00"/>
        <d v="2023-01-14T00:00:00"/>
        <d v="2025-05-23T00:00:00"/>
        <d v="2024-10-11T00:00:00"/>
        <d v="2024-07-31T00:00:00"/>
        <d v="2023-09-06T00:00:00"/>
        <d v="2023-12-14T00:00:00"/>
        <d v="2023-08-18T00:00:00"/>
        <d v="2025-08-10T00:00:00"/>
        <d v="2024-10-19T00:00:00"/>
        <d v="2023-06-01T00:00:00"/>
        <d v="2024-11-30T00:00:00"/>
        <d v="2024-04-29T00:00:00"/>
        <d v="2023-02-19T00:00:00"/>
        <d v="2024-10-29T00:00:00"/>
        <d v="2024-07-06T00:00:00"/>
        <d v="2023-09-14T00:00:00"/>
        <d v="2025-05-02T00:00:00"/>
        <d v="2025-04-12T00:00:00"/>
        <d v="2023-11-22T00:00:00"/>
        <d v="2023-12-18T00:00:00"/>
        <d v="2023-01-15T00:00:00"/>
        <d v="2025-06-03T00:00:00"/>
        <d v="2023-07-07T00:00:00"/>
        <d v="2023-11-10T00:00:00"/>
        <d v="2023-04-27T00:00:00"/>
        <d v="2025-08-05T00:00:00"/>
        <d v="2023-09-22T00:00:00"/>
        <d v="2024-05-26T00:00:00"/>
        <d v="2025-04-08T00:00:00"/>
        <d v="2023-04-05T00:00:00"/>
        <d v="2025-07-17T00:00:00"/>
        <d v="2023-07-29T00:00:00"/>
        <d v="2024-12-19T00:00:00"/>
        <d v="2023-11-18T00:00:00"/>
        <d v="2023-11-17T00:00:00"/>
        <d v="2024-09-11T00:00:00"/>
        <d v="2024-01-26T00:00:00"/>
        <d v="2024-03-10T00:00:00"/>
        <d v="2025-05-24T00:00:00"/>
        <d v="2023-03-20T00:00:00"/>
        <d v="2024-06-22T00:00:00"/>
        <d v="2023-04-18T00:00:00"/>
        <d v="2023-11-26T00:00:00"/>
        <d v="2024-12-25T00:00:00"/>
        <d v="2023-05-30T00:00:00"/>
        <d v="2023-02-21T00:00:00"/>
        <d v="2025-04-04T00:00:00"/>
        <d v="2023-12-23T00:00:00"/>
        <d v="2025-01-29T00:00:00"/>
        <d v="2025-02-05T00:00:00"/>
        <d v="2024-05-24T00:00:00"/>
        <d v="2023-02-26T00:00:00"/>
        <d v="2025-09-24T00:00:00"/>
        <d v="2024-05-21T00:00:00"/>
        <d v="2025-02-24T00:00:00"/>
        <d v="2024-12-24T00:00:00"/>
        <d v="2025-02-28T00:00:00"/>
        <d v="2025-08-23T00:00:00"/>
        <d v="2024-01-16T00:00:00"/>
        <d v="2023-03-30T00:00:00"/>
        <d v="2024-12-13T00:00:00"/>
        <d v="2024-12-28T00:00:00"/>
        <d v="2025-09-10T00:00:00"/>
        <d v="2023-07-31T00:00:00"/>
        <d v="2023-12-02T00:00:00"/>
        <d v="2023-11-29T00:00:00"/>
        <d v="2025-06-13T00:00:00"/>
        <d v="2024-05-08T00:00:00"/>
        <d v="2023-11-09T00:00:00"/>
        <d v="2025-07-25T00:00:00"/>
        <d v="2023-03-19T00:00:00"/>
        <d v="2024-05-27T00:00:00"/>
        <d v="2024-04-25T00:00:00"/>
        <d v="2023-02-03T00:00:00"/>
        <d v="2024-05-28T00:00:00"/>
        <d v="2023-10-27T00:00:00"/>
        <d v="2024-06-05T00:00:00"/>
        <d v="2023-02-11T00:00:00"/>
        <d v="2024-01-10T00:00:00"/>
        <d v="2023-06-21T00:00:00"/>
        <d v="2025-06-23T00:00:00"/>
        <d v="2023-03-23T00:00:00"/>
        <d v="2023-02-25T00:00:00"/>
        <d v="2024-03-07T00:00:00"/>
        <d v="2024-09-06T00:00:00"/>
        <d v="2023-08-26T00:00:00"/>
        <d v="2024-10-20T00:00:00"/>
        <d v="2025-03-27T00:00:00"/>
        <d v="2025-01-05T00:00:00"/>
        <d v="2025-04-09T00:00:00"/>
        <d v="2023-04-02T00:00:00"/>
        <d v="2023-06-13T00:00:00"/>
        <d v="2023-08-25T00:00:00"/>
        <d v="2024-08-13T00:00:00"/>
        <d v="2023-05-29T00:00:00"/>
        <d v="2024-12-10T00:00:00"/>
        <d v="2024-05-13T00:00:00"/>
        <d v="2024-07-05T00:00:00"/>
        <d v="2024-02-07T00:00:00"/>
        <d v="2025-06-17T00:00:00"/>
        <d v="2025-07-24T00:00:00"/>
        <d v="2023-03-12T00:00:00"/>
        <d v="2023-09-30T00:00:00"/>
        <d v="2023-06-05T00:00:00"/>
        <d v="2025-07-27T00:00:00"/>
        <d v="2023-09-05T00:00:00"/>
        <d v="2024-05-20T00:00:00"/>
        <d v="2024-07-15T00:00:00"/>
        <d v="2025-03-24T00:00:00"/>
        <d v="2025-08-12T00:00:00"/>
        <d v="2023-12-07T00:00:00"/>
        <d v="2025-06-27T00:00:00"/>
        <d v="2025-01-18T00:00:00"/>
        <d v="2024-11-24T00:00:00"/>
        <d v="2025-04-23T00:00:00"/>
        <d v="2024-01-21T00:00:00"/>
        <d v="2023-06-08T00:00:00"/>
        <d v="2023-08-13T00:00:00"/>
        <d v="2025-03-19T00:00:00"/>
        <d v="2024-04-05T00:00:00"/>
        <d v="2025-06-16T00:00:00"/>
        <d v="2023-08-10T00:00:00"/>
        <d v="2023-01-19T00:00:00"/>
        <d v="2024-02-19T00:00:00"/>
        <d v="2024-10-27T00:00:00"/>
        <d v="2023-06-29T00:00:00"/>
        <d v="2023-08-23T00:00:00"/>
        <d v="2024-10-24T00:00:00"/>
        <d v="2024-08-12T00:00:00"/>
        <d v="2025-08-13T00:00:00"/>
        <d v="2025-01-06T00:00:00"/>
        <d v="2024-08-06T00:00:00"/>
        <d v="2024-04-22T00:00:00"/>
        <d v="2024-08-30T00:00:00"/>
        <d v="2024-05-10T00:00:00"/>
        <d v="2023-12-19T00:00:00"/>
        <d v="2023-07-23T00:00:00"/>
        <d v="2024-10-17T00:00:00"/>
        <d v="2023-08-31T00:00:00"/>
        <d v="2023-04-21T00:00:00"/>
        <d v="2024-07-14T00:00:00"/>
        <d v="2023-08-07T00:00:00"/>
        <d v="2024-07-12T00:00:00"/>
        <d v="2025-07-06T00:00:00"/>
        <d v="2024-12-30T00:00:00"/>
        <d v="2025-02-14T00:00:00"/>
        <d v="2023-03-18T00:00:00"/>
        <d v="2025-06-20T00:00:00"/>
        <d v="2023-10-19T00:00:00"/>
        <d v="2023-11-20T00:00:00"/>
        <d v="2023-10-20T00:00:00"/>
        <d v="2023-07-17T00:00:00"/>
        <d v="2023-01-25T00:00:00"/>
        <d v="2024-12-05T00:00:00"/>
        <d v="2025-07-26T00:00:00"/>
        <d v="2023-11-03T00:00:00"/>
        <d v="2023-03-26T00:00:00"/>
        <d v="2024-06-24T00:00:00"/>
        <d v="2023-06-02T00:00:00"/>
        <d v="2023-04-15T00:00:00"/>
        <d v="2025-08-07T00:00:00"/>
        <d v="2024-11-19T00:00:00"/>
        <d v="2024-09-23T00:00:00"/>
        <d v="2023-10-12T00:00:00"/>
        <d v="2023-04-29T00:00:00"/>
        <d v="2024-01-29T00:00:00"/>
        <d v="2023-09-21T00:00:00"/>
        <d v="2025-07-20T00:00:00"/>
        <d v="2024-09-03T00:00:00"/>
        <d v="2023-03-27T00:00:00"/>
        <d v="2023-04-10T00:00:00"/>
        <d v="2024-10-18T00:00:00"/>
        <d v="2023-09-08T00:00:00"/>
        <d v="2024-03-15T00:00:00"/>
        <d v="2024-05-01T00:00:00"/>
        <d v="2024-05-14T00:00:00"/>
        <d v="2025-02-20T00:00:00"/>
        <d v="2025-07-02T00:00:00"/>
        <d v="2023-06-20T00:00:00"/>
        <d v="2025-01-04T00:00:00"/>
        <d v="2025-04-22T00:00:00"/>
        <d v="2025-03-31T00:00:00"/>
        <d v="2024-01-24T00:00:00"/>
      </sharedItems>
      <fieldGroup par="29"/>
    </cacheField>
    <cacheField name="Customer_Name" numFmtId="0">
      <sharedItems/>
    </cacheField>
    <cacheField name="Region" numFmtId="0">
      <sharedItems count="4">
        <s v="North"/>
        <s v="East"/>
        <s v="West"/>
        <s v="South"/>
      </sharedItems>
    </cacheField>
    <cacheField name="Country" numFmtId="0">
      <sharedItems/>
    </cacheField>
    <cacheField name="City" numFmtId="0">
      <sharedItems/>
    </cacheField>
    <cacheField name="Product_Category" numFmtId="0">
      <sharedItems count="5">
        <s v="Books"/>
        <s v="Sports"/>
        <s v="Furniture"/>
        <s v="Clothing"/>
        <s v="Electronics"/>
      </sharedItems>
    </cacheField>
    <cacheField name="Sub_Category" numFmtId="0">
      <sharedItems/>
    </cacheField>
    <cacheField name="Product_Name" numFmtId="0">
      <sharedItems count="968">
        <s v="Fiction - 144"/>
        <s v="Biography - 889"/>
        <s v="Biography - 493"/>
        <s v="Biography - 551"/>
        <s v="Biography - 934"/>
        <s v="Non-Fiction - 265"/>
        <s v="Football - 240"/>
        <s v="Non-Fiction - 673"/>
        <s v="Comics - 276"/>
        <s v="Fiction - 965"/>
        <s v="Biography - 522"/>
        <s v="Non-Fiction - 492"/>
        <s v="Cricket Bat - 319"/>
        <s v="Biography - 941"/>
        <s v="Fiction - 301"/>
        <s v="Non-Fiction - 470"/>
        <s v="Fiction - 651"/>
        <s v="Fiction - 308"/>
        <s v="Non-Fiction - 444"/>
        <s v="Fiction - 900"/>
        <s v="Fiction - 459"/>
        <s v="Non-Fiction - 377"/>
        <s v="Biography - 697"/>
        <s v="Fiction - 391"/>
        <s v="Biography - 972"/>
        <s v="Comics - 301"/>
        <s v="Biography - 942"/>
        <s v="Comics - 263"/>
        <s v="Comics - 904"/>
        <s v="Non-Fiction - 910"/>
        <s v="Non-Fiction - 554"/>
        <s v="Sofa - 299"/>
        <s v="T-Shirt - 517"/>
        <s v="Non-Fiction - 560"/>
        <s v="Biography - 682"/>
        <s v="Dress - 996"/>
        <s v="Comics - 570"/>
        <s v="Biography - 186"/>
        <s v="Dress - 462"/>
        <s v="Non-Fiction - 264"/>
        <s v="Non-Fiction - 946"/>
        <s v="Fiction - 212"/>
        <s v="Biography - 598"/>
        <s v="Cricket Bat - 907"/>
        <s v="Non-Fiction - 703"/>
        <s v="Jacket - 501"/>
        <s v="Fiction - 953"/>
        <s v="T-Shirt - 789"/>
        <s v="Jeans - 214"/>
        <s v="Jacket - 198"/>
        <s v="Biography - 611"/>
        <s v="Comics - 580"/>
        <s v="Biography - 863"/>
        <s v="Comics - 666"/>
        <s v="Comics - 871"/>
        <s v="Biography - 807"/>
        <s v="Biography - 545"/>
        <s v="Comics - 806"/>
        <s v="Comics - 198"/>
        <s v="Comics - 975"/>
        <s v="Cricket Bat - 781"/>
        <s v="Dress - 183"/>
        <s v="Biography - 298"/>
        <s v="Non-Fiction - 153"/>
        <s v="Jeans - 491"/>
        <s v="Jacket - 164"/>
        <s v="Fiction - 227"/>
        <s v="Fiction - 962"/>
        <s v="Biography - 691"/>
        <s v="Tennis Racket - 294"/>
        <s v="T-Shirt - 178"/>
        <s v="Fiction - 134"/>
        <s v="T-Shirt - 203"/>
        <s v="Fiction - 847"/>
        <s v="Non-Fiction - 827"/>
        <s v="Non-Fiction - 501"/>
        <s v="Non-Fiction - 341"/>
        <s v="Non-Fiction - 113"/>
        <s v="Yoga Mat - 453"/>
        <s v="Fiction - 205"/>
        <s v="Comics - 410"/>
        <s v="Jacket - 873"/>
        <s v="Comics - 829"/>
        <s v="Comics - 770"/>
        <s v="Jacket - 968"/>
        <s v="Non-Fiction - 372"/>
        <s v="Comics - 619"/>
        <s v="Non-Fiction - 619"/>
        <s v="Fiction - 334"/>
        <s v="Biography - 633"/>
        <s v="Jeans - 688"/>
        <s v="Yoga Mat - 989"/>
        <s v="Chair - 640"/>
        <s v="Sofa - 202"/>
        <s v="Biography - 888"/>
        <s v="Sofa - 238"/>
        <s v="Sofa - 722"/>
        <s v="Comics - 237"/>
        <s v="Non-Fiction - 608"/>
        <s v="Comics - 750"/>
        <s v="Comics - 884"/>
        <s v="Jacket - 883"/>
        <s v="Non-Fiction - 269"/>
        <s v="Biography - 436"/>
        <s v="Jacket - 352"/>
        <s v="Jacket - 853"/>
        <s v="Football - 420"/>
        <s v="Fiction - 348"/>
        <s v="Biography - 986"/>
        <s v="Comics - 630"/>
        <s v="Jacket - 500"/>
        <s v="Fiction - 314"/>
        <s v="Non-Fiction - 475"/>
        <s v="Tennis Racket - 727"/>
        <s v="Biography - 853"/>
        <s v="Comics - 644"/>
        <s v="Non-Fiction - 657"/>
        <s v="Sofa - 960"/>
        <s v="Biography - 808"/>
        <s v="Jeans - 576"/>
        <s v="Comics - 205"/>
        <s v="Biography - 521"/>
        <s v="Bookshelf - 262"/>
        <s v="Football - 795"/>
        <s v="Jeans - 300"/>
        <s v="Bookshelf - 609"/>
        <s v="Comics - 714"/>
        <s v="Biography - 453"/>
        <s v="T-Shirt - 425"/>
        <s v="Tennis Racket - 644"/>
        <s v="Non-Fiction - 152"/>
        <s v="T-Shirt - 738"/>
        <s v="Non-Fiction - 468"/>
        <s v="Fiction - 971"/>
        <s v="Football - 208"/>
        <s v="Non-Fiction - 897"/>
        <s v="Jeans - 244"/>
        <s v="Biography - 578"/>
        <s v="Dress - 352"/>
        <s v="Comics - 562"/>
        <s v="T-Shirt - 548"/>
        <s v="Non-Fiction - 750"/>
        <s v="Dress - 492"/>
        <s v="Fiction - 410"/>
        <s v="T-Shirt - 899"/>
        <s v="Dress - 822"/>
        <s v="Biography - 742"/>
        <s v="Bookshelf - 919"/>
        <s v="Biography - 817"/>
        <s v="Fiction - 961"/>
        <s v="Non-Fiction - 834"/>
        <s v="Comics - 554"/>
        <s v="Jeans - 696"/>
        <s v="T-Shirt - 672"/>
        <s v="T-Shirt - 422"/>
        <s v="Comics - 439"/>
        <s v="Cricket Bat - 369"/>
        <s v="Cricket Bat - 736"/>
        <s v="Jacket - 797"/>
        <s v="Jacket - 835"/>
        <s v="Cricket Bat - 150"/>
        <s v="Tennis Racket - 493"/>
        <s v="Dress - 604"/>
        <s v="Non-Fiction - 495"/>
        <s v="Jeans - 209"/>
        <s v="Non-Fiction - 455"/>
        <s v="Non-Fiction - 964"/>
        <s v="Bookshelf - 906"/>
        <s v="Fiction - 267"/>
        <s v="Fiction - 164"/>
        <s v="Jeans - 594"/>
        <s v="Tennis Racket - 752"/>
        <s v="Comics - 699"/>
        <s v="Football - 977"/>
        <s v="T-Shirt - 413"/>
        <s v="Fiction - 752"/>
        <s v="Cricket Bat - 858"/>
        <s v="Dress - 797"/>
        <s v="Biography - 300"/>
        <s v="Jacket - 672"/>
        <s v="Comics - 760"/>
        <s v="Jacket - 389"/>
        <s v="Fiction - 675"/>
        <s v="Jacket - 985"/>
        <s v="Tennis Racket - 486"/>
        <s v="T-Shirt - 352"/>
        <s v="Non-Fiction - 527"/>
        <s v="Jeans - 417"/>
        <s v="Fiction - 458"/>
        <s v="Table - 220"/>
        <s v="T-Shirt - 969"/>
        <s v="Jacket - 994"/>
        <s v="Earphones - 728"/>
        <s v="Jeans - 921"/>
        <s v="Jacket - 514"/>
        <s v="Football - 107"/>
        <s v="Biography - 920"/>
        <s v="Biography - 479"/>
        <s v="Biography - 345"/>
        <s v="Jacket - 621"/>
        <s v="Earphones - 733"/>
        <s v="Fiction - 705"/>
        <s v="Comics - 572"/>
        <s v="Biography - 109"/>
        <s v="Dress - 695"/>
        <s v="T-Shirt - 718"/>
        <s v="Biography - 659"/>
        <s v="Dress - 756"/>
        <s v="Non-Fiction - 192"/>
        <s v="Non-Fiction - 398"/>
        <s v="Comics - 697"/>
        <s v="Cricket Bat - 621"/>
        <s v="Biography - 212"/>
        <s v="Non-Fiction - 240"/>
        <s v="Cricket Bat - 473"/>
        <s v="Football - 333"/>
        <s v="T-Shirt - 452"/>
        <s v="Fiction - 412"/>
        <s v="Jeans - 663"/>
        <s v="Cricket Bat - 453"/>
        <s v="Table - 176"/>
        <s v="Fiction - 261"/>
        <s v="Jacket - 576"/>
        <s v="Sofa - 898"/>
        <s v="Football - 376"/>
        <s v="Comics - 142"/>
        <s v="Table - 164"/>
        <s v="Comics - 991"/>
        <s v="Jacket - 802"/>
        <s v="Comics - 316"/>
        <s v="Comics - 148"/>
        <s v="Table - 605"/>
        <s v="Yoga Mat - 883"/>
        <s v="Jeans - 430"/>
        <s v="Table - 491"/>
        <s v="Table - 954"/>
        <s v="Jeans - 641"/>
        <s v="Fiction - 807"/>
        <s v="Dress - 814"/>
        <s v="Fiction - 429"/>
        <s v="Table - 805"/>
        <s v="Comics - 756"/>
        <s v="Jacket - 887"/>
        <s v="Comics - 942"/>
        <s v="Comics - 540"/>
        <s v="T-Shirt - 944"/>
        <s v="Dress - 416"/>
        <s v="Fiction - 868"/>
        <s v="Biography - 693"/>
        <s v="Bookshelf - 539"/>
        <s v="T-Shirt - 227"/>
        <s v="Dress - 338"/>
        <s v="Dress - 417"/>
        <s v="Jeans - 986"/>
        <s v="Football - 174"/>
        <s v="Non-Fiction - 681"/>
        <s v="Non-Fiction - 156"/>
        <s v="Yoga Mat - 153"/>
        <s v="Sofa - 353"/>
        <s v="Fiction - 531"/>
        <s v="Fiction - 123"/>
        <s v="Dress - 639"/>
        <s v="Tennis Racket - 244"/>
        <s v="Jeans - 366"/>
        <s v="Biography - 391"/>
        <s v="T-Shirt - 280"/>
        <s v="Dress - 195"/>
        <s v="Fiction - 848"/>
        <s v="Jacket - 121"/>
        <s v="Yoga Mat - 122"/>
        <s v="Dress - 716"/>
        <s v="Comics - 692"/>
        <s v="Table - 574"/>
        <s v="Comics - 853"/>
        <s v="Fiction - 716"/>
        <s v="Cricket Bat - 100"/>
        <s v="Tennis Racket - 775"/>
        <s v="T-Shirt - 190"/>
        <s v="Tablet - 227"/>
        <s v="Tennis Racket - 470"/>
        <s v="T-Shirt - 192"/>
        <s v="Biography - 251"/>
        <s v="Dress - 538"/>
        <s v="Fiction - 552"/>
        <s v="Fiction - 924"/>
        <s v="Jeans - 392"/>
        <s v="Table - 396"/>
        <s v="Comics - 613"/>
        <s v="Jeans - 566"/>
        <s v="Biography - 837"/>
        <s v="Dress - 524"/>
        <s v="Comics - 452"/>
        <s v="Chair - 494"/>
        <s v="Comics - 922"/>
        <s v="Tennis Racket - 475"/>
        <s v="Table - 716"/>
        <s v="Jacket - 217"/>
        <s v="Dress - 561"/>
        <s v="Fiction - 815"/>
        <s v="Cricket Bat - 942"/>
        <s v="Cricket Bat - 898"/>
        <s v="Comics - 311"/>
        <s v="Comics - 669"/>
        <s v="Tennis Racket - 735"/>
        <s v="Yoga Mat - 673"/>
        <s v="Biography - 375"/>
        <s v="Fiction - 727"/>
        <s v="Dress - 248"/>
        <s v="Non-Fiction - 277"/>
        <s v="Cricket Bat - 456"/>
        <s v="Yoga Mat - 801"/>
        <s v="Comics - 653"/>
        <s v="Sofa - 232"/>
        <s v="Dress - 891"/>
        <s v="Comics - 170"/>
        <s v="Dress - 856"/>
        <s v="Jacket - 738"/>
        <s v="Dress - 330"/>
        <s v="Jacket - 696"/>
        <s v="Dress - 536"/>
        <s v="Non-Fiction - 327"/>
        <s v="Non-Fiction - 281"/>
        <s v="T-Shirt - 324"/>
        <s v="Comics - 648"/>
        <s v="Dress - 127"/>
        <s v="T-Shirt - 815"/>
        <s v="Table - 979"/>
        <s v="T-Shirt - 657"/>
        <s v="Jacket - 204"/>
        <s v="Non-Fiction - 650"/>
        <s v="Chair - 307"/>
        <s v="Yoga Mat - 476"/>
        <s v="Chair - 956"/>
        <s v="Biography - 722"/>
        <s v="Cricket Bat - 370"/>
        <s v="Tennis Racket - 310"/>
        <s v="Bookshelf - 489"/>
        <s v="Chair - 763"/>
        <s v="Non-Fiction - 432"/>
        <s v="Dress - 665"/>
        <s v="Football - 911"/>
        <s v="Jeans - 692"/>
        <s v="Dress - 518"/>
        <s v="Cricket Bat - 367"/>
        <s v="Dress - 541"/>
        <s v="T-Shirt - 711"/>
        <s v="Jacket - 407"/>
        <s v="Yoga Mat - 128"/>
        <s v="Jeans - 737"/>
        <s v="Table - 374"/>
        <s v="Cricket Bat - 317"/>
        <s v="Jeans - 449"/>
        <s v="Chair - 677"/>
        <s v="Table - 375"/>
        <s v="Tennis Racket - 425"/>
        <s v="Sofa - 292"/>
        <s v="Fiction - 537"/>
        <s v="Jeans - 495"/>
        <s v="Non-Fiction - 338"/>
        <s v="Fiction - 483"/>
        <s v="Chair - 332"/>
        <s v="Laptop - 745"/>
        <s v="T-Shirt - 409"/>
        <s v="Jeans - 302"/>
        <s v="Sofa - 599"/>
        <s v="Cricket Bat - 255"/>
        <s v="Biography - 945"/>
        <s v="Non-Fiction - 898"/>
        <s v="Jacket - 229"/>
        <s v="Mobile - 184"/>
        <s v="Jeans - 533"/>
        <s v="Jeans - 791"/>
        <s v="Yoga Mat - 750"/>
        <s v="Biography - 629"/>
        <s v="Fiction - 252"/>
        <s v="Biography - 338"/>
        <s v="Comics - 659"/>
        <s v="Cricket Bat - 335"/>
        <s v="Comics - 339"/>
        <s v="Tennis Racket - 688"/>
        <s v="Cricket Bat - 296"/>
        <s v="Table - 788"/>
        <s v="Cricket Bat - 864"/>
        <s v="Sofa - 178"/>
        <s v="Jeans - 703"/>
        <s v="Jacket - 647"/>
        <s v="Tennis Racket - 787"/>
        <s v="Yoga Mat - 239"/>
        <s v="Chair - 891"/>
        <s v="Comics - 877"/>
        <s v="Non-Fiction - 868"/>
        <s v="Jeans - 447"/>
        <s v="Jeans - 926"/>
        <s v="Table - 951"/>
        <s v="Fiction - 224"/>
        <s v="Fiction - 922"/>
        <s v="Football - 635"/>
        <s v="T-Shirt - 705"/>
        <s v="Bookshelf - 932"/>
        <s v="T-Shirt - 814"/>
        <s v="Tablet - 841"/>
        <s v="Dress - 842"/>
        <s v="Jacket - 147"/>
        <s v="Bookshelf - 778"/>
        <s v="Football - 930"/>
        <s v="Football - 883"/>
        <s v="Bookshelf - 443"/>
        <s v="Tennis Racket - 924"/>
        <s v="Mobile - 731"/>
        <s v="Biography - 303"/>
        <s v="Table - 423"/>
        <s v="Chair - 802"/>
        <s v="Fiction - 119"/>
        <s v="Jeans - 235"/>
        <s v="Non-Fiction - 260"/>
        <s v="Non-Fiction - 212"/>
        <s v="Cricket Bat - 569"/>
        <s v="Chair - 468"/>
        <s v="Football - 318"/>
        <s v="Jacket - 739"/>
        <s v="Dress - 481"/>
        <s v="Non-Fiction - 290"/>
        <s v="Non-Fiction - 851"/>
        <s v="Yoga Mat - 888"/>
        <s v="Chair - 401"/>
        <s v="Table - 843"/>
        <s v="Dress - 684"/>
        <s v="Jeans - 938"/>
        <s v="Chair - 778"/>
        <s v="Fiction - 456"/>
        <s v="Comics - 307"/>
        <s v="Tennis Racket - 882"/>
        <s v="Fiction - 645"/>
        <s v="Jacket - 646"/>
        <s v="Biography - 563"/>
        <s v="Football - 478"/>
        <s v="Sofa - 500"/>
        <s v="T-Shirt - 733"/>
        <s v="Fiction - 510"/>
        <s v="Laptop - 145"/>
        <s v="T-Shirt - 653"/>
        <s v="Sofa - 640"/>
        <s v="Chair - 890"/>
        <s v="Laptop - 257"/>
        <s v="Table - 991"/>
        <s v="Fiction - 484"/>
        <s v="Dress - 429"/>
        <s v="Dress - 918"/>
        <s v="Chair - 237"/>
        <s v="Biography - 798"/>
        <s v="T-Shirt - 398"/>
        <s v="Tablet - 936"/>
        <s v="Table - 996"/>
        <s v="Mobile - 763"/>
        <s v="T-Shirt - 544"/>
        <s v="Dress - 725"/>
        <s v="Jeans - 327"/>
        <s v="Table - 339"/>
        <s v="Yoga Mat - 701"/>
        <s v="Bookshelf - 771"/>
        <s v="Laptop - 538"/>
        <s v="Sofa - 125"/>
        <s v="Biography - 849"/>
        <s v="Chair - 921"/>
        <s v="Mobile - 291"/>
        <s v="Sofa - 602"/>
        <s v="Yoga Mat - 977"/>
        <s v="Biography - 440"/>
        <s v="Mobile - 958"/>
        <s v="Dress - 286"/>
        <s v="Dress - 608"/>
        <s v="Sofa - 260"/>
        <s v="Football - 138"/>
        <s v="Yoga Mat - 161"/>
        <s v="Chair - 562"/>
        <s v="Jacket - 301"/>
        <s v="Dress - 938"/>
        <s v="Table - 179"/>
        <s v="Table - 547"/>
        <s v="Bookshelf - 213"/>
        <s v="Dress - 525"/>
        <s v="Yoga Mat - 302"/>
        <s v="Yoga Mat - 949"/>
        <s v="Jacket - 997"/>
        <s v="Earphones - 205"/>
        <s v="Jeans - 525"/>
        <s v="Mobile - 790"/>
        <s v="Cricket Bat - 612"/>
        <s v="Table - 748"/>
        <s v="Tennis Racket - 402"/>
        <s v="Football - 217"/>
        <s v="Tablet - 660"/>
        <s v="Sofa - 850"/>
        <s v="Table - 764"/>
        <s v="Dress - 151"/>
        <s v="Tablet - 309"/>
        <s v="Football - 191"/>
        <s v="Sofa - 205"/>
        <s v="Table - 110"/>
        <s v="Sofa - 704"/>
        <s v="Cricket Bat - 295"/>
        <s v="Chair - 930"/>
        <s v="T-Shirt - 480"/>
        <s v="Bookshelf - 106"/>
        <s v="T-Shirt - 318"/>
        <s v="Table - 694"/>
        <s v="Tennis Racket - 815"/>
        <s v="Bookshelf - 645"/>
        <s v="Tennis Racket - 873"/>
        <s v="Table - 956"/>
        <s v="Chair - 678"/>
        <s v="Mobile - 481"/>
        <s v="Jeans - 462"/>
        <s v="Table - 955"/>
        <s v="Sofa - 882"/>
        <s v="Jacket - 265"/>
        <s v="Bookshelf - 304"/>
        <s v="Jacket - 398"/>
        <s v="Chair - 108"/>
        <s v="T-Shirt - 954"/>
        <s v="Bookshelf - 388"/>
        <s v="Tennis Racket - 852"/>
        <s v="Football - 957"/>
        <s v="Sofa - 419"/>
        <s v="Dress - 448"/>
        <s v="T-Shirt - 918"/>
        <s v="Jacket - 245"/>
        <s v="Table - 418"/>
        <s v="Football - 613"/>
        <s v="Mobile - 462"/>
        <s v="Chair - 426"/>
        <s v="Tennis Racket - 901"/>
        <s v="Laptop - 218"/>
        <s v="Jeans - 348"/>
        <s v="Football - 413"/>
        <s v="Yoga Mat - 159"/>
        <s v="Jacket - 435"/>
        <s v="Cricket Bat - 765"/>
        <s v="T-Shirt - 770"/>
        <s v="Table - 278"/>
        <s v="Bookshelf - 394"/>
        <s v="Chair - 232"/>
        <s v="Yoga Mat - 720"/>
        <s v="Sofa - 141"/>
        <s v="Earphones - 228"/>
        <s v="Dress - 461"/>
        <s v="Chair - 209"/>
        <s v="Football - 699"/>
        <s v="Sofa - 832"/>
        <s v="Tennis Racket - 111"/>
        <s v="Dress - 478"/>
        <s v="Yoga Mat - 521"/>
        <s v="Cricket Bat - 266"/>
        <s v="Table - 672"/>
        <s v="Table - 480"/>
        <s v="Jeans - 902"/>
        <s v="Dress - 245"/>
        <s v="Yoga Mat - 328"/>
        <s v="Cricket Bat - 891"/>
        <s v="Tablet - 686"/>
        <s v="Tennis Racket - 391"/>
        <s v="Dress - 799"/>
        <s v="Earphones - 146"/>
        <s v="Dress - 816"/>
        <s v="Dress - 364"/>
        <s v="Cricket Bat - 829"/>
        <s v="Chair - 181"/>
        <s v="Dress - 389"/>
        <s v="Football - 375"/>
        <s v="Sofa - 401"/>
        <s v="Football - 805"/>
        <s v="T-Shirt - 233"/>
        <s v="Sofa - 761"/>
        <s v="Jacket - 416"/>
        <s v="Laptop - 204"/>
        <s v="Tablet - 260"/>
        <s v="Cricket Bat - 713"/>
        <s v="Chair - 729"/>
        <s v="Mobile - 276"/>
        <s v="Sofa - 470"/>
        <s v="Table - 586"/>
        <s v="Bookshelf - 155"/>
        <s v="Laptop - 659"/>
        <s v="Football - 105"/>
        <s v="T-Shirt - 137"/>
        <s v="Laptop - 815"/>
        <s v="Laptop - 170"/>
        <s v="Cricket Bat - 636"/>
        <s v="Jeans - 252"/>
        <s v="Sofa - 303"/>
        <s v="Bookshelf - 115"/>
        <s v="Table - 432"/>
        <s v="Mobile - 200"/>
        <s v="Sofa - 642"/>
        <s v="Tablet - 681"/>
        <s v="Yoga Mat - 993"/>
        <s v="Sofa - 756"/>
        <s v="T-Shirt - 726"/>
        <s v="Laptop - 275"/>
        <s v="Bookshelf - 332"/>
        <s v="Earphones - 951"/>
        <s v="Jeans - 385"/>
        <s v="Cricket Bat - 904"/>
        <s v="Earphones - 945"/>
        <s v="Table - 436"/>
        <s v="Table - 817"/>
        <s v="Laptop - 657"/>
        <s v="Chair - 432"/>
        <s v="Chair - 656"/>
        <s v="T-Shirt - 630"/>
        <s v="Football - 754"/>
        <s v="T-Shirt - 202"/>
        <s v="Football - 807"/>
        <s v="Cricket Bat - 812"/>
        <s v="Jeans - 458"/>
        <s v="Chair - 428"/>
        <s v="Tablet - 488"/>
        <s v="T-Shirt - 383"/>
        <s v="Tablet - 637"/>
        <s v="Earphones - 313"/>
        <s v="Football - 485"/>
        <s v="Mobile - 852"/>
        <s v="Dress - 971"/>
        <s v="Cricket Bat - 442"/>
        <s v="Chair - 262"/>
        <s v="Jeans - 700"/>
        <s v="Chair - 726"/>
        <s v="Tennis Racket - 812"/>
        <s v="Chair - 576"/>
        <s v="Mobile - 337"/>
        <s v="Yoga Mat - 121"/>
        <s v="Jacket - 648"/>
        <s v="Chair - 977"/>
        <s v="Earphones - 801"/>
        <s v="Football - 645"/>
        <s v="Tennis Racket - 235"/>
        <s v="Bookshelf - 766"/>
        <s v="Chair - 949"/>
        <s v="Bookshelf - 805"/>
        <s v="Football - 212"/>
        <s v="Tablet - 156"/>
        <s v="Earphones - 693"/>
        <s v="Laptop - 431"/>
        <s v="Chair - 329"/>
        <s v="Cricket Bat - 167"/>
        <s v="Jacket - 732"/>
        <s v="Laptop - 900"/>
        <s v="Yoga Mat - 664"/>
        <s v="Chair - 543"/>
        <s v="Tennis Racket - 938"/>
        <s v="Yoga Mat - 292"/>
        <s v="Bookshelf - 307"/>
        <s v="Yoga Mat - 607"/>
        <s v="Jeans - 189"/>
        <s v="Tablet - 644"/>
        <s v="Tennis Racket - 285"/>
        <s v="Jacket - 361"/>
        <s v="Earphones - 634"/>
        <s v="Jeans - 185"/>
        <s v="Sofa - 565"/>
        <s v="Jacket - 512"/>
        <s v="Sofa - 786"/>
        <s v="Bookshelf - 961"/>
        <s v="Jeans - 937"/>
        <s v="Chair - 735"/>
        <s v="Cricket Bat - 974"/>
        <s v="Dress - 600"/>
        <s v="Tablet - 707"/>
        <s v="Tennis Racket - 889"/>
        <s v="Table - 909"/>
        <s v="Dress - 423"/>
        <s v="Tablet - 924"/>
        <s v="Sofa - 634"/>
        <s v="Tablet - 973"/>
        <s v="Cricket Bat - 520"/>
        <s v="Chair - 111"/>
        <s v="Tennis Racket - 627"/>
        <s v="Tennis Racket - 392"/>
        <s v="Bookshelf - 506"/>
        <s v="Cricket Bat - 526"/>
        <s v="Mobile - 812"/>
        <s v="Yoga Mat - 136"/>
        <s v="Tablet - 970"/>
        <s v="Chair - 414"/>
        <s v="Jeans - 831"/>
        <s v="Tennis Racket - 838"/>
        <s v="Football - 122"/>
        <s v="Football - 800"/>
        <s v="Sofa - 394"/>
        <s v="Jeans - 249"/>
        <s v="T-Shirt - 914"/>
        <s v="Tennis Racket - 280"/>
        <s v="Football - 882"/>
        <s v="Jeans - 956"/>
        <s v="Cricket Bat - 886"/>
        <s v="Yoga Mat - 886"/>
        <s v="Tennis Racket - 909"/>
        <s v="Chair - 246"/>
        <s v="Sofa - 878"/>
        <s v="Laptop - 567"/>
        <s v="Earphones - 740"/>
        <s v="Chair - 743"/>
        <s v="Earphones - 943"/>
        <s v="Chair - 540"/>
        <s v="Dress - 700"/>
        <s v="Bookshelf - 793"/>
        <s v="Football - 253"/>
        <s v="Chair - 276"/>
        <s v="Earphones - 474"/>
        <s v="Cricket Bat - 386"/>
        <s v="Tennis Racket - 419"/>
        <s v="Yoga Mat - 419"/>
        <s v="Laptop - 226"/>
        <s v="Football - 734"/>
        <s v="Tennis Racket - 765"/>
        <s v="Tennis Racket - 840"/>
        <s v="Laptop - 491"/>
        <s v="Cricket Bat - 809"/>
        <s v="Earphones - 314"/>
        <s v="Sofa - 486"/>
        <s v="Sofa - 514"/>
        <s v="Table - 704"/>
        <s v="Football - 377"/>
        <s v="Tennis Racket - 667"/>
        <s v="Cricket Bat - 910"/>
        <s v="Yoga Mat - 254"/>
        <s v="Sofa - 427"/>
        <s v="Laptop - 769"/>
        <s v="Football - 193"/>
        <s v="Tablet - 576"/>
        <s v="Table - 322"/>
        <s v="Yoga Mat - 141"/>
        <s v="Tennis Racket - 122"/>
        <s v="Yoga Mat - 907"/>
        <s v="Chair - 556"/>
        <s v="Bookshelf - 617"/>
        <s v="Bookshelf - 478"/>
        <s v="Mobile - 839"/>
        <s v="Laptop - 287"/>
        <s v="Earphones - 369"/>
        <s v="Cricket Bat - 203"/>
        <s v="Cricket Bat - 763"/>
        <s v="Dress - 720"/>
        <s v="Cricket Bat - 231"/>
        <s v="Tennis Racket - 554"/>
        <s v="Mobile - 647"/>
        <s v="Tennis Racket - 380"/>
        <s v="Table - 264"/>
        <s v="Laptop - 207"/>
        <s v="Laptop - 637"/>
        <s v="Bookshelf - 799"/>
        <s v="Football - 774"/>
        <s v="Football - 951"/>
        <s v="Football - 380"/>
        <s v="Chair - 268"/>
        <s v="Laptop - 909"/>
        <s v="Mobile - 352"/>
        <s v="Bookshelf - 151"/>
        <s v="Jeans - 701"/>
        <s v="Yoga Mat - 515"/>
        <s v="Cricket Bat - 797"/>
        <s v="Table - 669"/>
        <s v="Sofa - 161"/>
        <s v="Sofa - 420"/>
        <s v="Tablet - 836"/>
        <s v="Cricket Bat - 110"/>
        <s v="Table - 462"/>
        <s v="Cricket Bat - 778"/>
        <s v="Yoga Mat - 848"/>
        <s v="Tennis Racket - 455"/>
        <s v="Laptop - 661"/>
        <s v="Laptop - 291"/>
        <s v="Table - 155"/>
        <s v="Tablet - 702"/>
        <s v="Tennis Racket - 621"/>
        <s v="Mobile - 685"/>
        <s v="Yoga Mat - 475"/>
        <s v="Football - 297"/>
        <s v="Mobile - 897"/>
        <s v="Sofa - 765"/>
        <s v="Earphones - 631"/>
        <s v="Football - 439"/>
        <s v="Chair - 504"/>
        <s v="Table - 248"/>
        <s v="Mobile - 743"/>
        <s v="Cricket Bat - 324"/>
        <s v="Earphones - 213"/>
        <s v="Football - 514"/>
        <s v="Football - 422"/>
        <s v="Football - 471"/>
        <s v="Bookshelf - 989"/>
        <s v="Cricket Bat - 424"/>
        <s v="Bookshelf - 275"/>
        <s v="Mobile - 734"/>
        <s v="Sofa - 801"/>
        <s v="Tennis Racket - 416"/>
        <s v="Yoga Mat - 224"/>
        <s v="Football - 855"/>
        <s v="Tablet - 782"/>
        <s v="Tennis Racket - 323"/>
        <s v="Football - 683"/>
        <s v="Chair - 312"/>
        <s v="Tablet - 764"/>
        <s v="Bookshelf - 948"/>
        <s v="Earphones - 816"/>
        <s v="Cricket Bat - 504"/>
        <s v="Tablet - 503"/>
        <s v="Chair - 732"/>
        <s v="Laptop - 703"/>
        <s v="Yoga Mat - 545"/>
        <s v="Sofa - 799"/>
        <s v="Mobile - 786"/>
        <s v="Table - 980"/>
        <s v="Football - 251"/>
        <s v="Earphones - 365"/>
        <s v="Earphones - 979"/>
        <s v="Mobile - 929"/>
        <s v="Bookshelf - 339"/>
        <s v="Tennis Racket - 643"/>
        <s v="Cricket Bat - 537"/>
        <s v="Football - 165"/>
        <s v="Chair - 992"/>
        <s v="Earphones - 334"/>
        <s v="Laptop - 455"/>
        <s v="Cricket Bat - 603"/>
        <s v="Table - 484"/>
        <s v="Table - 937"/>
        <s v="Table - 969"/>
        <s v="Tennis Racket - 870"/>
        <s v="Earphones - 179"/>
        <s v="Tennis Racket - 805"/>
        <s v="Earphones - 237"/>
        <s v="Football - 152"/>
        <s v="Yoga Mat - 291"/>
        <s v="Chair - 843"/>
        <s v="Mobile - 948"/>
        <s v="Football - 369"/>
        <s v="Football - 952"/>
        <s v="Mobile - 261"/>
        <s v="Chair - 552"/>
        <s v="Laptop - 374"/>
        <s v="Cricket Bat - 214"/>
        <s v="Tablet - 937"/>
        <s v="Football - 443"/>
        <s v="Earphones - 603"/>
        <s v="Cricket Bat - 229"/>
        <s v="Laptop - 688"/>
        <s v="Sofa - 546"/>
        <s v="Yoga Mat - 879"/>
        <s v="Chair - 515"/>
        <s v="Sofa - 842"/>
        <s v="Table - 544"/>
        <s v="Yoga Mat - 649"/>
        <s v="Sofa - 422"/>
        <s v="Mobile - 312"/>
        <s v="Mobile - 639"/>
        <s v="Laptop - 155"/>
        <s v="Sofa - 542"/>
        <s v="Earphones - 557"/>
        <s v="Yoga Mat - 650"/>
        <s v="Earphones - 178"/>
        <s v="Earphones - 775"/>
        <s v="Tablet - 963"/>
        <s v="Yoga Mat - 697"/>
        <s v="Mobile - 143"/>
        <s v="Laptop - 388"/>
        <s v="Tablet - 407"/>
        <s v="Laptop - 989"/>
        <s v="Tablet - 579"/>
        <s v="Yoga Mat - 895"/>
        <s v="Laptop - 923"/>
        <s v="Earphones - 859"/>
        <s v="Laptop - 768"/>
        <s v="Tablet - 877"/>
        <s v="Cricket Bat - 329"/>
        <s v="Laptop - 247"/>
        <s v="Tablet - 652"/>
        <s v="Sofa - 740"/>
        <s v="Tablet - 916"/>
        <s v="Laptop - 279"/>
        <s v="Earphones - 767"/>
        <s v="Mobile - 325"/>
        <s v="Tablet - 401"/>
        <s v="Bookshelf - 979"/>
        <s v="Laptop - 530"/>
        <s v="Mobile - 243"/>
        <s v="Chair - 796"/>
        <s v="Laptop - 626"/>
        <s v="Tablet - 720"/>
        <s v="Laptop - 559"/>
        <s v="Earphones - 788"/>
        <s v="Earphones - 433"/>
        <s v="Laptop - 130"/>
        <s v="Mobile - 142"/>
        <s v="Laptop - 957"/>
        <s v="Mobile - 619"/>
        <s v="Laptop - 654"/>
        <s v="Laptop - 716"/>
        <s v="Earphones - 405"/>
        <s v="Laptop - 182"/>
        <s v="Mobile - 222"/>
        <s v="Mobile - 973"/>
        <s v="Earphones - 596"/>
        <s v="Earphones - 856"/>
        <s v="Tablet - 752"/>
        <s v="Earphones - 989"/>
        <s v="Mobile - 495"/>
        <s v="Laptop - 799"/>
        <s v="Mobile - 439"/>
        <s v="Tablet - 595"/>
        <s v="Laptop - 178"/>
        <s v="Laptop - 787"/>
        <s v="Earphones - 904"/>
        <s v="Tablet - 481"/>
        <s v="Mobile - 215"/>
        <s v="Earphones - 187"/>
        <s v="Laptop - 415"/>
        <s v="Tablet - 626"/>
        <s v="Tablet - 684"/>
        <s v="Tablet - 969"/>
        <s v="Tablet - 602"/>
        <s v="Laptop - 283"/>
        <s v="Laptop - 948"/>
        <s v="Laptop - 495"/>
        <s v="Mobile - 119"/>
        <s v="Tablet - 566"/>
        <s v="Earphones - 755"/>
        <s v="Tablet - 106"/>
        <s v="Laptop - 315"/>
        <s v="Mobile - 543"/>
        <s v="Laptop - 553"/>
        <s v="Earphones - 414"/>
        <s v="Mobile - 190"/>
        <s v="Laptop - 772"/>
        <s v="Tablet - 263"/>
        <s v="Earphones - 468"/>
        <s v="Mobile - 588"/>
        <s v="Laptop - 746"/>
        <s v="Mobile - 980"/>
        <s v="Laptop - 384"/>
        <s v="Laptop - 901"/>
        <s v="Earphones - 966"/>
        <s v="Tablet - 155"/>
        <s v="Mobile - 783"/>
        <s v="Mobile - 432"/>
        <s v="Laptop - 836"/>
        <s v="Mobile - 805"/>
        <s v="Laptop - 237"/>
        <s v="Laptop - 133"/>
        <s v="Laptop - 331"/>
        <s v="Mobile - 389"/>
        <s v="Mobile - 320"/>
        <s v="Earphones - 892"/>
        <s v="Tablet - 386"/>
        <s v="Tablet - 217"/>
        <s v="Mobile - 746"/>
        <s v="Earphones - 997"/>
        <s v="Earphones - 514"/>
        <s v="Laptop - 724"/>
        <s v="Tablet - 584"/>
        <s v="Earphones - 849"/>
        <s v="Earphones - 181"/>
        <s v="Tablet - 556"/>
        <s v="Tablet - 521"/>
        <s v="Mobile - 660"/>
        <s v="Mobile - 519"/>
        <s v="Mobile - 335"/>
        <s v="Laptop - 328"/>
      </sharedItems>
    </cacheField>
    <cacheField name="Quantity" numFmtId="0">
      <sharedItems containsSemiMixedTypes="0" containsString="0" containsNumber="1" containsInteger="1" minValue="1" maxValue="9"/>
    </cacheField>
    <cacheField name="Unit_Price" numFmtId="0">
      <sharedItems containsSemiMixedTypes="0" containsString="0" containsNumber="1" containsInteger="1" minValue="201" maxValue="79350"/>
    </cacheField>
    <cacheField name="Discount" numFmtId="0">
      <sharedItems containsSemiMixedTypes="0" containsString="0" containsNumber="1" minValue="0" maxValue="0.25"/>
    </cacheField>
    <cacheField name="Discounted_Price" numFmtId="0">
      <sharedItems containsSemiMixedTypes="0" containsString="0" containsNumber="1" minValue="186.14" maxValue="76081.919999999998"/>
    </cacheField>
    <cacheField name="Sales" numFmtId="0">
      <sharedItems containsSemiMixedTypes="0" containsString="0" containsNumber="1" minValue="282.82" maxValue="610802.64" count="998">
        <n v="282.82"/>
        <n v="334.08"/>
        <n v="418.56"/>
        <n v="465.93"/>
        <n v="473.76"/>
        <n v="477.25"/>
        <n v="513.36"/>
        <n v="822.96"/>
        <n v="540.38"/>
        <n v="550.91"/>
        <n v="573.53"/>
        <n v="598.5"/>
        <n v="607.86"/>
        <n v="986.24"/>
        <n v="620.16"/>
        <n v="647.9"/>
        <n v="648.76"/>
        <n v="712.53"/>
        <n v="720.72"/>
        <n v="756.96"/>
        <n v="760.76"/>
        <n v="769.08"/>
        <n v="769.23"/>
        <n v="783.2"/>
        <n v="807.52"/>
        <n v="834.6"/>
        <n v="835.2"/>
        <n v="850.84"/>
        <n v="856.56"/>
        <n v="897"/>
        <n v="904.68"/>
        <n v="1887.6"/>
        <n v="1089"/>
        <n v="998.8"/>
        <n v="1020.24"/>
        <n v="1173.06"/>
        <n v="1026.72"/>
        <n v="1028.28"/>
        <n v="1236.56"/>
        <n v="1093.3599999999999"/>
        <n v="1109.79"/>
        <n v="1137.3"/>
        <n v="1145.4000000000001"/>
        <n v="1898.37"/>
        <n v="1201.2"/>
        <n v="1380"/>
        <n v="1224"/>
        <n v="1404"/>
        <n v="1410.3"/>
        <n v="1443.75"/>
        <n v="1264.45"/>
        <n v="1285.2"/>
        <n v="1307"/>
        <n v="1338.6"/>
        <n v="1345.5"/>
        <n v="1349.53"/>
        <n v="1351.98"/>
        <n v="1363.32"/>
        <n v="1383.2"/>
        <n v="1386.88"/>
        <n v="2274"/>
        <n v="1635.48"/>
        <n v="1467.84"/>
        <n v="1489.12"/>
        <n v="1726.6"/>
        <n v="1776.52"/>
        <n v="1575.84"/>
        <n v="1590.84"/>
        <n v="1634.36"/>
        <n v="2630.64"/>
        <n v="1893.06"/>
        <n v="1659.68"/>
        <n v="1917.16"/>
        <n v="1686.56"/>
        <n v="1707.16"/>
        <n v="1714.75"/>
        <n v="1719.12"/>
        <n v="1737.36"/>
        <n v="2801.7"/>
        <n v="1755.6"/>
        <n v="1784.16"/>
        <n v="2044.8"/>
        <n v="1796.96"/>
        <n v="1813.5"/>
        <n v="2144.85"/>
        <n v="1902.56"/>
        <n v="1942.2"/>
        <n v="1944.36"/>
        <n v="1969.11"/>
        <n v="2053.52"/>
        <n v="2354.2199999999998"/>
        <n v="3317.4"/>
        <n v="4154.04"/>
        <n v="4220.28"/>
        <n v="2127.96"/>
        <n v="4266.2700000000004"/>
        <n v="4277.9399999999996"/>
        <n v="2148.3000000000002"/>
        <n v="2156.2199999999998"/>
        <n v="2158.2399999999998"/>
        <n v="2184.84"/>
        <n v="2500.96"/>
        <n v="2188.6799999999998"/>
        <n v="2223.7199999999998"/>
        <n v="2552.48"/>
        <n v="2567.1"/>
        <n v="3612.24"/>
        <n v="2270.88"/>
        <n v="2277.7199999999998"/>
        <n v="2284.1999999999998"/>
        <n v="2612.25"/>
        <n v="2300.48"/>
        <n v="2313.6"/>
        <n v="3758.48"/>
        <n v="2352.96"/>
        <n v="2353.4"/>
        <n v="2404.98"/>
        <n v="4826.3999999999996"/>
        <n v="2421.44"/>
        <n v="2785"/>
        <n v="2438.1"/>
        <n v="2439.6"/>
        <n v="4924.3599999999997"/>
        <n v="3989"/>
        <n v="2872.32"/>
        <n v="5032.17"/>
        <n v="2516.1999999999998"/>
        <n v="2519.4"/>
        <n v="2896.74"/>
        <n v="4110.12"/>
        <n v="2570.4"/>
        <n v="2953.28"/>
        <n v="2586.85"/>
        <n v="2596.56"/>
        <n v="4164.0200000000004"/>
        <n v="2609.64"/>
        <n v="3000.48"/>
        <n v="2652.65"/>
        <n v="3046.12"/>
        <n v="2669.6"/>
        <n v="3082.05"/>
        <n v="2710.8"/>
        <n v="3104.92"/>
        <n v="2718.72"/>
        <n v="3128"/>
        <n v="3188.87"/>
        <n v="2793"/>
        <n v="5650.8"/>
        <n v="2841.3"/>
        <n v="2841.6"/>
        <n v="2844"/>
        <n v="2871"/>
        <n v="2924"/>
        <n v="3392.46"/>
        <n v="3402"/>
        <n v="3484.69"/>
        <n v="3054.4"/>
        <n v="4911.1099999999997"/>
        <n v="4984.8900000000003"/>
        <n v="3564.45"/>
        <n v="3611.28"/>
        <n v="5057.28"/>
        <n v="5118.3"/>
        <n v="3677.4"/>
        <n v="3222"/>
        <n v="3691.2"/>
        <n v="3261.92"/>
        <n v="3267"/>
        <n v="6609.72"/>
        <n v="3306.24"/>
        <n v="3319.25"/>
        <n v="3803.28"/>
        <n v="5326.8"/>
        <n v="3351.6"/>
        <n v="5369.36"/>
        <n v="3842.72"/>
        <n v="3376.1"/>
        <n v="5434.84"/>
        <n v="3888"/>
        <n v="3456.18"/>
        <n v="3972.44"/>
        <n v="3557.25"/>
        <n v="4078.62"/>
        <n v="3570.48"/>
        <n v="4092.73"/>
        <n v="5760.45"/>
        <n v="4201.47"/>
        <n v="3700.36"/>
        <n v="4257.33"/>
        <n v="3735.2"/>
        <n v="7474.15"/>
        <n v="4282.6000000000004"/>
        <n v="4379.76"/>
        <n v="10241.950000000001"/>
        <n v="4408.95"/>
        <n v="4418.82"/>
        <n v="6228.12"/>
        <n v="3894.42"/>
        <n v="3896.1"/>
        <n v="3897.6"/>
        <n v="4455.6000000000004"/>
        <n v="10421.120000000001"/>
        <n v="3925.74"/>
        <n v="3944.16"/>
        <n v="3956.46"/>
        <n v="4542.8"/>
        <n v="4543.4799999999996"/>
        <n v="3976.56"/>
        <n v="4561.83"/>
        <n v="4032"/>
        <n v="4057.68"/>
        <n v="6557.44"/>
        <n v="4102.5600000000004"/>
        <n v="4123"/>
        <n v="6644"/>
        <n v="6677.55"/>
        <n v="4790.3999999999996"/>
        <n v="4223.7"/>
        <n v="4828.16"/>
        <n v="6852.6"/>
        <n v="8607.2999999999993"/>
        <n v="4314.72"/>
        <n v="4940.32"/>
        <n v="8704"/>
        <n v="7002.52"/>
        <n v="4384.4399999999996"/>
        <n v="8779.32"/>
        <n v="4393.32"/>
        <n v="5034.3999999999996"/>
        <n v="4419"/>
        <n v="4425.6000000000004"/>
        <n v="8984.0400000000009"/>
        <n v="7280"/>
        <n v="5208.16"/>
        <n v="9161.0400000000009"/>
        <n v="9192.2000000000007"/>
        <n v="5366.9"/>
        <n v="4719.68"/>
        <n v="5396.16"/>
        <n v="4724.4399999999996"/>
        <n v="9465.66"/>
        <n v="4734.8"/>
        <n v="5425.68"/>
        <n v="4754.24"/>
        <n v="4777.08"/>
        <n v="5468.2"/>
        <n v="5493.12"/>
        <n v="4819.8"/>
        <n v="4829.76"/>
        <n v="4830.75"/>
        <n v="9701.74"/>
        <n v="5565.15"/>
        <n v="5583.6"/>
        <n v="5593.2"/>
        <n v="5621.15"/>
        <n v="7912.39"/>
        <n v="4973.5"/>
        <n v="4993.1000000000004"/>
        <n v="8027.76"/>
        <n v="10065.44"/>
        <n v="5046.3999999999996"/>
        <n v="5075.84"/>
        <n v="5808.78"/>
        <n v="8156.7"/>
        <n v="5829.12"/>
        <n v="5127.7"/>
        <n v="5913.96"/>
        <n v="5928"/>
        <n v="5194.32"/>
        <n v="5949.44"/>
        <n v="8331.1200000000008"/>
        <n v="5990.94"/>
        <n v="5339.88"/>
        <n v="10746.75"/>
        <n v="5414.4"/>
        <n v="5429.25"/>
        <n v="8694"/>
        <n v="8697.7800000000007"/>
        <n v="6255.15"/>
        <n v="14716.52"/>
        <n v="8844.0499999999993"/>
        <n v="6317.2"/>
        <n v="5531.76"/>
        <n v="5540.4"/>
        <n v="6357.15"/>
        <n v="5578.65"/>
        <n v="5620.5"/>
        <n v="6467.2"/>
        <n v="11317.6"/>
        <n v="5664.3"/>
        <n v="6489.54"/>
        <n v="5685.96"/>
        <n v="6565.12"/>
        <n v="5751.9"/>
        <n v="11529.7"/>
        <n v="5768.82"/>
        <n v="9232.44"/>
        <n v="11556.16"/>
        <n v="6634.95"/>
        <n v="6648"/>
        <n v="5900.4"/>
        <n v="9473.4"/>
        <n v="9473.76"/>
        <n v="5946.45"/>
        <n v="5952.38"/>
        <n v="9628.2000000000007"/>
        <n v="9664.92"/>
        <n v="6044.22"/>
        <n v="6059.52"/>
        <n v="7084.8"/>
        <n v="6220.8"/>
        <n v="9992.6"/>
        <n v="10022.61"/>
        <n v="6308.19"/>
        <n v="12693"/>
        <n v="7256.34"/>
        <n v="6356.34"/>
        <n v="7304.56"/>
        <n v="7309.44"/>
        <n v="6406.68"/>
        <n v="7332.48"/>
        <n v="7358.12"/>
        <n v="7361.28"/>
        <n v="6456.24"/>
        <n v="6470.1"/>
        <n v="7399.25"/>
        <n v="6504"/>
        <n v="7489.74"/>
        <n v="7495.62"/>
        <n v="13121.16"/>
        <n v="7534.08"/>
        <n v="7565.04"/>
        <n v="6704.73"/>
        <n v="13491.62"/>
        <n v="10919.16"/>
        <n v="13724.8"/>
        <n v="6921.6"/>
        <n v="11096.34"/>
        <n v="11247.36"/>
        <n v="14178.96"/>
        <n v="14216.25"/>
        <n v="7119"/>
        <n v="8148.06"/>
        <n v="11430.08"/>
        <n v="8213.76"/>
        <n v="8238.7999999999993"/>
        <n v="11594.03"/>
        <n v="8309.6"/>
        <n v="8334.24"/>
        <n v="8347.2000000000007"/>
        <n v="11697.6"/>
        <n v="8392.02"/>
        <n v="14701.5"/>
        <n v="11778.48"/>
        <n v="8415"/>
        <n v="14784"/>
        <n v="14818.44"/>
        <n v="11965.8"/>
        <n v="14979.2"/>
        <n v="7533"/>
        <n v="8636"/>
        <n v="7590.24"/>
        <n v="7610.05"/>
        <n v="15274.49"/>
        <n v="20388.900000000001"/>
        <n v="8745.6"/>
        <n v="8782.6200000000008"/>
        <n v="15371.72"/>
        <n v="12345.84"/>
        <n v="7747.53"/>
        <n v="7767.36"/>
        <n v="8885.7000000000007"/>
        <n v="20789.04"/>
        <n v="8918"/>
        <n v="8920.7999999999993"/>
        <n v="12496.68"/>
        <n v="7817.04"/>
        <n v="7835.1"/>
        <n v="7855.76"/>
        <n v="12729.6"/>
        <n v="8050.08"/>
        <n v="12923.82"/>
        <n v="8122.24"/>
        <n v="13022.24"/>
        <n v="13024.8"/>
        <n v="16295.39"/>
        <n v="13046.67"/>
        <n v="16427.32"/>
        <n v="9393.42"/>
        <n v="9411.2800000000007"/>
        <n v="13186.68"/>
        <n v="13300.8"/>
        <n v="16786.650000000001"/>
        <n v="8408.4"/>
        <n v="8418.24"/>
        <n v="9642.36"/>
        <n v="9750.84"/>
        <n v="17103.04"/>
        <n v="8636.56"/>
        <n v="8680.32"/>
        <n v="13944"/>
        <n v="9999.9"/>
        <n v="17502.68"/>
        <n v="10088.65"/>
        <n v="23623.759999999998"/>
        <n v="10245.18"/>
        <n v="10252.32"/>
        <n v="18014.28"/>
        <n v="14417.7"/>
        <n v="14468.9"/>
        <n v="18136.45"/>
        <n v="14584.4"/>
        <n v="24338.83"/>
        <n v="9129.2800000000007"/>
        <n v="18295.62"/>
        <n v="18328"/>
        <n v="9192.9599999999991"/>
        <n v="10536"/>
        <n v="9277.68"/>
        <n v="9298.44"/>
        <n v="14893.12"/>
        <n v="18616.5"/>
        <n v="14899.2"/>
        <n v="10652.16"/>
        <n v="10776.12"/>
        <n v="9652"/>
        <n v="9688.14"/>
        <n v="15745.6"/>
        <n v="19713.5"/>
        <n v="19822.080000000002"/>
        <n v="11414.13"/>
        <n v="11530.88"/>
        <n v="20220.2"/>
        <n v="10116.9"/>
        <n v="10192.799999999999"/>
        <n v="16330.16"/>
        <n v="10282.799999999999"/>
        <n v="11811.6"/>
        <n v="10379.700000000001"/>
        <n v="16621.2"/>
        <n v="20833.12"/>
        <n v="11987.36"/>
        <n v="10509.12"/>
        <n v="28080.36"/>
        <n v="12088"/>
        <n v="21213.279999999999"/>
        <n v="21349.439999999999"/>
        <n v="28527.06"/>
        <n v="21456.240000000002"/>
        <n v="10735.2"/>
        <n v="12476.88"/>
        <n v="12659.92"/>
        <n v="22185.9"/>
        <n v="11105.64"/>
        <n v="12798"/>
        <n v="30143.86"/>
        <n v="22633.919999999998"/>
        <n v="30280.23"/>
        <n v="13050.96"/>
        <n v="13093.68"/>
        <n v="13098.6"/>
        <n v="22992.799999999999"/>
        <n v="18704.16"/>
        <n v="23384.400000000001"/>
        <n v="31300.41"/>
        <n v="23598.16"/>
        <n v="11834.55"/>
        <n v="23713.64"/>
        <n v="31682.7"/>
        <n v="23787.54"/>
        <n v="19095.09"/>
        <n v="11956.32"/>
        <n v="32076.720000000001"/>
        <n v="13785.84"/>
        <n v="14006.3"/>
        <n v="32710.26"/>
        <n v="24600.959999999999"/>
        <n v="19725.099999999999"/>
        <n v="19757.7"/>
        <n v="24727.5"/>
        <n v="14211.84"/>
        <n v="14613.12"/>
        <n v="25666.2"/>
        <n v="25742.15"/>
        <n v="25790.7"/>
        <n v="14759.2"/>
        <n v="20822.400000000001"/>
        <n v="20928.099999999999"/>
        <n v="14956.2"/>
        <n v="35077.800000000003"/>
        <n v="15040.8"/>
        <n v="35117.699999999997"/>
        <n v="21072.04"/>
        <n v="26364"/>
        <n v="21307.65"/>
        <n v="21313.8"/>
        <n v="35802.839999999997"/>
        <n v="26919.200000000001"/>
        <n v="26924.799999999999"/>
        <n v="15411.24"/>
        <n v="36057.97"/>
        <n v="21834"/>
        <n v="27345.599999999999"/>
        <n v="27445.88"/>
        <n v="27547.200000000001"/>
        <n v="22046.58"/>
        <n v="27612.32"/>
        <n v="15780.6"/>
        <n v="27641.46"/>
        <n v="15810.27"/>
        <n v="27677.65"/>
        <n v="22222.2"/>
        <n v="27976.959999999999"/>
        <n v="22514.240000000002"/>
        <n v="28246.68"/>
        <n v="28332.639999999999"/>
        <n v="37784.67"/>
        <n v="16256.24"/>
        <n v="28882.28"/>
        <n v="28955.34"/>
        <n v="16575.599999999999"/>
        <n v="29165.5"/>
        <n v="16686"/>
        <n v="29266.720000000001"/>
        <n v="16758.599999999999"/>
        <n v="29340"/>
        <n v="23616"/>
        <n v="23762.7"/>
        <n v="29723.759999999998"/>
        <n v="17099.25"/>
        <n v="17273.849999999999"/>
        <n v="17273.88"/>
        <n v="17311.32"/>
        <n v="30518.28"/>
        <n v="24768.9"/>
        <n v="41454"/>
        <n v="31180.95"/>
        <n v="24983"/>
        <n v="41702.699999999997"/>
        <n v="17875.2"/>
        <n v="25097.759999999998"/>
        <n v="25279"/>
        <n v="18081.36"/>
        <n v="25350.78"/>
        <n v="18132.21"/>
        <n v="31782.16"/>
        <n v="31816.32"/>
        <n v="31850.98"/>
        <n v="25542"/>
        <n v="32116.7"/>
        <n v="42831.5"/>
        <n v="18528.02"/>
        <n v="32503.24"/>
        <n v="26003.4"/>
        <n v="33087.120000000003"/>
        <n v="33123.760000000002"/>
        <n v="26518.95"/>
        <n v="19153.62"/>
        <n v="26825.119999999999"/>
        <n v="26856.639999999999"/>
        <n v="33572.639999999999"/>
        <n v="33931.300000000003"/>
        <n v="19499.759999999998"/>
        <n v="19623.419999999998"/>
        <n v="27560.799999999999"/>
        <n v="27805.14"/>
        <n v="46514.16"/>
        <n v="27960.240000000002"/>
        <n v="35067.78"/>
        <n v="20218"/>
        <n v="47533.919999999998"/>
        <n v="20412"/>
        <n v="20413.900000000001"/>
        <n v="20519.599999999999"/>
        <n v="28809"/>
        <n v="36299.9"/>
        <n v="29240.639999999999"/>
        <n v="20964.23"/>
        <n v="29414.48"/>
        <n v="36859.47"/>
        <n v="29508.87"/>
        <n v="21108.639999999999"/>
        <n v="37043.64"/>
        <n v="21364.2"/>
        <n v="21542.22"/>
        <n v="50301.9"/>
        <n v="50482.32"/>
        <n v="30311.82"/>
        <n v="37932.480000000003"/>
        <n v="50743.42"/>
        <n v="38194.74"/>
        <n v="38199"/>
        <n v="38206.559999999998"/>
        <n v="51408"/>
        <n v="30884"/>
        <n v="22123.200000000001"/>
        <n v="51934.77"/>
        <n v="51966.36"/>
        <n v="31207.68"/>
        <n v="22305.15"/>
        <n v="39070.080000000002"/>
        <n v="39144.870000000003"/>
        <n v="39255.480000000003"/>
        <n v="52546.62"/>
        <n v="39493.300000000003"/>
        <n v="52787.519999999997"/>
        <n v="31772.400000000001"/>
        <n v="39828.32"/>
        <n v="22820.959999999999"/>
        <n v="53660.639999999999"/>
        <n v="40313.699999999997"/>
        <n v="53786.400000000001"/>
        <n v="23134.32"/>
        <n v="32579.759999999998"/>
        <n v="32760"/>
        <n v="54649.919999999998"/>
        <n v="41139.360000000001"/>
        <n v="41527.599999999999"/>
        <n v="55402.5"/>
        <n v="23924.6"/>
        <n v="42473.2"/>
        <n v="42527.97"/>
        <n v="24353.279999999999"/>
        <n v="34583.760000000002"/>
        <n v="24708.240000000002"/>
        <n v="34824.720000000001"/>
        <n v="34978.400000000001"/>
        <n v="25058.52"/>
        <n v="44170.559999999998"/>
        <n v="59114.26"/>
        <n v="25354.560000000001"/>
        <n v="59207.34"/>
        <n v="59874.54"/>
        <n v="36035.85"/>
        <n v="60156"/>
        <n v="25798.5"/>
        <n v="36313.800000000003"/>
        <n v="45873.36"/>
        <n v="26359.65"/>
        <n v="46475.519999999997"/>
        <n v="37444.68"/>
        <n v="46892"/>
        <n v="63196.23"/>
        <n v="38133.72"/>
        <n v="27245.68"/>
        <n v="47757.36"/>
        <n v="63971.1"/>
        <n v="38402.639999999999"/>
        <n v="38411.1"/>
        <n v="48293.279999999999"/>
        <n v="48957.88"/>
        <n v="48987.75"/>
        <n v="39234"/>
        <n v="66062.19"/>
        <n v="28329.75"/>
        <n v="66126"/>
        <n v="66140.88"/>
        <n v="49622.3"/>
        <n v="39909.199999999997"/>
        <n v="28522.880000000001"/>
        <n v="66667.199999999997"/>
        <n v="40087.760000000002"/>
        <n v="50225.58"/>
        <n v="40246.75"/>
        <n v="28808.01"/>
        <n v="40354.080000000002"/>
        <n v="50665.919999999998"/>
        <n v="40609.379999999997"/>
        <n v="29442.400000000001"/>
        <n v="68777.42"/>
        <n v="41375.699999999997"/>
        <n v="29580.32"/>
        <n v="69036.149999999994"/>
        <n v="29736.9"/>
        <n v="52193.7"/>
        <n v="29849.360000000001"/>
        <n v="52378.3"/>
        <n v="52559.76"/>
        <n v="52591.44"/>
        <n v="30114.36"/>
        <n v="52972.92"/>
        <n v="42391.4"/>
        <n v="30380.400000000001"/>
        <n v="71026.759999999995"/>
        <n v="42714.2"/>
        <n v="53510.400000000001"/>
        <n v="30624"/>
        <n v="71496"/>
        <n v="53871.7"/>
        <n v="72230.399999999994"/>
        <n v="43732.800000000003"/>
        <n v="55000.32"/>
        <n v="44064"/>
        <n v="44196"/>
        <n v="55464.32"/>
        <n v="44566.65"/>
        <n v="74425.259999999995"/>
        <n v="44671.519999999997"/>
        <n v="74462.55"/>
        <n v="56001.599999999999"/>
        <n v="32094.720000000001"/>
        <n v="44969.2"/>
        <n v="44993.52"/>
        <n v="45137.04"/>
        <n v="56598"/>
        <n v="32733"/>
        <n v="32809.14"/>
        <n v="46089.120000000003"/>
        <n v="46509.54"/>
        <n v="33320"/>
        <n v="46688"/>
        <n v="46819.5"/>
        <n v="46972.800000000003"/>
        <n v="58771.44"/>
        <n v="59261.58"/>
        <n v="79779.839999999997"/>
        <n v="79829.820000000007"/>
        <n v="59895.99"/>
        <n v="80225.52"/>
        <n v="61683.199999999997"/>
        <n v="35549.730000000003"/>
        <n v="62344.800000000003"/>
        <n v="50147.91"/>
        <n v="62963.05"/>
        <n v="84081.12"/>
        <n v="50789.16"/>
        <n v="51328.800000000003"/>
        <n v="51370.06"/>
        <n v="86169.72"/>
        <n v="51707.7"/>
        <n v="52189.599999999999"/>
        <n v="52265.88"/>
        <n v="87134.32"/>
        <n v="52503.360000000001"/>
        <n v="87574"/>
        <n v="65701.14"/>
        <n v="65724.72"/>
        <n v="65818.98"/>
        <n v="52856.2"/>
        <n v="52934.400000000001"/>
        <n v="52964.73"/>
        <n v="52973.599999999999"/>
        <n v="52990.6"/>
        <n v="66757.5"/>
        <n v="66974.850000000006"/>
        <n v="89557.56"/>
        <n v="53849.95"/>
        <n v="90092"/>
        <n v="67617.55"/>
        <n v="54207.45"/>
        <n v="54393.1"/>
        <n v="54532.800000000003"/>
        <n v="68732.399999999994"/>
        <n v="68806.559999999998"/>
        <n v="68888"/>
        <n v="91998"/>
        <n v="92113.14"/>
        <n v="92639.25"/>
        <n v="55712"/>
        <n v="55849.5"/>
        <n v="40980.15"/>
        <n v="57602"/>
        <n v="57861"/>
        <n v="96482.85"/>
        <n v="57985.5"/>
        <n v="72586.8"/>
        <n v="72751.5"/>
        <n v="97079.94"/>
        <n v="97128.72"/>
        <n v="73085.399999999994"/>
        <n v="58470.09"/>
        <n v="58835"/>
        <n v="58847.58"/>
        <n v="73596.600000000006"/>
        <n v="98809.600000000006"/>
        <n v="98973.6"/>
        <n v="74539.64"/>
        <n v="42794.46"/>
        <n v="60544.26"/>
        <n v="60589.440000000002"/>
        <n v="61281.2"/>
        <n v="76697.460000000006"/>
        <n v="77292.800000000003"/>
        <n v="77545.679999999993"/>
        <n v="103605.48"/>
        <n v="62499.64"/>
        <n v="78583.5"/>
        <n v="62899.199999999997"/>
        <n v="63059.199999999997"/>
        <n v="63106.559999999998"/>
        <n v="105325.44"/>
        <n v="106819.72"/>
        <n v="80351"/>
        <n v="64832.74"/>
        <n v="108090.9"/>
        <n v="65621.25"/>
        <n v="109683.6"/>
        <n v="66111.679999999993"/>
        <n v="66193.2"/>
        <n v="111507"/>
        <n v="84861.36"/>
        <n v="113298"/>
        <n v="68052.399999999994"/>
        <n v="85867.199999999997"/>
        <n v="87024"/>
        <n v="116350.23"/>
        <n v="70000.56"/>
        <n v="116667.72"/>
        <n v="70093.17"/>
        <n v="70704.27"/>
        <n v="70737.66"/>
        <n v="88435.76"/>
        <n v="71261.19"/>
        <n v="89315.66"/>
        <n v="119107.8"/>
        <n v="89710.46"/>
        <n v="71782.48"/>
        <n v="89942.58"/>
        <n v="72403.199999999997"/>
        <n v="72799.3"/>
        <n v="121645.36"/>
        <n v="73105.759999999995"/>
        <n v="73140.34"/>
        <n v="91929.600000000006"/>
        <n v="122737.60000000001"/>
        <n v="92864.52"/>
        <n v="123995.52"/>
        <n v="75191.759999999995"/>
        <n v="125408.12"/>
        <n v="94770"/>
        <n v="126497.28"/>
        <n v="77005.25"/>
        <n v="96274.44"/>
        <n v="129559.92"/>
        <n v="100393.92"/>
        <n v="81459.839999999997"/>
        <n v="136054.38"/>
        <n v="136103.6"/>
        <n v="136131.48000000001"/>
        <n v="102407.76"/>
        <n v="82566"/>
        <n v="82618.48"/>
        <n v="83156.160000000003"/>
        <n v="104640.2"/>
        <n v="140280.79999999999"/>
        <n v="140343.21"/>
        <n v="84554.4"/>
        <n v="105893.82"/>
        <n v="106353"/>
        <n v="107516.78"/>
        <n v="86695.2"/>
        <n v="145657.4"/>
        <n v="87645.18"/>
        <n v="146090.79"/>
        <n v="88464.6"/>
        <n v="111455.19"/>
        <n v="89276.800000000003"/>
        <n v="111829.44"/>
        <n v="149648"/>
        <n v="89843.4"/>
        <n v="90081.919999999998"/>
        <n v="151676.25"/>
        <n v="91398.720000000001"/>
        <n v="115372.53"/>
        <n v="115397.64"/>
        <n v="154284.63"/>
        <n v="93129.600000000006"/>
        <n v="155350.79999999999"/>
        <n v="93275.55"/>
        <n v="155493"/>
        <n v="93570.4"/>
        <n v="156277.20000000001"/>
        <n v="117387.27"/>
        <n v="118463.76"/>
        <n v="94907.43"/>
        <n v="118755"/>
        <n v="119270.88"/>
        <n v="119582.39999999999"/>
        <n v="96101.55"/>
        <n v="121210.88"/>
        <n v="162291.92000000001"/>
        <n v="163637.44"/>
        <n v="164114.23999999999"/>
        <n v="123904"/>
        <n v="165626.37"/>
        <n v="102439.76"/>
        <n v="172152.12"/>
        <n v="172499.04"/>
        <n v="174595.41"/>
        <n v="105573.6"/>
        <n v="177976.8"/>
        <n v="179298.21"/>
        <n v="180748.26"/>
        <n v="184350.6"/>
        <n v="185151.42"/>
        <n v="111194.72"/>
        <n v="185935.24"/>
        <n v="186125.55"/>
        <n v="186286.74"/>
        <n v="186530.96"/>
        <n v="113552.55"/>
        <n v="190254.48"/>
        <n v="192714.23999999999"/>
        <n v="144569.70000000001"/>
        <n v="193818.23999999999"/>
        <n v="193955.55"/>
        <n v="194693"/>
        <n v="196914.06"/>
        <n v="198072"/>
        <n v="148581.72"/>
        <n v="198652.65"/>
        <n v="204680"/>
        <n v="153662.04"/>
        <n v="205020.36"/>
        <n v="205484.94"/>
        <n v="206041.23"/>
        <n v="209607.12"/>
        <n v="212462.56"/>
        <n v="214294.32"/>
        <n v="217873.2"/>
        <n v="218016.96"/>
        <n v="218065"/>
        <n v="218724.96"/>
        <n v="219829.68"/>
        <n v="229550.4"/>
        <n v="239606.64"/>
        <n v="241600.96"/>
        <n v="242344.2"/>
        <n v="242979.3"/>
        <n v="243395.46"/>
        <n v="245571.20000000001"/>
        <n v="248302.88"/>
        <n v="250656"/>
        <n v="252198.38"/>
        <n v="256530"/>
        <n v="259144.34"/>
        <n v="261519.44"/>
        <n v="269582.40000000002"/>
        <n v="273118.14"/>
        <n v="276325.02"/>
        <n v="277039.56"/>
        <n v="278658"/>
        <n v="279076.2"/>
        <n v="280108.79999999999"/>
        <n v="280736.40000000002"/>
        <n v="283452.46999999997"/>
        <n v="283860.47999999998"/>
        <n v="287627.7"/>
        <n v="294831.95"/>
        <n v="294889.98"/>
        <n v="295520"/>
        <n v="299506.40999999997"/>
        <n v="299756.15999999997"/>
        <n v="301251.96000000002"/>
        <n v="302831.09999999998"/>
        <n v="304327.67999999999"/>
        <n v="314779.68"/>
        <n v="319510.24"/>
        <n v="321577.28000000003"/>
        <n v="325347.75"/>
        <n v="330916.74"/>
        <n v="336528"/>
        <n v="339426"/>
        <n v="346443.66"/>
        <n v="348481.98"/>
        <n v="350135.8"/>
        <n v="361057.68"/>
        <n v="362795.16"/>
        <n v="362804.94"/>
        <n v="365830.08"/>
        <n v="378973"/>
        <n v="379949.64"/>
        <n v="381159.24"/>
        <n v="392240"/>
        <n v="395163"/>
        <n v="402034.68"/>
        <n v="410872.32000000001"/>
        <n v="414709.2"/>
        <n v="418665.24"/>
        <n v="423184.4"/>
        <n v="431400.83"/>
        <n v="431511.29"/>
        <n v="441624.96"/>
        <n v="445284"/>
        <n v="445922.4"/>
        <n v="458718.12"/>
        <n v="467450.72"/>
        <n v="476882.07"/>
        <n v="483130.17"/>
        <n v="489633.6"/>
        <n v="503228.15999999997"/>
        <n v="518577.36"/>
        <n v="524106.36"/>
        <n v="544771.80000000005"/>
        <n v="558706.80000000005"/>
        <n v="584192.69999999995"/>
        <n v="609284.16"/>
        <n v="610802.64"/>
      </sharedItems>
    </cacheField>
    <cacheField name="Profit_Margin" numFmtId="0">
      <sharedItems containsSemiMixedTypes="0" containsString="0" containsNumber="1" minValue="0.15" maxValue="0.4"/>
    </cacheField>
    <cacheField name="Profit_Amount" numFmtId="0">
      <sharedItems containsSemiMixedTypes="0" containsString="0" containsNumber="1" minValue="113.13" maxValue="91620.4" count="997">
        <n v="113.13"/>
        <n v="133.63"/>
        <n v="167.42"/>
        <n v="186.37"/>
        <n v="189.5"/>
        <n v="190.9"/>
        <n v="205.34"/>
        <n v="205.74"/>
        <n v="216.15"/>
        <n v="220.36"/>
        <n v="229.41"/>
        <n v="239.4"/>
        <n v="243.14"/>
        <n v="246.56"/>
        <n v="248.06"/>
        <n v="259.16000000000003"/>
        <n v="259.5"/>
        <n v="285.01"/>
        <n v="288.29000000000002"/>
        <n v="302.77999999999997"/>
        <n v="304.3"/>
        <n v="307.63"/>
        <n v="307.69"/>
        <n v="313.27999999999997"/>
        <n v="323.01"/>
        <n v="333.84"/>
        <n v="334.08"/>
        <n v="340.34"/>
        <n v="342.62"/>
        <n v="358.8"/>
        <n v="361.87"/>
        <n v="377.52"/>
        <n v="381.15"/>
        <n v="399.52"/>
        <n v="408.1"/>
        <n v="410.57"/>
        <n v="410.69"/>
        <n v="411.31"/>
        <n v="432.8"/>
        <n v="437.34"/>
        <n v="443.92"/>
        <n v="454.92"/>
        <n v="458.16"/>
        <n v="474.59"/>
        <n v="480.48"/>
        <n v="483"/>
        <n v="489.6"/>
        <n v="491.4"/>
        <n v="493.6"/>
        <n v="505.31"/>
        <n v="505.78"/>
        <n v="514.08000000000004"/>
        <n v="522.79999999999995"/>
        <n v="535.44000000000005"/>
        <n v="538.20000000000005"/>
        <n v="539.80999999999995"/>
        <n v="540.79"/>
        <n v="545.33000000000004"/>
        <n v="553.28"/>
        <n v="554.75"/>
        <n v="568.5"/>
        <n v="572.41999999999996"/>
        <n v="587.14"/>
        <n v="595.65"/>
        <n v="604.30999999999995"/>
        <n v="621.78"/>
        <n v="630.34"/>
        <n v="636.34"/>
        <n v="653.74"/>
        <n v="657.66"/>
        <n v="662.57"/>
        <n v="663.87"/>
        <n v="671.01"/>
        <n v="674.62"/>
        <n v="682.86"/>
        <n v="685.9"/>
        <n v="687.65"/>
        <n v="694.94"/>
        <n v="700.42"/>
        <n v="702.24"/>
        <n v="713.66"/>
        <n v="715.68"/>
        <n v="718.78"/>
        <n v="725.4"/>
        <n v="750.7"/>
        <n v="761.02"/>
        <n v="776.88"/>
        <n v="777.74"/>
        <n v="787.64"/>
        <n v="821.41"/>
        <n v="823.98"/>
        <n v="829.35"/>
        <n v="830.81"/>
        <n v="844.06"/>
        <n v="851.18"/>
        <n v="853.25"/>
        <n v="855.59"/>
        <n v="859.32"/>
        <n v="862.49"/>
        <n v="863.3"/>
        <n v="873.94"/>
        <n v="875.34"/>
        <n v="875.47"/>
        <n v="889.49"/>
        <n v="893.37"/>
        <n v="898.48"/>
        <n v="903.06"/>
        <n v="908.35"/>
        <n v="911.09"/>
        <n v="913.68"/>
        <n v="914.29"/>
        <n v="920.19"/>
        <n v="925.44"/>
        <n v="939.62"/>
        <n v="941.18"/>
        <n v="941.36"/>
        <n v="961.99"/>
        <n v="965.28"/>
        <n v="968.58"/>
        <n v="974.75"/>
        <n v="975.24"/>
        <n v="975.84"/>
        <n v="984.87"/>
        <n v="997.25"/>
        <n v="1005.31"/>
        <n v="1006.43"/>
        <n v="1006.48"/>
        <n v="1007.76"/>
        <n v="1013.86"/>
        <n v="1027.53"/>
        <n v="1028.1600000000001"/>
        <n v="1033.6500000000001"/>
        <n v="1034.74"/>
        <n v="1038.6199999999999"/>
        <n v="1041.01"/>
        <n v="1043.8599999999999"/>
        <n v="1050.17"/>
        <n v="1061.06"/>
        <n v="1066.1400000000001"/>
        <n v="1067.8399999999999"/>
        <n v="1078.72"/>
        <n v="1084.32"/>
        <n v="1086.72"/>
        <n v="1087.49"/>
        <n v="1094.8"/>
        <n v="1116.0999999999999"/>
        <n v="1117.2"/>
        <n v="1130.1600000000001"/>
        <n v="1136.52"/>
        <n v="1136.6400000000001"/>
        <n v="1137.5999999999999"/>
        <n v="1148.4000000000001"/>
        <n v="1169.5999999999999"/>
        <n v="1187.3599999999999"/>
        <n v="1190.7"/>
        <n v="1219.6400000000001"/>
        <n v="1221.76"/>
        <n v="1227.78"/>
        <n v="1246.22"/>
        <n v="1247.56"/>
        <n v="1263.95"/>
        <n v="1264.32"/>
        <n v="1279.58"/>
        <n v="1287.0899999999999"/>
        <n v="1288.8"/>
        <n v="1291.92"/>
        <n v="1304.77"/>
        <n v="1306.8"/>
        <n v="1321.94"/>
        <n v="1322.5"/>
        <n v="1327.7"/>
        <n v="1331.15"/>
        <n v="1331.7"/>
        <n v="1340.64"/>
        <n v="1342.34"/>
        <n v="1344.95"/>
        <n v="1350.44"/>
        <n v="1358.71"/>
        <n v="1360.8"/>
        <n v="1382.47"/>
        <n v="1390.35"/>
        <n v="1422.9"/>
        <n v="1427.52"/>
        <n v="1428.19"/>
        <n v="1432.46"/>
        <n v="1440.11"/>
        <n v="1470.51"/>
        <n v="1480.14"/>
        <n v="1490.07"/>
        <n v="1494.08"/>
        <n v="1494.83"/>
        <n v="1498.91"/>
        <n v="1532.92"/>
        <n v="1536.29"/>
        <n v="1543.13"/>
        <n v="1546.59"/>
        <n v="1557.03"/>
        <n v="1557.77"/>
        <n v="1558.44"/>
        <n v="1559.04"/>
        <n v="1559.46"/>
        <n v="1563.17"/>
        <n v="1570.3"/>
        <n v="1577.66"/>
        <n v="1582.58"/>
        <n v="1589.98"/>
        <n v="1590.22"/>
        <n v="1590.62"/>
        <n v="1596.64"/>
        <n v="1612.8"/>
        <n v="1623.07"/>
        <n v="1639.36"/>
        <n v="1641.02"/>
        <n v="1649.2"/>
        <n v="1661"/>
        <n v="1669.39"/>
        <n v="1676.64"/>
        <n v="1689.48"/>
        <n v="1689.86"/>
        <n v="1713.15"/>
        <n v="1721.46"/>
        <n v="1725.89"/>
        <n v="1729.11"/>
        <n v="1740.8"/>
        <n v="1750.63"/>
        <n v="1753.78"/>
        <n v="1755.86"/>
        <n v="1757.33"/>
        <n v="1762.04"/>
        <n v="1767.6"/>
        <n v="1770.24"/>
        <n v="1796.81"/>
        <n v="1820"/>
        <n v="1822.86"/>
        <n v="1832.21"/>
        <n v="1838.44"/>
        <n v="1878.41"/>
        <n v="1887.87"/>
        <n v="1888.66"/>
        <n v="1889.78"/>
        <n v="1893.13"/>
        <n v="1893.92"/>
        <n v="1898.99"/>
        <n v="1901.7"/>
        <n v="1910.83"/>
        <n v="1913.87"/>
        <n v="1922.59"/>
        <n v="1927.92"/>
        <n v="1931.9"/>
        <n v="1932.3"/>
        <n v="1940.35"/>
        <n v="1947.8"/>
        <n v="1954.26"/>
        <n v="1957.62"/>
        <n v="1967.4"/>
        <n v="1978.1"/>
        <n v="1989.4"/>
        <n v="1997.24"/>
        <n v="2006.94"/>
        <n v="2013.09"/>
        <n v="2018.56"/>
        <n v="2030.34"/>
        <n v="2033.07"/>
        <n v="2039.18"/>
        <n v="2040.19"/>
        <n v="2051.08"/>
        <n v="2069.89"/>
        <n v="2074.8000000000002"/>
        <n v="2077.73"/>
        <n v="2082.3000000000002"/>
        <n v="2082.7800000000002"/>
        <n v="2096.83"/>
        <n v="2135.9499999999998"/>
        <n v="2149.35"/>
        <n v="2165.7600000000002"/>
        <n v="2171.6999999999998"/>
        <n v="2173.5"/>
        <n v="2174.4499999999998"/>
        <n v="2189.3000000000002"/>
        <n v="2207.48"/>
        <n v="2211.0100000000002"/>
        <n v="2211.02"/>
        <n v="2212.6999999999998"/>
        <n v="2216.16"/>
        <n v="2225"/>
        <n v="2231.46"/>
        <n v="2248.1999999999998"/>
        <n v="2263.52"/>
        <n v="2265.7199999999998"/>
        <n v="2271.34"/>
        <n v="2274.38"/>
        <n v="2297.79"/>
        <n v="2300.7600000000002"/>
        <n v="2305.94"/>
        <n v="2307.5300000000002"/>
        <n v="2308.11"/>
        <n v="2311.23"/>
        <n v="2322.23"/>
        <n v="2326.8000000000002"/>
        <n v="2360.16"/>
        <n v="2368.35"/>
        <n v="2368.44"/>
        <n v="2378.58"/>
        <n v="2380.9499999999998"/>
        <n v="2407.0500000000002"/>
        <n v="2416.23"/>
        <n v="2417.69"/>
        <n v="2423.81"/>
        <n v="2479.6799999999998"/>
        <n v="2488.3200000000002"/>
        <n v="2498.15"/>
        <n v="2505.65"/>
        <n v="2523.2800000000002"/>
        <n v="2538.6"/>
        <n v="2539.7199999999998"/>
        <n v="2542.54"/>
        <n v="2556.6"/>
        <n v="2558.3000000000002"/>
        <n v="2562.67"/>
        <n v="2566.37"/>
        <n v="2575.34"/>
        <n v="2576.4499999999998"/>
        <n v="2582.5"/>
        <n v="2588.04"/>
        <n v="2589.7399999999998"/>
        <n v="2601.6"/>
        <n v="2621.41"/>
        <n v="2623.47"/>
        <n v="2624.23"/>
        <n v="2636.93"/>
        <n v="2647.76"/>
        <n v="2681.89"/>
        <n v="2698.32"/>
        <n v="2729.79"/>
        <n v="2744.96"/>
        <n v="2768.64"/>
        <n v="2774.08"/>
        <n v="2811.84"/>
        <n v="2835.79"/>
        <n v="2843.25"/>
        <n v="2847.6"/>
        <n v="2851.82"/>
        <n v="2857.52"/>
        <n v="2874.82"/>
        <n v="2883.58"/>
        <n v="2898.51"/>
        <n v="2908.36"/>
        <n v="2916.98"/>
        <n v="2921.52"/>
        <n v="2924.4"/>
        <n v="2937.21"/>
        <n v="2940.3"/>
        <n v="2944.62"/>
        <n v="2945.25"/>
        <n v="2956.8"/>
        <n v="2963.69"/>
        <n v="2991.45"/>
        <n v="2995.84"/>
        <n v="3013.2"/>
        <n v="3022.6"/>
        <n v="3036.1"/>
        <n v="3044.02"/>
        <n v="3054.9"/>
        <n v="3058.34"/>
        <n v="3060.96"/>
        <n v="3073.92"/>
        <n v="3074.34"/>
        <n v="3086.46"/>
        <n v="3099.01"/>
        <n v="3106.94"/>
        <n v="3110"/>
        <n v="3118.36"/>
        <n v="3121.3"/>
        <n v="3122.28"/>
        <n v="3124.17"/>
        <n v="3126.82"/>
        <n v="3134.04"/>
        <n v="3142.3"/>
        <n v="3182.4"/>
        <n v="3220.03"/>
        <n v="3230.96"/>
        <n v="3248.9"/>
        <n v="3255.56"/>
        <n v="3256.2"/>
        <n v="3259.08"/>
        <n v="3261.67"/>
        <n v="3285.46"/>
        <n v="3287.7"/>
        <n v="3293.95"/>
        <n v="3296.67"/>
        <n v="3325.2"/>
        <n v="3357.33"/>
        <n v="3363.36"/>
        <n v="3367.3"/>
        <n v="3374.83"/>
        <n v="3412.79"/>
        <n v="3420.61"/>
        <n v="3454.62"/>
        <n v="3472.13"/>
        <n v="3486"/>
        <n v="3499.96"/>
        <n v="3500.54"/>
        <n v="3531.03"/>
        <n v="3543.56"/>
        <n v="3585.81"/>
        <n v="3588.31"/>
        <n v="3602.86"/>
        <n v="3604.42"/>
        <n v="3617.22"/>
        <n v="3627.29"/>
        <n v="3646.1"/>
        <n v="3650.82"/>
        <n v="3651.71"/>
        <n v="3659.12"/>
        <n v="3665.6"/>
        <n v="3677.18"/>
        <n v="3687.6"/>
        <n v="3711.07"/>
        <n v="3719.38"/>
        <n v="3723.28"/>
        <n v="3723.3"/>
        <n v="3724.8"/>
        <n v="3728.26"/>
        <n v="3771.64"/>
        <n v="3860.8"/>
        <n v="3875.26"/>
        <n v="3936.4"/>
        <n v="3942.7"/>
        <n v="3964.42"/>
        <n v="3994.95"/>
        <n v="4035.81"/>
        <n v="4044.04"/>
        <n v="4046.76"/>
        <n v="4077.12"/>
        <n v="4082.54"/>
        <n v="4113.12"/>
        <n v="4134.0600000000004"/>
        <n v="4151.88"/>
        <n v="4155.3"/>
        <n v="4166.62"/>
        <n v="4195.58"/>
        <n v="4203.6499999999996"/>
        <n v="4212.05"/>
        <n v="4230.8"/>
        <n v="4242.66"/>
        <n v="4269.8900000000003"/>
        <n v="4279.0600000000004"/>
        <n v="4291.25"/>
        <n v="4294.08"/>
        <n v="4366.91"/>
        <n v="4430.97"/>
        <n v="4437.18"/>
        <n v="4442.26"/>
        <n v="4479.3"/>
        <n v="4521.58"/>
        <n v="4526.78"/>
        <n v="4542.03"/>
        <n v="4567.84"/>
        <n v="4582.79"/>
        <n v="4584.51"/>
        <n v="4598.5600000000004"/>
        <n v="4676.04"/>
        <n v="4676.88"/>
        <n v="4695.0600000000004"/>
        <n v="4719.63"/>
        <n v="4733.82"/>
        <n v="4742.7299999999996"/>
        <n v="4752.3999999999996"/>
        <n v="4757.51"/>
        <n v="4773.7700000000004"/>
        <n v="4782.53"/>
        <n v="4811.51"/>
        <n v="4825.04"/>
        <n v="4902.2"/>
        <n v="4906.54"/>
        <n v="4920.1899999999996"/>
        <n v="4931.2700000000004"/>
        <n v="4939.42"/>
        <n v="4945.5"/>
        <n v="4974.1400000000003"/>
        <n v="5114.59"/>
        <n v="5133.24"/>
        <n v="5148.43"/>
        <n v="5158.1400000000003"/>
        <n v="5165.72"/>
        <n v="5205.6000000000004"/>
        <n v="5232.0200000000004"/>
        <n v="5234.67"/>
        <n v="5261.67"/>
        <n v="5264.28"/>
        <n v="5267.66"/>
        <n v="5268.01"/>
        <n v="5272.8"/>
        <n v="5326.91"/>
        <n v="5328.45"/>
        <n v="5370.43"/>
        <n v="5383.84"/>
        <n v="5384.96"/>
        <n v="5393.93"/>
        <n v="5408.7"/>
        <n v="5458.5"/>
        <n v="5469.12"/>
        <n v="5489.18"/>
        <n v="5509.44"/>
        <n v="5511.64"/>
        <n v="5522.46"/>
        <n v="5523.21"/>
        <n v="5528.29"/>
        <n v="5533.59"/>
        <n v="5535.53"/>
        <n v="5555.55"/>
        <n v="5595.39"/>
        <n v="5628.56"/>
        <n v="5649.34"/>
        <n v="5666.53"/>
        <n v="5667.7"/>
        <n v="5689.68"/>
        <n v="5776.46"/>
        <n v="5791.07"/>
        <n v="5801.46"/>
        <n v="5833.1"/>
        <n v="5840.1"/>
        <n v="5853.34"/>
        <n v="5865.51"/>
        <n v="5868"/>
        <n v="5904"/>
        <n v="5940.68"/>
        <n v="5944.75"/>
        <n v="5984.74"/>
        <n v="6045.85"/>
        <n v="6045.86"/>
        <n v="6058.96"/>
        <n v="6103.66"/>
        <n v="6192.22"/>
        <n v="6218.1"/>
        <n v="6236.19"/>
        <n v="6245.75"/>
        <n v="6255.4"/>
        <n v="6256.32"/>
        <n v="6274.44"/>
        <n v="6319.75"/>
        <n v="6328.48"/>
        <n v="6337.7"/>
        <n v="6346.27"/>
        <n v="6356.43"/>
        <n v="6363.26"/>
        <n v="6370.2"/>
        <n v="6385.5"/>
        <n v="6423.34"/>
        <n v="6424.72"/>
        <n v="6484.81"/>
        <n v="6500.65"/>
        <n v="6500.85"/>
        <n v="6617.42"/>
        <n v="6624.75"/>
        <n v="6629.74"/>
        <n v="6703.77"/>
        <n v="6706.28"/>
        <n v="6714.16"/>
        <n v="6714.53"/>
        <n v="6786.26"/>
        <n v="6824.92"/>
        <n v="6868.2"/>
        <n v="6890.2"/>
        <n v="6951.28"/>
        <n v="6977.12"/>
        <n v="6990.06"/>
        <n v="7013.56"/>
        <n v="7076.3"/>
        <n v="7130.09"/>
        <n v="7144.2"/>
        <n v="7144.86"/>
        <n v="7181.86"/>
        <n v="7202.25"/>
        <n v="7259.98"/>
        <n v="7310.16"/>
        <n v="7337.48"/>
        <n v="7353.62"/>
        <n v="7371.89"/>
        <n v="7377.22"/>
        <n v="7388.02"/>
        <n v="7408.73"/>
        <n v="7477.47"/>
        <n v="7539.78"/>
        <n v="7545.28"/>
        <n v="7572.35"/>
        <n v="7577.96"/>
        <n v="7586.5"/>
        <n v="7611.51"/>
        <n v="7638.95"/>
        <n v="7639.8"/>
        <n v="7641.31"/>
        <n v="7711.2"/>
        <n v="7721"/>
        <n v="7743.12"/>
        <n v="7790.22"/>
        <n v="7794.95"/>
        <n v="7801.92"/>
        <n v="7806.8"/>
        <n v="7814.02"/>
        <n v="7828.97"/>
        <n v="7851.1"/>
        <n v="7881.99"/>
        <n v="7898.66"/>
        <n v="7918.13"/>
        <n v="7943.1"/>
        <n v="7965.66"/>
        <n v="7987.34"/>
        <n v="8049.1"/>
        <n v="8062.74"/>
        <n v="8067.96"/>
        <n v="8097.01"/>
        <n v="8144.94"/>
        <n v="8190"/>
        <n v="8197.49"/>
        <n v="8227.8700000000008"/>
        <n v="8305.52"/>
        <n v="8310.3799999999992"/>
        <n v="8373.61"/>
        <n v="8494.64"/>
        <n v="8505.59"/>
        <n v="8523.65"/>
        <n v="8645.94"/>
        <n v="8647.8799999999992"/>
        <n v="8706.18"/>
        <n v="8744.6"/>
        <n v="8770.48"/>
        <n v="8834.11"/>
        <n v="8867.14"/>
        <n v="8874.1"/>
        <n v="8881.1"/>
        <n v="8981.18"/>
        <n v="9008.9599999999991"/>
        <n v="9023.4"/>
        <n v="9029.4699999999993"/>
        <n v="9078.4500000000007"/>
        <n v="9174.67"/>
        <n v="9225.8799999999992"/>
        <n v="9295.1"/>
        <n v="9361.17"/>
        <n v="9378.4"/>
        <n v="9479.43"/>
        <n v="9533.43"/>
        <n v="9535.99"/>
        <n v="9551.4699999999993"/>
        <n v="9595.66"/>
        <n v="9600.66"/>
        <n v="9602.7800000000007"/>
        <n v="9658.66"/>
        <n v="9791.58"/>
        <n v="9797.5499999999993"/>
        <n v="9808.5"/>
        <n v="9909.33"/>
        <n v="9915.41"/>
        <n v="9918.9"/>
        <n v="9921.1299999999992"/>
        <n v="9924.4599999999991"/>
        <n v="9977.2999999999993"/>
        <n v="9983.01"/>
        <n v="10000.08"/>
        <n v="10021.94"/>
        <n v="10045.120000000001"/>
        <n v="10061.69"/>
        <n v="10082.799999999999"/>
        <n v="10088.52"/>
        <n v="10133.18"/>
        <n v="10152.34"/>
        <n v="10304.84"/>
        <n v="10316.61"/>
        <n v="10343.92"/>
        <n v="10353.11"/>
        <n v="10355.42"/>
        <n v="10407.91"/>
        <n v="10438.74"/>
        <n v="10447.280000000001"/>
        <n v="10475.66"/>
        <n v="10511.95"/>
        <n v="10518.29"/>
        <n v="10540.03"/>
        <n v="10594.58"/>
        <n v="10597.85"/>
        <n v="10633.14"/>
        <n v="10654.01"/>
        <n v="10678.55"/>
        <n v="10702.08"/>
        <n v="10718.4"/>
        <n v="10724.4"/>
        <n v="10774.34"/>
        <n v="10834.56"/>
        <n v="10933.2"/>
        <n v="11000.06"/>
        <n v="11016"/>
        <n v="11049"/>
        <n v="11092.86"/>
        <n v="11141.66"/>
        <n v="11163.79"/>
        <n v="11167.88"/>
        <n v="11169.38"/>
        <n v="11200.32"/>
        <n v="11233.15"/>
        <n v="11242.3"/>
        <n v="11248.38"/>
        <n v="11284.26"/>
        <n v="11319.6"/>
        <n v="11456.55"/>
        <n v="11483.2"/>
        <n v="11522.28"/>
        <n v="11627.38"/>
        <n v="11662"/>
        <n v="11672"/>
        <n v="11704.88"/>
        <n v="11743.2"/>
        <n v="11754.29"/>
        <n v="11852.32"/>
        <n v="11966.98"/>
        <n v="11974.47"/>
        <n v="11979.2"/>
        <n v="12033.83"/>
        <n v="12336.64"/>
        <n v="12442.41"/>
        <n v="12468.96"/>
        <n v="12536.98"/>
        <n v="12592.61"/>
        <n v="12612.17"/>
        <n v="12697.29"/>
        <n v="12832.2"/>
        <n v="12842.52"/>
        <n v="12925.46"/>
        <n v="12926.92"/>
        <n v="13047.4"/>
        <n v="13066.47"/>
        <n v="13070.15"/>
        <n v="13125.84"/>
        <n v="13136.1"/>
        <n v="13140.23"/>
        <n v="13144.94"/>
        <n v="13163.8"/>
        <n v="13214.05"/>
        <n v="13233.6"/>
        <n v="13241.18"/>
        <n v="13243.4"/>
        <n v="13247.65"/>
        <n v="13351.5"/>
        <n v="13394.97"/>
        <n v="13433.63"/>
        <n v="13462.49"/>
        <n v="13513.8"/>
        <n v="13523.51"/>
        <n v="13551.86"/>
        <n v="13598.28"/>
        <n v="13633.2"/>
        <n v="13746.48"/>
        <n v="13761.31"/>
        <n v="13777.6"/>
        <n v="13799.7"/>
        <n v="13816.97"/>
        <n v="13895.89"/>
        <n v="13928"/>
        <n v="13962.38"/>
        <n v="14343.05"/>
        <n v="14400.5"/>
        <n v="14465.25"/>
        <n v="14472.43"/>
        <n v="14496.38"/>
        <n v="14517.36"/>
        <n v="14550.3"/>
        <n v="14561.99"/>
        <n v="14569.31"/>
        <n v="14617.08"/>
        <n v="14617.52"/>
        <n v="14708.75"/>
        <n v="14711.9"/>
        <n v="14719.32"/>
        <n v="14821.44"/>
        <n v="14846.04"/>
        <n v="14907.93"/>
        <n v="14978.06"/>
        <n v="15136.06"/>
        <n v="15147.36"/>
        <n v="15320.3"/>
        <n v="15339.49"/>
        <n v="15458.56"/>
        <n v="15509.14"/>
        <n v="15540.82"/>
        <n v="15624.91"/>
        <n v="15716.7"/>
        <n v="15724.8"/>
        <n v="15764.8"/>
        <n v="15776.64"/>
        <n v="15798.82"/>
        <n v="16022.96"/>
        <n v="16070.2"/>
        <n v="16208.18"/>
        <n v="16213.63"/>
        <n v="16405.310000000001"/>
        <n v="16452.54"/>
        <n v="16527.919999999998"/>
        <n v="16548.3"/>
        <n v="16726.05"/>
        <n v="16972.27"/>
        <n v="16994.7"/>
        <n v="17013.099999999999"/>
        <n v="17173.439999999999"/>
        <n v="17404.8"/>
        <n v="17452.53"/>
        <n v="17500.14"/>
        <n v="17500.16"/>
        <n v="17523.29"/>
        <n v="17676.07"/>
        <n v="17684.419999999998"/>
        <n v="17687.150000000001"/>
        <n v="17815.3"/>
        <n v="17863.13"/>
        <n v="17866.169999999998"/>
        <n v="17942.09"/>
        <n v="17945.62"/>
        <n v="17988.52"/>
        <n v="18100.8"/>
        <n v="18199.82"/>
        <n v="18246.8"/>
        <n v="18276.439999999999"/>
        <n v="18285.080000000002"/>
        <n v="18385.919999999998"/>
        <n v="18410.64"/>
        <n v="18572.900000000001"/>
        <n v="18599.330000000002"/>
        <n v="18797.939999999999"/>
        <n v="18811.22"/>
        <n v="18954"/>
        <n v="18974.59"/>
        <n v="19251.310000000001"/>
        <n v="19254.89"/>
        <n v="19433.990000000002"/>
        <n v="20078.78"/>
        <n v="20364.96"/>
        <n v="20408.16"/>
        <n v="20415.54"/>
        <n v="20419.72"/>
        <n v="20481.55"/>
        <n v="20641.5"/>
        <n v="20654.62"/>
        <n v="20789.04"/>
        <n v="20928.04"/>
        <n v="21042.12"/>
        <n v="21051.48"/>
        <n v="21138.6"/>
        <n v="21178.76"/>
        <n v="21270.6"/>
        <n v="21503.360000000001"/>
        <n v="21673.8"/>
        <n v="21848.61"/>
        <n v="21911.3"/>
        <n v="21913.62"/>
        <n v="22116.15"/>
        <n v="22291.040000000001"/>
        <n v="22319.200000000001"/>
        <n v="22365.89"/>
        <n v="22447.200000000001"/>
        <n v="22460.85"/>
        <n v="22520.48"/>
        <n v="22751.439999999999"/>
        <n v="22849.68"/>
        <n v="23074.51"/>
        <n v="23079.53"/>
        <n v="23142.69"/>
        <n v="23282.400000000001"/>
        <n v="23302.62"/>
        <n v="23318.89"/>
        <n v="23323.95"/>
        <n v="23392.6"/>
        <n v="23441.58"/>
        <n v="23477.45"/>
        <n v="23692.75"/>
        <n v="23726.86"/>
        <n v="23751"/>
        <n v="23854.18"/>
        <n v="23916.48"/>
        <n v="24025.39"/>
        <n v="24242.18"/>
        <n v="24343.79"/>
        <n v="24545.62"/>
        <n v="24617.14"/>
        <n v="24780.799999999999"/>
        <n v="24843.96"/>
        <n v="25609.94"/>
        <n v="25822.82"/>
        <n v="25874.86"/>
        <n v="26189.31"/>
        <n v="26393.4"/>
        <n v="26696.52"/>
        <n v="26894.73"/>
        <n v="27112.240000000002"/>
        <n v="27652.59"/>
        <n v="27772.71"/>
        <n v="27798.68"/>
        <n v="27890.29"/>
        <n v="27918.83"/>
        <n v="27943.01"/>
        <n v="27979.64"/>
        <n v="28388.14"/>
        <n v="28538.17"/>
        <n v="28907.14"/>
        <n v="28913.94"/>
        <n v="29072.74"/>
        <n v="29093.33"/>
        <n v="29203.95"/>
        <n v="29537.11"/>
        <n v="29710.799999999999"/>
        <n v="29716.34"/>
        <n v="29797.9"/>
        <n v="30702"/>
        <n v="30732.41"/>
        <n v="30753.05"/>
        <n v="30822.74"/>
        <n v="30906.18"/>
        <n v="31441.07"/>
        <n v="31869.38"/>
        <n v="32144.15"/>
        <n v="32680.98"/>
        <n v="32702.54"/>
        <n v="32709.75"/>
        <n v="32808.74"/>
        <n v="32974.449999999997"/>
        <n v="34432.559999999998"/>
        <n v="35941"/>
        <n v="36240.14"/>
        <n v="36351.629999999997"/>
        <n v="36446.89"/>
        <n v="36509.32"/>
        <n v="36835.68"/>
        <n v="37245.43"/>
        <n v="37598.400000000001"/>
        <n v="37829.760000000002"/>
        <n v="38479.5"/>
        <n v="38871.65"/>
        <n v="39227.919999999998"/>
        <n v="40437.360000000001"/>
        <n v="40967.72"/>
        <n v="41448.75"/>
        <n v="41555.93"/>
        <n v="41798.699999999997"/>
        <n v="41861.43"/>
        <n v="42016.32"/>
        <n v="42110.46"/>
        <n v="42517.87"/>
        <n v="42579.07"/>
        <n v="43144.160000000003"/>
        <n v="44224.79"/>
        <n v="44233.5"/>
        <n v="44328"/>
        <n v="44925.96"/>
        <n v="44963.42"/>
        <n v="45187.79"/>
        <n v="45424.66"/>
        <n v="45649.15"/>
        <n v="47216.95"/>
        <n v="47926.54"/>
        <n v="48236.59"/>
        <n v="48802.16"/>
        <n v="49637.51"/>
        <n v="50479.199999999997"/>
        <n v="50913.9"/>
        <n v="51966.55"/>
        <n v="52272.3"/>
        <n v="52520.37"/>
        <n v="54158.65"/>
        <n v="54419.27"/>
        <n v="54420.74"/>
        <n v="54874.51"/>
        <n v="56845.95"/>
        <n v="56992.45"/>
        <n v="57173.89"/>
        <n v="58836"/>
        <n v="59274.45"/>
        <n v="60305.2"/>
        <n v="61630.85"/>
        <n v="62206.38"/>
        <n v="62799.79"/>
        <n v="63477.66"/>
        <n v="64710.12"/>
        <n v="64726.69"/>
        <n v="66243.740000000005"/>
        <n v="66792.600000000006"/>
        <n v="66888.36"/>
        <n v="68807.72"/>
        <n v="70117.61"/>
        <n v="71532.31"/>
        <n v="72469.53"/>
        <n v="73445.039999999994"/>
        <n v="75484.22"/>
        <n v="77786.600000000006"/>
        <n v="78615.95"/>
        <n v="81715.77"/>
        <n v="83806.02"/>
        <n v="87628.9"/>
        <n v="91392.62"/>
        <n v="91620.4"/>
      </sharedItems>
    </cacheField>
    <cacheField name="Payment_Mode" numFmtId="0">
      <sharedItems count="4">
        <s v="Credit Card"/>
        <s v="Debit Card"/>
        <s v="Cash"/>
        <s v="UPI"/>
      </sharedItems>
    </cacheField>
    <cacheField name="Delivery_Status" numFmtId="0">
      <sharedItems count="3">
        <s v="Delivered"/>
        <s v="Pending"/>
        <s v="Cancelled"/>
      </sharedItems>
    </cacheField>
    <cacheField name="Delivery_Days" numFmtId="0">
      <sharedItems containsSemiMixedTypes="0" containsString="0" containsNumber="1" containsInteger="1" minValue="1" maxValue="9"/>
    </cacheField>
    <cacheField name="Order_Year" numFmtId="0">
      <sharedItems containsSemiMixedTypes="0" containsString="0" containsNumber="1" containsInteger="1" minValue="2023" maxValue="2025" count="3">
        <n v="2023"/>
        <n v="2024"/>
        <n v="2025"/>
      </sharedItems>
    </cacheField>
    <cacheField name="Order_Month_Name" numFmtId="0">
      <sharedItems count="12">
        <s v="Nov"/>
        <s v="Oct"/>
        <s v="Mar"/>
        <s v="Jan"/>
        <s v="Jun"/>
        <s v="Aug"/>
        <s v="Apr"/>
        <s v="Feb"/>
        <s v="Dec"/>
        <s v="Jul"/>
        <s v="May"/>
        <s v="Sep"/>
      </sharedItems>
    </cacheField>
    <cacheField name="Order_Month_Number" numFmtId="0">
      <sharedItems containsSemiMixedTypes="0" containsString="0" containsNumber="1" containsInteger="1" minValue="1" maxValue="12"/>
    </cacheField>
    <cacheField name="Order_Year_Month" numFmtId="0">
      <sharedItems/>
    </cacheField>
    <cacheField name="Total_Cost" numFmtId="0">
      <sharedItems containsSemiMixedTypes="0" containsString="0" containsNumber="1" minValue="169.69" maxValue="519182.24"/>
    </cacheField>
    <cacheField name="Delivery_Performance" numFmtId="0">
      <sharedItems/>
    </cacheField>
    <cacheField name="Profitability_Status" numFmtId="0">
      <sharedItems/>
    </cacheField>
    <cacheField name="Order_Size_Tier" numFmtId="0">
      <sharedItems/>
    </cacheField>
    <cacheField name="Months (Order_Date)" numFmtId="0" databaseField="0">
      <fieldGroup base="1">
        <rangePr groupBy="months" startDate="2023-01-01T00:00:00" endDate="2025-09-27T00:00:00"/>
        <groupItems count="14">
          <s v="&lt;01-01-2023"/>
          <s v="Jan"/>
          <s v="Feb"/>
          <s v="Mar"/>
          <s v="Apr"/>
          <s v="May"/>
          <s v="Jun"/>
          <s v="Jul"/>
          <s v="Aug"/>
          <s v="Sep"/>
          <s v="Oct"/>
          <s v="Nov"/>
          <s v="Dec"/>
          <s v="&gt;27-09-2025"/>
        </groupItems>
      </fieldGroup>
    </cacheField>
    <cacheField name="Quarters (Order_Date)" numFmtId="0" databaseField="0">
      <fieldGroup base="1">
        <rangePr groupBy="quarters" startDate="2023-01-01T00:00:00" endDate="2025-09-27T00:00:00"/>
        <groupItems count="6">
          <s v="&lt;01-01-2023"/>
          <s v="Qtr1"/>
          <s v="Qtr2"/>
          <s v="Qtr3"/>
          <s v="Qtr4"/>
          <s v="&gt;27-09-2025"/>
        </groupItems>
      </fieldGroup>
    </cacheField>
    <cacheField name="Years (Order_Date)" numFmtId="0" databaseField="0">
      <fieldGroup base="1">
        <rangePr groupBy="years" startDate="2023-01-01T00:00:00" endDate="2025-09-27T00:00:00"/>
        <groupItems count="5">
          <s v="&lt;01-01-2023"/>
          <s v="2023"/>
          <s v="2024"/>
          <s v="2025"/>
          <s v="&gt;27-09-2025"/>
        </groupItems>
      </fieldGroup>
    </cacheField>
  </cacheFields>
  <extLst>
    <ext xmlns:x14="http://schemas.microsoft.com/office/spreadsheetml/2009/9/main" uri="{725AE2AE-9491-48be-B2B4-4EB974FC3084}">
      <x14:pivotCacheDefinition pivotCacheId="378440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Sara Khan"/>
    <x v="0"/>
    <s v="Uk"/>
    <s v="New York"/>
    <x v="0"/>
    <s v="Fiction"/>
    <x v="0"/>
    <n v="1"/>
    <n v="358"/>
    <n v="0.21"/>
    <n v="282.82"/>
    <x v="0"/>
    <n v="0.4"/>
    <x v="0"/>
    <x v="0"/>
    <x v="0"/>
    <n v="4"/>
    <x v="0"/>
    <x v="0"/>
    <n v="11"/>
    <s v="2023-11"/>
    <n v="169.69"/>
    <s v="Standard"/>
    <s v="Profitable"/>
    <s v="Low Value"/>
  </r>
  <r>
    <x v="1"/>
    <x v="1"/>
    <s v="John Smith"/>
    <x v="0"/>
    <s v="Uk"/>
    <s v="Bangalore"/>
    <x v="0"/>
    <s v="Biography"/>
    <x v="1"/>
    <n v="1"/>
    <n v="348"/>
    <n v="0.04"/>
    <n v="334.08"/>
    <x v="1"/>
    <n v="0.4"/>
    <x v="1"/>
    <x v="1"/>
    <x v="1"/>
    <n v="1"/>
    <x v="1"/>
    <x v="1"/>
    <n v="10"/>
    <s v="2024-10"/>
    <n v="200.45"/>
    <s v="Fast"/>
    <s v="Profitable"/>
    <s v="Mid Value"/>
  </r>
  <r>
    <x v="2"/>
    <x v="2"/>
    <s v="David Lee"/>
    <x v="1"/>
    <s v="Canada"/>
    <s v="Mumbai"/>
    <x v="0"/>
    <s v="Biography"/>
    <x v="2"/>
    <n v="2"/>
    <n v="218"/>
    <n v="0.04"/>
    <n v="209.28"/>
    <x v="2"/>
    <n v="0.4"/>
    <x v="2"/>
    <x v="1"/>
    <x v="0"/>
    <n v="6"/>
    <x v="2"/>
    <x v="2"/>
    <n v="3"/>
    <s v="2025-03"/>
    <n v="251.14000000000001"/>
    <s v="Standard"/>
    <s v="Profitable"/>
    <s v="Mid Value"/>
  </r>
  <r>
    <x v="3"/>
    <x v="3"/>
    <s v="John Smith"/>
    <x v="1"/>
    <s v="India"/>
    <s v="Toronto"/>
    <x v="0"/>
    <s v="Biography"/>
    <x v="3"/>
    <n v="1"/>
    <n v="501"/>
    <n v="7.0000000000000007E-2"/>
    <n v="465.93"/>
    <x v="3"/>
    <n v="0.4"/>
    <x v="3"/>
    <x v="0"/>
    <x v="0"/>
    <n v="6"/>
    <x v="2"/>
    <x v="3"/>
    <n v="1"/>
    <s v="2025-01"/>
    <n v="279.56"/>
    <s v="Standard"/>
    <s v="Profitable"/>
    <s v="Mid Value"/>
  </r>
  <r>
    <x v="4"/>
    <x v="4"/>
    <s v="John Smith"/>
    <x v="2"/>
    <s v="Canada"/>
    <s v="London"/>
    <x v="0"/>
    <s v="Biography"/>
    <x v="4"/>
    <n v="2"/>
    <n v="282"/>
    <n v="0.16"/>
    <n v="236.88"/>
    <x v="4"/>
    <n v="0.4"/>
    <x v="4"/>
    <x v="0"/>
    <x v="1"/>
    <n v="4"/>
    <x v="1"/>
    <x v="4"/>
    <n v="6"/>
    <s v="2024-06"/>
    <n v="284.26"/>
    <s v="Standard"/>
    <s v="Profitable"/>
    <s v="Mid Value"/>
  </r>
  <r>
    <x v="5"/>
    <x v="5"/>
    <s v="Amit Verma"/>
    <x v="0"/>
    <s v="Usa"/>
    <s v="Bangalore"/>
    <x v="0"/>
    <s v="Non-Fiction"/>
    <x v="5"/>
    <n v="1"/>
    <n v="575"/>
    <n v="0.17"/>
    <n v="477.25"/>
    <x v="5"/>
    <n v="0.4"/>
    <x v="5"/>
    <x v="2"/>
    <x v="0"/>
    <n v="8"/>
    <x v="2"/>
    <x v="5"/>
    <n v="8"/>
    <s v="2025-08"/>
    <n v="286.35000000000002"/>
    <s v="Delayed"/>
    <s v="Profitable"/>
    <s v="Mid Value"/>
  </r>
  <r>
    <x v="6"/>
    <x v="6"/>
    <s v="Maria Singh"/>
    <x v="3"/>
    <s v="Uk"/>
    <s v="Toronto"/>
    <x v="0"/>
    <s v="Biography"/>
    <x v="3"/>
    <n v="1"/>
    <n v="552"/>
    <n v="7.0000000000000007E-2"/>
    <n v="513.36"/>
    <x v="6"/>
    <n v="0.4"/>
    <x v="6"/>
    <x v="2"/>
    <x v="0"/>
    <n v="6"/>
    <x v="1"/>
    <x v="3"/>
    <n v="1"/>
    <s v="2024-01"/>
    <n v="308.02"/>
    <s v="Standard"/>
    <s v="Profitable"/>
    <s v="Mid Value"/>
  </r>
  <r>
    <x v="7"/>
    <x v="7"/>
    <s v="David Lee"/>
    <x v="0"/>
    <s v="Usa"/>
    <s v="Toronto"/>
    <x v="1"/>
    <s v="Football"/>
    <x v="6"/>
    <n v="1"/>
    <n v="1016"/>
    <n v="0.19"/>
    <n v="822.96"/>
    <x v="7"/>
    <n v="0.25"/>
    <x v="7"/>
    <x v="1"/>
    <x v="0"/>
    <n v="1"/>
    <x v="1"/>
    <x v="5"/>
    <n v="8"/>
    <s v="2024-08"/>
    <n v="617.22"/>
    <s v="Fast"/>
    <s v="Profitable"/>
    <s v="Mid Value"/>
  </r>
  <r>
    <x v="8"/>
    <x v="8"/>
    <s v="Amit Verma"/>
    <x v="0"/>
    <s v="Usa"/>
    <s v="Delhi"/>
    <x v="0"/>
    <s v="Non-Fiction"/>
    <x v="7"/>
    <n v="1"/>
    <n v="659"/>
    <n v="0.18"/>
    <n v="540.38"/>
    <x v="8"/>
    <n v="0.4"/>
    <x v="8"/>
    <x v="0"/>
    <x v="0"/>
    <n v="5"/>
    <x v="0"/>
    <x v="6"/>
    <n v="4"/>
    <s v="2023-04"/>
    <n v="324.23"/>
    <s v="Standard"/>
    <s v="Profitable"/>
    <s v="Mid Value"/>
  </r>
  <r>
    <x v="9"/>
    <x v="9"/>
    <s v="David Lee"/>
    <x v="1"/>
    <s v="India"/>
    <s v="Toronto"/>
    <x v="0"/>
    <s v="Comics"/>
    <x v="8"/>
    <n v="1"/>
    <n v="619"/>
    <n v="0.11"/>
    <n v="550.91"/>
    <x v="9"/>
    <n v="0.4"/>
    <x v="9"/>
    <x v="0"/>
    <x v="0"/>
    <n v="9"/>
    <x v="0"/>
    <x v="2"/>
    <n v="3"/>
    <s v="2023-03"/>
    <n v="330.54999999999995"/>
    <s v="Delayed"/>
    <s v="Profitable"/>
    <s v="Mid Value"/>
  </r>
  <r>
    <x v="10"/>
    <x v="10"/>
    <s v="John Smith"/>
    <x v="2"/>
    <s v="Usa"/>
    <s v="Toronto"/>
    <x v="0"/>
    <s v="Fiction"/>
    <x v="9"/>
    <n v="1"/>
    <n v="691"/>
    <n v="0.17"/>
    <n v="573.53"/>
    <x v="10"/>
    <n v="0.4"/>
    <x v="10"/>
    <x v="0"/>
    <x v="0"/>
    <n v="9"/>
    <x v="2"/>
    <x v="4"/>
    <n v="6"/>
    <s v="2025-06"/>
    <n v="344.12"/>
    <s v="Delayed"/>
    <s v="Profitable"/>
    <s v="Mid Value"/>
  </r>
  <r>
    <x v="11"/>
    <x v="11"/>
    <s v="Sara Khan"/>
    <x v="0"/>
    <s v="India"/>
    <s v="Mumbai"/>
    <x v="0"/>
    <s v="Biography"/>
    <x v="10"/>
    <n v="2"/>
    <n v="315"/>
    <n v="0.05"/>
    <n v="299.25"/>
    <x v="11"/>
    <n v="0.4"/>
    <x v="11"/>
    <x v="2"/>
    <x v="0"/>
    <n v="9"/>
    <x v="1"/>
    <x v="7"/>
    <n v="2"/>
    <s v="2024-02"/>
    <n v="359.1"/>
    <s v="Delayed"/>
    <s v="Profitable"/>
    <s v="Mid Value"/>
  </r>
  <r>
    <x v="12"/>
    <x v="12"/>
    <s v="Priya Mehta"/>
    <x v="3"/>
    <s v="Uk"/>
    <s v="Bangalore"/>
    <x v="0"/>
    <s v="Non-Fiction"/>
    <x v="11"/>
    <n v="2"/>
    <n v="307"/>
    <n v="0.01"/>
    <n v="303.93"/>
    <x v="12"/>
    <n v="0.4"/>
    <x v="12"/>
    <x v="1"/>
    <x v="2"/>
    <n v="8"/>
    <x v="1"/>
    <x v="8"/>
    <n v="12"/>
    <s v="2024-12"/>
    <n v="364.72"/>
    <s v="Delayed"/>
    <s v="Profitable"/>
    <s v="Mid Value"/>
  </r>
  <r>
    <x v="13"/>
    <x v="13"/>
    <s v="Priya Mehta"/>
    <x v="0"/>
    <s v="India"/>
    <s v="New York"/>
    <x v="1"/>
    <s v="Cricket Bat"/>
    <x v="12"/>
    <n v="1"/>
    <n v="1072"/>
    <n v="0.08"/>
    <n v="986.24"/>
    <x v="13"/>
    <n v="0.25"/>
    <x v="13"/>
    <x v="1"/>
    <x v="0"/>
    <n v="6"/>
    <x v="1"/>
    <x v="3"/>
    <n v="1"/>
    <s v="2024-01"/>
    <n v="739.68000000000006"/>
    <s v="Standard"/>
    <s v="Profitable"/>
    <s v="Mid Value"/>
  </r>
  <r>
    <x v="14"/>
    <x v="14"/>
    <s v="Maria Singh"/>
    <x v="3"/>
    <s v="India"/>
    <s v="Mumbai"/>
    <x v="0"/>
    <s v="Biography"/>
    <x v="13"/>
    <n v="1"/>
    <n v="646"/>
    <n v="0.04"/>
    <n v="620.16"/>
    <x v="14"/>
    <n v="0.4"/>
    <x v="14"/>
    <x v="3"/>
    <x v="0"/>
    <n v="5"/>
    <x v="2"/>
    <x v="5"/>
    <n v="8"/>
    <s v="2025-08"/>
    <n v="372.09999999999997"/>
    <s v="Standard"/>
    <s v="Profitable"/>
    <s v="Mid Value"/>
  </r>
  <r>
    <x v="15"/>
    <x v="15"/>
    <s v="Maria Singh"/>
    <x v="1"/>
    <s v="Canada"/>
    <s v="Mumbai"/>
    <x v="0"/>
    <s v="Fiction"/>
    <x v="14"/>
    <n v="1"/>
    <n v="682"/>
    <n v="0.05"/>
    <n v="647.9"/>
    <x v="15"/>
    <n v="0.4"/>
    <x v="15"/>
    <x v="3"/>
    <x v="1"/>
    <n v="8"/>
    <x v="1"/>
    <x v="9"/>
    <n v="7"/>
    <s v="2024-07"/>
    <n v="388.73999999999995"/>
    <s v="Delayed"/>
    <s v="Profitable"/>
    <s v="Mid Value"/>
  </r>
  <r>
    <x v="16"/>
    <x v="16"/>
    <s v="David Lee"/>
    <x v="0"/>
    <s v="Uk"/>
    <s v="London"/>
    <x v="0"/>
    <s v="Non-Fiction"/>
    <x v="15"/>
    <n v="2"/>
    <n v="331"/>
    <n v="0.02"/>
    <n v="324.38"/>
    <x v="16"/>
    <n v="0.4"/>
    <x v="16"/>
    <x v="3"/>
    <x v="0"/>
    <n v="1"/>
    <x v="2"/>
    <x v="7"/>
    <n v="2"/>
    <s v="2025-02"/>
    <n v="389.26"/>
    <s v="Fast"/>
    <s v="Profitable"/>
    <s v="Mid Value"/>
  </r>
  <r>
    <x v="17"/>
    <x v="17"/>
    <s v="Sara Khan"/>
    <x v="2"/>
    <s v="Canada"/>
    <s v="Bangalore"/>
    <x v="0"/>
    <s v="Fiction"/>
    <x v="16"/>
    <n v="1"/>
    <n v="783"/>
    <n v="0.09"/>
    <n v="712.53"/>
    <x v="17"/>
    <n v="0.4"/>
    <x v="17"/>
    <x v="3"/>
    <x v="1"/>
    <n v="3"/>
    <x v="0"/>
    <x v="0"/>
    <n v="11"/>
    <s v="2023-11"/>
    <n v="427.52"/>
    <s v="Fast"/>
    <s v="Profitable"/>
    <s v="Mid Value"/>
  </r>
  <r>
    <x v="18"/>
    <x v="18"/>
    <s v="Amit Verma"/>
    <x v="2"/>
    <s v="Usa"/>
    <s v="Mumbai"/>
    <x v="0"/>
    <s v="Fiction"/>
    <x v="17"/>
    <n v="2"/>
    <n v="462"/>
    <n v="0.22"/>
    <n v="360.36"/>
    <x v="18"/>
    <n v="0.4"/>
    <x v="18"/>
    <x v="0"/>
    <x v="0"/>
    <n v="1"/>
    <x v="1"/>
    <x v="3"/>
    <n v="1"/>
    <s v="2024-01"/>
    <n v="432.43"/>
    <s v="Fast"/>
    <s v="Profitable"/>
    <s v="Mid Value"/>
  </r>
  <r>
    <x v="19"/>
    <x v="19"/>
    <s v="Amit Verma"/>
    <x v="3"/>
    <s v="Usa"/>
    <s v="Delhi"/>
    <x v="0"/>
    <s v="Non-Fiction"/>
    <x v="18"/>
    <n v="3"/>
    <n v="332"/>
    <n v="0.24"/>
    <n v="252.32"/>
    <x v="19"/>
    <n v="0.4"/>
    <x v="19"/>
    <x v="3"/>
    <x v="0"/>
    <n v="1"/>
    <x v="0"/>
    <x v="10"/>
    <n v="5"/>
    <s v="2023-05"/>
    <n v="454.18000000000006"/>
    <s v="Fast"/>
    <s v="Profitable"/>
    <s v="Mid Value"/>
  </r>
  <r>
    <x v="20"/>
    <x v="20"/>
    <s v="Priya Mehta"/>
    <x v="2"/>
    <s v="Uk"/>
    <s v="Mumbai"/>
    <x v="0"/>
    <s v="Fiction"/>
    <x v="19"/>
    <n v="3"/>
    <n v="304"/>
    <n v="0.17"/>
    <n v="252.32"/>
    <x v="19"/>
    <n v="0.4"/>
    <x v="19"/>
    <x v="3"/>
    <x v="0"/>
    <n v="8"/>
    <x v="1"/>
    <x v="5"/>
    <n v="8"/>
    <s v="2024-08"/>
    <n v="454.18000000000006"/>
    <s v="Delayed"/>
    <s v="Profitable"/>
    <s v="Mid Value"/>
  </r>
  <r>
    <x v="21"/>
    <x v="21"/>
    <s v="Sara Khan"/>
    <x v="2"/>
    <s v="India"/>
    <s v="London"/>
    <x v="0"/>
    <s v="Fiction"/>
    <x v="20"/>
    <n v="1"/>
    <n v="836"/>
    <n v="0.09"/>
    <n v="760.76"/>
    <x v="20"/>
    <n v="0.4"/>
    <x v="20"/>
    <x v="1"/>
    <x v="0"/>
    <n v="5"/>
    <x v="0"/>
    <x v="2"/>
    <n v="3"/>
    <s v="2023-03"/>
    <n v="456.46"/>
    <s v="Standard"/>
    <s v="Profitable"/>
    <s v="Mid Value"/>
  </r>
  <r>
    <x v="22"/>
    <x v="22"/>
    <s v="Sara Khan"/>
    <x v="0"/>
    <s v="India"/>
    <s v="New York"/>
    <x v="0"/>
    <s v="Non-Fiction"/>
    <x v="21"/>
    <n v="4"/>
    <n v="221"/>
    <n v="0.13"/>
    <n v="192.27"/>
    <x v="21"/>
    <n v="0.4"/>
    <x v="21"/>
    <x v="0"/>
    <x v="0"/>
    <n v="8"/>
    <x v="2"/>
    <x v="9"/>
    <n v="7"/>
    <s v="2025-07"/>
    <n v="461.45000000000005"/>
    <s v="Delayed"/>
    <s v="Profitable"/>
    <s v="Mid Value"/>
  </r>
  <r>
    <x v="23"/>
    <x v="23"/>
    <s v="John Smith"/>
    <x v="3"/>
    <s v="Usa"/>
    <s v="Bangalore"/>
    <x v="0"/>
    <s v="Biography"/>
    <x v="22"/>
    <n v="3"/>
    <n v="333"/>
    <n v="0.23"/>
    <n v="256.41000000000003"/>
    <x v="22"/>
    <n v="0.4"/>
    <x v="22"/>
    <x v="0"/>
    <x v="0"/>
    <n v="1"/>
    <x v="1"/>
    <x v="6"/>
    <n v="4"/>
    <s v="2024-04"/>
    <n v="461.54"/>
    <s v="Fast"/>
    <s v="Profitable"/>
    <s v="Mid Value"/>
  </r>
  <r>
    <x v="24"/>
    <x v="24"/>
    <s v="Amit Verma"/>
    <x v="3"/>
    <s v="Uk"/>
    <s v="Mumbai"/>
    <x v="0"/>
    <s v="Fiction"/>
    <x v="23"/>
    <n v="4"/>
    <n v="220"/>
    <n v="0.11"/>
    <n v="195.8"/>
    <x v="23"/>
    <n v="0.4"/>
    <x v="23"/>
    <x v="3"/>
    <x v="0"/>
    <n v="8"/>
    <x v="1"/>
    <x v="5"/>
    <n v="8"/>
    <s v="2024-08"/>
    <n v="469.92000000000007"/>
    <s v="Delayed"/>
    <s v="Profitable"/>
    <s v="Mid Value"/>
  </r>
  <r>
    <x v="25"/>
    <x v="25"/>
    <s v="Priya Mehta"/>
    <x v="0"/>
    <s v="Canada"/>
    <s v="Delhi"/>
    <x v="0"/>
    <s v="Biography"/>
    <x v="24"/>
    <n v="2"/>
    <n v="412"/>
    <n v="0.02"/>
    <n v="403.76"/>
    <x v="24"/>
    <n v="0.4"/>
    <x v="24"/>
    <x v="2"/>
    <x v="1"/>
    <n v="8"/>
    <x v="1"/>
    <x v="9"/>
    <n v="7"/>
    <s v="2024-07"/>
    <n v="484.51"/>
    <s v="Delayed"/>
    <s v="Profitable"/>
    <s v="Mid Value"/>
  </r>
  <r>
    <x v="26"/>
    <x v="26"/>
    <s v="Amit Verma"/>
    <x v="3"/>
    <s v="Usa"/>
    <s v="Mumbai"/>
    <x v="0"/>
    <s v="Comics"/>
    <x v="25"/>
    <n v="2"/>
    <n v="535"/>
    <n v="0.22"/>
    <n v="417.3"/>
    <x v="25"/>
    <n v="0.4"/>
    <x v="25"/>
    <x v="1"/>
    <x v="0"/>
    <n v="7"/>
    <x v="2"/>
    <x v="7"/>
    <n v="2"/>
    <s v="2025-02"/>
    <n v="500.76000000000005"/>
    <s v="Standard"/>
    <s v="Profitable"/>
    <s v="Mid Value"/>
  </r>
  <r>
    <x v="27"/>
    <x v="27"/>
    <s v="Priya Mehta"/>
    <x v="0"/>
    <s v="India"/>
    <s v="Delhi"/>
    <x v="0"/>
    <s v="Biography"/>
    <x v="26"/>
    <n v="3"/>
    <n v="348"/>
    <n v="0.2"/>
    <n v="278.39999999999998"/>
    <x v="26"/>
    <n v="0.4"/>
    <x v="26"/>
    <x v="0"/>
    <x v="0"/>
    <n v="9"/>
    <x v="1"/>
    <x v="3"/>
    <n v="1"/>
    <s v="2024-01"/>
    <n v="501.12000000000006"/>
    <s v="Delayed"/>
    <s v="Profitable"/>
    <s v="Mid Value"/>
  </r>
  <r>
    <x v="28"/>
    <x v="28"/>
    <s v="Maria Singh"/>
    <x v="2"/>
    <s v="India"/>
    <s v="London"/>
    <x v="0"/>
    <s v="Comics"/>
    <x v="27"/>
    <n v="1"/>
    <n v="956"/>
    <n v="0.11"/>
    <n v="850.84"/>
    <x v="27"/>
    <n v="0.4"/>
    <x v="27"/>
    <x v="0"/>
    <x v="0"/>
    <n v="8"/>
    <x v="2"/>
    <x v="6"/>
    <n v="4"/>
    <s v="2025-04"/>
    <n v="510.50000000000006"/>
    <s v="Delayed"/>
    <s v="Profitable"/>
    <s v="Mid Value"/>
  </r>
  <r>
    <x v="29"/>
    <x v="29"/>
    <s v="Maria Singh"/>
    <x v="1"/>
    <s v="Canada"/>
    <s v="New York"/>
    <x v="0"/>
    <s v="Comics"/>
    <x v="28"/>
    <n v="4"/>
    <n v="249"/>
    <n v="0.14000000000000001"/>
    <n v="214.14"/>
    <x v="28"/>
    <n v="0.4"/>
    <x v="28"/>
    <x v="3"/>
    <x v="1"/>
    <n v="8"/>
    <x v="2"/>
    <x v="6"/>
    <n v="4"/>
    <s v="2025-04"/>
    <n v="513.93999999999994"/>
    <s v="Delayed"/>
    <s v="Profitable"/>
    <s v="Mid Value"/>
  </r>
  <r>
    <x v="30"/>
    <x v="30"/>
    <s v="Amit Verma"/>
    <x v="1"/>
    <s v="Uk"/>
    <s v="Delhi"/>
    <x v="0"/>
    <s v="Non-Fiction"/>
    <x v="29"/>
    <n v="1"/>
    <n v="975"/>
    <n v="0.08"/>
    <n v="897"/>
    <x v="29"/>
    <n v="0.4"/>
    <x v="29"/>
    <x v="2"/>
    <x v="1"/>
    <n v="6"/>
    <x v="1"/>
    <x v="11"/>
    <n v="9"/>
    <s v="2024-09"/>
    <n v="538.20000000000005"/>
    <s v="Standard"/>
    <s v="Profitable"/>
    <s v="Mid Value"/>
  </r>
  <r>
    <x v="31"/>
    <x v="31"/>
    <s v="Sara Khan"/>
    <x v="0"/>
    <s v="Uk"/>
    <s v="Delhi"/>
    <x v="0"/>
    <s v="Non-Fiction"/>
    <x v="30"/>
    <n v="3"/>
    <n v="359"/>
    <n v="0.16"/>
    <n v="301.56"/>
    <x v="30"/>
    <n v="0.4"/>
    <x v="30"/>
    <x v="3"/>
    <x v="0"/>
    <n v="5"/>
    <x v="1"/>
    <x v="3"/>
    <n v="1"/>
    <s v="2024-01"/>
    <n v="542.80999999999995"/>
    <s v="Standard"/>
    <s v="Profitable"/>
    <s v="Mid Value"/>
  </r>
  <r>
    <x v="32"/>
    <x v="32"/>
    <s v="David Lee"/>
    <x v="0"/>
    <s v="India"/>
    <s v="Mumbai"/>
    <x v="2"/>
    <s v="Sofa"/>
    <x v="31"/>
    <n v="1"/>
    <n v="2145"/>
    <n v="0.12"/>
    <n v="1887.6"/>
    <x v="31"/>
    <n v="0.2"/>
    <x v="31"/>
    <x v="0"/>
    <x v="2"/>
    <n v="3"/>
    <x v="0"/>
    <x v="8"/>
    <n v="12"/>
    <s v="2023-12"/>
    <n v="1510.08"/>
    <s v="Fast"/>
    <s v="Profitable"/>
    <s v="High Value"/>
  </r>
  <r>
    <x v="33"/>
    <x v="33"/>
    <s v="Amit Verma"/>
    <x v="2"/>
    <s v="Uk"/>
    <s v="London"/>
    <x v="3"/>
    <s v="T-Shirt"/>
    <x v="32"/>
    <n v="2"/>
    <n v="605"/>
    <n v="0.1"/>
    <n v="544.5"/>
    <x v="32"/>
    <n v="0.35"/>
    <x v="32"/>
    <x v="2"/>
    <x v="1"/>
    <n v="7"/>
    <x v="0"/>
    <x v="1"/>
    <n v="10"/>
    <s v="2023-10"/>
    <n v="707.85"/>
    <s v="Standard"/>
    <s v="Profitable"/>
    <s v="High Value"/>
  </r>
  <r>
    <x v="34"/>
    <x v="34"/>
    <s v="John Smith"/>
    <x v="3"/>
    <s v="India"/>
    <s v="Bangalore"/>
    <x v="0"/>
    <s v="Non-Fiction"/>
    <x v="33"/>
    <n v="1"/>
    <n v="1135"/>
    <n v="0.12"/>
    <n v="998.8"/>
    <x v="33"/>
    <n v="0.4"/>
    <x v="33"/>
    <x v="0"/>
    <x v="1"/>
    <n v="2"/>
    <x v="1"/>
    <x v="0"/>
    <n v="11"/>
    <s v="2024-11"/>
    <n v="599.28"/>
    <s v="Fast"/>
    <s v="Profitable"/>
    <s v="Mid Value"/>
  </r>
  <r>
    <x v="35"/>
    <x v="35"/>
    <s v="John Smith"/>
    <x v="1"/>
    <s v="Uk"/>
    <s v="London"/>
    <x v="0"/>
    <s v="Biography"/>
    <x v="34"/>
    <n v="3"/>
    <n v="436"/>
    <n v="0.22"/>
    <n v="340.08"/>
    <x v="34"/>
    <n v="0.4"/>
    <x v="34"/>
    <x v="3"/>
    <x v="0"/>
    <n v="3"/>
    <x v="1"/>
    <x v="2"/>
    <n v="3"/>
    <s v="2024-03"/>
    <n v="612.14"/>
    <s v="Fast"/>
    <s v="Profitable"/>
    <s v="High Value"/>
  </r>
  <r>
    <x v="36"/>
    <x v="36"/>
    <s v="Maria Singh"/>
    <x v="0"/>
    <s v="India"/>
    <s v="London"/>
    <x v="3"/>
    <s v="Dress"/>
    <x v="35"/>
    <n v="1"/>
    <n v="1197"/>
    <n v="0.02"/>
    <n v="1173.06"/>
    <x v="35"/>
    <n v="0.35"/>
    <x v="35"/>
    <x v="1"/>
    <x v="0"/>
    <n v="7"/>
    <x v="2"/>
    <x v="3"/>
    <n v="1"/>
    <s v="2025-01"/>
    <n v="762.49"/>
    <s v="Standard"/>
    <s v="Profitable"/>
    <s v="High Value"/>
  </r>
  <r>
    <x v="37"/>
    <x v="37"/>
    <s v="Sara Khan"/>
    <x v="3"/>
    <s v="India"/>
    <s v="Delhi"/>
    <x v="0"/>
    <s v="Comics"/>
    <x v="36"/>
    <n v="3"/>
    <n v="368"/>
    <n v="7.0000000000000007E-2"/>
    <n v="342.24"/>
    <x v="36"/>
    <n v="0.4"/>
    <x v="36"/>
    <x v="3"/>
    <x v="0"/>
    <n v="5"/>
    <x v="1"/>
    <x v="1"/>
    <n v="10"/>
    <s v="2024-10"/>
    <n v="616.03"/>
    <s v="Standard"/>
    <s v="Profitable"/>
    <s v="High Value"/>
  </r>
  <r>
    <x v="38"/>
    <x v="38"/>
    <s v="Amit Verma"/>
    <x v="2"/>
    <s v="Uk"/>
    <s v="Bangalore"/>
    <x v="0"/>
    <s v="Biography"/>
    <x v="37"/>
    <n v="2"/>
    <n v="627"/>
    <n v="0.18"/>
    <n v="514.14"/>
    <x v="37"/>
    <n v="0.4"/>
    <x v="37"/>
    <x v="2"/>
    <x v="1"/>
    <n v="5"/>
    <x v="0"/>
    <x v="3"/>
    <n v="1"/>
    <s v="2023-01"/>
    <n v="616.97"/>
    <s v="Standard"/>
    <s v="Profitable"/>
    <s v="High Value"/>
  </r>
  <r>
    <x v="39"/>
    <x v="39"/>
    <s v="John Smith"/>
    <x v="1"/>
    <s v="Usa"/>
    <s v="Toronto"/>
    <x v="3"/>
    <s v="Dress"/>
    <x v="38"/>
    <n v="1"/>
    <n v="1508"/>
    <n v="0.18"/>
    <n v="1236.56"/>
    <x v="38"/>
    <n v="0.35"/>
    <x v="38"/>
    <x v="0"/>
    <x v="1"/>
    <n v="1"/>
    <x v="0"/>
    <x v="4"/>
    <n v="6"/>
    <s v="2023-06"/>
    <n v="803.76"/>
    <s v="Fast"/>
    <s v="Profitable"/>
    <s v="High Value"/>
  </r>
  <r>
    <x v="40"/>
    <x v="40"/>
    <s v="Amit Verma"/>
    <x v="2"/>
    <s v="Usa"/>
    <s v="New York"/>
    <x v="0"/>
    <s v="Non-Fiction"/>
    <x v="39"/>
    <n v="1"/>
    <n v="1384"/>
    <n v="0.21"/>
    <n v="1093.3599999999999"/>
    <x v="39"/>
    <n v="0.4"/>
    <x v="39"/>
    <x v="3"/>
    <x v="0"/>
    <n v="7"/>
    <x v="1"/>
    <x v="2"/>
    <n v="3"/>
    <s v="2024-03"/>
    <n v="656.02"/>
    <s v="Standard"/>
    <s v="Profitable"/>
    <s v="High Value"/>
  </r>
  <r>
    <x v="41"/>
    <x v="41"/>
    <s v="John Smith"/>
    <x v="0"/>
    <s v="Usa"/>
    <s v="Toronto"/>
    <x v="0"/>
    <s v="Non-Fiction"/>
    <x v="40"/>
    <n v="1"/>
    <n v="1121"/>
    <n v="0.01"/>
    <n v="1109.79"/>
    <x v="40"/>
    <n v="0.4"/>
    <x v="40"/>
    <x v="0"/>
    <x v="0"/>
    <n v="1"/>
    <x v="2"/>
    <x v="6"/>
    <n v="4"/>
    <s v="2025-04"/>
    <n v="665.86999999999989"/>
    <s v="Fast"/>
    <s v="Profitable"/>
    <s v="High Value"/>
  </r>
  <r>
    <x v="42"/>
    <x v="42"/>
    <s v="David Lee"/>
    <x v="2"/>
    <s v="Canada"/>
    <s v="Mumbai"/>
    <x v="0"/>
    <s v="Fiction"/>
    <x v="41"/>
    <n v="2"/>
    <n v="669"/>
    <n v="0.15"/>
    <n v="568.65"/>
    <x v="41"/>
    <n v="0.4"/>
    <x v="41"/>
    <x v="0"/>
    <x v="0"/>
    <n v="6"/>
    <x v="0"/>
    <x v="1"/>
    <n v="10"/>
    <s v="2023-10"/>
    <n v="682.37999999999988"/>
    <s v="Standard"/>
    <s v="Profitable"/>
    <s v="High Value"/>
  </r>
  <r>
    <x v="43"/>
    <x v="43"/>
    <s v="Amit Verma"/>
    <x v="1"/>
    <s v="Canada"/>
    <s v="Bangalore"/>
    <x v="0"/>
    <s v="Biography"/>
    <x v="42"/>
    <n v="5"/>
    <n v="249"/>
    <n v="0.08"/>
    <n v="229.08"/>
    <x v="42"/>
    <n v="0.4"/>
    <x v="42"/>
    <x v="0"/>
    <x v="1"/>
    <n v="7"/>
    <x v="0"/>
    <x v="8"/>
    <n v="12"/>
    <s v="2023-12"/>
    <n v="687.24"/>
    <s v="Standard"/>
    <s v="Profitable"/>
    <s v="High Value"/>
  </r>
  <r>
    <x v="44"/>
    <x v="44"/>
    <s v="Maria Singh"/>
    <x v="2"/>
    <s v="Usa"/>
    <s v="Toronto"/>
    <x v="1"/>
    <s v="Cricket Bat"/>
    <x v="43"/>
    <n v="1"/>
    <n v="2403"/>
    <n v="0.21"/>
    <n v="1898.37"/>
    <x v="43"/>
    <n v="0.25"/>
    <x v="43"/>
    <x v="0"/>
    <x v="1"/>
    <n v="6"/>
    <x v="1"/>
    <x v="4"/>
    <n v="6"/>
    <s v="2024-06"/>
    <n v="1423.78"/>
    <s v="Standard"/>
    <s v="Profitable"/>
    <s v="High Value"/>
  </r>
  <r>
    <x v="45"/>
    <x v="45"/>
    <s v="Sara Khan"/>
    <x v="1"/>
    <s v="Canada"/>
    <s v="London"/>
    <x v="0"/>
    <s v="Non-Fiction"/>
    <x v="44"/>
    <n v="5"/>
    <n v="286"/>
    <n v="0.16"/>
    <n v="240.24"/>
    <x v="44"/>
    <n v="0.4"/>
    <x v="44"/>
    <x v="2"/>
    <x v="0"/>
    <n v="4"/>
    <x v="1"/>
    <x v="11"/>
    <n v="9"/>
    <s v="2024-09"/>
    <n v="720.72"/>
    <s v="Standard"/>
    <s v="Profitable"/>
    <s v="High Value"/>
  </r>
  <r>
    <x v="46"/>
    <x v="46"/>
    <s v="Maria Singh"/>
    <x v="1"/>
    <s v="Canada"/>
    <s v="Toronto"/>
    <x v="3"/>
    <s v="Jacket"/>
    <x v="45"/>
    <n v="1"/>
    <n v="1500"/>
    <n v="0.08"/>
    <n v="1380"/>
    <x v="45"/>
    <n v="0.35"/>
    <x v="45"/>
    <x v="2"/>
    <x v="0"/>
    <n v="5"/>
    <x v="0"/>
    <x v="5"/>
    <n v="8"/>
    <s v="2023-08"/>
    <n v="897"/>
    <s v="Standard"/>
    <s v="Profitable"/>
    <s v="High Value"/>
  </r>
  <r>
    <x v="47"/>
    <x v="47"/>
    <s v="Priya Mehta"/>
    <x v="3"/>
    <s v="India"/>
    <s v="London"/>
    <x v="0"/>
    <s v="Fiction"/>
    <x v="46"/>
    <n v="6"/>
    <n v="272"/>
    <n v="0.25"/>
    <n v="204"/>
    <x v="46"/>
    <n v="0.4"/>
    <x v="46"/>
    <x v="3"/>
    <x v="0"/>
    <n v="2"/>
    <x v="1"/>
    <x v="6"/>
    <n v="4"/>
    <s v="2024-04"/>
    <n v="734.4"/>
    <s v="Fast"/>
    <s v="Profitable"/>
    <s v="High Value"/>
  </r>
  <r>
    <x v="48"/>
    <x v="48"/>
    <s v="David Lee"/>
    <x v="3"/>
    <s v="Uk"/>
    <s v="Mumbai"/>
    <x v="3"/>
    <s v="T-Shirt"/>
    <x v="47"/>
    <n v="3"/>
    <n v="520"/>
    <n v="0.1"/>
    <n v="468"/>
    <x v="47"/>
    <n v="0.35"/>
    <x v="47"/>
    <x v="1"/>
    <x v="0"/>
    <n v="9"/>
    <x v="0"/>
    <x v="1"/>
    <n v="10"/>
    <s v="2023-10"/>
    <n v="912.6"/>
    <s v="Delayed"/>
    <s v="Profitable"/>
    <s v="High Value"/>
  </r>
  <r>
    <x v="49"/>
    <x v="49"/>
    <s v="Amit Verma"/>
    <x v="0"/>
    <s v="India"/>
    <s v="Toronto"/>
    <x v="3"/>
    <s v="Jeans"/>
    <x v="48"/>
    <n v="1"/>
    <n v="1567"/>
    <n v="0.1"/>
    <n v="1410.3"/>
    <x v="48"/>
    <n v="0.35"/>
    <x v="48"/>
    <x v="1"/>
    <x v="0"/>
    <n v="3"/>
    <x v="2"/>
    <x v="11"/>
    <n v="9"/>
    <s v="2025-09"/>
    <n v="916.69999999999993"/>
    <s v="Fast"/>
    <s v="Profitable"/>
    <s v="High Value"/>
  </r>
  <r>
    <x v="50"/>
    <x v="50"/>
    <s v="John Smith"/>
    <x v="1"/>
    <s v="India"/>
    <s v="Delhi"/>
    <x v="3"/>
    <s v="Jacket"/>
    <x v="49"/>
    <n v="3"/>
    <n v="625"/>
    <n v="0.23"/>
    <n v="481.25"/>
    <x v="49"/>
    <n v="0.35"/>
    <x v="49"/>
    <x v="0"/>
    <x v="0"/>
    <n v="8"/>
    <x v="0"/>
    <x v="4"/>
    <n v="6"/>
    <s v="2023-06"/>
    <n v="938.44"/>
    <s v="Delayed"/>
    <s v="Profitable"/>
    <s v="High Value"/>
  </r>
  <r>
    <x v="51"/>
    <x v="51"/>
    <s v="Sara Khan"/>
    <x v="3"/>
    <s v="Canada"/>
    <s v="Delhi"/>
    <x v="0"/>
    <s v="Biography"/>
    <x v="50"/>
    <n v="1"/>
    <n v="1331"/>
    <n v="0.05"/>
    <n v="1264.45"/>
    <x v="50"/>
    <n v="0.4"/>
    <x v="50"/>
    <x v="0"/>
    <x v="0"/>
    <n v="3"/>
    <x v="0"/>
    <x v="8"/>
    <n v="12"/>
    <s v="2023-12"/>
    <n v="758.67000000000007"/>
    <s v="Fast"/>
    <s v="Profitable"/>
    <s v="High Value"/>
  </r>
  <r>
    <x v="52"/>
    <x v="52"/>
    <s v="Priya Mehta"/>
    <x v="1"/>
    <s v="Canada"/>
    <s v="New York"/>
    <x v="0"/>
    <s v="Comics"/>
    <x v="51"/>
    <n v="3"/>
    <n v="510"/>
    <n v="0.16"/>
    <n v="428.4"/>
    <x v="51"/>
    <n v="0.4"/>
    <x v="51"/>
    <x v="2"/>
    <x v="0"/>
    <n v="7"/>
    <x v="1"/>
    <x v="6"/>
    <n v="4"/>
    <s v="2024-04"/>
    <n v="771.12"/>
    <s v="Standard"/>
    <s v="Profitable"/>
    <s v="High Value"/>
  </r>
  <r>
    <x v="53"/>
    <x v="53"/>
    <s v="Amit Verma"/>
    <x v="2"/>
    <s v="Usa"/>
    <s v="Bangalore"/>
    <x v="0"/>
    <s v="Biography"/>
    <x v="52"/>
    <n v="1"/>
    <n v="1307"/>
    <n v="0"/>
    <n v="1307"/>
    <x v="52"/>
    <n v="0.4"/>
    <x v="52"/>
    <x v="3"/>
    <x v="0"/>
    <n v="2"/>
    <x v="0"/>
    <x v="3"/>
    <n v="1"/>
    <s v="2023-01"/>
    <n v="784.2"/>
    <s v="Fast"/>
    <s v="Profitable"/>
    <s v="High Value"/>
  </r>
  <r>
    <x v="54"/>
    <x v="54"/>
    <s v="Amit Verma"/>
    <x v="3"/>
    <s v="Usa"/>
    <s v="Toronto"/>
    <x v="0"/>
    <s v="Comics"/>
    <x v="53"/>
    <n v="3"/>
    <n v="460"/>
    <n v="0.03"/>
    <n v="446.2"/>
    <x v="53"/>
    <n v="0.4"/>
    <x v="53"/>
    <x v="3"/>
    <x v="0"/>
    <n v="1"/>
    <x v="0"/>
    <x v="6"/>
    <n v="4"/>
    <s v="2023-04"/>
    <n v="803.15999999999985"/>
    <s v="Fast"/>
    <s v="Profitable"/>
    <s v="High Value"/>
  </r>
  <r>
    <x v="55"/>
    <x v="55"/>
    <s v="Sara Khan"/>
    <x v="2"/>
    <s v="India"/>
    <s v="New York"/>
    <x v="0"/>
    <s v="Comics"/>
    <x v="54"/>
    <n v="3"/>
    <n v="598"/>
    <n v="0.25"/>
    <n v="448.5"/>
    <x v="54"/>
    <n v="0.4"/>
    <x v="54"/>
    <x v="0"/>
    <x v="0"/>
    <n v="4"/>
    <x v="1"/>
    <x v="6"/>
    <n v="4"/>
    <s v="2024-04"/>
    <n v="807.3"/>
    <s v="Standard"/>
    <s v="Profitable"/>
    <s v="High Value"/>
  </r>
  <r>
    <x v="56"/>
    <x v="56"/>
    <s v="Amit Verma"/>
    <x v="3"/>
    <s v="Uk"/>
    <s v="New York"/>
    <x v="0"/>
    <s v="Biography"/>
    <x v="55"/>
    <n v="1"/>
    <n v="1483"/>
    <n v="0.09"/>
    <n v="1349.53"/>
    <x v="55"/>
    <n v="0.4"/>
    <x v="55"/>
    <x v="0"/>
    <x v="0"/>
    <n v="7"/>
    <x v="2"/>
    <x v="10"/>
    <n v="5"/>
    <s v="2025-05"/>
    <n v="809.72"/>
    <s v="Standard"/>
    <s v="Profitable"/>
    <s v="High Value"/>
  </r>
  <r>
    <x v="57"/>
    <x v="57"/>
    <s v="Sara Khan"/>
    <x v="1"/>
    <s v="Canada"/>
    <s v="Delhi"/>
    <x v="0"/>
    <s v="Biography"/>
    <x v="56"/>
    <n v="2"/>
    <n v="777"/>
    <n v="0.13"/>
    <n v="675.99"/>
    <x v="56"/>
    <n v="0.4"/>
    <x v="56"/>
    <x v="3"/>
    <x v="0"/>
    <n v="4"/>
    <x v="0"/>
    <x v="2"/>
    <n v="3"/>
    <s v="2023-03"/>
    <n v="811.19"/>
    <s v="Standard"/>
    <s v="Profitable"/>
    <s v="High Value"/>
  </r>
  <r>
    <x v="58"/>
    <x v="58"/>
    <s v="Priya Mehta"/>
    <x v="1"/>
    <s v="Uk"/>
    <s v="New York"/>
    <x v="0"/>
    <s v="Comics"/>
    <x v="57"/>
    <n v="3"/>
    <n v="541"/>
    <n v="0.16"/>
    <n v="454.44"/>
    <x v="57"/>
    <n v="0.4"/>
    <x v="57"/>
    <x v="3"/>
    <x v="1"/>
    <n v="4"/>
    <x v="1"/>
    <x v="6"/>
    <n v="4"/>
    <s v="2024-04"/>
    <n v="817.9899999999999"/>
    <s v="Standard"/>
    <s v="Profitable"/>
    <s v="High Value"/>
  </r>
  <r>
    <x v="59"/>
    <x v="59"/>
    <s v="Maria Singh"/>
    <x v="1"/>
    <s v="Canada"/>
    <s v="Bangalore"/>
    <x v="0"/>
    <s v="Comics"/>
    <x v="58"/>
    <n v="4"/>
    <n v="364"/>
    <n v="0.05"/>
    <n v="345.8"/>
    <x v="58"/>
    <n v="0.4"/>
    <x v="58"/>
    <x v="1"/>
    <x v="0"/>
    <n v="2"/>
    <x v="2"/>
    <x v="4"/>
    <n v="6"/>
    <s v="2025-06"/>
    <n v="829.92000000000007"/>
    <s v="Fast"/>
    <s v="Profitable"/>
    <s v="High Value"/>
  </r>
  <r>
    <x v="60"/>
    <x v="60"/>
    <s v="Sara Khan"/>
    <x v="3"/>
    <s v="India"/>
    <s v="Mumbai"/>
    <x v="0"/>
    <s v="Comics"/>
    <x v="59"/>
    <n v="2"/>
    <n v="788"/>
    <n v="0.12"/>
    <n v="693.44"/>
    <x v="59"/>
    <n v="0.4"/>
    <x v="59"/>
    <x v="3"/>
    <x v="0"/>
    <n v="6"/>
    <x v="0"/>
    <x v="1"/>
    <n v="10"/>
    <s v="2023-10"/>
    <n v="832.13000000000011"/>
    <s v="Standard"/>
    <s v="Profitable"/>
    <s v="High Value"/>
  </r>
  <r>
    <x v="61"/>
    <x v="61"/>
    <s v="Sara Khan"/>
    <x v="3"/>
    <s v="Usa"/>
    <s v="Toronto"/>
    <x v="1"/>
    <s v="Cricket Bat"/>
    <x v="60"/>
    <n v="1"/>
    <n v="2274"/>
    <n v="0"/>
    <n v="2274"/>
    <x v="60"/>
    <n v="0.25"/>
    <x v="60"/>
    <x v="2"/>
    <x v="0"/>
    <n v="8"/>
    <x v="0"/>
    <x v="10"/>
    <n v="5"/>
    <s v="2023-05"/>
    <n v="1705.5"/>
    <s v="Delayed"/>
    <s v="Profitable"/>
    <s v="High Value"/>
  </r>
  <r>
    <x v="62"/>
    <x v="62"/>
    <s v="Maria Singh"/>
    <x v="3"/>
    <s v="Uk"/>
    <s v="Delhi"/>
    <x v="3"/>
    <s v="Dress"/>
    <x v="61"/>
    <n v="2"/>
    <n v="1062"/>
    <n v="0.23"/>
    <n v="817.74"/>
    <x v="61"/>
    <n v="0.35"/>
    <x v="61"/>
    <x v="1"/>
    <x v="0"/>
    <n v="8"/>
    <x v="1"/>
    <x v="1"/>
    <n v="10"/>
    <s v="2024-10"/>
    <n v="1063.06"/>
    <s v="Delayed"/>
    <s v="Profitable"/>
    <s v="High Value"/>
  </r>
  <r>
    <x v="63"/>
    <x v="63"/>
    <s v="Sara Khan"/>
    <x v="3"/>
    <s v="Uk"/>
    <s v="London"/>
    <x v="0"/>
    <s v="Biography"/>
    <x v="62"/>
    <n v="2"/>
    <n v="834"/>
    <n v="0.12"/>
    <n v="733.92"/>
    <x v="62"/>
    <n v="0.4"/>
    <x v="62"/>
    <x v="2"/>
    <x v="0"/>
    <n v="9"/>
    <x v="0"/>
    <x v="3"/>
    <n v="1"/>
    <s v="2023-01"/>
    <n v="880.69999999999993"/>
    <s v="Delayed"/>
    <s v="Profitable"/>
    <s v="High Value"/>
  </r>
  <r>
    <x v="64"/>
    <x v="64"/>
    <s v="Amit Verma"/>
    <x v="0"/>
    <s v="India"/>
    <s v="Mumbai"/>
    <x v="0"/>
    <s v="Non-Fiction"/>
    <x v="63"/>
    <n v="8"/>
    <n v="227"/>
    <n v="0.18"/>
    <n v="186.14"/>
    <x v="63"/>
    <n v="0.4"/>
    <x v="63"/>
    <x v="2"/>
    <x v="1"/>
    <n v="2"/>
    <x v="2"/>
    <x v="9"/>
    <n v="7"/>
    <s v="2025-07"/>
    <n v="893.46999999999991"/>
    <s v="Fast"/>
    <s v="Profitable"/>
    <s v="High Value"/>
  </r>
  <r>
    <x v="65"/>
    <x v="65"/>
    <s v="Maria Singh"/>
    <x v="0"/>
    <s v="India"/>
    <s v="Delhi"/>
    <x v="3"/>
    <s v="Jeans"/>
    <x v="64"/>
    <n v="1"/>
    <n v="1940"/>
    <n v="0.11"/>
    <n v="1726.6"/>
    <x v="64"/>
    <n v="0.35"/>
    <x v="64"/>
    <x v="2"/>
    <x v="0"/>
    <n v="4"/>
    <x v="0"/>
    <x v="11"/>
    <n v="9"/>
    <s v="2023-09"/>
    <n v="1122.29"/>
    <s v="Standard"/>
    <s v="Profitable"/>
    <s v="High Value"/>
  </r>
  <r>
    <x v="66"/>
    <x v="66"/>
    <s v="Priya Mehta"/>
    <x v="2"/>
    <s v="Usa"/>
    <s v="Mumbai"/>
    <x v="3"/>
    <s v="Jacket"/>
    <x v="65"/>
    <n v="1"/>
    <n v="1931"/>
    <n v="0.08"/>
    <n v="1776.52"/>
    <x v="65"/>
    <n v="0.35"/>
    <x v="65"/>
    <x v="2"/>
    <x v="0"/>
    <n v="1"/>
    <x v="2"/>
    <x v="10"/>
    <n v="5"/>
    <s v="2025-05"/>
    <n v="1154.74"/>
    <s v="Fast"/>
    <s v="Profitable"/>
    <s v="High Value"/>
  </r>
  <r>
    <x v="67"/>
    <x v="67"/>
    <s v="Sara Khan"/>
    <x v="1"/>
    <s v="Usa"/>
    <s v="Toronto"/>
    <x v="0"/>
    <s v="Fiction"/>
    <x v="66"/>
    <n v="8"/>
    <n v="201"/>
    <n v="0.02"/>
    <n v="196.98"/>
    <x v="66"/>
    <n v="0.4"/>
    <x v="66"/>
    <x v="3"/>
    <x v="0"/>
    <n v="6"/>
    <x v="0"/>
    <x v="1"/>
    <n v="10"/>
    <s v="2023-10"/>
    <n v="945.49999999999989"/>
    <s v="Standard"/>
    <s v="Profitable"/>
    <s v="High Value"/>
  </r>
  <r>
    <x v="68"/>
    <x v="68"/>
    <s v="Amit Verma"/>
    <x v="0"/>
    <s v="Canada"/>
    <s v="London"/>
    <x v="0"/>
    <s v="Fiction"/>
    <x v="67"/>
    <n v="2"/>
    <n v="982"/>
    <n v="0.19"/>
    <n v="795.42"/>
    <x v="67"/>
    <n v="0.4"/>
    <x v="67"/>
    <x v="2"/>
    <x v="0"/>
    <n v="8"/>
    <x v="1"/>
    <x v="0"/>
    <n v="11"/>
    <s v="2024-11"/>
    <n v="954.49999999999989"/>
    <s v="Delayed"/>
    <s v="Profitable"/>
    <s v="High Value"/>
  </r>
  <r>
    <x v="69"/>
    <x v="69"/>
    <s v="David Lee"/>
    <x v="0"/>
    <s v="Canada"/>
    <s v="London"/>
    <x v="0"/>
    <s v="Biography"/>
    <x v="68"/>
    <n v="4"/>
    <n v="449"/>
    <n v="0.09"/>
    <n v="408.59"/>
    <x v="68"/>
    <n v="0.4"/>
    <x v="68"/>
    <x v="1"/>
    <x v="0"/>
    <n v="8"/>
    <x v="2"/>
    <x v="4"/>
    <n v="6"/>
    <s v="2025-06"/>
    <n v="980.61999999999989"/>
    <s v="Delayed"/>
    <s v="Profitable"/>
    <s v="High Value"/>
  </r>
  <r>
    <x v="70"/>
    <x v="70"/>
    <s v="Amit Verma"/>
    <x v="2"/>
    <s v="Uk"/>
    <s v="New York"/>
    <x v="1"/>
    <s v="Tennis Racket"/>
    <x v="69"/>
    <n v="1"/>
    <n v="2712"/>
    <n v="0.03"/>
    <n v="2630.64"/>
    <x v="69"/>
    <n v="0.25"/>
    <x v="69"/>
    <x v="0"/>
    <x v="0"/>
    <n v="7"/>
    <x v="0"/>
    <x v="2"/>
    <n v="3"/>
    <s v="2023-03"/>
    <n v="1972.98"/>
    <s v="Standard"/>
    <s v="Profitable"/>
    <s v="High Value"/>
  </r>
  <r>
    <x v="71"/>
    <x v="71"/>
    <s v="Priya Mehta"/>
    <x v="1"/>
    <s v="India"/>
    <s v="New York"/>
    <x v="3"/>
    <s v="T-Shirt"/>
    <x v="70"/>
    <n v="1"/>
    <n v="2427"/>
    <n v="0.22"/>
    <n v="1893.06"/>
    <x v="70"/>
    <n v="0.35"/>
    <x v="70"/>
    <x v="1"/>
    <x v="0"/>
    <n v="7"/>
    <x v="0"/>
    <x v="7"/>
    <n v="2"/>
    <s v="2023-02"/>
    <n v="1230.4899999999998"/>
    <s v="Standard"/>
    <s v="Profitable"/>
    <s v="High Value"/>
  </r>
  <r>
    <x v="72"/>
    <x v="72"/>
    <s v="Maria Singh"/>
    <x v="2"/>
    <s v="India"/>
    <s v="Bangalore"/>
    <x v="0"/>
    <s v="Fiction"/>
    <x v="71"/>
    <n v="2"/>
    <n v="943"/>
    <n v="0.12"/>
    <n v="829.84"/>
    <x v="71"/>
    <n v="0.4"/>
    <x v="71"/>
    <x v="3"/>
    <x v="0"/>
    <n v="9"/>
    <x v="1"/>
    <x v="3"/>
    <n v="1"/>
    <s v="2024-01"/>
    <n v="995.81000000000006"/>
    <s v="Delayed"/>
    <s v="Profitable"/>
    <s v="High Value"/>
  </r>
  <r>
    <x v="73"/>
    <x v="73"/>
    <s v="Amit Verma"/>
    <x v="1"/>
    <s v="Usa"/>
    <s v="Bangalore"/>
    <x v="3"/>
    <s v="T-Shirt"/>
    <x v="72"/>
    <n v="1"/>
    <n v="2338"/>
    <n v="0.18"/>
    <n v="1917.16"/>
    <x v="72"/>
    <n v="0.35"/>
    <x v="72"/>
    <x v="3"/>
    <x v="0"/>
    <n v="9"/>
    <x v="0"/>
    <x v="1"/>
    <n v="10"/>
    <s v="2023-10"/>
    <n v="1246.1500000000001"/>
    <s v="Delayed"/>
    <s v="Profitable"/>
    <s v="High Value"/>
  </r>
  <r>
    <x v="74"/>
    <x v="74"/>
    <s v="David Lee"/>
    <x v="1"/>
    <s v="India"/>
    <s v="Mumbai"/>
    <x v="0"/>
    <s v="Fiction"/>
    <x v="73"/>
    <n v="4"/>
    <n v="508"/>
    <n v="0.17"/>
    <n v="421.64"/>
    <x v="73"/>
    <n v="0.4"/>
    <x v="73"/>
    <x v="1"/>
    <x v="0"/>
    <n v="1"/>
    <x v="0"/>
    <x v="7"/>
    <n v="2"/>
    <s v="2023-02"/>
    <n v="1011.9399999999999"/>
    <s v="Fast"/>
    <s v="Profitable"/>
    <s v="High Value"/>
  </r>
  <r>
    <x v="75"/>
    <x v="75"/>
    <s v="Amit Verma"/>
    <x v="2"/>
    <s v="Canada"/>
    <s v="Delhi"/>
    <x v="0"/>
    <s v="Non-Fiction"/>
    <x v="74"/>
    <n v="2"/>
    <n v="871"/>
    <n v="0.02"/>
    <n v="853.58"/>
    <x v="74"/>
    <n v="0.4"/>
    <x v="74"/>
    <x v="2"/>
    <x v="0"/>
    <n v="9"/>
    <x v="1"/>
    <x v="5"/>
    <n v="8"/>
    <s v="2024-08"/>
    <n v="1024.3000000000002"/>
    <s v="Delayed"/>
    <s v="Profitable"/>
    <s v="High Value"/>
  </r>
  <r>
    <x v="76"/>
    <x v="76"/>
    <s v="John Smith"/>
    <x v="3"/>
    <s v="Usa"/>
    <s v="Delhi"/>
    <x v="0"/>
    <s v="Non-Fiction"/>
    <x v="75"/>
    <n v="5"/>
    <n v="361"/>
    <n v="0.05"/>
    <n v="342.95"/>
    <x v="75"/>
    <n v="0.4"/>
    <x v="75"/>
    <x v="3"/>
    <x v="1"/>
    <n v="2"/>
    <x v="2"/>
    <x v="2"/>
    <n v="3"/>
    <s v="2025-03"/>
    <n v="1028.8499999999999"/>
    <s v="Fast"/>
    <s v="Profitable"/>
    <s v="High Value"/>
  </r>
  <r>
    <x v="77"/>
    <x v="77"/>
    <s v="Sara Khan"/>
    <x v="3"/>
    <s v="Uk"/>
    <s v="New York"/>
    <x v="0"/>
    <s v="Non-Fiction"/>
    <x v="76"/>
    <n v="2"/>
    <n v="988"/>
    <n v="0.13"/>
    <n v="859.56"/>
    <x v="76"/>
    <n v="0.4"/>
    <x v="76"/>
    <x v="3"/>
    <x v="0"/>
    <n v="3"/>
    <x v="0"/>
    <x v="1"/>
    <n v="10"/>
    <s v="2023-10"/>
    <n v="1031.4699999999998"/>
    <s v="Fast"/>
    <s v="Profitable"/>
    <s v="High Value"/>
  </r>
  <r>
    <x v="78"/>
    <x v="78"/>
    <s v="Sara Khan"/>
    <x v="2"/>
    <s v="Usa"/>
    <s v="Mumbai"/>
    <x v="0"/>
    <s v="Non-Fiction"/>
    <x v="77"/>
    <n v="3"/>
    <n v="762"/>
    <n v="0.24"/>
    <n v="579.12"/>
    <x v="77"/>
    <n v="0.4"/>
    <x v="77"/>
    <x v="1"/>
    <x v="0"/>
    <n v="6"/>
    <x v="2"/>
    <x v="6"/>
    <n v="4"/>
    <s v="2025-04"/>
    <n v="1042.4199999999998"/>
    <s v="Standard"/>
    <s v="Profitable"/>
    <s v="High Value"/>
  </r>
  <r>
    <x v="79"/>
    <x v="79"/>
    <s v="Amit Verma"/>
    <x v="1"/>
    <s v="India"/>
    <s v="London"/>
    <x v="1"/>
    <s v="Yoga Mat"/>
    <x v="78"/>
    <n v="1"/>
    <n v="3113"/>
    <n v="0.1"/>
    <n v="2801.7"/>
    <x v="78"/>
    <n v="0.25"/>
    <x v="78"/>
    <x v="3"/>
    <x v="0"/>
    <n v="5"/>
    <x v="2"/>
    <x v="11"/>
    <n v="9"/>
    <s v="2025-09"/>
    <n v="2101.2799999999997"/>
    <s v="Standard"/>
    <s v="Profitable"/>
    <s v="High Value"/>
  </r>
  <r>
    <x v="80"/>
    <x v="80"/>
    <s v="Amit Verma"/>
    <x v="0"/>
    <s v="India"/>
    <s v="London"/>
    <x v="0"/>
    <s v="Fiction"/>
    <x v="79"/>
    <n v="3"/>
    <n v="770"/>
    <n v="0.24"/>
    <n v="585.20000000000005"/>
    <x v="79"/>
    <n v="0.4"/>
    <x v="79"/>
    <x v="2"/>
    <x v="0"/>
    <n v="4"/>
    <x v="2"/>
    <x v="5"/>
    <n v="8"/>
    <s v="2025-08"/>
    <n v="1053.3599999999999"/>
    <s v="Standard"/>
    <s v="Profitable"/>
    <s v="High Value"/>
  </r>
  <r>
    <x v="81"/>
    <x v="81"/>
    <s v="Amit Verma"/>
    <x v="2"/>
    <s v="Usa"/>
    <s v="New York"/>
    <x v="0"/>
    <s v="Comics"/>
    <x v="80"/>
    <n v="3"/>
    <n v="708"/>
    <n v="0.16"/>
    <n v="594.72"/>
    <x v="80"/>
    <n v="0.4"/>
    <x v="80"/>
    <x v="3"/>
    <x v="1"/>
    <n v="8"/>
    <x v="1"/>
    <x v="3"/>
    <n v="1"/>
    <s v="2024-01"/>
    <n v="1070.5"/>
    <s v="Delayed"/>
    <s v="Profitable"/>
    <s v="High Value"/>
  </r>
  <r>
    <x v="82"/>
    <x v="82"/>
    <s v="John Smith"/>
    <x v="3"/>
    <s v="India"/>
    <s v="London"/>
    <x v="3"/>
    <s v="Jacket"/>
    <x v="81"/>
    <n v="3"/>
    <n v="852"/>
    <n v="0.2"/>
    <n v="681.6"/>
    <x v="81"/>
    <n v="0.35"/>
    <x v="81"/>
    <x v="3"/>
    <x v="0"/>
    <n v="7"/>
    <x v="0"/>
    <x v="7"/>
    <n v="2"/>
    <s v="2023-02"/>
    <n v="1329.12"/>
    <s v="Standard"/>
    <s v="Profitable"/>
    <s v="High Value"/>
  </r>
  <r>
    <x v="83"/>
    <x v="83"/>
    <s v="Amit Verma"/>
    <x v="0"/>
    <s v="Usa"/>
    <s v="Toronto"/>
    <x v="0"/>
    <s v="Comics"/>
    <x v="82"/>
    <n v="2"/>
    <n v="1021"/>
    <n v="0.12"/>
    <n v="898.48"/>
    <x v="82"/>
    <n v="0.4"/>
    <x v="82"/>
    <x v="2"/>
    <x v="0"/>
    <n v="5"/>
    <x v="2"/>
    <x v="7"/>
    <n v="2"/>
    <s v="2025-02"/>
    <n v="1078.18"/>
    <s v="Standard"/>
    <s v="Profitable"/>
    <s v="High Value"/>
  </r>
  <r>
    <x v="84"/>
    <x v="84"/>
    <s v="Maria Singh"/>
    <x v="0"/>
    <s v="Usa"/>
    <s v="Bangalore"/>
    <x v="0"/>
    <s v="Comics"/>
    <x v="83"/>
    <n v="2"/>
    <n v="975"/>
    <n v="7.0000000000000007E-2"/>
    <n v="906.75"/>
    <x v="83"/>
    <n v="0.4"/>
    <x v="83"/>
    <x v="1"/>
    <x v="0"/>
    <n v="4"/>
    <x v="1"/>
    <x v="7"/>
    <n v="2"/>
    <s v="2024-02"/>
    <n v="1088.0999999999999"/>
    <s v="Standard"/>
    <s v="Profitable"/>
    <s v="High Value"/>
  </r>
  <r>
    <x v="85"/>
    <x v="85"/>
    <s v="Priya Mehta"/>
    <x v="1"/>
    <s v="India"/>
    <s v="Toronto"/>
    <x v="3"/>
    <s v="Jacket"/>
    <x v="84"/>
    <n v="3"/>
    <n v="905"/>
    <n v="0.21"/>
    <n v="714.95"/>
    <x v="84"/>
    <n v="0.35"/>
    <x v="84"/>
    <x v="0"/>
    <x v="0"/>
    <n v="5"/>
    <x v="1"/>
    <x v="6"/>
    <n v="4"/>
    <s v="2024-04"/>
    <n v="1394.1499999999999"/>
    <s v="Standard"/>
    <s v="Profitable"/>
    <s v="High Value"/>
  </r>
  <r>
    <x v="86"/>
    <x v="86"/>
    <s v="Sara Khan"/>
    <x v="0"/>
    <s v="Usa"/>
    <s v="Mumbai"/>
    <x v="0"/>
    <s v="Non-Fiction"/>
    <x v="85"/>
    <n v="4"/>
    <n v="506"/>
    <n v="0.06"/>
    <n v="475.64"/>
    <x v="85"/>
    <n v="0.4"/>
    <x v="85"/>
    <x v="3"/>
    <x v="0"/>
    <n v="9"/>
    <x v="0"/>
    <x v="7"/>
    <n v="2"/>
    <s v="2023-02"/>
    <n v="1141.54"/>
    <s v="Delayed"/>
    <s v="Profitable"/>
    <s v="High Value"/>
  </r>
  <r>
    <x v="87"/>
    <x v="87"/>
    <s v="Priya Mehta"/>
    <x v="3"/>
    <s v="India"/>
    <s v="Bangalore"/>
    <x v="0"/>
    <s v="Comics"/>
    <x v="86"/>
    <n v="3"/>
    <n v="780"/>
    <n v="0.17"/>
    <n v="647.4"/>
    <x v="86"/>
    <n v="0.4"/>
    <x v="86"/>
    <x v="0"/>
    <x v="0"/>
    <n v="1"/>
    <x v="2"/>
    <x v="6"/>
    <n v="4"/>
    <s v="2025-04"/>
    <n v="1165.3200000000002"/>
    <s v="Fast"/>
    <s v="Profitable"/>
    <s v="High Value"/>
  </r>
  <r>
    <x v="88"/>
    <x v="88"/>
    <s v="David Lee"/>
    <x v="3"/>
    <s v="India"/>
    <s v="London"/>
    <x v="0"/>
    <s v="Non-Fiction"/>
    <x v="87"/>
    <n v="2"/>
    <n v="982"/>
    <n v="0.01"/>
    <n v="972.18"/>
    <x v="87"/>
    <n v="0.4"/>
    <x v="87"/>
    <x v="2"/>
    <x v="0"/>
    <n v="1"/>
    <x v="0"/>
    <x v="11"/>
    <n v="9"/>
    <s v="2023-09"/>
    <n v="1166.6199999999999"/>
    <s v="Fast"/>
    <s v="Profitable"/>
    <s v="High Value"/>
  </r>
  <r>
    <x v="89"/>
    <x v="89"/>
    <s v="John Smith"/>
    <x v="3"/>
    <s v="Uk"/>
    <s v="Mumbai"/>
    <x v="0"/>
    <s v="Fiction"/>
    <x v="88"/>
    <n v="9"/>
    <n v="221"/>
    <n v="0.01"/>
    <n v="218.79"/>
    <x v="88"/>
    <n v="0.4"/>
    <x v="88"/>
    <x v="0"/>
    <x v="0"/>
    <n v="9"/>
    <x v="0"/>
    <x v="3"/>
    <n v="1"/>
    <s v="2023-01"/>
    <n v="1181.4699999999998"/>
    <s v="Delayed"/>
    <s v="Profitable"/>
    <s v="High Value"/>
  </r>
  <r>
    <x v="90"/>
    <x v="90"/>
    <s v="Sara Khan"/>
    <x v="3"/>
    <s v="Usa"/>
    <s v="New York"/>
    <x v="0"/>
    <s v="Biography"/>
    <x v="89"/>
    <n v="2"/>
    <n v="1351"/>
    <n v="0.24"/>
    <n v="1026.76"/>
    <x v="89"/>
    <n v="0.4"/>
    <x v="89"/>
    <x v="0"/>
    <x v="0"/>
    <n v="6"/>
    <x v="2"/>
    <x v="3"/>
    <n v="1"/>
    <s v="2025-01"/>
    <n v="1232.1100000000001"/>
    <s v="Standard"/>
    <s v="Profitable"/>
    <s v="High Value"/>
  </r>
  <r>
    <x v="91"/>
    <x v="91"/>
    <s v="Maria Singh"/>
    <x v="2"/>
    <s v="Canada"/>
    <s v="Toronto"/>
    <x v="3"/>
    <s v="Jeans"/>
    <x v="90"/>
    <n v="2"/>
    <n v="1189"/>
    <n v="0.01"/>
    <n v="1177.1099999999999"/>
    <x v="90"/>
    <n v="0.35"/>
    <x v="90"/>
    <x v="3"/>
    <x v="0"/>
    <n v="7"/>
    <x v="1"/>
    <x v="4"/>
    <n v="6"/>
    <s v="2024-06"/>
    <n v="1530.2399999999998"/>
    <s v="Standard"/>
    <s v="Profitable"/>
    <s v="High Value"/>
  </r>
  <r>
    <x v="92"/>
    <x v="92"/>
    <s v="Amit Verma"/>
    <x v="2"/>
    <s v="India"/>
    <s v="Delhi"/>
    <x v="1"/>
    <s v="Yoga Mat"/>
    <x v="91"/>
    <n v="3"/>
    <n v="1140"/>
    <n v="0.03"/>
    <n v="1105.8"/>
    <x v="91"/>
    <n v="0.25"/>
    <x v="91"/>
    <x v="3"/>
    <x v="0"/>
    <n v="8"/>
    <x v="0"/>
    <x v="1"/>
    <n v="10"/>
    <s v="2023-10"/>
    <n v="2488.0500000000002"/>
    <s v="Delayed"/>
    <s v="Profitable"/>
    <s v="High Value"/>
  </r>
  <r>
    <x v="93"/>
    <x v="93"/>
    <s v="David Lee"/>
    <x v="3"/>
    <s v="Uk"/>
    <s v="Toronto"/>
    <x v="2"/>
    <s v="Chair"/>
    <x v="92"/>
    <n v="1"/>
    <n v="4196"/>
    <n v="0.01"/>
    <n v="4154.04"/>
    <x v="92"/>
    <n v="0.2"/>
    <x v="92"/>
    <x v="3"/>
    <x v="0"/>
    <n v="9"/>
    <x v="1"/>
    <x v="0"/>
    <n v="11"/>
    <s v="2024-11"/>
    <n v="3323.23"/>
    <s v="Delayed"/>
    <s v="Profitable"/>
    <s v="High Value"/>
  </r>
  <r>
    <x v="94"/>
    <x v="94"/>
    <s v="Sara Khan"/>
    <x v="3"/>
    <s v="Usa"/>
    <s v="Delhi"/>
    <x v="2"/>
    <s v="Sofa"/>
    <x v="93"/>
    <n v="1"/>
    <n v="5553"/>
    <n v="0.24"/>
    <n v="4220.28"/>
    <x v="93"/>
    <n v="0.2"/>
    <x v="93"/>
    <x v="3"/>
    <x v="0"/>
    <n v="4"/>
    <x v="0"/>
    <x v="5"/>
    <n v="8"/>
    <s v="2023-08"/>
    <n v="3376.22"/>
    <s v="Standard"/>
    <s v="Profitable"/>
    <s v="High Value"/>
  </r>
  <r>
    <x v="95"/>
    <x v="95"/>
    <s v="Maria Singh"/>
    <x v="3"/>
    <s v="India"/>
    <s v="New York"/>
    <x v="0"/>
    <s v="Biography"/>
    <x v="94"/>
    <n v="9"/>
    <n v="257"/>
    <n v="0.08"/>
    <n v="236.44"/>
    <x v="94"/>
    <n v="0.4"/>
    <x v="94"/>
    <x v="2"/>
    <x v="1"/>
    <n v="3"/>
    <x v="2"/>
    <x v="5"/>
    <n v="8"/>
    <s v="2025-08"/>
    <n v="1276.7800000000002"/>
    <s v="Fast"/>
    <s v="Profitable"/>
    <s v="High Value"/>
  </r>
  <r>
    <x v="96"/>
    <x v="96"/>
    <s v="Sara Khan"/>
    <x v="1"/>
    <s v="Usa"/>
    <s v="New York"/>
    <x v="2"/>
    <s v="Sofa"/>
    <x v="95"/>
    <n v="1"/>
    <n v="5267"/>
    <n v="0.19"/>
    <n v="4266.2700000000004"/>
    <x v="95"/>
    <n v="0.2"/>
    <x v="95"/>
    <x v="1"/>
    <x v="0"/>
    <n v="6"/>
    <x v="1"/>
    <x v="2"/>
    <n v="3"/>
    <s v="2024-03"/>
    <n v="3413.0200000000004"/>
    <s v="Standard"/>
    <s v="Profitable"/>
    <s v="High Value"/>
  </r>
  <r>
    <x v="97"/>
    <x v="97"/>
    <s v="Priya Mehta"/>
    <x v="3"/>
    <s v="Usa"/>
    <s v="New York"/>
    <x v="2"/>
    <s v="Sofa"/>
    <x v="96"/>
    <n v="1"/>
    <n v="4551"/>
    <n v="0.06"/>
    <n v="4277.9399999999996"/>
    <x v="96"/>
    <n v="0.2"/>
    <x v="96"/>
    <x v="1"/>
    <x v="0"/>
    <n v="1"/>
    <x v="2"/>
    <x v="11"/>
    <n v="9"/>
    <s v="2025-09"/>
    <n v="3422.3499999999995"/>
    <s v="Fast"/>
    <s v="Profitable"/>
    <s v="High Value"/>
  </r>
  <r>
    <x v="98"/>
    <x v="98"/>
    <s v="Priya Mehta"/>
    <x v="2"/>
    <s v="Canada"/>
    <s v="Toronto"/>
    <x v="0"/>
    <s v="Comics"/>
    <x v="97"/>
    <n v="5"/>
    <n v="434"/>
    <n v="0.01"/>
    <n v="429.66"/>
    <x v="97"/>
    <n v="0.4"/>
    <x v="97"/>
    <x v="1"/>
    <x v="1"/>
    <n v="7"/>
    <x v="1"/>
    <x v="8"/>
    <n v="12"/>
    <s v="2024-12"/>
    <n v="1288.98"/>
    <s v="Standard"/>
    <s v="Profitable"/>
    <s v="High Value"/>
  </r>
  <r>
    <x v="99"/>
    <x v="99"/>
    <s v="John Smith"/>
    <x v="0"/>
    <s v="Canada"/>
    <s v="Delhi"/>
    <x v="0"/>
    <s v="Non-Fiction"/>
    <x v="98"/>
    <n v="6"/>
    <n v="363"/>
    <n v="0.01"/>
    <n v="359.37"/>
    <x v="98"/>
    <n v="0.4"/>
    <x v="98"/>
    <x v="2"/>
    <x v="1"/>
    <n v="8"/>
    <x v="2"/>
    <x v="11"/>
    <n v="9"/>
    <s v="2025-09"/>
    <n v="1293.7299999999998"/>
    <s v="Delayed"/>
    <s v="Profitable"/>
    <s v="High Value"/>
  </r>
  <r>
    <x v="100"/>
    <x v="100"/>
    <s v="Maria Singh"/>
    <x v="1"/>
    <s v="Usa"/>
    <s v="Delhi"/>
    <x v="0"/>
    <s v="Comics"/>
    <x v="99"/>
    <n v="4"/>
    <n v="658"/>
    <n v="0.18"/>
    <n v="539.55999999999995"/>
    <x v="99"/>
    <n v="0.4"/>
    <x v="99"/>
    <x v="2"/>
    <x v="0"/>
    <n v="6"/>
    <x v="0"/>
    <x v="3"/>
    <n v="1"/>
    <s v="2023-01"/>
    <n v="1294.9399999999998"/>
    <s v="Standard"/>
    <s v="Profitable"/>
    <s v="High Value"/>
  </r>
  <r>
    <x v="101"/>
    <x v="101"/>
    <s v="Maria Singh"/>
    <x v="0"/>
    <s v="Uk"/>
    <s v="Delhi"/>
    <x v="0"/>
    <s v="Comics"/>
    <x v="100"/>
    <n v="9"/>
    <n v="289"/>
    <n v="0.16"/>
    <n v="242.76"/>
    <x v="100"/>
    <n v="0.4"/>
    <x v="100"/>
    <x v="3"/>
    <x v="0"/>
    <n v="6"/>
    <x v="0"/>
    <x v="1"/>
    <n v="10"/>
    <s v="2023-10"/>
    <n v="1310.9"/>
    <s v="Standard"/>
    <s v="Profitable"/>
    <s v="High Value"/>
  </r>
  <r>
    <x v="102"/>
    <x v="102"/>
    <s v="Sara Khan"/>
    <x v="1"/>
    <s v="India"/>
    <s v="London"/>
    <x v="3"/>
    <s v="Jacket"/>
    <x v="101"/>
    <n v="2"/>
    <n v="1624"/>
    <n v="0.23"/>
    <n v="1250.48"/>
    <x v="101"/>
    <n v="0.35"/>
    <x v="101"/>
    <x v="3"/>
    <x v="0"/>
    <n v="8"/>
    <x v="2"/>
    <x v="3"/>
    <n v="1"/>
    <s v="2025-01"/>
    <n v="1625.62"/>
    <s v="Delayed"/>
    <s v="Profitable"/>
    <s v="High Value"/>
  </r>
  <r>
    <x v="103"/>
    <x v="103"/>
    <s v="Amit Verma"/>
    <x v="3"/>
    <s v="India"/>
    <s v="Toronto"/>
    <x v="0"/>
    <s v="Non-Fiction"/>
    <x v="102"/>
    <n v="3"/>
    <n v="793"/>
    <n v="0.08"/>
    <n v="729.56"/>
    <x v="102"/>
    <n v="0.4"/>
    <x v="102"/>
    <x v="1"/>
    <x v="0"/>
    <n v="6"/>
    <x v="1"/>
    <x v="5"/>
    <n v="8"/>
    <s v="2024-08"/>
    <n v="1313.2099999999998"/>
    <s v="Standard"/>
    <s v="Profitable"/>
    <s v="High Value"/>
  </r>
  <r>
    <x v="104"/>
    <x v="104"/>
    <s v="Maria Singh"/>
    <x v="0"/>
    <s v="Usa"/>
    <s v="Toronto"/>
    <x v="0"/>
    <s v="Biography"/>
    <x v="103"/>
    <n v="6"/>
    <n v="426"/>
    <n v="0.13"/>
    <n v="370.62"/>
    <x v="103"/>
    <n v="0.4"/>
    <x v="103"/>
    <x v="2"/>
    <x v="0"/>
    <n v="3"/>
    <x v="2"/>
    <x v="7"/>
    <n v="2"/>
    <s v="2025-02"/>
    <n v="1334.2299999999998"/>
    <s v="Fast"/>
    <s v="Profitable"/>
    <s v="High Value"/>
  </r>
  <r>
    <x v="105"/>
    <x v="105"/>
    <s v="Maria Singh"/>
    <x v="2"/>
    <s v="Canada"/>
    <s v="Bangalore"/>
    <x v="3"/>
    <s v="Jacket"/>
    <x v="104"/>
    <n v="1"/>
    <n v="2968"/>
    <n v="0.14000000000000001"/>
    <n v="2552.48"/>
    <x v="104"/>
    <n v="0.35"/>
    <x v="104"/>
    <x v="3"/>
    <x v="0"/>
    <n v="3"/>
    <x v="1"/>
    <x v="8"/>
    <n v="12"/>
    <s v="2024-12"/>
    <n v="1659.1100000000001"/>
    <s v="Fast"/>
    <s v="Profitable"/>
    <s v="High Value"/>
  </r>
  <r>
    <x v="106"/>
    <x v="106"/>
    <s v="Maria Singh"/>
    <x v="3"/>
    <s v="Uk"/>
    <s v="Mumbai"/>
    <x v="3"/>
    <s v="Jacket"/>
    <x v="105"/>
    <n v="5"/>
    <n v="597"/>
    <n v="0.14000000000000001"/>
    <n v="513.41999999999996"/>
    <x v="105"/>
    <n v="0.35"/>
    <x v="105"/>
    <x v="3"/>
    <x v="1"/>
    <n v="3"/>
    <x v="2"/>
    <x v="5"/>
    <n v="8"/>
    <s v="2025-08"/>
    <n v="1668.62"/>
    <s v="Fast"/>
    <s v="Profitable"/>
    <s v="High Value"/>
  </r>
  <r>
    <x v="107"/>
    <x v="107"/>
    <s v="Priya Mehta"/>
    <x v="2"/>
    <s v="Uk"/>
    <s v="Toronto"/>
    <x v="1"/>
    <s v="Football"/>
    <x v="106"/>
    <n v="4"/>
    <n v="1038"/>
    <n v="0.13"/>
    <n v="903.06"/>
    <x v="106"/>
    <n v="0.25"/>
    <x v="106"/>
    <x v="1"/>
    <x v="1"/>
    <n v="8"/>
    <x v="1"/>
    <x v="0"/>
    <n v="11"/>
    <s v="2024-11"/>
    <n v="2709.18"/>
    <s v="Delayed"/>
    <s v="Profitable"/>
    <s v="High Value"/>
  </r>
  <r>
    <x v="108"/>
    <x v="108"/>
    <s v="David Lee"/>
    <x v="0"/>
    <s v="Usa"/>
    <s v="Mumbai"/>
    <x v="0"/>
    <s v="Fiction"/>
    <x v="107"/>
    <n v="8"/>
    <n v="342"/>
    <n v="0.17"/>
    <n v="283.86"/>
    <x v="107"/>
    <n v="0.4"/>
    <x v="107"/>
    <x v="0"/>
    <x v="2"/>
    <n v="5"/>
    <x v="0"/>
    <x v="5"/>
    <n v="8"/>
    <s v="2023-08"/>
    <n v="1362.5300000000002"/>
    <s v="Standard"/>
    <s v="Profitable"/>
    <s v="High Value"/>
  </r>
  <r>
    <x v="109"/>
    <x v="109"/>
    <s v="Priya Mehta"/>
    <x v="0"/>
    <s v="Canada"/>
    <s v="Bangalore"/>
    <x v="0"/>
    <s v="Biography"/>
    <x v="108"/>
    <n v="2"/>
    <n v="1406"/>
    <n v="0.19"/>
    <n v="1138.8599999999999"/>
    <x v="108"/>
    <n v="0.4"/>
    <x v="108"/>
    <x v="0"/>
    <x v="0"/>
    <n v="2"/>
    <x v="1"/>
    <x v="9"/>
    <n v="7"/>
    <s v="2024-07"/>
    <n v="1366.6299999999997"/>
    <s v="Fast"/>
    <s v="Profitable"/>
    <s v="High Value"/>
  </r>
  <r>
    <x v="110"/>
    <x v="110"/>
    <s v="Priya Mehta"/>
    <x v="1"/>
    <s v="Usa"/>
    <s v="Mumbai"/>
    <x v="0"/>
    <s v="Comics"/>
    <x v="109"/>
    <n v="5"/>
    <n v="486"/>
    <n v="0.06"/>
    <n v="456.84"/>
    <x v="109"/>
    <n v="0.4"/>
    <x v="109"/>
    <x v="3"/>
    <x v="0"/>
    <n v="3"/>
    <x v="1"/>
    <x v="7"/>
    <n v="2"/>
    <s v="2024-02"/>
    <n v="1370.52"/>
    <s v="Fast"/>
    <s v="Profitable"/>
    <s v="High Value"/>
  </r>
  <r>
    <x v="111"/>
    <x v="111"/>
    <s v="John Smith"/>
    <x v="2"/>
    <s v="Usa"/>
    <s v="London"/>
    <x v="3"/>
    <s v="Jacket"/>
    <x v="110"/>
    <n v="1"/>
    <n v="3225"/>
    <n v="0.19"/>
    <n v="2612.25"/>
    <x v="110"/>
    <n v="0.35"/>
    <x v="110"/>
    <x v="3"/>
    <x v="0"/>
    <n v="7"/>
    <x v="1"/>
    <x v="6"/>
    <n v="4"/>
    <s v="2024-04"/>
    <n v="1697.96"/>
    <s v="Standard"/>
    <s v="Profitable"/>
    <s v="High Value"/>
  </r>
  <r>
    <x v="112"/>
    <x v="112"/>
    <s v="Sara Khan"/>
    <x v="0"/>
    <s v="India"/>
    <s v="London"/>
    <x v="0"/>
    <s v="Fiction"/>
    <x v="111"/>
    <n v="4"/>
    <n v="728"/>
    <n v="0.21"/>
    <n v="575.12"/>
    <x v="111"/>
    <n v="0.4"/>
    <x v="111"/>
    <x v="0"/>
    <x v="2"/>
    <n v="6"/>
    <x v="2"/>
    <x v="9"/>
    <n v="7"/>
    <s v="2025-07"/>
    <n v="1380.29"/>
    <s v="Standard"/>
    <s v="Profitable"/>
    <s v="High Value"/>
  </r>
  <r>
    <x v="113"/>
    <x v="113"/>
    <s v="Maria Singh"/>
    <x v="2"/>
    <s v="Usa"/>
    <s v="London"/>
    <x v="0"/>
    <s v="Non-Fiction"/>
    <x v="112"/>
    <n v="2"/>
    <n v="1446"/>
    <n v="0.2"/>
    <n v="1156.8"/>
    <x v="112"/>
    <n v="0.4"/>
    <x v="112"/>
    <x v="3"/>
    <x v="0"/>
    <n v="7"/>
    <x v="1"/>
    <x v="1"/>
    <n v="10"/>
    <s v="2024-10"/>
    <n v="1388.1599999999999"/>
    <s v="Standard"/>
    <s v="Profitable"/>
    <s v="High Value"/>
  </r>
  <r>
    <x v="114"/>
    <x v="114"/>
    <s v="Sara Khan"/>
    <x v="3"/>
    <s v="India"/>
    <s v="Mumbai"/>
    <x v="1"/>
    <s v="Tennis Racket"/>
    <x v="113"/>
    <n v="1"/>
    <n v="4271"/>
    <n v="0.12"/>
    <n v="3758.48"/>
    <x v="113"/>
    <n v="0.25"/>
    <x v="113"/>
    <x v="3"/>
    <x v="0"/>
    <n v="2"/>
    <x v="1"/>
    <x v="11"/>
    <n v="9"/>
    <s v="2024-09"/>
    <n v="2818.86"/>
    <s v="Fast"/>
    <s v="Profitable"/>
    <s v="High Value"/>
  </r>
  <r>
    <x v="115"/>
    <x v="115"/>
    <s v="Sara Khan"/>
    <x v="1"/>
    <s v="Usa"/>
    <s v="Toronto"/>
    <x v="0"/>
    <s v="Biography"/>
    <x v="114"/>
    <n v="6"/>
    <n v="516"/>
    <n v="0.24"/>
    <n v="392.16"/>
    <x v="114"/>
    <n v="0.4"/>
    <x v="114"/>
    <x v="0"/>
    <x v="1"/>
    <n v="9"/>
    <x v="0"/>
    <x v="3"/>
    <n v="1"/>
    <s v="2023-01"/>
    <n v="1411.7800000000002"/>
    <s v="Delayed"/>
    <s v="Profitable"/>
    <s v="High Value"/>
  </r>
  <r>
    <x v="116"/>
    <x v="116"/>
    <s v="Priya Mehta"/>
    <x v="0"/>
    <s v="Uk"/>
    <s v="New York"/>
    <x v="0"/>
    <s v="Comics"/>
    <x v="115"/>
    <n v="7"/>
    <n v="410"/>
    <n v="0.18"/>
    <n v="336.2"/>
    <x v="115"/>
    <n v="0.4"/>
    <x v="115"/>
    <x v="1"/>
    <x v="0"/>
    <n v="6"/>
    <x v="2"/>
    <x v="2"/>
    <n v="3"/>
    <s v="2025-03"/>
    <n v="1412.04"/>
    <s v="Standard"/>
    <s v="Profitable"/>
    <s v="High Value"/>
  </r>
  <r>
    <x v="117"/>
    <x v="117"/>
    <s v="Maria Singh"/>
    <x v="3"/>
    <s v="Uk"/>
    <s v="London"/>
    <x v="0"/>
    <s v="Non-Fiction"/>
    <x v="116"/>
    <n v="3"/>
    <n v="862"/>
    <n v="7.0000000000000007E-2"/>
    <n v="801.66"/>
    <x v="116"/>
    <n v="0.4"/>
    <x v="116"/>
    <x v="0"/>
    <x v="1"/>
    <n v="5"/>
    <x v="1"/>
    <x v="4"/>
    <n v="6"/>
    <s v="2024-06"/>
    <n v="1442.99"/>
    <s v="Standard"/>
    <s v="Profitable"/>
    <s v="High Value"/>
  </r>
  <r>
    <x v="118"/>
    <x v="118"/>
    <s v="Sara Khan"/>
    <x v="1"/>
    <s v="Usa"/>
    <s v="Delhi"/>
    <x v="2"/>
    <s v="Sofa"/>
    <x v="117"/>
    <n v="1"/>
    <n v="6033"/>
    <n v="0.2"/>
    <n v="4826.3999999999996"/>
    <x v="117"/>
    <n v="0.2"/>
    <x v="117"/>
    <x v="2"/>
    <x v="0"/>
    <n v="1"/>
    <x v="0"/>
    <x v="5"/>
    <n v="8"/>
    <s v="2023-08"/>
    <n v="3861.12"/>
    <s v="Fast"/>
    <s v="Profitable"/>
    <s v="High Value"/>
  </r>
  <r>
    <x v="119"/>
    <x v="119"/>
    <s v="Priya Mehta"/>
    <x v="3"/>
    <s v="Canada"/>
    <s v="Mumbai"/>
    <x v="0"/>
    <s v="Biography"/>
    <x v="118"/>
    <n v="4"/>
    <n v="644"/>
    <n v="0.06"/>
    <n v="605.36"/>
    <x v="118"/>
    <n v="0.4"/>
    <x v="118"/>
    <x v="0"/>
    <x v="0"/>
    <n v="6"/>
    <x v="2"/>
    <x v="9"/>
    <n v="7"/>
    <s v="2025-07"/>
    <n v="1452.8600000000001"/>
    <s v="Standard"/>
    <s v="Profitable"/>
    <s v="High Value"/>
  </r>
  <r>
    <x v="120"/>
    <x v="120"/>
    <s v="Maria Singh"/>
    <x v="3"/>
    <s v="Usa"/>
    <s v="Delhi"/>
    <x v="3"/>
    <s v="Jeans"/>
    <x v="119"/>
    <n v="1"/>
    <n v="2785"/>
    <n v="0"/>
    <n v="2785"/>
    <x v="119"/>
    <n v="0.35"/>
    <x v="119"/>
    <x v="3"/>
    <x v="0"/>
    <n v="8"/>
    <x v="2"/>
    <x v="11"/>
    <n v="9"/>
    <s v="2025-09"/>
    <n v="1810.25"/>
    <s v="Delayed"/>
    <s v="Profitable"/>
    <s v="High Value"/>
  </r>
  <r>
    <x v="121"/>
    <x v="121"/>
    <s v="David Lee"/>
    <x v="3"/>
    <s v="India"/>
    <s v="Delhi"/>
    <x v="0"/>
    <s v="Comics"/>
    <x v="120"/>
    <n v="7"/>
    <n v="387"/>
    <n v="0.1"/>
    <n v="348.3"/>
    <x v="120"/>
    <n v="0.4"/>
    <x v="120"/>
    <x v="2"/>
    <x v="0"/>
    <n v="2"/>
    <x v="2"/>
    <x v="10"/>
    <n v="5"/>
    <s v="2025-05"/>
    <n v="1462.86"/>
    <s v="Fast"/>
    <s v="Profitable"/>
    <s v="High Value"/>
  </r>
  <r>
    <x v="122"/>
    <x v="122"/>
    <s v="Maria Singh"/>
    <x v="3"/>
    <s v="Canada"/>
    <s v="Mumbai"/>
    <x v="0"/>
    <s v="Biography"/>
    <x v="121"/>
    <n v="8"/>
    <n v="321"/>
    <n v="0.05"/>
    <n v="304.95"/>
    <x v="121"/>
    <n v="0.4"/>
    <x v="121"/>
    <x v="1"/>
    <x v="0"/>
    <n v="5"/>
    <x v="1"/>
    <x v="0"/>
    <n v="11"/>
    <s v="2024-11"/>
    <n v="1463.7599999999998"/>
    <s v="Standard"/>
    <s v="Profitable"/>
    <s v="High Value"/>
  </r>
  <r>
    <x v="123"/>
    <x v="123"/>
    <s v="David Lee"/>
    <x v="2"/>
    <s v="Canada"/>
    <s v="Mumbai"/>
    <x v="2"/>
    <s v="Bookshelf"/>
    <x v="122"/>
    <n v="1"/>
    <n v="5726"/>
    <n v="0.14000000000000001"/>
    <n v="4924.3599999999997"/>
    <x v="122"/>
    <n v="0.2"/>
    <x v="122"/>
    <x v="0"/>
    <x v="1"/>
    <n v="3"/>
    <x v="0"/>
    <x v="5"/>
    <n v="8"/>
    <s v="2023-08"/>
    <n v="3939.49"/>
    <s v="Fast"/>
    <s v="Profitable"/>
    <s v="High Value"/>
  </r>
  <r>
    <x v="124"/>
    <x v="124"/>
    <s v="Maria Singh"/>
    <x v="3"/>
    <s v="Uk"/>
    <s v="London"/>
    <x v="1"/>
    <s v="Football"/>
    <x v="123"/>
    <n v="1"/>
    <n v="3989"/>
    <n v="0"/>
    <n v="3989"/>
    <x v="123"/>
    <n v="0.25"/>
    <x v="123"/>
    <x v="2"/>
    <x v="0"/>
    <n v="7"/>
    <x v="0"/>
    <x v="11"/>
    <n v="9"/>
    <s v="2023-09"/>
    <n v="2991.75"/>
    <s v="Standard"/>
    <s v="Profitable"/>
    <s v="High Value"/>
  </r>
  <r>
    <x v="125"/>
    <x v="125"/>
    <s v="John Smith"/>
    <x v="1"/>
    <s v="Uk"/>
    <s v="Toronto"/>
    <x v="3"/>
    <s v="Jeans"/>
    <x v="124"/>
    <n v="2"/>
    <n v="1632"/>
    <n v="0.12"/>
    <n v="1436.16"/>
    <x v="124"/>
    <n v="0.35"/>
    <x v="124"/>
    <x v="0"/>
    <x v="0"/>
    <n v="5"/>
    <x v="2"/>
    <x v="2"/>
    <n v="3"/>
    <s v="2025-03"/>
    <n v="1867.0100000000002"/>
    <s v="Standard"/>
    <s v="Profitable"/>
    <s v="High Value"/>
  </r>
  <r>
    <x v="126"/>
    <x v="126"/>
    <s v="David Lee"/>
    <x v="0"/>
    <s v="Usa"/>
    <s v="New York"/>
    <x v="2"/>
    <s v="Bookshelf"/>
    <x v="125"/>
    <n v="1"/>
    <n v="5083"/>
    <n v="0.01"/>
    <n v="5032.17"/>
    <x v="125"/>
    <n v="0.2"/>
    <x v="125"/>
    <x v="1"/>
    <x v="0"/>
    <n v="4"/>
    <x v="1"/>
    <x v="7"/>
    <n v="2"/>
    <s v="2024-02"/>
    <n v="4025.7400000000002"/>
    <s v="Standard"/>
    <s v="Profitable"/>
    <s v="High Value"/>
  </r>
  <r>
    <x v="127"/>
    <x v="127"/>
    <s v="Priya Mehta"/>
    <x v="2"/>
    <s v="Canada"/>
    <s v="Delhi"/>
    <x v="0"/>
    <s v="Comics"/>
    <x v="126"/>
    <n v="5"/>
    <n v="547"/>
    <n v="0.08"/>
    <n v="503.24"/>
    <x v="126"/>
    <n v="0.4"/>
    <x v="126"/>
    <x v="0"/>
    <x v="1"/>
    <n v="9"/>
    <x v="1"/>
    <x v="2"/>
    <n v="3"/>
    <s v="2024-03"/>
    <n v="1509.7199999999998"/>
    <s v="Delayed"/>
    <s v="Profitable"/>
    <s v="High Value"/>
  </r>
  <r>
    <x v="128"/>
    <x v="128"/>
    <s v="John Smith"/>
    <x v="3"/>
    <s v="Canada"/>
    <s v="Bangalore"/>
    <x v="0"/>
    <s v="Biography"/>
    <x v="127"/>
    <n v="3"/>
    <n v="1105"/>
    <n v="0.24"/>
    <n v="839.8"/>
    <x v="127"/>
    <n v="0.4"/>
    <x v="127"/>
    <x v="3"/>
    <x v="0"/>
    <n v="8"/>
    <x v="2"/>
    <x v="10"/>
    <n v="5"/>
    <s v="2025-05"/>
    <n v="1511.64"/>
    <s v="Delayed"/>
    <s v="Profitable"/>
    <s v="High Value"/>
  </r>
  <r>
    <x v="129"/>
    <x v="129"/>
    <s v="Priya Mehta"/>
    <x v="3"/>
    <s v="Canada"/>
    <s v="London"/>
    <x v="3"/>
    <s v="T-Shirt"/>
    <x v="128"/>
    <n v="1"/>
    <n v="2926"/>
    <n v="0.01"/>
    <n v="2896.74"/>
    <x v="128"/>
    <n v="0.35"/>
    <x v="128"/>
    <x v="2"/>
    <x v="0"/>
    <n v="4"/>
    <x v="2"/>
    <x v="11"/>
    <n v="9"/>
    <s v="2025-09"/>
    <n v="1882.8799999999997"/>
    <s v="Standard"/>
    <s v="Profitable"/>
    <s v="High Value"/>
  </r>
  <r>
    <x v="130"/>
    <x v="130"/>
    <s v="Sara Khan"/>
    <x v="3"/>
    <s v="Uk"/>
    <s v="Mumbai"/>
    <x v="1"/>
    <s v="Tennis Racket"/>
    <x v="129"/>
    <n v="3"/>
    <n v="1631"/>
    <n v="0.16"/>
    <n v="1370.04"/>
    <x v="129"/>
    <n v="0.25"/>
    <x v="129"/>
    <x v="0"/>
    <x v="0"/>
    <n v="3"/>
    <x v="2"/>
    <x v="10"/>
    <n v="5"/>
    <s v="2025-05"/>
    <n v="3082.59"/>
    <s v="Fast"/>
    <s v="Profitable"/>
    <s v="High Value"/>
  </r>
  <r>
    <x v="131"/>
    <x v="131"/>
    <s v="Amit Verma"/>
    <x v="1"/>
    <s v="Uk"/>
    <s v="New York"/>
    <x v="0"/>
    <s v="Non-Fiction"/>
    <x v="130"/>
    <n v="6"/>
    <n v="476"/>
    <n v="0.1"/>
    <n v="428.4"/>
    <x v="130"/>
    <n v="0.4"/>
    <x v="130"/>
    <x v="1"/>
    <x v="0"/>
    <n v="9"/>
    <x v="2"/>
    <x v="5"/>
    <n v="8"/>
    <s v="2025-08"/>
    <n v="1542.24"/>
    <s v="Delayed"/>
    <s v="Profitable"/>
    <s v="High Value"/>
  </r>
  <r>
    <x v="132"/>
    <x v="132"/>
    <s v="David Lee"/>
    <x v="1"/>
    <s v="Uk"/>
    <s v="Mumbai"/>
    <x v="3"/>
    <s v="T-Shirt"/>
    <x v="131"/>
    <n v="1"/>
    <n v="3356"/>
    <n v="0.12"/>
    <n v="2953.28"/>
    <x v="131"/>
    <n v="0.35"/>
    <x v="131"/>
    <x v="2"/>
    <x v="0"/>
    <n v="9"/>
    <x v="2"/>
    <x v="10"/>
    <n v="5"/>
    <s v="2025-05"/>
    <n v="1919.63"/>
    <s v="Delayed"/>
    <s v="Profitable"/>
    <s v="High Value"/>
  </r>
  <r>
    <x v="133"/>
    <x v="133"/>
    <s v="David Lee"/>
    <x v="0"/>
    <s v="Uk"/>
    <s v="London"/>
    <x v="0"/>
    <s v="Non-Fiction"/>
    <x v="132"/>
    <n v="7"/>
    <n v="389"/>
    <n v="0.05"/>
    <n v="369.55"/>
    <x v="132"/>
    <n v="0.4"/>
    <x v="132"/>
    <x v="1"/>
    <x v="0"/>
    <n v="2"/>
    <x v="1"/>
    <x v="4"/>
    <n v="6"/>
    <s v="2024-06"/>
    <n v="1552.11"/>
    <s v="Fast"/>
    <s v="Profitable"/>
    <s v="High Value"/>
  </r>
  <r>
    <x v="134"/>
    <x v="134"/>
    <s v="John Smith"/>
    <x v="3"/>
    <s v="Usa"/>
    <s v="Delhi"/>
    <x v="0"/>
    <s v="Fiction"/>
    <x v="133"/>
    <n v="4"/>
    <n v="698"/>
    <n v="7.0000000000000007E-2"/>
    <n v="649.14"/>
    <x v="133"/>
    <n v="0.4"/>
    <x v="133"/>
    <x v="2"/>
    <x v="1"/>
    <n v="7"/>
    <x v="1"/>
    <x v="1"/>
    <n v="10"/>
    <s v="2024-10"/>
    <n v="1557.94"/>
    <s v="Standard"/>
    <s v="Profitable"/>
    <s v="High Value"/>
  </r>
  <r>
    <x v="135"/>
    <x v="135"/>
    <s v="John Smith"/>
    <x v="0"/>
    <s v="Usa"/>
    <s v="Bangalore"/>
    <x v="1"/>
    <s v="Football"/>
    <x v="134"/>
    <n v="1"/>
    <n v="4249"/>
    <n v="0.02"/>
    <n v="4164.0200000000004"/>
    <x v="134"/>
    <n v="0.25"/>
    <x v="134"/>
    <x v="2"/>
    <x v="0"/>
    <n v="3"/>
    <x v="0"/>
    <x v="4"/>
    <n v="6"/>
    <s v="2023-06"/>
    <n v="3123.01"/>
    <s v="Fast"/>
    <s v="Profitable"/>
    <s v="High Value"/>
  </r>
  <r>
    <x v="136"/>
    <x v="136"/>
    <s v="Sara Khan"/>
    <x v="3"/>
    <s v="Uk"/>
    <s v="Mumbai"/>
    <x v="0"/>
    <s v="Non-Fiction"/>
    <x v="135"/>
    <n v="4"/>
    <n v="659"/>
    <n v="0.01"/>
    <n v="652.41"/>
    <x v="135"/>
    <n v="0.4"/>
    <x v="135"/>
    <x v="0"/>
    <x v="0"/>
    <n v="4"/>
    <x v="1"/>
    <x v="2"/>
    <n v="3"/>
    <s v="2024-03"/>
    <n v="1565.78"/>
    <s v="Standard"/>
    <s v="Profitable"/>
    <s v="High Value"/>
  </r>
  <r>
    <x v="137"/>
    <x v="137"/>
    <s v="Sara Khan"/>
    <x v="1"/>
    <s v="Canada"/>
    <s v="Delhi"/>
    <x v="3"/>
    <s v="Jeans"/>
    <x v="136"/>
    <n v="1"/>
    <n v="3572"/>
    <n v="0.16"/>
    <n v="3000.48"/>
    <x v="136"/>
    <n v="0.35"/>
    <x v="136"/>
    <x v="1"/>
    <x v="0"/>
    <n v="6"/>
    <x v="0"/>
    <x v="9"/>
    <n v="7"/>
    <s v="2023-07"/>
    <n v="1950.31"/>
    <s v="Standard"/>
    <s v="Profitable"/>
    <s v="High Value"/>
  </r>
  <r>
    <x v="138"/>
    <x v="138"/>
    <s v="Sara Khan"/>
    <x v="2"/>
    <s v="India"/>
    <s v="Toronto"/>
    <x v="0"/>
    <s v="Biography"/>
    <x v="137"/>
    <n v="5"/>
    <n v="689"/>
    <n v="0.23"/>
    <n v="530.53"/>
    <x v="137"/>
    <n v="0.4"/>
    <x v="137"/>
    <x v="2"/>
    <x v="0"/>
    <n v="3"/>
    <x v="2"/>
    <x v="9"/>
    <n v="7"/>
    <s v="2025-07"/>
    <n v="1591.5900000000001"/>
    <s v="Fast"/>
    <s v="Profitable"/>
    <s v="High Value"/>
  </r>
  <r>
    <x v="139"/>
    <x v="139"/>
    <s v="John Smith"/>
    <x v="1"/>
    <s v="Usa"/>
    <s v="Toronto"/>
    <x v="3"/>
    <s v="Dress"/>
    <x v="138"/>
    <n v="1"/>
    <n v="3542"/>
    <n v="0.14000000000000001"/>
    <n v="3046.12"/>
    <x v="138"/>
    <n v="0.35"/>
    <x v="138"/>
    <x v="0"/>
    <x v="0"/>
    <n v="7"/>
    <x v="1"/>
    <x v="5"/>
    <n v="8"/>
    <s v="2024-08"/>
    <n v="1979.9799999999998"/>
    <s v="Standard"/>
    <s v="Profitable"/>
    <s v="High Value"/>
  </r>
  <r>
    <x v="140"/>
    <x v="140"/>
    <s v="Priya Mehta"/>
    <x v="3"/>
    <s v="Usa"/>
    <s v="Bangalore"/>
    <x v="0"/>
    <s v="Comics"/>
    <x v="139"/>
    <n v="8"/>
    <n v="355"/>
    <n v="0.06"/>
    <n v="333.7"/>
    <x v="139"/>
    <n v="0.4"/>
    <x v="139"/>
    <x v="0"/>
    <x v="0"/>
    <n v="4"/>
    <x v="0"/>
    <x v="10"/>
    <n v="5"/>
    <s v="2023-05"/>
    <n v="1601.76"/>
    <s v="Standard"/>
    <s v="Profitable"/>
    <s v="High Value"/>
  </r>
  <r>
    <x v="141"/>
    <x v="141"/>
    <s v="Maria Singh"/>
    <x v="3"/>
    <s v="Canada"/>
    <s v="Delhi"/>
    <x v="3"/>
    <s v="T-Shirt"/>
    <x v="140"/>
    <n v="5"/>
    <n v="761"/>
    <n v="0.19"/>
    <n v="616.41"/>
    <x v="140"/>
    <n v="0.35"/>
    <x v="140"/>
    <x v="3"/>
    <x v="0"/>
    <n v="6"/>
    <x v="1"/>
    <x v="6"/>
    <n v="4"/>
    <s v="2024-04"/>
    <n v="2003.3300000000002"/>
    <s v="Standard"/>
    <s v="Profitable"/>
    <s v="High Value"/>
  </r>
  <r>
    <x v="142"/>
    <x v="142"/>
    <s v="Sara Khan"/>
    <x v="0"/>
    <s v="Canada"/>
    <s v="Delhi"/>
    <x v="0"/>
    <s v="Non-Fiction"/>
    <x v="141"/>
    <n v="4"/>
    <n v="753"/>
    <n v="0.1"/>
    <n v="677.7"/>
    <x v="141"/>
    <n v="0.4"/>
    <x v="141"/>
    <x v="1"/>
    <x v="1"/>
    <n v="7"/>
    <x v="1"/>
    <x v="5"/>
    <n v="8"/>
    <s v="2024-08"/>
    <n v="1626.4800000000002"/>
    <s v="Standard"/>
    <s v="Profitable"/>
    <s v="High Value"/>
  </r>
  <r>
    <x v="143"/>
    <x v="143"/>
    <s v="John Smith"/>
    <x v="3"/>
    <s v="Canada"/>
    <s v="London"/>
    <x v="3"/>
    <s v="Dress"/>
    <x v="142"/>
    <n v="2"/>
    <n v="1706"/>
    <n v="0.09"/>
    <n v="1552.46"/>
    <x v="142"/>
    <n v="0.35"/>
    <x v="142"/>
    <x v="0"/>
    <x v="0"/>
    <n v="9"/>
    <x v="2"/>
    <x v="2"/>
    <n v="3"/>
    <s v="2025-03"/>
    <n v="2018.2"/>
    <s v="Delayed"/>
    <s v="Profitable"/>
    <s v="High Value"/>
  </r>
  <r>
    <x v="144"/>
    <x v="144"/>
    <s v="Sara Khan"/>
    <x v="2"/>
    <s v="Canada"/>
    <s v="London"/>
    <x v="0"/>
    <s v="Fiction"/>
    <x v="143"/>
    <n v="6"/>
    <n v="472"/>
    <n v="0.04"/>
    <n v="453.12"/>
    <x v="143"/>
    <n v="0.4"/>
    <x v="143"/>
    <x v="0"/>
    <x v="0"/>
    <n v="3"/>
    <x v="1"/>
    <x v="0"/>
    <n v="11"/>
    <s v="2024-11"/>
    <n v="1631.2299999999998"/>
    <s v="Fast"/>
    <s v="Profitable"/>
    <s v="High Value"/>
  </r>
  <r>
    <x v="145"/>
    <x v="145"/>
    <s v="Amit Verma"/>
    <x v="1"/>
    <s v="India"/>
    <s v="Mumbai"/>
    <x v="3"/>
    <s v="T-Shirt"/>
    <x v="144"/>
    <n v="5"/>
    <n v="782"/>
    <n v="0.2"/>
    <n v="625.6"/>
    <x v="144"/>
    <n v="0.35"/>
    <x v="144"/>
    <x v="0"/>
    <x v="0"/>
    <n v="1"/>
    <x v="1"/>
    <x v="8"/>
    <n v="12"/>
    <s v="2024-12"/>
    <n v="2033.2"/>
    <s v="Fast"/>
    <s v="Profitable"/>
    <s v="High Value"/>
  </r>
  <r>
    <x v="146"/>
    <x v="146"/>
    <s v="Maria Singh"/>
    <x v="0"/>
    <s v="Usa"/>
    <s v="New York"/>
    <x v="3"/>
    <s v="Dress"/>
    <x v="145"/>
    <n v="1"/>
    <n v="3583"/>
    <n v="0.11"/>
    <n v="3188.87"/>
    <x v="145"/>
    <n v="0.35"/>
    <x v="145"/>
    <x v="1"/>
    <x v="0"/>
    <n v="5"/>
    <x v="2"/>
    <x v="3"/>
    <n v="1"/>
    <s v="2025-01"/>
    <n v="2072.77"/>
    <s v="Standard"/>
    <s v="Profitable"/>
    <s v="High Value"/>
  </r>
  <r>
    <x v="147"/>
    <x v="147"/>
    <s v="David Lee"/>
    <x v="0"/>
    <s v="Usa"/>
    <s v="London"/>
    <x v="0"/>
    <s v="Biography"/>
    <x v="146"/>
    <n v="6"/>
    <n v="490"/>
    <n v="0.05"/>
    <n v="465.5"/>
    <x v="146"/>
    <n v="0.4"/>
    <x v="146"/>
    <x v="3"/>
    <x v="0"/>
    <n v="2"/>
    <x v="0"/>
    <x v="1"/>
    <n v="10"/>
    <s v="2023-10"/>
    <n v="1675.8"/>
    <s v="Fast"/>
    <s v="Profitable"/>
    <s v="High Value"/>
  </r>
  <r>
    <x v="148"/>
    <x v="148"/>
    <s v="David Lee"/>
    <x v="1"/>
    <s v="Canada"/>
    <s v="New York"/>
    <x v="2"/>
    <s v="Bookshelf"/>
    <x v="147"/>
    <n v="1"/>
    <n v="6648"/>
    <n v="0.15"/>
    <n v="5650.8"/>
    <x v="147"/>
    <n v="0.2"/>
    <x v="147"/>
    <x v="2"/>
    <x v="0"/>
    <n v="7"/>
    <x v="0"/>
    <x v="6"/>
    <n v="4"/>
    <s v="2023-04"/>
    <n v="4520.6400000000003"/>
    <s v="Standard"/>
    <s v="Profitable"/>
    <s v="High Value"/>
  </r>
  <r>
    <x v="149"/>
    <x v="149"/>
    <s v="Maria Singh"/>
    <x v="0"/>
    <s v="Canada"/>
    <s v="London"/>
    <x v="0"/>
    <s v="Biography"/>
    <x v="148"/>
    <n v="9"/>
    <n v="385"/>
    <n v="0.18"/>
    <n v="315.7"/>
    <x v="148"/>
    <n v="0.4"/>
    <x v="148"/>
    <x v="1"/>
    <x v="0"/>
    <n v="1"/>
    <x v="0"/>
    <x v="2"/>
    <n v="3"/>
    <s v="2023-03"/>
    <n v="1704.7800000000002"/>
    <s v="Fast"/>
    <s v="Profitable"/>
    <s v="High Value"/>
  </r>
  <r>
    <x v="150"/>
    <x v="150"/>
    <s v="Priya Mehta"/>
    <x v="3"/>
    <s v="India"/>
    <s v="Bangalore"/>
    <x v="0"/>
    <s v="Fiction"/>
    <x v="149"/>
    <n v="4"/>
    <n v="740"/>
    <n v="0.04"/>
    <n v="710.4"/>
    <x v="149"/>
    <n v="0.4"/>
    <x v="149"/>
    <x v="3"/>
    <x v="0"/>
    <n v="9"/>
    <x v="1"/>
    <x v="8"/>
    <n v="12"/>
    <s v="2024-12"/>
    <n v="1704.9599999999998"/>
    <s v="Delayed"/>
    <s v="Profitable"/>
    <s v="High Value"/>
  </r>
  <r>
    <x v="151"/>
    <x v="151"/>
    <s v="David Lee"/>
    <x v="0"/>
    <s v="Uk"/>
    <s v="Bangalore"/>
    <x v="0"/>
    <s v="Non-Fiction"/>
    <x v="150"/>
    <n v="9"/>
    <n v="395"/>
    <n v="0.2"/>
    <n v="316"/>
    <x v="150"/>
    <n v="0.4"/>
    <x v="150"/>
    <x v="0"/>
    <x v="2"/>
    <n v="3"/>
    <x v="2"/>
    <x v="4"/>
    <n v="6"/>
    <s v="2025-06"/>
    <n v="1706.4"/>
    <s v="Fast"/>
    <s v="Profitable"/>
    <s v="High Value"/>
  </r>
  <r>
    <x v="152"/>
    <x v="152"/>
    <s v="Sara Khan"/>
    <x v="3"/>
    <s v="Uk"/>
    <s v="Bangalore"/>
    <x v="0"/>
    <s v="Comics"/>
    <x v="151"/>
    <n v="2"/>
    <n v="1450"/>
    <n v="0.01"/>
    <n v="1435.5"/>
    <x v="151"/>
    <n v="0.4"/>
    <x v="151"/>
    <x v="3"/>
    <x v="0"/>
    <n v="2"/>
    <x v="1"/>
    <x v="5"/>
    <n v="8"/>
    <s v="2024-08"/>
    <n v="1722.6"/>
    <s v="Fast"/>
    <s v="Profitable"/>
    <s v="High Value"/>
  </r>
  <r>
    <x v="153"/>
    <x v="153"/>
    <s v="Maria Singh"/>
    <x v="3"/>
    <s v="Uk"/>
    <s v="London"/>
    <x v="0"/>
    <s v="Comics"/>
    <x v="86"/>
    <n v="5"/>
    <n v="731"/>
    <n v="0.2"/>
    <n v="584.79999999999995"/>
    <x v="152"/>
    <n v="0.4"/>
    <x v="152"/>
    <x v="0"/>
    <x v="0"/>
    <n v="3"/>
    <x v="2"/>
    <x v="5"/>
    <n v="8"/>
    <s v="2025-08"/>
    <n v="1754.4"/>
    <s v="Fast"/>
    <s v="Profitable"/>
    <s v="High Value"/>
  </r>
  <r>
    <x v="154"/>
    <x v="154"/>
    <s v="John Smith"/>
    <x v="2"/>
    <s v="Canada"/>
    <s v="Bangalore"/>
    <x v="3"/>
    <s v="Jeans"/>
    <x v="152"/>
    <n v="3"/>
    <n v="1203"/>
    <n v="0.06"/>
    <n v="1130.82"/>
    <x v="153"/>
    <n v="0.35"/>
    <x v="153"/>
    <x v="0"/>
    <x v="0"/>
    <n v="4"/>
    <x v="2"/>
    <x v="6"/>
    <n v="4"/>
    <s v="2025-04"/>
    <n v="2205.1000000000004"/>
    <s v="Standard"/>
    <s v="Profitable"/>
    <s v="High Value"/>
  </r>
  <r>
    <x v="155"/>
    <x v="155"/>
    <s v="Maria Singh"/>
    <x v="3"/>
    <s v="India"/>
    <s v="Bangalore"/>
    <x v="3"/>
    <s v="T-Shirt"/>
    <x v="153"/>
    <n v="3"/>
    <n v="1512"/>
    <n v="0.25"/>
    <n v="1134"/>
    <x v="154"/>
    <n v="0.35"/>
    <x v="154"/>
    <x v="2"/>
    <x v="0"/>
    <n v="5"/>
    <x v="1"/>
    <x v="2"/>
    <n v="3"/>
    <s v="2024-03"/>
    <n v="2211.3000000000002"/>
    <s v="Standard"/>
    <s v="Profitable"/>
    <s v="High Value"/>
  </r>
  <r>
    <x v="156"/>
    <x v="156"/>
    <s v="Amit Verma"/>
    <x v="3"/>
    <s v="Canada"/>
    <s v="Toronto"/>
    <x v="3"/>
    <s v="T-Shirt"/>
    <x v="154"/>
    <n v="1"/>
    <n v="4411"/>
    <n v="0.21"/>
    <n v="3484.69"/>
    <x v="155"/>
    <n v="0.35"/>
    <x v="155"/>
    <x v="0"/>
    <x v="0"/>
    <n v="4"/>
    <x v="0"/>
    <x v="3"/>
    <n v="1"/>
    <s v="2023-01"/>
    <n v="2265.0500000000002"/>
    <s v="Standard"/>
    <s v="Profitable"/>
    <s v="High Value"/>
  </r>
  <r>
    <x v="157"/>
    <x v="157"/>
    <s v="Priya Mehta"/>
    <x v="3"/>
    <s v="Uk"/>
    <s v="Mumbai"/>
    <x v="0"/>
    <s v="Comics"/>
    <x v="155"/>
    <n v="5"/>
    <n v="736"/>
    <n v="0.17"/>
    <n v="610.88"/>
    <x v="156"/>
    <n v="0.4"/>
    <x v="156"/>
    <x v="1"/>
    <x v="0"/>
    <n v="4"/>
    <x v="1"/>
    <x v="10"/>
    <n v="5"/>
    <s v="2024-05"/>
    <n v="1832.64"/>
    <s v="Standard"/>
    <s v="Profitable"/>
    <s v="High Value"/>
  </r>
  <r>
    <x v="158"/>
    <x v="158"/>
    <s v="David Lee"/>
    <x v="0"/>
    <s v="Uk"/>
    <s v="Mumbai"/>
    <x v="1"/>
    <s v="Cricket Bat"/>
    <x v="156"/>
    <n v="1"/>
    <n v="5917"/>
    <n v="0.17"/>
    <n v="4911.1099999999997"/>
    <x v="157"/>
    <n v="0.25"/>
    <x v="157"/>
    <x v="2"/>
    <x v="0"/>
    <n v="5"/>
    <x v="1"/>
    <x v="10"/>
    <n v="5"/>
    <s v="2024-05"/>
    <n v="3683.33"/>
    <s v="Standard"/>
    <s v="Profitable"/>
    <s v="High Value"/>
  </r>
  <r>
    <x v="159"/>
    <x v="159"/>
    <s v="Maria Singh"/>
    <x v="2"/>
    <s v="Canada"/>
    <s v="London"/>
    <x v="1"/>
    <s v="Cricket Bat"/>
    <x v="157"/>
    <n v="3"/>
    <n v="1867"/>
    <n v="0.11"/>
    <n v="1661.63"/>
    <x v="158"/>
    <n v="0.25"/>
    <x v="158"/>
    <x v="3"/>
    <x v="0"/>
    <n v="5"/>
    <x v="2"/>
    <x v="2"/>
    <n v="3"/>
    <s v="2025-03"/>
    <n v="3738.67"/>
    <s v="Standard"/>
    <s v="Profitable"/>
    <s v="High Value"/>
  </r>
  <r>
    <x v="160"/>
    <x v="160"/>
    <s v="John Smith"/>
    <x v="1"/>
    <s v="Uk"/>
    <s v="Delhi"/>
    <x v="3"/>
    <s v="Jacket"/>
    <x v="158"/>
    <n v="5"/>
    <n v="801"/>
    <n v="0.11"/>
    <n v="712.89"/>
    <x v="159"/>
    <n v="0.35"/>
    <x v="159"/>
    <x v="3"/>
    <x v="0"/>
    <n v="1"/>
    <x v="1"/>
    <x v="8"/>
    <n v="12"/>
    <s v="2024-12"/>
    <n v="2316.89"/>
    <s v="Fast"/>
    <s v="Profitable"/>
    <s v="High Value"/>
  </r>
  <r>
    <x v="161"/>
    <x v="161"/>
    <s v="Priya Mehta"/>
    <x v="2"/>
    <s v="Uk"/>
    <s v="Toronto"/>
    <x v="3"/>
    <s v="Jacket"/>
    <x v="159"/>
    <n v="3"/>
    <n v="1468"/>
    <n v="0.18"/>
    <n v="1203.76"/>
    <x v="160"/>
    <n v="0.35"/>
    <x v="160"/>
    <x v="1"/>
    <x v="0"/>
    <n v="4"/>
    <x v="0"/>
    <x v="10"/>
    <n v="5"/>
    <s v="2023-05"/>
    <n v="2347.33"/>
    <s v="Standard"/>
    <s v="Profitable"/>
    <s v="High Value"/>
  </r>
  <r>
    <x v="162"/>
    <x v="162"/>
    <s v="Sara Khan"/>
    <x v="2"/>
    <s v="Usa"/>
    <s v="Delhi"/>
    <x v="1"/>
    <s v="Cricket Bat"/>
    <x v="160"/>
    <n v="1"/>
    <n v="5268"/>
    <n v="0.04"/>
    <n v="5057.28"/>
    <x v="161"/>
    <n v="0.25"/>
    <x v="161"/>
    <x v="2"/>
    <x v="0"/>
    <n v="9"/>
    <x v="1"/>
    <x v="5"/>
    <n v="8"/>
    <s v="2024-08"/>
    <n v="3792.96"/>
    <s v="Delayed"/>
    <s v="Profitable"/>
    <s v="High Value"/>
  </r>
  <r>
    <x v="163"/>
    <x v="163"/>
    <s v="David Lee"/>
    <x v="2"/>
    <s v="Usa"/>
    <s v="London"/>
    <x v="1"/>
    <s v="Tennis Racket"/>
    <x v="161"/>
    <n v="1"/>
    <n v="5445"/>
    <n v="0.06"/>
    <n v="5118.3"/>
    <x v="162"/>
    <n v="0.25"/>
    <x v="162"/>
    <x v="1"/>
    <x v="0"/>
    <n v="3"/>
    <x v="0"/>
    <x v="0"/>
    <n v="11"/>
    <s v="2023-11"/>
    <n v="3838.7200000000003"/>
    <s v="Fast"/>
    <s v="Profitable"/>
    <s v="High Value"/>
  </r>
  <r>
    <x v="164"/>
    <x v="164"/>
    <s v="Amit Verma"/>
    <x v="1"/>
    <s v="India"/>
    <s v="London"/>
    <x v="3"/>
    <s v="Dress"/>
    <x v="162"/>
    <n v="1"/>
    <n v="4086"/>
    <n v="0.1"/>
    <n v="3677.4"/>
    <x v="163"/>
    <n v="0.35"/>
    <x v="163"/>
    <x v="3"/>
    <x v="0"/>
    <n v="8"/>
    <x v="2"/>
    <x v="7"/>
    <n v="2"/>
    <s v="2025-02"/>
    <n v="2390.3100000000004"/>
    <s v="Delayed"/>
    <s v="Profitable"/>
    <s v="High Value"/>
  </r>
  <r>
    <x v="165"/>
    <x v="165"/>
    <s v="Sara Khan"/>
    <x v="3"/>
    <s v="Uk"/>
    <s v="Delhi"/>
    <x v="0"/>
    <s v="Non-Fiction"/>
    <x v="163"/>
    <n v="5"/>
    <n v="716"/>
    <n v="0.1"/>
    <n v="644.4"/>
    <x v="164"/>
    <n v="0.4"/>
    <x v="164"/>
    <x v="3"/>
    <x v="0"/>
    <n v="7"/>
    <x v="1"/>
    <x v="3"/>
    <n v="1"/>
    <s v="2024-01"/>
    <n v="1933.2"/>
    <s v="Standard"/>
    <s v="Profitable"/>
    <s v="High Value"/>
  </r>
  <r>
    <x v="166"/>
    <x v="166"/>
    <s v="John Smith"/>
    <x v="1"/>
    <s v="Usa"/>
    <s v="New York"/>
    <x v="3"/>
    <s v="Jeans"/>
    <x v="164"/>
    <n v="5"/>
    <n v="769"/>
    <n v="0.04"/>
    <n v="738.24"/>
    <x v="165"/>
    <n v="0.35"/>
    <x v="165"/>
    <x v="3"/>
    <x v="0"/>
    <n v="2"/>
    <x v="2"/>
    <x v="10"/>
    <n v="5"/>
    <s v="2025-05"/>
    <n v="2399.2799999999997"/>
    <s v="Fast"/>
    <s v="Profitable"/>
    <s v="High Value"/>
  </r>
  <r>
    <x v="167"/>
    <x v="167"/>
    <s v="Amit Verma"/>
    <x v="2"/>
    <s v="Uk"/>
    <s v="Mumbai"/>
    <x v="0"/>
    <s v="Non-Fiction"/>
    <x v="165"/>
    <n v="4"/>
    <n v="1073"/>
    <n v="0.24"/>
    <n v="815.48"/>
    <x v="166"/>
    <n v="0.4"/>
    <x v="166"/>
    <x v="0"/>
    <x v="1"/>
    <n v="4"/>
    <x v="2"/>
    <x v="3"/>
    <n v="1"/>
    <s v="2025-01"/>
    <n v="1957.15"/>
    <s v="Standard"/>
    <s v="Profitable"/>
    <s v="High Value"/>
  </r>
  <r>
    <x v="168"/>
    <x v="168"/>
    <s v="Priya Mehta"/>
    <x v="0"/>
    <s v="Canada"/>
    <s v="Toronto"/>
    <x v="0"/>
    <s v="Non-Fiction"/>
    <x v="166"/>
    <n v="6"/>
    <n v="550"/>
    <n v="0.01"/>
    <n v="544.5"/>
    <x v="167"/>
    <n v="0.4"/>
    <x v="167"/>
    <x v="1"/>
    <x v="0"/>
    <n v="9"/>
    <x v="1"/>
    <x v="0"/>
    <n v="11"/>
    <s v="2024-11"/>
    <n v="1960.2"/>
    <s v="Delayed"/>
    <s v="Profitable"/>
    <s v="High Value"/>
  </r>
  <r>
    <x v="169"/>
    <x v="169"/>
    <s v="David Lee"/>
    <x v="2"/>
    <s v="Canada"/>
    <s v="London"/>
    <x v="2"/>
    <s v="Bookshelf"/>
    <x v="167"/>
    <n v="3"/>
    <n v="2899"/>
    <n v="0.24"/>
    <n v="2203.2399999999998"/>
    <x v="168"/>
    <n v="0.2"/>
    <x v="168"/>
    <x v="0"/>
    <x v="0"/>
    <n v="4"/>
    <x v="0"/>
    <x v="3"/>
    <n v="1"/>
    <s v="2023-01"/>
    <n v="5287.7800000000007"/>
    <s v="Standard"/>
    <s v="Profitable"/>
    <s v="High Value"/>
  </r>
  <r>
    <x v="170"/>
    <x v="170"/>
    <s v="David Lee"/>
    <x v="2"/>
    <s v="Uk"/>
    <s v="Toronto"/>
    <x v="0"/>
    <s v="Fiction"/>
    <x v="168"/>
    <n v="6"/>
    <n v="672"/>
    <n v="0.18"/>
    <n v="551.04"/>
    <x v="169"/>
    <n v="0.4"/>
    <x v="169"/>
    <x v="1"/>
    <x v="0"/>
    <n v="6"/>
    <x v="2"/>
    <x v="3"/>
    <n v="1"/>
    <s v="2025-01"/>
    <n v="1983.7399999999998"/>
    <s v="Standard"/>
    <s v="Profitable"/>
    <s v="High Value"/>
  </r>
  <r>
    <x v="171"/>
    <x v="171"/>
    <s v="Amit Verma"/>
    <x v="0"/>
    <s v="Uk"/>
    <s v="London"/>
    <x v="0"/>
    <s v="Fiction"/>
    <x v="169"/>
    <n v="5"/>
    <n v="781"/>
    <n v="0.15"/>
    <n v="663.85"/>
    <x v="170"/>
    <n v="0.4"/>
    <x v="170"/>
    <x v="0"/>
    <x v="0"/>
    <n v="5"/>
    <x v="2"/>
    <x v="4"/>
    <n v="6"/>
    <s v="2025-06"/>
    <n v="1991.55"/>
    <s v="Standard"/>
    <s v="Profitable"/>
    <s v="High Value"/>
  </r>
  <r>
    <x v="172"/>
    <x v="172"/>
    <s v="Priya Mehta"/>
    <x v="2"/>
    <s v="Canada"/>
    <s v="Bangalore"/>
    <x v="3"/>
    <s v="Jeans"/>
    <x v="170"/>
    <n v="2"/>
    <n v="2438"/>
    <n v="0.22"/>
    <n v="1901.64"/>
    <x v="171"/>
    <n v="0.35"/>
    <x v="171"/>
    <x v="2"/>
    <x v="0"/>
    <n v="1"/>
    <x v="2"/>
    <x v="9"/>
    <n v="7"/>
    <s v="2025-07"/>
    <n v="2472.13"/>
    <s v="Fast"/>
    <s v="Profitable"/>
    <s v="High Value"/>
  </r>
  <r>
    <x v="173"/>
    <x v="173"/>
    <s v="Maria Singh"/>
    <x v="0"/>
    <s v="Usa"/>
    <s v="Mumbai"/>
    <x v="1"/>
    <s v="Tennis Racket"/>
    <x v="171"/>
    <n v="5"/>
    <n v="1158"/>
    <n v="0.08"/>
    <n v="1065.3599999999999"/>
    <x v="172"/>
    <n v="0.25"/>
    <x v="172"/>
    <x v="3"/>
    <x v="0"/>
    <n v="7"/>
    <x v="0"/>
    <x v="7"/>
    <n v="2"/>
    <s v="2023-02"/>
    <n v="3995.1000000000004"/>
    <s v="Standard"/>
    <s v="Profitable"/>
    <s v="High Value"/>
  </r>
  <r>
    <x v="174"/>
    <x v="174"/>
    <s v="John Smith"/>
    <x v="0"/>
    <s v="Usa"/>
    <s v="New York"/>
    <x v="0"/>
    <s v="Comics"/>
    <x v="172"/>
    <n v="8"/>
    <n v="441"/>
    <n v="0.05"/>
    <n v="418.95"/>
    <x v="173"/>
    <n v="0.4"/>
    <x v="173"/>
    <x v="1"/>
    <x v="0"/>
    <n v="4"/>
    <x v="1"/>
    <x v="9"/>
    <n v="7"/>
    <s v="2024-07"/>
    <n v="2010.9599999999998"/>
    <s v="Standard"/>
    <s v="Profitable"/>
    <s v="High Value"/>
  </r>
  <r>
    <x v="175"/>
    <x v="175"/>
    <s v="Priya Mehta"/>
    <x v="3"/>
    <s v="Uk"/>
    <s v="Mumbai"/>
    <x v="1"/>
    <s v="Football"/>
    <x v="173"/>
    <n v="1"/>
    <n v="6548"/>
    <n v="0.18"/>
    <n v="5369.36"/>
    <x v="174"/>
    <n v="0.25"/>
    <x v="174"/>
    <x v="0"/>
    <x v="1"/>
    <n v="3"/>
    <x v="1"/>
    <x v="6"/>
    <n v="4"/>
    <s v="2024-04"/>
    <n v="4027.0199999999995"/>
    <s v="Fast"/>
    <s v="Profitable"/>
    <s v="High Value"/>
  </r>
  <r>
    <x v="176"/>
    <x v="176"/>
    <s v="Sara Khan"/>
    <x v="1"/>
    <s v="Usa"/>
    <s v="Mumbai"/>
    <x v="3"/>
    <s v="T-Shirt"/>
    <x v="174"/>
    <n v="8"/>
    <n v="511"/>
    <n v="0.06"/>
    <n v="480.34"/>
    <x v="175"/>
    <n v="0.35"/>
    <x v="175"/>
    <x v="0"/>
    <x v="0"/>
    <n v="4"/>
    <x v="0"/>
    <x v="11"/>
    <n v="9"/>
    <s v="2023-09"/>
    <n v="2497.7699999999995"/>
    <s v="Standard"/>
    <s v="Profitable"/>
    <s v="High Value"/>
  </r>
  <r>
    <x v="177"/>
    <x v="177"/>
    <s v="Maria Singh"/>
    <x v="3"/>
    <s v="Uk"/>
    <s v="Mumbai"/>
    <x v="0"/>
    <s v="Fiction"/>
    <x v="175"/>
    <n v="5"/>
    <n v="689"/>
    <n v="0.02"/>
    <n v="675.22"/>
    <x v="176"/>
    <n v="0.4"/>
    <x v="176"/>
    <x v="0"/>
    <x v="0"/>
    <n v="8"/>
    <x v="0"/>
    <x v="4"/>
    <n v="6"/>
    <s v="2023-06"/>
    <n v="2025.6599999999999"/>
    <s v="Delayed"/>
    <s v="Profitable"/>
    <s v="High Value"/>
  </r>
  <r>
    <x v="178"/>
    <x v="178"/>
    <s v="David Lee"/>
    <x v="3"/>
    <s v="Usa"/>
    <s v="Toronto"/>
    <x v="1"/>
    <s v="Cricket Bat"/>
    <x v="176"/>
    <n v="2"/>
    <n v="3274"/>
    <n v="0.17"/>
    <n v="2717.42"/>
    <x v="177"/>
    <n v="0.25"/>
    <x v="177"/>
    <x v="1"/>
    <x v="0"/>
    <n v="3"/>
    <x v="2"/>
    <x v="11"/>
    <n v="9"/>
    <s v="2025-09"/>
    <n v="4076.13"/>
    <s v="Fast"/>
    <s v="Profitable"/>
    <s v="High Value"/>
  </r>
  <r>
    <x v="179"/>
    <x v="179"/>
    <s v="Amit Verma"/>
    <x v="2"/>
    <s v="Uk"/>
    <s v="Mumbai"/>
    <x v="3"/>
    <s v="Dress"/>
    <x v="177"/>
    <n v="8"/>
    <n v="648"/>
    <n v="0.25"/>
    <n v="486"/>
    <x v="178"/>
    <n v="0.35"/>
    <x v="178"/>
    <x v="0"/>
    <x v="0"/>
    <n v="6"/>
    <x v="1"/>
    <x v="2"/>
    <n v="3"/>
    <s v="2024-03"/>
    <n v="2527.1999999999998"/>
    <s v="Standard"/>
    <s v="Profitable"/>
    <s v="High Value"/>
  </r>
  <r>
    <x v="180"/>
    <x v="180"/>
    <s v="Sara Khan"/>
    <x v="3"/>
    <s v="Canada"/>
    <s v="Mumbai"/>
    <x v="0"/>
    <s v="Biography"/>
    <x v="178"/>
    <n v="3"/>
    <n v="1477"/>
    <n v="0.22"/>
    <n v="1152.06"/>
    <x v="179"/>
    <n v="0.4"/>
    <x v="179"/>
    <x v="0"/>
    <x v="1"/>
    <n v="8"/>
    <x v="2"/>
    <x v="11"/>
    <n v="9"/>
    <s v="2025-09"/>
    <n v="2073.71"/>
    <s v="Delayed"/>
    <s v="Profitable"/>
    <s v="High Value"/>
  </r>
  <r>
    <x v="181"/>
    <x v="181"/>
    <s v="John Smith"/>
    <x v="3"/>
    <s v="Canada"/>
    <s v="Delhi"/>
    <x v="3"/>
    <s v="Jacket"/>
    <x v="179"/>
    <n v="2"/>
    <n v="2113"/>
    <n v="0.06"/>
    <n v="1986.22"/>
    <x v="180"/>
    <n v="0.35"/>
    <x v="180"/>
    <x v="3"/>
    <x v="0"/>
    <n v="1"/>
    <x v="1"/>
    <x v="1"/>
    <n v="10"/>
    <s v="2024-10"/>
    <n v="2582.09"/>
    <s v="Fast"/>
    <s v="Profitable"/>
    <s v="High Value"/>
  </r>
  <r>
    <x v="182"/>
    <x v="182"/>
    <s v="Maria Singh"/>
    <x v="1"/>
    <s v="India"/>
    <s v="Delhi"/>
    <x v="0"/>
    <s v="Comics"/>
    <x v="180"/>
    <n v="9"/>
    <n v="465"/>
    <n v="0.15"/>
    <n v="395.25"/>
    <x v="181"/>
    <n v="0.4"/>
    <x v="181"/>
    <x v="3"/>
    <x v="1"/>
    <n v="8"/>
    <x v="1"/>
    <x v="6"/>
    <n v="4"/>
    <s v="2024-04"/>
    <n v="2134.35"/>
    <s v="Delayed"/>
    <s v="Profitable"/>
    <s v="High Value"/>
  </r>
  <r>
    <x v="183"/>
    <x v="183"/>
    <s v="Amit Verma"/>
    <x v="0"/>
    <s v="India"/>
    <s v="New York"/>
    <x v="3"/>
    <s v="Jacket"/>
    <x v="181"/>
    <n v="3"/>
    <n v="1743"/>
    <n v="0.22"/>
    <n v="1359.54"/>
    <x v="182"/>
    <n v="0.35"/>
    <x v="182"/>
    <x v="2"/>
    <x v="0"/>
    <n v="2"/>
    <x v="0"/>
    <x v="0"/>
    <n v="11"/>
    <s v="2023-11"/>
    <n v="2651.1"/>
    <s v="Fast"/>
    <s v="Profitable"/>
    <s v="High Value"/>
  </r>
  <r>
    <x v="184"/>
    <x v="184"/>
    <s v="Priya Mehta"/>
    <x v="3"/>
    <s v="Usa"/>
    <s v="Mumbai"/>
    <x v="0"/>
    <s v="Fiction"/>
    <x v="182"/>
    <n v="3"/>
    <n v="1368"/>
    <n v="0.13"/>
    <n v="1190.1600000000001"/>
    <x v="183"/>
    <n v="0.4"/>
    <x v="183"/>
    <x v="2"/>
    <x v="0"/>
    <n v="5"/>
    <x v="0"/>
    <x v="9"/>
    <n v="7"/>
    <s v="2023-07"/>
    <n v="2142.29"/>
    <s v="Standard"/>
    <s v="Profitable"/>
    <s v="High Value"/>
  </r>
  <r>
    <x v="185"/>
    <x v="185"/>
    <s v="Sara Khan"/>
    <x v="1"/>
    <s v="Usa"/>
    <s v="New York"/>
    <x v="3"/>
    <s v="Jacket"/>
    <x v="183"/>
    <n v="1"/>
    <n v="4931"/>
    <n v="0.17"/>
    <n v="4092.73"/>
    <x v="184"/>
    <n v="0.35"/>
    <x v="184"/>
    <x v="1"/>
    <x v="0"/>
    <n v="4"/>
    <x v="0"/>
    <x v="1"/>
    <n v="10"/>
    <s v="2023-10"/>
    <n v="2660.27"/>
    <s v="Standard"/>
    <s v="Profitable"/>
    <s v="High Value"/>
  </r>
  <r>
    <x v="186"/>
    <x v="186"/>
    <s v="Amit Verma"/>
    <x v="3"/>
    <s v="Uk"/>
    <s v="Delhi"/>
    <x v="1"/>
    <s v="Tennis Racket"/>
    <x v="184"/>
    <n v="1"/>
    <n v="6777"/>
    <n v="0.15"/>
    <n v="5760.45"/>
    <x v="185"/>
    <n v="0.25"/>
    <x v="185"/>
    <x v="2"/>
    <x v="0"/>
    <n v="6"/>
    <x v="1"/>
    <x v="10"/>
    <n v="5"/>
    <s v="2024-05"/>
    <n v="4320.34"/>
    <s v="Standard"/>
    <s v="Profitable"/>
    <s v="High Value"/>
  </r>
  <r>
    <x v="187"/>
    <x v="187"/>
    <s v="David Lee"/>
    <x v="2"/>
    <s v="Uk"/>
    <s v="Mumbai"/>
    <x v="3"/>
    <s v="T-Shirt"/>
    <x v="185"/>
    <n v="7"/>
    <n v="741"/>
    <n v="0.19"/>
    <n v="600.21"/>
    <x v="186"/>
    <n v="0.35"/>
    <x v="186"/>
    <x v="0"/>
    <x v="1"/>
    <n v="7"/>
    <x v="1"/>
    <x v="11"/>
    <n v="9"/>
    <s v="2024-09"/>
    <n v="2730.96"/>
    <s v="Standard"/>
    <s v="Profitable"/>
    <s v="High Value"/>
  </r>
  <r>
    <x v="188"/>
    <x v="188"/>
    <s v="Sara Khan"/>
    <x v="0"/>
    <s v="India"/>
    <s v="New York"/>
    <x v="0"/>
    <s v="Non-Fiction"/>
    <x v="186"/>
    <n v="4"/>
    <n v="1171"/>
    <n v="0.21"/>
    <n v="925.09"/>
    <x v="187"/>
    <n v="0.4"/>
    <x v="187"/>
    <x v="2"/>
    <x v="0"/>
    <n v="7"/>
    <x v="0"/>
    <x v="10"/>
    <n v="5"/>
    <s v="2023-05"/>
    <n v="2220.2200000000003"/>
    <s v="Standard"/>
    <s v="Profitable"/>
    <s v="High Value"/>
  </r>
  <r>
    <x v="189"/>
    <x v="189"/>
    <s v="John Smith"/>
    <x v="2"/>
    <s v="Uk"/>
    <s v="London"/>
    <x v="3"/>
    <s v="Jeans"/>
    <x v="187"/>
    <n v="3"/>
    <n v="1463"/>
    <n v="0.03"/>
    <n v="1419.11"/>
    <x v="188"/>
    <n v="0.35"/>
    <x v="188"/>
    <x v="3"/>
    <x v="0"/>
    <n v="5"/>
    <x v="0"/>
    <x v="1"/>
    <n v="10"/>
    <s v="2023-10"/>
    <n v="2767.26"/>
    <s v="Standard"/>
    <s v="Profitable"/>
    <s v="High Value"/>
  </r>
  <r>
    <x v="190"/>
    <x v="190"/>
    <s v="David Lee"/>
    <x v="0"/>
    <s v="Canada"/>
    <s v="Mumbai"/>
    <x v="0"/>
    <s v="Fiction"/>
    <x v="188"/>
    <n v="7"/>
    <n v="580"/>
    <n v="0.08"/>
    <n v="533.6"/>
    <x v="189"/>
    <n v="0.4"/>
    <x v="189"/>
    <x v="1"/>
    <x v="1"/>
    <n v="1"/>
    <x v="1"/>
    <x v="7"/>
    <n v="2"/>
    <s v="2024-02"/>
    <n v="2241.12"/>
    <s v="Fast"/>
    <s v="Profitable"/>
    <s v="High Value"/>
  </r>
  <r>
    <x v="191"/>
    <x v="191"/>
    <s v="Priya Mehta"/>
    <x v="0"/>
    <s v="Canada"/>
    <s v="Mumbai"/>
    <x v="2"/>
    <s v="Table"/>
    <x v="189"/>
    <n v="1"/>
    <n v="9005"/>
    <n v="0.17"/>
    <n v="7474.15"/>
    <x v="190"/>
    <n v="0.2"/>
    <x v="190"/>
    <x v="3"/>
    <x v="1"/>
    <n v="6"/>
    <x v="0"/>
    <x v="7"/>
    <n v="2"/>
    <s v="2023-02"/>
    <n v="5979.32"/>
    <s v="Standard"/>
    <s v="Profitable"/>
    <s v="High Value"/>
  </r>
  <r>
    <x v="192"/>
    <x v="192"/>
    <s v="David Lee"/>
    <x v="1"/>
    <s v="India"/>
    <s v="Mumbai"/>
    <x v="3"/>
    <s v="T-Shirt"/>
    <x v="190"/>
    <n v="5"/>
    <n v="874"/>
    <n v="0.02"/>
    <n v="856.52"/>
    <x v="191"/>
    <n v="0.35"/>
    <x v="191"/>
    <x v="2"/>
    <x v="0"/>
    <n v="1"/>
    <x v="0"/>
    <x v="6"/>
    <n v="4"/>
    <s v="2023-04"/>
    <n v="2783.6900000000005"/>
    <s v="Fast"/>
    <s v="Profitable"/>
    <s v="High Value"/>
  </r>
  <r>
    <x v="193"/>
    <x v="193"/>
    <s v="John Smith"/>
    <x v="3"/>
    <s v="Usa"/>
    <s v="New York"/>
    <x v="3"/>
    <s v="Jacket"/>
    <x v="191"/>
    <n v="6"/>
    <n v="869"/>
    <n v="0.16"/>
    <n v="729.96"/>
    <x v="192"/>
    <n v="0.35"/>
    <x v="192"/>
    <x v="0"/>
    <x v="0"/>
    <n v="6"/>
    <x v="1"/>
    <x v="1"/>
    <n v="10"/>
    <s v="2024-10"/>
    <n v="2846.84"/>
    <s v="Standard"/>
    <s v="Profitable"/>
    <s v="High Value"/>
  </r>
  <r>
    <x v="194"/>
    <x v="194"/>
    <s v="Amit Verma"/>
    <x v="2"/>
    <s v="Uk"/>
    <s v="New York"/>
    <x v="4"/>
    <s v="Earphones"/>
    <x v="192"/>
    <n v="1"/>
    <n v="10781"/>
    <n v="0.05"/>
    <n v="10241.950000000001"/>
    <x v="193"/>
    <n v="0.15"/>
    <x v="193"/>
    <x v="3"/>
    <x v="0"/>
    <n v="5"/>
    <x v="2"/>
    <x v="5"/>
    <n v="8"/>
    <s v="2025-08"/>
    <n v="8705.66"/>
    <s v="Standard"/>
    <s v="Profitable"/>
    <s v="High Value"/>
  </r>
  <r>
    <x v="195"/>
    <x v="195"/>
    <s v="Priya Mehta"/>
    <x v="0"/>
    <s v="Uk"/>
    <s v="London"/>
    <x v="3"/>
    <s v="Jeans"/>
    <x v="193"/>
    <n v="3"/>
    <n v="1729"/>
    <n v="0.15"/>
    <n v="1469.65"/>
    <x v="194"/>
    <n v="0.35"/>
    <x v="194"/>
    <x v="1"/>
    <x v="0"/>
    <n v="5"/>
    <x v="0"/>
    <x v="4"/>
    <n v="6"/>
    <s v="2023-06"/>
    <n v="2865.8199999999997"/>
    <s v="Standard"/>
    <s v="Profitable"/>
    <s v="High Value"/>
  </r>
  <r>
    <x v="196"/>
    <x v="196"/>
    <s v="Amit Verma"/>
    <x v="3"/>
    <s v="Canada"/>
    <s v="Delhi"/>
    <x v="3"/>
    <s v="Jacket"/>
    <x v="194"/>
    <n v="9"/>
    <n v="501"/>
    <n v="0.02"/>
    <n v="490.98"/>
    <x v="195"/>
    <n v="0.35"/>
    <x v="195"/>
    <x v="2"/>
    <x v="0"/>
    <n v="9"/>
    <x v="0"/>
    <x v="6"/>
    <n v="4"/>
    <s v="2023-04"/>
    <n v="2872.2299999999996"/>
    <s v="Delayed"/>
    <s v="Profitable"/>
    <s v="High Value"/>
  </r>
  <r>
    <x v="197"/>
    <x v="197"/>
    <s v="John Smith"/>
    <x v="2"/>
    <s v="Canada"/>
    <s v="New York"/>
    <x v="1"/>
    <s v="Football"/>
    <x v="195"/>
    <n v="6"/>
    <n v="1207"/>
    <n v="0.14000000000000001"/>
    <n v="1038.02"/>
    <x v="196"/>
    <n v="0.25"/>
    <x v="196"/>
    <x v="3"/>
    <x v="0"/>
    <n v="1"/>
    <x v="0"/>
    <x v="3"/>
    <n v="1"/>
    <s v="2023-01"/>
    <n v="4671.09"/>
    <s v="Fast"/>
    <s v="Profitable"/>
    <s v="High Value"/>
  </r>
  <r>
    <x v="198"/>
    <x v="198"/>
    <s v="Amit Verma"/>
    <x v="3"/>
    <s v="Usa"/>
    <s v="London"/>
    <x v="0"/>
    <s v="Biography"/>
    <x v="196"/>
    <n v="3"/>
    <n v="1381"/>
    <n v="0.06"/>
    <n v="1298.1400000000001"/>
    <x v="197"/>
    <n v="0.4"/>
    <x v="197"/>
    <x v="2"/>
    <x v="0"/>
    <n v="3"/>
    <x v="1"/>
    <x v="6"/>
    <n v="4"/>
    <s v="2024-04"/>
    <n v="2336.65"/>
    <s v="Fast"/>
    <s v="Profitable"/>
    <s v="High Value"/>
  </r>
  <r>
    <x v="199"/>
    <x v="199"/>
    <s v="David Lee"/>
    <x v="0"/>
    <s v="Usa"/>
    <s v="Toronto"/>
    <x v="0"/>
    <s v="Biography"/>
    <x v="197"/>
    <n v="3"/>
    <n v="1443"/>
    <n v="0.1"/>
    <n v="1298.7"/>
    <x v="198"/>
    <n v="0.4"/>
    <x v="198"/>
    <x v="1"/>
    <x v="0"/>
    <n v="6"/>
    <x v="2"/>
    <x v="10"/>
    <n v="5"/>
    <s v="2025-05"/>
    <n v="2337.66"/>
    <s v="Standard"/>
    <s v="Profitable"/>
    <s v="High Value"/>
  </r>
  <r>
    <x v="200"/>
    <x v="200"/>
    <s v="Priya Mehta"/>
    <x v="2"/>
    <s v="Usa"/>
    <s v="Bangalore"/>
    <x v="0"/>
    <s v="Biography"/>
    <x v="198"/>
    <n v="7"/>
    <n v="696"/>
    <n v="0.2"/>
    <n v="556.79999999999995"/>
    <x v="199"/>
    <n v="0.4"/>
    <x v="199"/>
    <x v="0"/>
    <x v="0"/>
    <n v="5"/>
    <x v="1"/>
    <x v="5"/>
    <n v="8"/>
    <s v="2024-08"/>
    <n v="2338.56"/>
    <s v="Standard"/>
    <s v="Profitable"/>
    <s v="High Value"/>
  </r>
  <r>
    <x v="201"/>
    <x v="201"/>
    <s v="Maria Singh"/>
    <x v="0"/>
    <s v="Canada"/>
    <s v="Toronto"/>
    <x v="3"/>
    <s v="Jacket"/>
    <x v="199"/>
    <n v="4"/>
    <n v="1185"/>
    <n v="0.06"/>
    <n v="1113.9000000000001"/>
    <x v="200"/>
    <n v="0.35"/>
    <x v="200"/>
    <x v="3"/>
    <x v="1"/>
    <n v="2"/>
    <x v="2"/>
    <x v="10"/>
    <n v="5"/>
    <s v="2025-05"/>
    <n v="2896.1400000000003"/>
    <s v="Fast"/>
    <s v="Profitable"/>
    <s v="High Value"/>
  </r>
  <r>
    <x v="202"/>
    <x v="202"/>
    <s v="David Lee"/>
    <x v="2"/>
    <s v="India"/>
    <s v="New York"/>
    <x v="4"/>
    <s v="Earphones"/>
    <x v="200"/>
    <n v="1"/>
    <n v="13712"/>
    <n v="0.24"/>
    <n v="10421.120000000001"/>
    <x v="201"/>
    <n v="0.15"/>
    <x v="201"/>
    <x v="2"/>
    <x v="0"/>
    <n v="9"/>
    <x v="0"/>
    <x v="5"/>
    <n v="8"/>
    <s v="2023-08"/>
    <n v="8857.9500000000007"/>
    <s v="Delayed"/>
    <s v="Profitable"/>
    <s v="High Value"/>
  </r>
  <r>
    <x v="203"/>
    <x v="203"/>
    <s v="John Smith"/>
    <x v="2"/>
    <s v="India"/>
    <s v="Bangalore"/>
    <x v="0"/>
    <s v="Fiction"/>
    <x v="201"/>
    <n v="6"/>
    <n v="719"/>
    <n v="0.09"/>
    <n v="654.29"/>
    <x v="202"/>
    <n v="0.4"/>
    <x v="202"/>
    <x v="0"/>
    <x v="1"/>
    <n v="5"/>
    <x v="1"/>
    <x v="1"/>
    <n v="10"/>
    <s v="2024-10"/>
    <n v="2355.4399999999996"/>
    <s v="Standard"/>
    <s v="Profitable"/>
    <s v="High Value"/>
  </r>
  <r>
    <x v="204"/>
    <x v="204"/>
    <s v="Amit Verma"/>
    <x v="1"/>
    <s v="Canada"/>
    <s v="Delhi"/>
    <x v="0"/>
    <s v="Comics"/>
    <x v="202"/>
    <n v="4"/>
    <n v="1188"/>
    <n v="0.17"/>
    <n v="986.04"/>
    <x v="203"/>
    <n v="0.4"/>
    <x v="203"/>
    <x v="1"/>
    <x v="0"/>
    <n v="6"/>
    <x v="1"/>
    <x v="10"/>
    <n v="5"/>
    <s v="2024-05"/>
    <n v="2366.5"/>
    <s v="Standard"/>
    <s v="Profitable"/>
    <s v="High Value"/>
  </r>
  <r>
    <x v="205"/>
    <x v="205"/>
    <s v="David Lee"/>
    <x v="0"/>
    <s v="India"/>
    <s v="Toronto"/>
    <x v="0"/>
    <s v="Biography"/>
    <x v="203"/>
    <n v="3"/>
    <n v="1403"/>
    <n v="0.06"/>
    <n v="1318.82"/>
    <x v="204"/>
    <n v="0.4"/>
    <x v="204"/>
    <x v="0"/>
    <x v="0"/>
    <n v="7"/>
    <x v="1"/>
    <x v="2"/>
    <n v="3"/>
    <s v="2024-03"/>
    <n v="2373.88"/>
    <s v="Standard"/>
    <s v="Profitable"/>
    <s v="High Value"/>
  </r>
  <r>
    <x v="206"/>
    <x v="206"/>
    <s v="Priya Mehta"/>
    <x v="3"/>
    <s v="India"/>
    <s v="Delhi"/>
    <x v="3"/>
    <s v="Dress"/>
    <x v="204"/>
    <n v="2"/>
    <n v="2770"/>
    <n v="0.18"/>
    <n v="2271.4"/>
    <x v="205"/>
    <n v="0.35"/>
    <x v="205"/>
    <x v="1"/>
    <x v="0"/>
    <n v="6"/>
    <x v="0"/>
    <x v="3"/>
    <n v="1"/>
    <s v="2023-01"/>
    <n v="2952.82"/>
    <s v="Standard"/>
    <s v="Profitable"/>
    <s v="High Value"/>
  </r>
  <r>
    <x v="207"/>
    <x v="207"/>
    <s v="David Lee"/>
    <x v="2"/>
    <s v="Uk"/>
    <s v="Mumbai"/>
    <x v="3"/>
    <s v="T-Shirt"/>
    <x v="205"/>
    <n v="4"/>
    <n v="1171"/>
    <n v="0.03"/>
    <n v="1135.8699999999999"/>
    <x v="206"/>
    <n v="0.35"/>
    <x v="206"/>
    <x v="1"/>
    <x v="1"/>
    <n v="3"/>
    <x v="2"/>
    <x v="4"/>
    <n v="6"/>
    <s v="2025-06"/>
    <n v="2953.2599999999993"/>
    <s v="Fast"/>
    <s v="Profitable"/>
    <s v="High Value"/>
  </r>
  <r>
    <x v="208"/>
    <x v="208"/>
    <s v="Maria Singh"/>
    <x v="1"/>
    <s v="Uk"/>
    <s v="New York"/>
    <x v="0"/>
    <s v="Biography"/>
    <x v="206"/>
    <n v="9"/>
    <n v="526"/>
    <n v="0.16"/>
    <n v="441.84"/>
    <x v="207"/>
    <n v="0.4"/>
    <x v="207"/>
    <x v="1"/>
    <x v="0"/>
    <n v="7"/>
    <x v="2"/>
    <x v="9"/>
    <n v="7"/>
    <s v="2025-07"/>
    <n v="2385.94"/>
    <s v="Standard"/>
    <s v="Profitable"/>
    <s v="High Value"/>
  </r>
  <r>
    <x v="209"/>
    <x v="209"/>
    <s v="Priya Mehta"/>
    <x v="0"/>
    <s v="Uk"/>
    <s v="Toronto"/>
    <x v="3"/>
    <s v="Dress"/>
    <x v="207"/>
    <n v="3"/>
    <n v="1671"/>
    <n v="0.09"/>
    <n v="1520.61"/>
    <x v="208"/>
    <n v="0.35"/>
    <x v="208"/>
    <x v="3"/>
    <x v="0"/>
    <n v="1"/>
    <x v="2"/>
    <x v="4"/>
    <n v="6"/>
    <s v="2025-06"/>
    <n v="2965.1899999999996"/>
    <s v="Fast"/>
    <s v="Profitable"/>
    <s v="High Value"/>
  </r>
  <r>
    <x v="210"/>
    <x v="210"/>
    <s v="John Smith"/>
    <x v="0"/>
    <s v="India"/>
    <s v="Delhi"/>
    <x v="0"/>
    <s v="Non-Fiction"/>
    <x v="208"/>
    <n v="3"/>
    <n v="1344"/>
    <n v="0"/>
    <n v="1344"/>
    <x v="209"/>
    <n v="0.4"/>
    <x v="209"/>
    <x v="2"/>
    <x v="1"/>
    <n v="5"/>
    <x v="0"/>
    <x v="10"/>
    <n v="5"/>
    <s v="2023-05"/>
    <n v="2419.1999999999998"/>
    <s v="Standard"/>
    <s v="Profitable"/>
    <s v="High Value"/>
  </r>
  <r>
    <x v="211"/>
    <x v="211"/>
    <s v="Maria Singh"/>
    <x v="3"/>
    <s v="Usa"/>
    <s v="Toronto"/>
    <x v="0"/>
    <s v="Non-Fiction"/>
    <x v="209"/>
    <n v="4"/>
    <n v="1200"/>
    <n v="0.16"/>
    <n v="1008"/>
    <x v="209"/>
    <n v="0.4"/>
    <x v="209"/>
    <x v="3"/>
    <x v="0"/>
    <n v="2"/>
    <x v="2"/>
    <x v="5"/>
    <n v="8"/>
    <s v="2025-08"/>
    <n v="2419.1999999999998"/>
    <s v="Fast"/>
    <s v="Profitable"/>
    <s v="High Value"/>
  </r>
  <r>
    <x v="212"/>
    <x v="212"/>
    <s v="Maria Singh"/>
    <x v="2"/>
    <s v="India"/>
    <s v="Mumbai"/>
    <x v="0"/>
    <s v="Comics"/>
    <x v="210"/>
    <n v="8"/>
    <n v="583"/>
    <n v="0.13"/>
    <n v="507.21"/>
    <x v="210"/>
    <n v="0.4"/>
    <x v="210"/>
    <x v="0"/>
    <x v="1"/>
    <n v="7"/>
    <x v="0"/>
    <x v="4"/>
    <n v="6"/>
    <s v="2023-06"/>
    <n v="2434.6099999999997"/>
    <s v="Standard"/>
    <s v="Profitable"/>
    <s v="High Value"/>
  </r>
  <r>
    <x v="213"/>
    <x v="213"/>
    <s v="Sara Khan"/>
    <x v="3"/>
    <s v="India"/>
    <s v="London"/>
    <x v="1"/>
    <s v="Cricket Bat"/>
    <x v="211"/>
    <n v="1"/>
    <n v="6976"/>
    <n v="0.06"/>
    <n v="6557.44"/>
    <x v="211"/>
    <n v="0.25"/>
    <x v="211"/>
    <x v="3"/>
    <x v="0"/>
    <n v="4"/>
    <x v="2"/>
    <x v="9"/>
    <n v="7"/>
    <s v="2025-07"/>
    <n v="4918.08"/>
    <s v="Standard"/>
    <s v="Profitable"/>
    <s v="High Value"/>
  </r>
  <r>
    <x v="214"/>
    <x v="214"/>
    <s v="Maria Singh"/>
    <x v="0"/>
    <s v="Uk"/>
    <s v="Delhi"/>
    <x v="0"/>
    <s v="Biography"/>
    <x v="212"/>
    <n v="8"/>
    <n v="666"/>
    <n v="0.23"/>
    <n v="512.82000000000005"/>
    <x v="212"/>
    <n v="0.4"/>
    <x v="212"/>
    <x v="2"/>
    <x v="0"/>
    <n v="3"/>
    <x v="1"/>
    <x v="4"/>
    <n v="6"/>
    <s v="2024-06"/>
    <n v="2461.5400000000004"/>
    <s v="Fast"/>
    <s v="Profitable"/>
    <s v="High Value"/>
  </r>
  <r>
    <x v="215"/>
    <x v="215"/>
    <s v="Sara Khan"/>
    <x v="2"/>
    <s v="Uk"/>
    <s v="Toronto"/>
    <x v="0"/>
    <s v="Non-Fiction"/>
    <x v="213"/>
    <n v="7"/>
    <n v="775"/>
    <n v="0.24"/>
    <n v="589"/>
    <x v="213"/>
    <n v="0.4"/>
    <x v="213"/>
    <x v="3"/>
    <x v="2"/>
    <n v="8"/>
    <x v="0"/>
    <x v="10"/>
    <n v="5"/>
    <s v="2023-05"/>
    <n v="2473.8000000000002"/>
    <s v="Delayed"/>
    <s v="Profitable"/>
    <s v="High Value"/>
  </r>
  <r>
    <x v="216"/>
    <x v="216"/>
    <s v="Sara Khan"/>
    <x v="1"/>
    <s v="Uk"/>
    <s v="Delhi"/>
    <x v="1"/>
    <s v="Cricket Bat"/>
    <x v="214"/>
    <n v="4"/>
    <n v="1661"/>
    <n v="0"/>
    <n v="1661"/>
    <x v="214"/>
    <n v="0.25"/>
    <x v="214"/>
    <x v="2"/>
    <x v="0"/>
    <n v="3"/>
    <x v="0"/>
    <x v="7"/>
    <n v="2"/>
    <s v="2023-02"/>
    <n v="4983"/>
    <s v="Fast"/>
    <s v="Profitable"/>
    <s v="High Value"/>
  </r>
  <r>
    <x v="217"/>
    <x v="217"/>
    <s v="Maria Singh"/>
    <x v="3"/>
    <s v="Canada"/>
    <s v="Delhi"/>
    <x v="1"/>
    <s v="Football"/>
    <x v="215"/>
    <n v="3"/>
    <n v="2343"/>
    <n v="0.05"/>
    <n v="2225.85"/>
    <x v="215"/>
    <n v="0.25"/>
    <x v="215"/>
    <x v="2"/>
    <x v="1"/>
    <n v="6"/>
    <x v="1"/>
    <x v="3"/>
    <n v="1"/>
    <s v="2024-01"/>
    <n v="5008.16"/>
    <s v="Standard"/>
    <s v="Profitable"/>
    <s v="High Value"/>
  </r>
  <r>
    <x v="218"/>
    <x v="218"/>
    <s v="David Lee"/>
    <x v="1"/>
    <s v="Usa"/>
    <s v="New York"/>
    <x v="3"/>
    <s v="T-Shirt"/>
    <x v="216"/>
    <n v="2"/>
    <n v="2994"/>
    <n v="0.2"/>
    <n v="2395.1999999999998"/>
    <x v="216"/>
    <n v="0.35"/>
    <x v="216"/>
    <x v="3"/>
    <x v="0"/>
    <n v="8"/>
    <x v="1"/>
    <x v="10"/>
    <n v="5"/>
    <s v="2024-05"/>
    <n v="3113.7599999999993"/>
    <s v="Delayed"/>
    <s v="Profitable"/>
    <s v="High Value"/>
  </r>
  <r>
    <x v="219"/>
    <x v="219"/>
    <s v="Maria Singh"/>
    <x v="0"/>
    <s v="Usa"/>
    <s v="Mumbai"/>
    <x v="0"/>
    <s v="Fiction"/>
    <x v="217"/>
    <n v="3"/>
    <n v="1482"/>
    <n v="0.05"/>
    <n v="1407.9"/>
    <x v="217"/>
    <n v="0.4"/>
    <x v="217"/>
    <x v="1"/>
    <x v="0"/>
    <n v="9"/>
    <x v="1"/>
    <x v="7"/>
    <n v="2"/>
    <s v="2024-02"/>
    <n v="2534.2199999999998"/>
    <s v="Delayed"/>
    <s v="Profitable"/>
    <s v="High Value"/>
  </r>
  <r>
    <x v="220"/>
    <x v="220"/>
    <s v="John Smith"/>
    <x v="3"/>
    <s v="Uk"/>
    <s v="Toronto"/>
    <x v="3"/>
    <s v="Jeans"/>
    <x v="218"/>
    <n v="2"/>
    <n v="2944"/>
    <n v="0.18"/>
    <n v="2414.08"/>
    <x v="218"/>
    <n v="0.35"/>
    <x v="218"/>
    <x v="3"/>
    <x v="0"/>
    <n v="8"/>
    <x v="1"/>
    <x v="5"/>
    <n v="8"/>
    <s v="2024-08"/>
    <n v="3138.3"/>
    <s v="Delayed"/>
    <s v="Profitable"/>
    <s v="High Value"/>
  </r>
  <r>
    <x v="221"/>
    <x v="221"/>
    <s v="John Smith"/>
    <x v="3"/>
    <s v="India"/>
    <s v="Mumbai"/>
    <x v="1"/>
    <s v="Cricket Bat"/>
    <x v="219"/>
    <n v="6"/>
    <n v="1269"/>
    <n v="0.1"/>
    <n v="1142.0999999999999"/>
    <x v="219"/>
    <n v="0.25"/>
    <x v="219"/>
    <x v="2"/>
    <x v="0"/>
    <n v="1"/>
    <x v="0"/>
    <x v="10"/>
    <n v="5"/>
    <s v="2023-05"/>
    <n v="5139.4500000000007"/>
    <s v="Fast"/>
    <s v="Profitable"/>
    <s v="High Value"/>
  </r>
  <r>
    <x v="222"/>
    <x v="222"/>
    <s v="Sara Khan"/>
    <x v="2"/>
    <s v="Uk"/>
    <s v="New York"/>
    <x v="2"/>
    <s v="Table"/>
    <x v="220"/>
    <n v="5"/>
    <n v="2207"/>
    <n v="0.22"/>
    <n v="1721.46"/>
    <x v="220"/>
    <n v="0.2"/>
    <x v="220"/>
    <x v="3"/>
    <x v="0"/>
    <n v="2"/>
    <x v="1"/>
    <x v="7"/>
    <n v="2"/>
    <s v="2024-02"/>
    <n v="6885.8399999999992"/>
    <s v="Fast"/>
    <s v="Profitable"/>
    <s v="High Value"/>
  </r>
  <r>
    <x v="223"/>
    <x v="223"/>
    <s v="Amit Verma"/>
    <x v="3"/>
    <s v="Usa"/>
    <s v="Mumbai"/>
    <x v="0"/>
    <s v="Fiction"/>
    <x v="221"/>
    <n v="8"/>
    <n v="606"/>
    <n v="0.11"/>
    <n v="539.34"/>
    <x v="221"/>
    <n v="0.4"/>
    <x v="221"/>
    <x v="1"/>
    <x v="0"/>
    <n v="8"/>
    <x v="0"/>
    <x v="1"/>
    <n v="10"/>
    <s v="2023-10"/>
    <n v="2588.83"/>
    <s v="Delayed"/>
    <s v="Profitable"/>
    <s v="High Value"/>
  </r>
  <r>
    <x v="224"/>
    <x v="224"/>
    <s v="Priya Mehta"/>
    <x v="0"/>
    <s v="Canada"/>
    <s v="Delhi"/>
    <x v="3"/>
    <s v="Jacket"/>
    <x v="222"/>
    <n v="8"/>
    <n v="802"/>
    <n v="0.23"/>
    <n v="617.54"/>
    <x v="222"/>
    <n v="0.35"/>
    <x v="222"/>
    <x v="3"/>
    <x v="0"/>
    <n v="1"/>
    <x v="0"/>
    <x v="9"/>
    <n v="7"/>
    <s v="2023-07"/>
    <n v="3211.21"/>
    <s v="Fast"/>
    <s v="Profitable"/>
    <s v="High Value"/>
  </r>
  <r>
    <x v="225"/>
    <x v="225"/>
    <s v="Priya Mehta"/>
    <x v="0"/>
    <s v="India"/>
    <s v="Mumbai"/>
    <x v="2"/>
    <s v="Sofa"/>
    <x v="223"/>
    <n v="4"/>
    <n v="2560"/>
    <n v="0.15"/>
    <n v="2176"/>
    <x v="223"/>
    <n v="0.2"/>
    <x v="223"/>
    <x v="1"/>
    <x v="0"/>
    <n v="3"/>
    <x v="1"/>
    <x v="6"/>
    <n v="4"/>
    <s v="2024-04"/>
    <n v="6963.2"/>
    <s v="Fast"/>
    <s v="Profitable"/>
    <s v="High Value"/>
  </r>
  <r>
    <x v="226"/>
    <x v="226"/>
    <s v="Amit Verma"/>
    <x v="0"/>
    <s v="Usa"/>
    <s v="London"/>
    <x v="1"/>
    <s v="Football"/>
    <x v="224"/>
    <n v="1"/>
    <n v="7868"/>
    <n v="0.11"/>
    <n v="7002.52"/>
    <x v="224"/>
    <n v="0.25"/>
    <x v="224"/>
    <x v="2"/>
    <x v="0"/>
    <n v="4"/>
    <x v="2"/>
    <x v="10"/>
    <n v="5"/>
    <s v="2025-05"/>
    <n v="5251.89"/>
    <s v="Standard"/>
    <s v="Profitable"/>
    <s v="High Value"/>
  </r>
  <r>
    <x v="227"/>
    <x v="227"/>
    <s v="Priya Mehta"/>
    <x v="2"/>
    <s v="India"/>
    <s v="New York"/>
    <x v="0"/>
    <s v="Comics"/>
    <x v="225"/>
    <n v="9"/>
    <n v="641"/>
    <n v="0.24"/>
    <n v="487.16"/>
    <x v="225"/>
    <n v="0.4"/>
    <x v="225"/>
    <x v="2"/>
    <x v="0"/>
    <n v="2"/>
    <x v="1"/>
    <x v="1"/>
    <n v="10"/>
    <s v="2024-10"/>
    <n v="2630.66"/>
    <s v="Fast"/>
    <s v="Profitable"/>
    <s v="High Value"/>
  </r>
  <r>
    <x v="228"/>
    <x v="228"/>
    <s v="Priya Mehta"/>
    <x v="1"/>
    <s v="India"/>
    <s v="Mumbai"/>
    <x v="2"/>
    <s v="Table"/>
    <x v="226"/>
    <n v="3"/>
    <n v="2956"/>
    <n v="0.01"/>
    <n v="2926.44"/>
    <x v="226"/>
    <n v="0.2"/>
    <x v="226"/>
    <x v="1"/>
    <x v="0"/>
    <n v="5"/>
    <x v="0"/>
    <x v="2"/>
    <n v="3"/>
    <s v="2023-03"/>
    <n v="7023.46"/>
    <s v="Standard"/>
    <s v="Profitable"/>
    <s v="High Value"/>
  </r>
  <r>
    <x v="229"/>
    <x v="229"/>
    <s v="David Lee"/>
    <x v="3"/>
    <s v="Usa"/>
    <s v="London"/>
    <x v="0"/>
    <s v="Comics"/>
    <x v="227"/>
    <n v="4"/>
    <n v="1181"/>
    <n v="7.0000000000000007E-2"/>
    <n v="1098.33"/>
    <x v="227"/>
    <n v="0.4"/>
    <x v="227"/>
    <x v="1"/>
    <x v="0"/>
    <n v="8"/>
    <x v="1"/>
    <x v="9"/>
    <n v="7"/>
    <s v="2024-07"/>
    <n v="2635.99"/>
    <s v="Delayed"/>
    <s v="Profitable"/>
    <s v="High Value"/>
  </r>
  <r>
    <x v="230"/>
    <x v="230"/>
    <s v="Sara Khan"/>
    <x v="0"/>
    <s v="Uk"/>
    <s v="Delhi"/>
    <x v="3"/>
    <s v="Jacket"/>
    <x v="228"/>
    <n v="7"/>
    <n v="899"/>
    <n v="0.2"/>
    <n v="719.2"/>
    <x v="228"/>
    <n v="0.35"/>
    <x v="228"/>
    <x v="1"/>
    <x v="1"/>
    <n v="5"/>
    <x v="1"/>
    <x v="4"/>
    <n v="6"/>
    <s v="2024-06"/>
    <n v="3272.3599999999997"/>
    <s v="Standard"/>
    <s v="Profitable"/>
    <s v="High Value"/>
  </r>
  <r>
    <x v="231"/>
    <x v="231"/>
    <s v="Sara Khan"/>
    <x v="2"/>
    <s v="Uk"/>
    <s v="London"/>
    <x v="0"/>
    <s v="Comics"/>
    <x v="229"/>
    <n v="4"/>
    <n v="1473"/>
    <n v="0.25"/>
    <n v="1104.75"/>
    <x v="229"/>
    <n v="0.4"/>
    <x v="229"/>
    <x v="1"/>
    <x v="0"/>
    <n v="3"/>
    <x v="0"/>
    <x v="2"/>
    <n v="3"/>
    <s v="2023-03"/>
    <n v="2651.4"/>
    <s v="Fast"/>
    <s v="Profitable"/>
    <s v="High Value"/>
  </r>
  <r>
    <x v="232"/>
    <x v="232"/>
    <s v="Priya Mehta"/>
    <x v="1"/>
    <s v="Uk"/>
    <s v="Mumbai"/>
    <x v="0"/>
    <s v="Comics"/>
    <x v="230"/>
    <n v="4"/>
    <n v="1383"/>
    <n v="0.2"/>
    <n v="1106.4000000000001"/>
    <x v="230"/>
    <n v="0.4"/>
    <x v="230"/>
    <x v="1"/>
    <x v="2"/>
    <n v="6"/>
    <x v="0"/>
    <x v="8"/>
    <n v="12"/>
    <s v="2023-12"/>
    <n v="2655.3600000000006"/>
    <s v="Standard"/>
    <s v="Profitable"/>
    <s v="High Value"/>
  </r>
  <r>
    <x v="233"/>
    <x v="233"/>
    <s v="Amit Verma"/>
    <x v="0"/>
    <s v="Usa"/>
    <s v="Toronto"/>
    <x v="2"/>
    <s v="Table"/>
    <x v="231"/>
    <n v="1"/>
    <n v="11518"/>
    <n v="0.22"/>
    <n v="8984.0400000000009"/>
    <x v="231"/>
    <n v="0.2"/>
    <x v="231"/>
    <x v="0"/>
    <x v="1"/>
    <n v="8"/>
    <x v="2"/>
    <x v="2"/>
    <n v="3"/>
    <s v="2025-03"/>
    <n v="7187.2300000000014"/>
    <s v="Delayed"/>
    <s v="Profitable"/>
    <s v="High Value"/>
  </r>
  <r>
    <x v="234"/>
    <x v="234"/>
    <s v="David Lee"/>
    <x v="3"/>
    <s v="Canada"/>
    <s v="Bangalore"/>
    <x v="1"/>
    <s v="Yoga Mat"/>
    <x v="232"/>
    <n v="1"/>
    <n v="8000"/>
    <n v="0.09"/>
    <n v="7280"/>
    <x v="232"/>
    <n v="0.25"/>
    <x v="232"/>
    <x v="2"/>
    <x v="0"/>
    <n v="2"/>
    <x v="0"/>
    <x v="8"/>
    <n v="12"/>
    <s v="2023-12"/>
    <n v="5460"/>
    <s v="Fast"/>
    <s v="Profitable"/>
    <s v="High Value"/>
  </r>
  <r>
    <x v="235"/>
    <x v="235"/>
    <s v="John Smith"/>
    <x v="0"/>
    <s v="India"/>
    <s v="Bangalore"/>
    <x v="3"/>
    <s v="Jeans"/>
    <x v="233"/>
    <n v="4"/>
    <n v="1514"/>
    <n v="0.14000000000000001"/>
    <n v="1302.04"/>
    <x v="233"/>
    <n v="0.35"/>
    <x v="233"/>
    <x v="2"/>
    <x v="2"/>
    <n v="9"/>
    <x v="0"/>
    <x v="1"/>
    <n v="10"/>
    <s v="2023-10"/>
    <n v="3385.3"/>
    <s v="Delayed"/>
    <s v="Profitable"/>
    <s v="High Value"/>
  </r>
  <r>
    <x v="236"/>
    <x v="236"/>
    <s v="David Lee"/>
    <x v="0"/>
    <s v="Canada"/>
    <s v="Toronto"/>
    <x v="2"/>
    <s v="Table"/>
    <x v="234"/>
    <n v="2"/>
    <n v="5453"/>
    <n v="0.16"/>
    <n v="4580.5200000000004"/>
    <x v="234"/>
    <n v="0.2"/>
    <x v="234"/>
    <x v="2"/>
    <x v="0"/>
    <n v="1"/>
    <x v="0"/>
    <x v="2"/>
    <n v="3"/>
    <s v="2023-03"/>
    <n v="7328.8300000000008"/>
    <s v="Fast"/>
    <s v="Profitable"/>
    <s v="High Value"/>
  </r>
  <r>
    <x v="237"/>
    <x v="237"/>
    <s v="Priya Mehta"/>
    <x v="0"/>
    <s v="Usa"/>
    <s v="Mumbai"/>
    <x v="2"/>
    <s v="Table"/>
    <x v="235"/>
    <n v="5"/>
    <n v="2419"/>
    <n v="0.24"/>
    <n v="1838.44"/>
    <x v="235"/>
    <n v="0.2"/>
    <x v="235"/>
    <x v="1"/>
    <x v="1"/>
    <n v="8"/>
    <x v="1"/>
    <x v="9"/>
    <n v="7"/>
    <s v="2024-07"/>
    <n v="7353.76"/>
    <s v="Delayed"/>
    <s v="Profitable"/>
    <s v="High Value"/>
  </r>
  <r>
    <x v="238"/>
    <x v="238"/>
    <s v="John Smith"/>
    <x v="2"/>
    <s v="Usa"/>
    <s v="New York"/>
    <x v="3"/>
    <s v="Jeans"/>
    <x v="236"/>
    <n v="5"/>
    <n v="1394"/>
    <n v="0.23"/>
    <n v="1073.3800000000001"/>
    <x v="236"/>
    <n v="0.35"/>
    <x v="236"/>
    <x v="1"/>
    <x v="0"/>
    <n v="4"/>
    <x v="2"/>
    <x v="9"/>
    <n v="7"/>
    <s v="2025-07"/>
    <n v="3488.49"/>
    <s v="Standard"/>
    <s v="Profitable"/>
    <s v="High Value"/>
  </r>
  <r>
    <x v="239"/>
    <x v="239"/>
    <s v="Sara Khan"/>
    <x v="2"/>
    <s v="Usa"/>
    <s v="Mumbai"/>
    <x v="0"/>
    <s v="Fiction"/>
    <x v="237"/>
    <n v="4"/>
    <n v="1204"/>
    <n v="0.02"/>
    <n v="1179.92"/>
    <x v="237"/>
    <n v="0.4"/>
    <x v="237"/>
    <x v="3"/>
    <x v="0"/>
    <n v="2"/>
    <x v="0"/>
    <x v="6"/>
    <n v="4"/>
    <s v="2023-04"/>
    <n v="2831.8100000000004"/>
    <s v="Fast"/>
    <s v="Profitable"/>
    <s v="High Value"/>
  </r>
  <r>
    <x v="240"/>
    <x v="240"/>
    <s v="Sara Khan"/>
    <x v="2"/>
    <s v="Usa"/>
    <s v="New York"/>
    <x v="3"/>
    <s v="Dress"/>
    <x v="238"/>
    <n v="6"/>
    <n v="1022"/>
    <n v="0.12"/>
    <n v="899.36"/>
    <x v="238"/>
    <n v="0.35"/>
    <x v="238"/>
    <x v="3"/>
    <x v="0"/>
    <n v="9"/>
    <x v="1"/>
    <x v="0"/>
    <n v="11"/>
    <s v="2024-11"/>
    <n v="3507.5"/>
    <s v="Delayed"/>
    <s v="Profitable"/>
    <s v="High Value"/>
  </r>
  <r>
    <x v="241"/>
    <x v="241"/>
    <s v="David Lee"/>
    <x v="0"/>
    <s v="Usa"/>
    <s v="London"/>
    <x v="0"/>
    <s v="Fiction"/>
    <x v="239"/>
    <n v="7"/>
    <n v="718"/>
    <n v="0.06"/>
    <n v="674.92"/>
    <x v="239"/>
    <n v="0.4"/>
    <x v="239"/>
    <x v="3"/>
    <x v="0"/>
    <n v="6"/>
    <x v="1"/>
    <x v="9"/>
    <n v="7"/>
    <s v="2024-07"/>
    <n v="2834.66"/>
    <s v="Standard"/>
    <s v="Profitable"/>
    <s v="High Value"/>
  </r>
  <r>
    <x v="242"/>
    <x v="242"/>
    <s v="Maria Singh"/>
    <x v="3"/>
    <s v="Uk"/>
    <s v="Bangalore"/>
    <x v="2"/>
    <s v="Table"/>
    <x v="240"/>
    <n v="1"/>
    <n v="11686"/>
    <n v="0.19"/>
    <n v="9465.66"/>
    <x v="240"/>
    <n v="0.2"/>
    <x v="240"/>
    <x v="1"/>
    <x v="0"/>
    <n v="4"/>
    <x v="1"/>
    <x v="7"/>
    <n v="2"/>
    <s v="2024-02"/>
    <n v="7572.53"/>
    <s v="Standard"/>
    <s v="Profitable"/>
    <s v="High Value"/>
  </r>
  <r>
    <x v="243"/>
    <x v="243"/>
    <s v="Priya Mehta"/>
    <x v="1"/>
    <s v="Uk"/>
    <s v="Bangalore"/>
    <x v="0"/>
    <s v="Comics"/>
    <x v="241"/>
    <n v="7"/>
    <n v="712"/>
    <n v="0.05"/>
    <n v="676.4"/>
    <x v="241"/>
    <n v="0.4"/>
    <x v="241"/>
    <x v="2"/>
    <x v="0"/>
    <n v="6"/>
    <x v="0"/>
    <x v="10"/>
    <n v="5"/>
    <s v="2023-05"/>
    <n v="2840.88"/>
    <s v="Standard"/>
    <s v="Profitable"/>
    <s v="High Value"/>
  </r>
  <r>
    <x v="244"/>
    <x v="244"/>
    <s v="Sara Khan"/>
    <x v="2"/>
    <s v="Uk"/>
    <s v="Mumbai"/>
    <x v="3"/>
    <s v="Jacket"/>
    <x v="242"/>
    <n v="4"/>
    <n v="1443"/>
    <n v="0.06"/>
    <n v="1356.42"/>
    <x v="242"/>
    <n v="0.35"/>
    <x v="242"/>
    <x v="3"/>
    <x v="1"/>
    <n v="5"/>
    <x v="0"/>
    <x v="11"/>
    <n v="9"/>
    <s v="2023-09"/>
    <n v="3526.6900000000005"/>
    <s v="Standard"/>
    <s v="Profitable"/>
    <s v="High Value"/>
  </r>
  <r>
    <x v="245"/>
    <x v="245"/>
    <s v="David Lee"/>
    <x v="3"/>
    <s v="Uk"/>
    <s v="Mumbai"/>
    <x v="0"/>
    <s v="Comics"/>
    <x v="243"/>
    <n v="4"/>
    <n v="1432"/>
    <n v="0.17"/>
    <n v="1188.56"/>
    <x v="243"/>
    <n v="0.4"/>
    <x v="243"/>
    <x v="2"/>
    <x v="0"/>
    <n v="8"/>
    <x v="1"/>
    <x v="7"/>
    <n v="2"/>
    <s v="2024-02"/>
    <n v="2852.54"/>
    <s v="Delayed"/>
    <s v="Profitable"/>
    <s v="High Value"/>
  </r>
  <r>
    <x v="246"/>
    <x v="246"/>
    <s v="Sara Khan"/>
    <x v="2"/>
    <s v="India"/>
    <s v="Delhi"/>
    <x v="0"/>
    <s v="Comics"/>
    <x v="244"/>
    <n v="6"/>
    <n v="847"/>
    <n v="0.06"/>
    <n v="796.18"/>
    <x v="244"/>
    <n v="0.4"/>
    <x v="244"/>
    <x v="0"/>
    <x v="0"/>
    <n v="8"/>
    <x v="1"/>
    <x v="3"/>
    <n v="1"/>
    <s v="2024-01"/>
    <n v="2866.25"/>
    <s v="Delayed"/>
    <s v="Profitable"/>
    <s v="High Value"/>
  </r>
  <r>
    <x v="247"/>
    <x v="247"/>
    <s v="Sara Khan"/>
    <x v="1"/>
    <s v="Canada"/>
    <s v="New York"/>
    <x v="3"/>
    <s v="T-Shirt"/>
    <x v="245"/>
    <n v="5"/>
    <n v="1439"/>
    <n v="0.24"/>
    <n v="1093.6400000000001"/>
    <x v="245"/>
    <n v="0.35"/>
    <x v="245"/>
    <x v="3"/>
    <x v="0"/>
    <n v="5"/>
    <x v="0"/>
    <x v="6"/>
    <n v="4"/>
    <s v="2023-04"/>
    <n v="3554.33"/>
    <s v="Standard"/>
    <s v="Profitable"/>
    <s v="High Value"/>
  </r>
  <r>
    <x v="248"/>
    <x v="248"/>
    <s v="David Lee"/>
    <x v="3"/>
    <s v="Usa"/>
    <s v="Toronto"/>
    <x v="3"/>
    <s v="Dress"/>
    <x v="246"/>
    <n v="2"/>
    <n v="2861"/>
    <n v="0.04"/>
    <n v="2746.56"/>
    <x v="246"/>
    <n v="0.35"/>
    <x v="246"/>
    <x v="0"/>
    <x v="0"/>
    <n v="9"/>
    <x v="2"/>
    <x v="4"/>
    <n v="6"/>
    <s v="2025-06"/>
    <n v="3570.5299999999997"/>
    <s v="Delayed"/>
    <s v="Profitable"/>
    <s v="High Value"/>
  </r>
  <r>
    <x v="249"/>
    <x v="249"/>
    <s v="Amit Verma"/>
    <x v="3"/>
    <s v="Usa"/>
    <s v="Bangalore"/>
    <x v="0"/>
    <s v="Biography"/>
    <x v="50"/>
    <n v="5"/>
    <n v="1108"/>
    <n v="0.13"/>
    <n v="963.96"/>
    <x v="247"/>
    <n v="0.4"/>
    <x v="247"/>
    <x v="3"/>
    <x v="0"/>
    <n v="5"/>
    <x v="0"/>
    <x v="0"/>
    <n v="11"/>
    <s v="2023-11"/>
    <n v="2891.88"/>
    <s v="Standard"/>
    <s v="Profitable"/>
    <s v="High Value"/>
  </r>
  <r>
    <x v="250"/>
    <x v="250"/>
    <s v="John Smith"/>
    <x v="2"/>
    <s v="Canada"/>
    <s v="Mumbai"/>
    <x v="0"/>
    <s v="Fiction"/>
    <x v="247"/>
    <n v="9"/>
    <n v="559"/>
    <n v="0.04"/>
    <n v="536.64"/>
    <x v="248"/>
    <n v="0.4"/>
    <x v="248"/>
    <x v="0"/>
    <x v="1"/>
    <n v="6"/>
    <x v="1"/>
    <x v="1"/>
    <n v="10"/>
    <s v="2024-10"/>
    <n v="2897.86"/>
    <s v="Standard"/>
    <s v="Profitable"/>
    <s v="High Value"/>
  </r>
  <r>
    <x v="251"/>
    <x v="251"/>
    <s v="John Smith"/>
    <x v="3"/>
    <s v="Usa"/>
    <s v="Bangalore"/>
    <x v="0"/>
    <s v="Biography"/>
    <x v="248"/>
    <n v="9"/>
    <n v="565"/>
    <n v="0.05"/>
    <n v="536.75"/>
    <x v="249"/>
    <n v="0.4"/>
    <x v="249"/>
    <x v="2"/>
    <x v="0"/>
    <n v="3"/>
    <x v="1"/>
    <x v="11"/>
    <n v="9"/>
    <s v="2024-09"/>
    <n v="2898.45"/>
    <s v="Fast"/>
    <s v="Profitable"/>
    <s v="High Value"/>
  </r>
  <r>
    <x v="252"/>
    <x v="252"/>
    <s v="Priya Mehta"/>
    <x v="0"/>
    <s v="Usa"/>
    <s v="Mumbai"/>
    <x v="2"/>
    <s v="Bookshelf"/>
    <x v="249"/>
    <n v="1"/>
    <n v="10321"/>
    <n v="0.06"/>
    <n v="9701.74"/>
    <x v="250"/>
    <n v="0.2"/>
    <x v="250"/>
    <x v="1"/>
    <x v="0"/>
    <n v="8"/>
    <x v="0"/>
    <x v="6"/>
    <n v="4"/>
    <s v="2023-04"/>
    <n v="7761.3899999999994"/>
    <s v="Delayed"/>
    <s v="Profitable"/>
    <s v="High Value"/>
  </r>
  <r>
    <x v="253"/>
    <x v="253"/>
    <s v="Maria Singh"/>
    <x v="2"/>
    <s v="India"/>
    <s v="Mumbai"/>
    <x v="3"/>
    <s v="T-Shirt"/>
    <x v="250"/>
    <n v="3"/>
    <n v="2235"/>
    <n v="0.17"/>
    <n v="1855.05"/>
    <x v="251"/>
    <n v="0.35"/>
    <x v="251"/>
    <x v="1"/>
    <x v="0"/>
    <n v="1"/>
    <x v="1"/>
    <x v="7"/>
    <n v="2"/>
    <s v="2024-02"/>
    <n v="3617.3499999999995"/>
    <s v="Fast"/>
    <s v="Profitable"/>
    <s v="High Value"/>
  </r>
  <r>
    <x v="254"/>
    <x v="254"/>
    <s v="John Smith"/>
    <x v="2"/>
    <s v="India"/>
    <s v="Toronto"/>
    <x v="3"/>
    <s v="Dress"/>
    <x v="251"/>
    <n v="2"/>
    <n v="2820"/>
    <n v="0.01"/>
    <n v="2791.8"/>
    <x v="252"/>
    <n v="0.35"/>
    <x v="252"/>
    <x v="1"/>
    <x v="0"/>
    <n v="2"/>
    <x v="2"/>
    <x v="7"/>
    <n v="2"/>
    <s v="2025-02"/>
    <n v="3629.34"/>
    <s v="Fast"/>
    <s v="Profitable"/>
    <s v="High Value"/>
  </r>
  <r>
    <x v="255"/>
    <x v="255"/>
    <s v="Sara Khan"/>
    <x v="0"/>
    <s v="Canada"/>
    <s v="Mumbai"/>
    <x v="3"/>
    <s v="Dress"/>
    <x v="252"/>
    <n v="5"/>
    <n v="1416"/>
    <n v="0.21"/>
    <n v="1118.6400000000001"/>
    <x v="253"/>
    <n v="0.35"/>
    <x v="253"/>
    <x v="3"/>
    <x v="0"/>
    <n v="2"/>
    <x v="0"/>
    <x v="5"/>
    <n v="8"/>
    <s v="2023-08"/>
    <n v="3635.58"/>
    <s v="Fast"/>
    <s v="Profitable"/>
    <s v="High Value"/>
  </r>
  <r>
    <x v="256"/>
    <x v="256"/>
    <s v="Amit Verma"/>
    <x v="0"/>
    <s v="Uk"/>
    <s v="Mumbai"/>
    <x v="3"/>
    <s v="Jeans"/>
    <x v="253"/>
    <n v="5"/>
    <n v="1159"/>
    <n v="0.03"/>
    <n v="1124.23"/>
    <x v="254"/>
    <n v="0.35"/>
    <x v="254"/>
    <x v="2"/>
    <x v="0"/>
    <n v="1"/>
    <x v="2"/>
    <x v="6"/>
    <n v="4"/>
    <s v="2025-04"/>
    <n v="3653.7499999999995"/>
    <s v="Fast"/>
    <s v="Profitable"/>
    <s v="High Value"/>
  </r>
  <r>
    <x v="257"/>
    <x v="257"/>
    <s v="David Lee"/>
    <x v="3"/>
    <s v="India"/>
    <s v="Mumbai"/>
    <x v="1"/>
    <s v="Football"/>
    <x v="254"/>
    <n v="1"/>
    <n v="9533"/>
    <n v="0.17"/>
    <n v="7912.39"/>
    <x v="255"/>
    <n v="0.25"/>
    <x v="255"/>
    <x v="0"/>
    <x v="0"/>
    <n v="1"/>
    <x v="1"/>
    <x v="7"/>
    <n v="2"/>
    <s v="2024-02"/>
    <n v="5934.2900000000009"/>
    <s v="Fast"/>
    <s v="Profitable"/>
    <s v="High Value"/>
  </r>
  <r>
    <x v="258"/>
    <x v="258"/>
    <s v="David Lee"/>
    <x v="1"/>
    <s v="Canada"/>
    <s v="Bangalore"/>
    <x v="0"/>
    <s v="Non-Fiction"/>
    <x v="255"/>
    <n v="5"/>
    <n v="1015"/>
    <n v="0.02"/>
    <n v="994.7"/>
    <x v="256"/>
    <n v="0.4"/>
    <x v="256"/>
    <x v="0"/>
    <x v="0"/>
    <n v="3"/>
    <x v="0"/>
    <x v="11"/>
    <n v="9"/>
    <s v="2023-09"/>
    <n v="2984.1"/>
    <s v="Fast"/>
    <s v="Profitable"/>
    <s v="High Value"/>
  </r>
  <r>
    <x v="259"/>
    <x v="259"/>
    <s v="John Smith"/>
    <x v="0"/>
    <s v="Canada"/>
    <s v="Delhi"/>
    <x v="0"/>
    <s v="Non-Fiction"/>
    <x v="256"/>
    <n v="5"/>
    <n v="1019"/>
    <n v="0.02"/>
    <n v="998.62"/>
    <x v="257"/>
    <n v="0.4"/>
    <x v="257"/>
    <x v="3"/>
    <x v="0"/>
    <n v="9"/>
    <x v="1"/>
    <x v="4"/>
    <n v="6"/>
    <s v="2024-06"/>
    <n v="2995.8600000000006"/>
    <s v="Delayed"/>
    <s v="Profitable"/>
    <s v="High Value"/>
  </r>
  <r>
    <x v="260"/>
    <x v="260"/>
    <s v="David Lee"/>
    <x v="2"/>
    <s v="Canada"/>
    <s v="London"/>
    <x v="1"/>
    <s v="Yoga Mat"/>
    <x v="257"/>
    <n v="2"/>
    <n v="5146"/>
    <n v="0.22"/>
    <n v="4013.88"/>
    <x v="258"/>
    <n v="0.25"/>
    <x v="258"/>
    <x v="1"/>
    <x v="0"/>
    <n v="1"/>
    <x v="0"/>
    <x v="1"/>
    <n v="10"/>
    <s v="2023-10"/>
    <n v="6020.82"/>
    <s v="Fast"/>
    <s v="Profitable"/>
    <s v="High Value"/>
  </r>
  <r>
    <x v="261"/>
    <x v="261"/>
    <s v="Sara Khan"/>
    <x v="3"/>
    <s v="Usa"/>
    <s v="New York"/>
    <x v="2"/>
    <s v="Sofa"/>
    <x v="258"/>
    <n v="2"/>
    <n v="5719"/>
    <n v="0.12"/>
    <n v="5032.72"/>
    <x v="259"/>
    <n v="0.2"/>
    <x v="259"/>
    <x v="2"/>
    <x v="0"/>
    <n v="2"/>
    <x v="0"/>
    <x v="9"/>
    <n v="7"/>
    <s v="2023-07"/>
    <n v="8052.35"/>
    <s v="Fast"/>
    <s v="Profitable"/>
    <s v="High Value"/>
  </r>
  <r>
    <x v="262"/>
    <x v="262"/>
    <s v="Maria Singh"/>
    <x v="1"/>
    <s v="India"/>
    <s v="New York"/>
    <x v="0"/>
    <s v="Fiction"/>
    <x v="259"/>
    <n v="8"/>
    <n v="760"/>
    <n v="0.17"/>
    <n v="630.79999999999995"/>
    <x v="260"/>
    <n v="0.4"/>
    <x v="260"/>
    <x v="3"/>
    <x v="0"/>
    <n v="3"/>
    <x v="2"/>
    <x v="5"/>
    <n v="8"/>
    <s v="2025-08"/>
    <n v="3027.8399999999997"/>
    <s v="Fast"/>
    <s v="Profitable"/>
    <s v="High Value"/>
  </r>
  <r>
    <x v="263"/>
    <x v="263"/>
    <s v="Priya Mehta"/>
    <x v="3"/>
    <s v="India"/>
    <s v="Mumbai"/>
    <x v="0"/>
    <s v="Fiction"/>
    <x v="260"/>
    <n v="8"/>
    <n v="721"/>
    <n v="0.12"/>
    <n v="634.48"/>
    <x v="261"/>
    <n v="0.4"/>
    <x v="261"/>
    <x v="3"/>
    <x v="0"/>
    <n v="9"/>
    <x v="1"/>
    <x v="0"/>
    <n v="11"/>
    <s v="2024-11"/>
    <n v="3045.5"/>
    <s v="Delayed"/>
    <s v="Profitable"/>
    <s v="High Value"/>
  </r>
  <r>
    <x v="264"/>
    <x v="264"/>
    <s v="Sara Khan"/>
    <x v="1"/>
    <s v="Usa"/>
    <s v="New York"/>
    <x v="3"/>
    <s v="Dress"/>
    <x v="261"/>
    <n v="6"/>
    <n v="1041"/>
    <n v="7.0000000000000007E-2"/>
    <n v="968.13"/>
    <x v="262"/>
    <n v="0.35"/>
    <x v="262"/>
    <x v="2"/>
    <x v="0"/>
    <n v="8"/>
    <x v="2"/>
    <x v="2"/>
    <n v="3"/>
    <s v="2025-03"/>
    <n v="3775.71"/>
    <s v="Delayed"/>
    <s v="Profitable"/>
    <s v="High Value"/>
  </r>
  <r>
    <x v="265"/>
    <x v="265"/>
    <s v="Maria Singh"/>
    <x v="0"/>
    <s v="India"/>
    <s v="Bangalore"/>
    <x v="1"/>
    <s v="Tennis Racket"/>
    <x v="262"/>
    <n v="9"/>
    <n v="1007"/>
    <n v="0.1"/>
    <n v="906.3"/>
    <x v="263"/>
    <n v="0.25"/>
    <x v="263"/>
    <x v="2"/>
    <x v="0"/>
    <n v="5"/>
    <x v="2"/>
    <x v="11"/>
    <n v="9"/>
    <s v="2025-09"/>
    <n v="6117.5199999999995"/>
    <s v="Standard"/>
    <s v="Profitable"/>
    <s v="High Value"/>
  </r>
  <r>
    <x v="266"/>
    <x v="266"/>
    <s v="Sara Khan"/>
    <x v="0"/>
    <s v="Usa"/>
    <s v="Mumbai"/>
    <x v="3"/>
    <s v="Jeans"/>
    <x v="263"/>
    <n v="3"/>
    <n v="2208"/>
    <n v="0.12"/>
    <n v="1943.04"/>
    <x v="264"/>
    <n v="0.35"/>
    <x v="264"/>
    <x v="2"/>
    <x v="0"/>
    <n v="3"/>
    <x v="0"/>
    <x v="0"/>
    <n v="11"/>
    <s v="2023-11"/>
    <n v="3788.93"/>
    <s v="Fast"/>
    <s v="Profitable"/>
    <s v="High Value"/>
  </r>
  <r>
    <x v="267"/>
    <x v="267"/>
    <s v="Amit Verma"/>
    <x v="3"/>
    <s v="India"/>
    <s v="London"/>
    <x v="0"/>
    <s v="Biography"/>
    <x v="264"/>
    <n v="5"/>
    <n v="1091"/>
    <n v="0.06"/>
    <n v="1025.54"/>
    <x v="265"/>
    <n v="0.4"/>
    <x v="265"/>
    <x v="2"/>
    <x v="0"/>
    <n v="7"/>
    <x v="1"/>
    <x v="0"/>
    <n v="11"/>
    <s v="2024-11"/>
    <n v="3076.62"/>
    <s v="Standard"/>
    <s v="Profitable"/>
    <s v="High Value"/>
  </r>
  <r>
    <x v="268"/>
    <x v="268"/>
    <s v="David Lee"/>
    <x v="3"/>
    <s v="Uk"/>
    <s v="Bangalore"/>
    <x v="3"/>
    <s v="T-Shirt"/>
    <x v="265"/>
    <n v="2"/>
    <n v="3791"/>
    <n v="0.22"/>
    <n v="2956.98"/>
    <x v="266"/>
    <n v="0.35"/>
    <x v="266"/>
    <x v="3"/>
    <x v="1"/>
    <n v="7"/>
    <x v="0"/>
    <x v="5"/>
    <n v="8"/>
    <s v="2023-08"/>
    <n v="3844.07"/>
    <s v="Standard"/>
    <s v="Profitable"/>
    <s v="High Value"/>
  </r>
  <r>
    <x v="269"/>
    <x v="269"/>
    <s v="David Lee"/>
    <x v="0"/>
    <s v="Usa"/>
    <s v="Bangalore"/>
    <x v="3"/>
    <s v="Dress"/>
    <x v="266"/>
    <n v="5"/>
    <n v="1235"/>
    <n v="0.04"/>
    <n v="1185.5999999999999"/>
    <x v="267"/>
    <n v="0.35"/>
    <x v="267"/>
    <x v="2"/>
    <x v="0"/>
    <n v="3"/>
    <x v="0"/>
    <x v="11"/>
    <n v="9"/>
    <s v="2023-09"/>
    <n v="3853.2"/>
    <s v="Fast"/>
    <s v="Profitable"/>
    <s v="High Value"/>
  </r>
  <r>
    <x v="270"/>
    <x v="270"/>
    <s v="Priya Mehta"/>
    <x v="2"/>
    <s v="Uk"/>
    <s v="Delhi"/>
    <x v="0"/>
    <s v="Fiction"/>
    <x v="267"/>
    <n v="6"/>
    <n v="941"/>
    <n v="0.08"/>
    <n v="865.72"/>
    <x v="268"/>
    <n v="0.4"/>
    <x v="268"/>
    <x v="1"/>
    <x v="0"/>
    <n v="1"/>
    <x v="1"/>
    <x v="9"/>
    <n v="7"/>
    <s v="2024-07"/>
    <n v="3116.5899999999997"/>
    <s v="Fast"/>
    <s v="Profitable"/>
    <s v="High Value"/>
  </r>
  <r>
    <x v="271"/>
    <x v="271"/>
    <s v="David Lee"/>
    <x v="3"/>
    <s v="Uk"/>
    <s v="Delhi"/>
    <x v="3"/>
    <s v="Jacket"/>
    <x v="268"/>
    <n v="2"/>
    <n v="3584"/>
    <n v="0.17"/>
    <n v="2974.72"/>
    <x v="269"/>
    <n v="0.35"/>
    <x v="269"/>
    <x v="3"/>
    <x v="0"/>
    <n v="4"/>
    <x v="1"/>
    <x v="9"/>
    <n v="7"/>
    <s v="2024-07"/>
    <n v="3867.1399999999994"/>
    <s v="Standard"/>
    <s v="Profitable"/>
    <s v="High Value"/>
  </r>
  <r>
    <x v="272"/>
    <x v="272"/>
    <s v="Sara Khan"/>
    <x v="0"/>
    <s v="India"/>
    <s v="Toronto"/>
    <x v="1"/>
    <s v="Yoga Mat"/>
    <x v="269"/>
    <n v="2"/>
    <n v="5481"/>
    <n v="0.24"/>
    <n v="4165.5600000000004"/>
    <x v="270"/>
    <n v="0.25"/>
    <x v="270"/>
    <x v="3"/>
    <x v="0"/>
    <n v="5"/>
    <x v="1"/>
    <x v="9"/>
    <n v="7"/>
    <s v="2024-07"/>
    <n v="6248.34"/>
    <s v="Standard"/>
    <s v="Profitable"/>
    <s v="High Value"/>
  </r>
  <r>
    <x v="273"/>
    <x v="273"/>
    <s v="David Lee"/>
    <x v="1"/>
    <s v="Uk"/>
    <s v="London"/>
    <x v="3"/>
    <s v="Dress"/>
    <x v="270"/>
    <n v="6"/>
    <n v="1203"/>
    <n v="0.17"/>
    <n v="998.49"/>
    <x v="271"/>
    <n v="0.35"/>
    <x v="271"/>
    <x v="3"/>
    <x v="0"/>
    <n v="5"/>
    <x v="0"/>
    <x v="5"/>
    <n v="8"/>
    <s v="2023-08"/>
    <n v="3894.1099999999997"/>
    <s v="Standard"/>
    <s v="Profitable"/>
    <s v="High Value"/>
  </r>
  <r>
    <x v="274"/>
    <x v="274"/>
    <s v="Amit Verma"/>
    <x v="1"/>
    <s v="India"/>
    <s v="Bangalore"/>
    <x v="0"/>
    <s v="Comics"/>
    <x v="271"/>
    <n v="9"/>
    <n v="652"/>
    <n v="0.09"/>
    <n v="593.32000000000005"/>
    <x v="272"/>
    <n v="0.4"/>
    <x v="272"/>
    <x v="0"/>
    <x v="0"/>
    <n v="9"/>
    <x v="1"/>
    <x v="7"/>
    <n v="2"/>
    <s v="2024-02"/>
    <n v="3203.9300000000003"/>
    <s v="Delayed"/>
    <s v="Profitable"/>
    <s v="High Value"/>
  </r>
  <r>
    <x v="275"/>
    <x v="275"/>
    <s v="Priya Mehta"/>
    <x v="3"/>
    <s v="Usa"/>
    <s v="Toronto"/>
    <x v="2"/>
    <s v="Table"/>
    <x v="272"/>
    <n v="1"/>
    <n v="14329"/>
    <n v="0.25"/>
    <n v="10746.75"/>
    <x v="273"/>
    <n v="0.2"/>
    <x v="273"/>
    <x v="0"/>
    <x v="0"/>
    <n v="8"/>
    <x v="1"/>
    <x v="6"/>
    <n v="4"/>
    <s v="2024-04"/>
    <n v="8597.4"/>
    <s v="Delayed"/>
    <s v="Profitable"/>
    <s v="High Value"/>
  </r>
  <r>
    <x v="276"/>
    <x v="276"/>
    <s v="Priya Mehta"/>
    <x v="2"/>
    <s v="India"/>
    <s v="London"/>
    <x v="0"/>
    <s v="Comics"/>
    <x v="273"/>
    <n v="8"/>
    <n v="752"/>
    <n v="0.1"/>
    <n v="676.8"/>
    <x v="274"/>
    <n v="0.4"/>
    <x v="274"/>
    <x v="2"/>
    <x v="0"/>
    <n v="5"/>
    <x v="0"/>
    <x v="3"/>
    <n v="1"/>
    <s v="2023-01"/>
    <n v="3248.6399999999994"/>
    <s v="Standard"/>
    <s v="Profitable"/>
    <s v="High Value"/>
  </r>
  <r>
    <x v="277"/>
    <x v="277"/>
    <s v="Maria Singh"/>
    <x v="0"/>
    <s v="Canada"/>
    <s v="Delhi"/>
    <x v="0"/>
    <s v="Fiction"/>
    <x v="274"/>
    <n v="9"/>
    <n v="635"/>
    <n v="0.05"/>
    <n v="603.25"/>
    <x v="275"/>
    <n v="0.4"/>
    <x v="275"/>
    <x v="0"/>
    <x v="0"/>
    <n v="5"/>
    <x v="1"/>
    <x v="1"/>
    <n v="10"/>
    <s v="2024-10"/>
    <n v="3257.55"/>
    <s v="Standard"/>
    <s v="Profitable"/>
    <s v="High Value"/>
  </r>
  <r>
    <x v="278"/>
    <x v="278"/>
    <s v="Sara Khan"/>
    <x v="2"/>
    <s v="Canada"/>
    <s v="Bangalore"/>
    <x v="1"/>
    <s v="Cricket Bat"/>
    <x v="275"/>
    <n v="6"/>
    <n v="1610"/>
    <n v="0.1"/>
    <n v="1449"/>
    <x v="276"/>
    <n v="0.25"/>
    <x v="276"/>
    <x v="0"/>
    <x v="0"/>
    <n v="8"/>
    <x v="2"/>
    <x v="5"/>
    <n v="8"/>
    <s v="2025-08"/>
    <n v="6520.5"/>
    <s v="Delayed"/>
    <s v="Profitable"/>
    <s v="High Value"/>
  </r>
  <r>
    <x v="279"/>
    <x v="279"/>
    <s v="Amit Verma"/>
    <x v="0"/>
    <s v="India"/>
    <s v="Mumbai"/>
    <x v="1"/>
    <s v="Tennis Racket"/>
    <x v="276"/>
    <n v="1"/>
    <n v="10738"/>
    <n v="0.19"/>
    <n v="8697.7800000000007"/>
    <x v="277"/>
    <n v="0.25"/>
    <x v="277"/>
    <x v="1"/>
    <x v="0"/>
    <n v="7"/>
    <x v="0"/>
    <x v="8"/>
    <n v="12"/>
    <s v="2023-12"/>
    <n v="6523.3300000000008"/>
    <s v="Standard"/>
    <s v="Profitable"/>
    <s v="High Value"/>
  </r>
  <r>
    <x v="280"/>
    <x v="280"/>
    <s v="Amit Verma"/>
    <x v="1"/>
    <s v="India"/>
    <s v="New York"/>
    <x v="3"/>
    <s v="T-Shirt"/>
    <x v="277"/>
    <n v="3"/>
    <n v="2453"/>
    <n v="0.15"/>
    <n v="2085.0500000000002"/>
    <x v="278"/>
    <n v="0.35"/>
    <x v="278"/>
    <x v="2"/>
    <x v="0"/>
    <n v="8"/>
    <x v="1"/>
    <x v="4"/>
    <n v="6"/>
    <s v="2024-06"/>
    <n v="4065.8499999999995"/>
    <s v="Delayed"/>
    <s v="Profitable"/>
    <s v="High Value"/>
  </r>
  <r>
    <x v="281"/>
    <x v="281"/>
    <s v="Priya Mehta"/>
    <x v="3"/>
    <s v="Usa"/>
    <s v="Bangalore"/>
    <x v="4"/>
    <s v="Tablet"/>
    <x v="278"/>
    <n v="1"/>
    <n v="16172"/>
    <n v="0.09"/>
    <n v="14716.52"/>
    <x v="279"/>
    <n v="0.15"/>
    <x v="279"/>
    <x v="1"/>
    <x v="0"/>
    <n v="9"/>
    <x v="1"/>
    <x v="11"/>
    <n v="9"/>
    <s v="2024-09"/>
    <n v="12509.04"/>
    <s v="Delayed"/>
    <s v="Profitable"/>
    <s v="High Value"/>
  </r>
  <r>
    <x v="282"/>
    <x v="282"/>
    <s v="Sara Khan"/>
    <x v="0"/>
    <s v="Canada"/>
    <s v="New York"/>
    <x v="1"/>
    <s v="Tennis Racket"/>
    <x v="279"/>
    <n v="5"/>
    <n v="2239"/>
    <n v="0.21"/>
    <n v="1768.81"/>
    <x v="280"/>
    <n v="0.25"/>
    <x v="280"/>
    <x v="1"/>
    <x v="0"/>
    <n v="2"/>
    <x v="0"/>
    <x v="4"/>
    <n v="6"/>
    <s v="2023-06"/>
    <n v="6633.0399999999991"/>
    <s v="Fast"/>
    <s v="Profitable"/>
    <s v="High Value"/>
  </r>
  <r>
    <x v="283"/>
    <x v="283"/>
    <s v="Priya Mehta"/>
    <x v="2"/>
    <s v="India"/>
    <s v="Mumbai"/>
    <x v="3"/>
    <s v="T-Shirt"/>
    <x v="280"/>
    <n v="2"/>
    <n v="3716"/>
    <n v="0.15"/>
    <n v="3158.6"/>
    <x v="281"/>
    <n v="0.35"/>
    <x v="281"/>
    <x v="1"/>
    <x v="1"/>
    <n v="3"/>
    <x v="0"/>
    <x v="6"/>
    <n v="4"/>
    <s v="2023-04"/>
    <n v="4106.18"/>
    <s v="Fast"/>
    <s v="Profitable"/>
    <s v="High Value"/>
  </r>
  <r>
    <x v="284"/>
    <x v="284"/>
    <s v="David Lee"/>
    <x v="0"/>
    <s v="Uk"/>
    <s v="Bangalore"/>
    <x v="0"/>
    <s v="Biography"/>
    <x v="281"/>
    <n v="6"/>
    <n v="1182"/>
    <n v="0.22"/>
    <n v="921.96"/>
    <x v="282"/>
    <n v="0.4"/>
    <x v="282"/>
    <x v="3"/>
    <x v="0"/>
    <n v="9"/>
    <x v="1"/>
    <x v="4"/>
    <n v="6"/>
    <s v="2024-06"/>
    <n v="3319.0600000000004"/>
    <s v="Delayed"/>
    <s v="Profitable"/>
    <s v="High Value"/>
  </r>
  <r>
    <x v="285"/>
    <x v="285"/>
    <s v="David Lee"/>
    <x v="3"/>
    <s v="India"/>
    <s v="New York"/>
    <x v="0"/>
    <s v="Non-Fiction"/>
    <x v="135"/>
    <n v="6"/>
    <n v="1140"/>
    <n v="0.19"/>
    <n v="923.4"/>
    <x v="283"/>
    <n v="0.4"/>
    <x v="283"/>
    <x v="0"/>
    <x v="0"/>
    <n v="9"/>
    <x v="2"/>
    <x v="7"/>
    <n v="2"/>
    <s v="2025-02"/>
    <n v="3324.24"/>
    <s v="Delayed"/>
    <s v="Profitable"/>
    <s v="High Value"/>
  </r>
  <r>
    <x v="286"/>
    <x v="286"/>
    <s v="David Lee"/>
    <x v="0"/>
    <s v="India"/>
    <s v="Toronto"/>
    <x v="3"/>
    <s v="Dress"/>
    <x v="282"/>
    <n v="3"/>
    <n v="2493"/>
    <n v="0.15"/>
    <n v="2119.0500000000002"/>
    <x v="284"/>
    <n v="0.35"/>
    <x v="284"/>
    <x v="2"/>
    <x v="0"/>
    <n v="4"/>
    <x v="0"/>
    <x v="10"/>
    <n v="5"/>
    <s v="2023-05"/>
    <n v="4132.1499999999996"/>
    <s v="Standard"/>
    <s v="Profitable"/>
    <s v="High Value"/>
  </r>
  <r>
    <x v="287"/>
    <x v="287"/>
    <s v="Maria Singh"/>
    <x v="3"/>
    <s v="Uk"/>
    <s v="New York"/>
    <x v="0"/>
    <s v="Fiction"/>
    <x v="283"/>
    <n v="5"/>
    <n v="1449"/>
    <n v="0.23"/>
    <n v="1115.73"/>
    <x v="285"/>
    <n v="0.4"/>
    <x v="285"/>
    <x v="3"/>
    <x v="0"/>
    <n v="8"/>
    <x v="1"/>
    <x v="0"/>
    <n v="11"/>
    <s v="2024-11"/>
    <n v="3347.1899999999996"/>
    <s v="Delayed"/>
    <s v="Profitable"/>
    <s v="High Value"/>
  </r>
  <r>
    <x v="288"/>
    <x v="288"/>
    <s v="John Smith"/>
    <x v="3"/>
    <s v="Canada"/>
    <s v="Mumbai"/>
    <x v="0"/>
    <s v="Fiction"/>
    <x v="284"/>
    <n v="5"/>
    <n v="1249"/>
    <n v="0.1"/>
    <n v="1124.0999999999999"/>
    <x v="286"/>
    <n v="0.4"/>
    <x v="286"/>
    <x v="1"/>
    <x v="1"/>
    <n v="5"/>
    <x v="2"/>
    <x v="5"/>
    <n v="8"/>
    <s v="2025-08"/>
    <n v="3372.3"/>
    <s v="Standard"/>
    <s v="Profitable"/>
    <s v="High Value"/>
  </r>
  <r>
    <x v="289"/>
    <x v="289"/>
    <s v="John Smith"/>
    <x v="0"/>
    <s v="India"/>
    <s v="Delhi"/>
    <x v="3"/>
    <s v="Jeans"/>
    <x v="285"/>
    <n v="5"/>
    <n v="1504"/>
    <n v="0.14000000000000001"/>
    <n v="1293.44"/>
    <x v="287"/>
    <n v="0.35"/>
    <x v="287"/>
    <x v="1"/>
    <x v="0"/>
    <n v="6"/>
    <x v="0"/>
    <x v="1"/>
    <n v="10"/>
    <s v="2023-10"/>
    <n v="4203.68"/>
    <s v="Standard"/>
    <s v="Profitable"/>
    <s v="High Value"/>
  </r>
  <r>
    <x v="290"/>
    <x v="290"/>
    <s v="John Smith"/>
    <x v="3"/>
    <s v="Uk"/>
    <s v="Bangalore"/>
    <x v="2"/>
    <s v="Table"/>
    <x v="286"/>
    <n v="5"/>
    <n v="2632"/>
    <n v="0.14000000000000001"/>
    <n v="2263.52"/>
    <x v="288"/>
    <n v="0.2"/>
    <x v="287"/>
    <x v="1"/>
    <x v="1"/>
    <n v="9"/>
    <x v="1"/>
    <x v="7"/>
    <n v="2"/>
    <s v="2024-02"/>
    <n v="9054.08"/>
    <s v="Delayed"/>
    <s v="Profitable"/>
    <s v="High Value"/>
  </r>
  <r>
    <x v="291"/>
    <x v="291"/>
    <s v="David Lee"/>
    <x v="0"/>
    <s v="Canada"/>
    <s v="London"/>
    <x v="0"/>
    <s v="Comics"/>
    <x v="287"/>
    <n v="5"/>
    <n v="1434"/>
    <n v="0.21"/>
    <n v="1132.8599999999999"/>
    <x v="289"/>
    <n v="0.4"/>
    <x v="288"/>
    <x v="1"/>
    <x v="0"/>
    <n v="1"/>
    <x v="1"/>
    <x v="1"/>
    <n v="10"/>
    <s v="2024-10"/>
    <n v="3398.5800000000004"/>
    <s v="Fast"/>
    <s v="Profitable"/>
    <s v="High Value"/>
  </r>
  <r>
    <x v="292"/>
    <x v="292"/>
    <s v="David Lee"/>
    <x v="3"/>
    <s v="Usa"/>
    <s v="Bangalore"/>
    <x v="3"/>
    <s v="Jeans"/>
    <x v="288"/>
    <n v="6"/>
    <n v="1163"/>
    <n v="7.0000000000000007E-2"/>
    <n v="1081.5899999999999"/>
    <x v="290"/>
    <n v="0.35"/>
    <x v="289"/>
    <x v="1"/>
    <x v="0"/>
    <n v="3"/>
    <x v="2"/>
    <x v="2"/>
    <n v="3"/>
    <s v="2025-03"/>
    <n v="4218.2"/>
    <s v="Fast"/>
    <s v="Profitable"/>
    <s v="High Value"/>
  </r>
  <r>
    <x v="293"/>
    <x v="293"/>
    <s v="John Smith"/>
    <x v="3"/>
    <s v="Canada"/>
    <s v="London"/>
    <x v="0"/>
    <s v="Biography"/>
    <x v="289"/>
    <n v="6"/>
    <n v="967"/>
    <n v="0.02"/>
    <n v="947.66"/>
    <x v="291"/>
    <n v="0.4"/>
    <x v="290"/>
    <x v="1"/>
    <x v="0"/>
    <n v="7"/>
    <x v="1"/>
    <x v="9"/>
    <n v="7"/>
    <s v="2024-07"/>
    <n v="3411.58"/>
    <s v="Standard"/>
    <s v="Profitable"/>
    <s v="High Value"/>
  </r>
  <r>
    <x v="294"/>
    <x v="294"/>
    <s v="David Lee"/>
    <x v="2"/>
    <s v="Usa"/>
    <s v="London"/>
    <x v="3"/>
    <s v="Dress"/>
    <x v="290"/>
    <n v="8"/>
    <n v="892"/>
    <n v="0.08"/>
    <n v="820.64"/>
    <x v="292"/>
    <n v="0.35"/>
    <x v="291"/>
    <x v="0"/>
    <x v="0"/>
    <n v="1"/>
    <x v="1"/>
    <x v="5"/>
    <n v="8"/>
    <s v="2024-08"/>
    <n v="4267.33"/>
    <s v="Fast"/>
    <s v="Profitable"/>
    <s v="High Value"/>
  </r>
  <r>
    <x v="295"/>
    <x v="295"/>
    <s v="David Lee"/>
    <x v="3"/>
    <s v="Canada"/>
    <s v="London"/>
    <x v="0"/>
    <s v="Comics"/>
    <x v="291"/>
    <n v="6"/>
    <n v="1155"/>
    <n v="0.17"/>
    <n v="958.65"/>
    <x v="293"/>
    <n v="0.4"/>
    <x v="292"/>
    <x v="0"/>
    <x v="0"/>
    <n v="8"/>
    <x v="1"/>
    <x v="3"/>
    <n v="1"/>
    <s v="2024-01"/>
    <n v="3451.1399999999994"/>
    <s v="Delayed"/>
    <s v="Profitable"/>
    <s v="High Value"/>
  </r>
  <r>
    <x v="296"/>
    <x v="296"/>
    <s v="John Smith"/>
    <x v="2"/>
    <s v="Uk"/>
    <s v="Bangalore"/>
    <x v="2"/>
    <s v="Chair"/>
    <x v="292"/>
    <n v="1"/>
    <n v="11765"/>
    <n v="0.02"/>
    <n v="11529.7"/>
    <x v="294"/>
    <n v="0.2"/>
    <x v="293"/>
    <x v="2"/>
    <x v="0"/>
    <n v="6"/>
    <x v="1"/>
    <x v="1"/>
    <n v="10"/>
    <s v="2024-10"/>
    <n v="9223.76"/>
    <s v="Standard"/>
    <s v="Profitable"/>
    <s v="High Value"/>
  </r>
  <r>
    <x v="297"/>
    <x v="297"/>
    <s v="Priya Mehta"/>
    <x v="2"/>
    <s v="Uk"/>
    <s v="Bangalore"/>
    <x v="0"/>
    <s v="Comics"/>
    <x v="293"/>
    <n v="6"/>
    <n v="1187"/>
    <n v="0.19"/>
    <n v="961.47"/>
    <x v="295"/>
    <n v="0.4"/>
    <x v="294"/>
    <x v="3"/>
    <x v="0"/>
    <n v="4"/>
    <x v="0"/>
    <x v="8"/>
    <n v="12"/>
    <s v="2023-12"/>
    <n v="3461.2899999999995"/>
    <s v="Standard"/>
    <s v="Profitable"/>
    <s v="High Value"/>
  </r>
  <r>
    <x v="298"/>
    <x v="298"/>
    <s v="Amit Verma"/>
    <x v="3"/>
    <s v="Uk"/>
    <s v="Bangalore"/>
    <x v="1"/>
    <s v="Tennis Racket"/>
    <x v="294"/>
    <n v="4"/>
    <n v="2653"/>
    <n v="0.13"/>
    <n v="2308.11"/>
    <x v="296"/>
    <n v="0.25"/>
    <x v="295"/>
    <x v="3"/>
    <x v="0"/>
    <n v="3"/>
    <x v="1"/>
    <x v="8"/>
    <n v="12"/>
    <s v="2024-12"/>
    <n v="6924.33"/>
    <s v="Fast"/>
    <s v="Profitable"/>
    <s v="High Value"/>
  </r>
  <r>
    <x v="299"/>
    <x v="299"/>
    <s v="Priya Mehta"/>
    <x v="2"/>
    <s v="India"/>
    <s v="London"/>
    <x v="2"/>
    <s v="Table"/>
    <x v="295"/>
    <n v="4"/>
    <n v="3283"/>
    <n v="0.12"/>
    <n v="2889.04"/>
    <x v="297"/>
    <n v="0.2"/>
    <x v="296"/>
    <x v="1"/>
    <x v="0"/>
    <n v="1"/>
    <x v="2"/>
    <x v="6"/>
    <n v="4"/>
    <s v="2025-04"/>
    <n v="9244.93"/>
    <s v="Fast"/>
    <s v="Profitable"/>
    <s v="High Value"/>
  </r>
  <r>
    <x v="300"/>
    <x v="300"/>
    <s v="Sara Khan"/>
    <x v="1"/>
    <s v="Canada"/>
    <s v="Mumbai"/>
    <x v="3"/>
    <s v="Jacket"/>
    <x v="296"/>
    <n v="3"/>
    <n v="2485"/>
    <n v="0.11"/>
    <n v="2211.65"/>
    <x v="298"/>
    <n v="0.35"/>
    <x v="297"/>
    <x v="3"/>
    <x v="0"/>
    <n v="7"/>
    <x v="1"/>
    <x v="6"/>
    <n v="4"/>
    <s v="2024-04"/>
    <n v="4312.7199999999993"/>
    <s v="Standard"/>
    <s v="Profitable"/>
    <s v="High Value"/>
  </r>
  <r>
    <x v="301"/>
    <x v="301"/>
    <s v="Maria Singh"/>
    <x v="0"/>
    <s v="India"/>
    <s v="Mumbai"/>
    <x v="3"/>
    <s v="Dress"/>
    <x v="297"/>
    <n v="8"/>
    <n v="1108"/>
    <n v="0.25"/>
    <n v="831"/>
    <x v="299"/>
    <n v="0.35"/>
    <x v="298"/>
    <x v="1"/>
    <x v="0"/>
    <n v="3"/>
    <x v="1"/>
    <x v="4"/>
    <n v="6"/>
    <s v="2024-06"/>
    <n v="4321.2"/>
    <s v="Fast"/>
    <s v="Profitable"/>
    <s v="High Value"/>
  </r>
  <r>
    <x v="302"/>
    <x v="302"/>
    <s v="John Smith"/>
    <x v="0"/>
    <s v="Canada"/>
    <s v="New York"/>
    <x v="0"/>
    <s v="Fiction"/>
    <x v="298"/>
    <n v="9"/>
    <n v="745"/>
    <n v="0.12"/>
    <n v="655.6"/>
    <x v="300"/>
    <n v="0.4"/>
    <x v="299"/>
    <x v="3"/>
    <x v="1"/>
    <n v="3"/>
    <x v="1"/>
    <x v="5"/>
    <n v="8"/>
    <s v="2024-08"/>
    <n v="3540.24"/>
    <s v="Fast"/>
    <s v="Profitable"/>
    <s v="High Value"/>
  </r>
  <r>
    <x v="303"/>
    <x v="303"/>
    <s v="John Smith"/>
    <x v="1"/>
    <s v="India"/>
    <s v="London"/>
    <x v="1"/>
    <s v="Cricket Bat"/>
    <x v="299"/>
    <n v="3"/>
    <n v="4155"/>
    <n v="0.24"/>
    <n v="3157.8"/>
    <x v="301"/>
    <n v="0.25"/>
    <x v="300"/>
    <x v="0"/>
    <x v="0"/>
    <n v="9"/>
    <x v="0"/>
    <x v="6"/>
    <n v="4"/>
    <s v="2023-04"/>
    <n v="7105.0499999999993"/>
    <s v="Delayed"/>
    <s v="Profitable"/>
    <s v="High Value"/>
  </r>
  <r>
    <x v="304"/>
    <x v="304"/>
    <s v="John Smith"/>
    <x v="3"/>
    <s v="Uk"/>
    <s v="Toronto"/>
    <x v="1"/>
    <s v="Cricket Bat"/>
    <x v="300"/>
    <n v="3"/>
    <n v="3672"/>
    <n v="0.14000000000000001"/>
    <n v="3157.92"/>
    <x v="302"/>
    <n v="0.25"/>
    <x v="301"/>
    <x v="1"/>
    <x v="1"/>
    <n v="6"/>
    <x v="1"/>
    <x v="5"/>
    <n v="8"/>
    <s v="2024-08"/>
    <n v="7105.32"/>
    <s v="Standard"/>
    <s v="Profitable"/>
    <s v="High Value"/>
  </r>
  <r>
    <x v="305"/>
    <x v="305"/>
    <s v="Sara Khan"/>
    <x v="2"/>
    <s v="India"/>
    <s v="Bangalore"/>
    <x v="0"/>
    <s v="Comics"/>
    <x v="301"/>
    <n v="5"/>
    <n v="1367"/>
    <n v="0.13"/>
    <n v="1189.29"/>
    <x v="303"/>
    <n v="0.4"/>
    <x v="302"/>
    <x v="0"/>
    <x v="0"/>
    <n v="9"/>
    <x v="0"/>
    <x v="1"/>
    <n v="10"/>
    <s v="2023-10"/>
    <n v="3567.87"/>
    <s v="Delayed"/>
    <s v="Profitable"/>
    <s v="High Value"/>
  </r>
  <r>
    <x v="306"/>
    <x v="306"/>
    <s v="Amit Verma"/>
    <x v="3"/>
    <s v="Usa"/>
    <s v="Mumbai"/>
    <x v="0"/>
    <s v="Comics"/>
    <x v="302"/>
    <n v="7"/>
    <n v="1037"/>
    <n v="0.18"/>
    <n v="850.34"/>
    <x v="304"/>
    <n v="0.4"/>
    <x v="303"/>
    <x v="0"/>
    <x v="0"/>
    <n v="9"/>
    <x v="0"/>
    <x v="6"/>
    <n v="4"/>
    <s v="2023-04"/>
    <n v="3571.4300000000003"/>
    <s v="Delayed"/>
    <s v="Profitable"/>
    <s v="High Value"/>
  </r>
  <r>
    <x v="307"/>
    <x v="307"/>
    <s v="John Smith"/>
    <x v="3"/>
    <s v="Uk"/>
    <s v="Toronto"/>
    <x v="1"/>
    <s v="Tennis Racket"/>
    <x v="303"/>
    <n v="2"/>
    <n v="5349"/>
    <n v="0.1"/>
    <n v="4814.1000000000004"/>
    <x v="305"/>
    <n v="0.25"/>
    <x v="304"/>
    <x v="3"/>
    <x v="1"/>
    <n v="6"/>
    <x v="1"/>
    <x v="10"/>
    <n v="5"/>
    <s v="2024-05"/>
    <n v="7221.1500000000005"/>
    <s v="Standard"/>
    <s v="Profitable"/>
    <s v="High Value"/>
  </r>
  <r>
    <x v="308"/>
    <x v="308"/>
    <s v="Maria Singh"/>
    <x v="0"/>
    <s v="Usa"/>
    <s v="Mumbai"/>
    <x v="1"/>
    <s v="Yoga Mat"/>
    <x v="304"/>
    <n v="2"/>
    <n v="5966"/>
    <n v="0.19"/>
    <n v="4832.46"/>
    <x v="306"/>
    <n v="0.25"/>
    <x v="305"/>
    <x v="3"/>
    <x v="1"/>
    <n v="8"/>
    <x v="2"/>
    <x v="7"/>
    <n v="2"/>
    <s v="2025-02"/>
    <n v="7248.6900000000005"/>
    <s v="Delayed"/>
    <s v="Profitable"/>
    <s v="High Value"/>
  </r>
  <r>
    <x v="309"/>
    <x v="309"/>
    <s v="Priya Mehta"/>
    <x v="0"/>
    <s v="Uk"/>
    <s v="London"/>
    <x v="0"/>
    <s v="Biography"/>
    <x v="305"/>
    <n v="9"/>
    <n v="819"/>
    <n v="0.18"/>
    <n v="671.58"/>
    <x v="307"/>
    <n v="0.4"/>
    <x v="306"/>
    <x v="2"/>
    <x v="1"/>
    <n v="1"/>
    <x v="0"/>
    <x v="10"/>
    <n v="5"/>
    <s v="2023-05"/>
    <n v="3626.53"/>
    <s v="Fast"/>
    <s v="Profitable"/>
    <s v="High Value"/>
  </r>
  <r>
    <x v="310"/>
    <x v="310"/>
    <s v="John Smith"/>
    <x v="3"/>
    <s v="Canada"/>
    <s v="Delhi"/>
    <x v="0"/>
    <s v="Fiction"/>
    <x v="306"/>
    <n v="8"/>
    <n v="789"/>
    <n v="0.04"/>
    <n v="757.44"/>
    <x v="308"/>
    <n v="0.4"/>
    <x v="307"/>
    <x v="2"/>
    <x v="2"/>
    <n v="2"/>
    <x v="0"/>
    <x v="8"/>
    <n v="12"/>
    <s v="2023-12"/>
    <n v="3635.7100000000005"/>
    <s v="Fast"/>
    <s v="Profitable"/>
    <s v="High Value"/>
  </r>
  <r>
    <x v="311"/>
    <x v="311"/>
    <s v="Sara Khan"/>
    <x v="1"/>
    <s v="India"/>
    <s v="Bangalore"/>
    <x v="3"/>
    <s v="Dress"/>
    <x v="307"/>
    <n v="3"/>
    <n v="2460"/>
    <n v="0.04"/>
    <n v="2361.6"/>
    <x v="309"/>
    <n v="0.35"/>
    <x v="308"/>
    <x v="2"/>
    <x v="0"/>
    <n v="7"/>
    <x v="1"/>
    <x v="10"/>
    <n v="5"/>
    <s v="2024-05"/>
    <n v="4605.1200000000008"/>
    <s v="Standard"/>
    <s v="Profitable"/>
    <s v="High Value"/>
  </r>
  <r>
    <x v="312"/>
    <x v="312"/>
    <s v="John Smith"/>
    <x v="1"/>
    <s v="Canada"/>
    <s v="Delhi"/>
    <x v="0"/>
    <s v="Non-Fiction"/>
    <x v="308"/>
    <n v="6"/>
    <n v="1080"/>
    <n v="0.04"/>
    <n v="1036.8"/>
    <x v="310"/>
    <n v="0.4"/>
    <x v="309"/>
    <x v="1"/>
    <x v="1"/>
    <n v="2"/>
    <x v="2"/>
    <x v="5"/>
    <n v="8"/>
    <s v="2025-08"/>
    <n v="3732.48"/>
    <s v="Fast"/>
    <s v="Profitable"/>
    <s v="High Value"/>
  </r>
  <r>
    <x v="313"/>
    <x v="313"/>
    <s v="Amit Verma"/>
    <x v="2"/>
    <s v="Canada"/>
    <s v="London"/>
    <x v="1"/>
    <s v="Cricket Bat"/>
    <x v="309"/>
    <n v="4"/>
    <n v="2939"/>
    <n v="0.15"/>
    <n v="2498.15"/>
    <x v="311"/>
    <n v="0.25"/>
    <x v="310"/>
    <x v="0"/>
    <x v="0"/>
    <n v="1"/>
    <x v="0"/>
    <x v="10"/>
    <n v="5"/>
    <s v="2023-05"/>
    <n v="7494.4500000000007"/>
    <s v="Fast"/>
    <s v="Profitable"/>
    <s v="High Value"/>
  </r>
  <r>
    <x v="314"/>
    <x v="314"/>
    <s v="Sara Khan"/>
    <x v="3"/>
    <s v="Uk"/>
    <s v="Delhi"/>
    <x v="1"/>
    <s v="Yoga Mat"/>
    <x v="310"/>
    <n v="1"/>
    <n v="10777"/>
    <n v="7.0000000000000007E-2"/>
    <n v="10022.61"/>
    <x v="312"/>
    <n v="0.25"/>
    <x v="311"/>
    <x v="1"/>
    <x v="0"/>
    <n v="8"/>
    <x v="1"/>
    <x v="7"/>
    <n v="2"/>
    <s v="2024-02"/>
    <n v="7516.9600000000009"/>
    <s v="Delayed"/>
    <s v="Profitable"/>
    <s v="High Value"/>
  </r>
  <r>
    <x v="315"/>
    <x v="315"/>
    <s v="David Lee"/>
    <x v="1"/>
    <s v="India"/>
    <s v="London"/>
    <x v="0"/>
    <s v="Comics"/>
    <x v="311"/>
    <n v="7"/>
    <n v="969"/>
    <n v="7.0000000000000007E-2"/>
    <n v="901.17"/>
    <x v="313"/>
    <n v="0.4"/>
    <x v="312"/>
    <x v="0"/>
    <x v="0"/>
    <n v="1"/>
    <x v="1"/>
    <x v="8"/>
    <n v="12"/>
    <s v="2024-12"/>
    <n v="3784.9099999999994"/>
    <s v="Fast"/>
    <s v="Profitable"/>
    <s v="High Value"/>
  </r>
  <r>
    <x v="316"/>
    <x v="316"/>
    <s v="Maria Singh"/>
    <x v="2"/>
    <s v="Uk"/>
    <s v="London"/>
    <x v="2"/>
    <s v="Sofa"/>
    <x v="312"/>
    <n v="1"/>
    <n v="12693"/>
    <n v="0"/>
    <n v="12693"/>
    <x v="314"/>
    <n v="0.2"/>
    <x v="313"/>
    <x v="3"/>
    <x v="0"/>
    <n v="3"/>
    <x v="0"/>
    <x v="11"/>
    <n v="9"/>
    <s v="2023-09"/>
    <n v="10154.4"/>
    <s v="Fast"/>
    <s v="Profitable"/>
    <s v="High Value"/>
  </r>
  <r>
    <x v="317"/>
    <x v="317"/>
    <s v="Priya Mehta"/>
    <x v="1"/>
    <s v="India"/>
    <s v="London"/>
    <x v="3"/>
    <s v="Dress"/>
    <x v="313"/>
    <n v="3"/>
    <n v="3101"/>
    <n v="0.22"/>
    <n v="2418.7800000000002"/>
    <x v="315"/>
    <n v="0.35"/>
    <x v="314"/>
    <x v="1"/>
    <x v="0"/>
    <n v="1"/>
    <x v="1"/>
    <x v="3"/>
    <n v="1"/>
    <s v="2024-01"/>
    <n v="4716.6200000000008"/>
    <s v="Fast"/>
    <s v="Profitable"/>
    <s v="High Value"/>
  </r>
  <r>
    <x v="318"/>
    <x v="318"/>
    <s v="Maria Singh"/>
    <x v="0"/>
    <s v="Uk"/>
    <s v="Delhi"/>
    <x v="0"/>
    <s v="Comics"/>
    <x v="314"/>
    <n v="6"/>
    <n v="1341"/>
    <n v="0.21"/>
    <n v="1059.3900000000001"/>
    <x v="316"/>
    <n v="0.4"/>
    <x v="315"/>
    <x v="1"/>
    <x v="0"/>
    <n v="7"/>
    <x v="2"/>
    <x v="2"/>
    <n v="3"/>
    <s v="2025-03"/>
    <n v="3813.8"/>
    <s v="Standard"/>
    <s v="Profitable"/>
    <s v="High Value"/>
  </r>
  <r>
    <x v="319"/>
    <x v="319"/>
    <s v="David Lee"/>
    <x v="0"/>
    <s v="Uk"/>
    <s v="Delhi"/>
    <x v="3"/>
    <s v="Dress"/>
    <x v="315"/>
    <n v="4"/>
    <n v="2227"/>
    <n v="0.18"/>
    <n v="1826.14"/>
    <x v="317"/>
    <n v="0.35"/>
    <x v="316"/>
    <x v="3"/>
    <x v="0"/>
    <n v="4"/>
    <x v="2"/>
    <x v="5"/>
    <n v="8"/>
    <s v="2025-08"/>
    <n v="4747.9600000000009"/>
    <s v="Standard"/>
    <s v="Profitable"/>
    <s v="High Value"/>
  </r>
  <r>
    <x v="320"/>
    <x v="320"/>
    <s v="Sara Khan"/>
    <x v="2"/>
    <s v="Canada"/>
    <s v="New York"/>
    <x v="3"/>
    <s v="Jacket"/>
    <x v="316"/>
    <n v="6"/>
    <n v="1269"/>
    <n v="0.04"/>
    <n v="1218.24"/>
    <x v="318"/>
    <n v="0.35"/>
    <x v="317"/>
    <x v="0"/>
    <x v="0"/>
    <n v="2"/>
    <x v="1"/>
    <x v="3"/>
    <n v="1"/>
    <s v="2024-01"/>
    <n v="4751.1399999999994"/>
    <s v="Fast"/>
    <s v="Profitable"/>
    <s v="High Value"/>
  </r>
  <r>
    <x v="321"/>
    <x v="321"/>
    <s v="David Lee"/>
    <x v="0"/>
    <s v="Uk"/>
    <s v="New York"/>
    <x v="0"/>
    <s v="Non-Fiction"/>
    <x v="87"/>
    <n v="7"/>
    <n v="1052"/>
    <n v="0.13"/>
    <n v="915.24"/>
    <x v="319"/>
    <n v="0.4"/>
    <x v="318"/>
    <x v="2"/>
    <x v="0"/>
    <n v="4"/>
    <x v="2"/>
    <x v="9"/>
    <n v="7"/>
    <s v="2025-07"/>
    <n v="3844.01"/>
    <s v="Standard"/>
    <s v="Profitable"/>
    <s v="High Value"/>
  </r>
  <r>
    <x v="322"/>
    <x v="322"/>
    <s v="David Lee"/>
    <x v="2"/>
    <s v="Uk"/>
    <s v="Delhi"/>
    <x v="3"/>
    <s v="Dress"/>
    <x v="317"/>
    <n v="3"/>
    <n v="2546"/>
    <n v="0.04"/>
    <n v="2444.16"/>
    <x v="320"/>
    <n v="0.35"/>
    <x v="319"/>
    <x v="2"/>
    <x v="0"/>
    <n v="6"/>
    <x v="0"/>
    <x v="6"/>
    <n v="4"/>
    <s v="2023-04"/>
    <n v="4766.1099999999997"/>
    <s v="Standard"/>
    <s v="Profitable"/>
    <s v="High Value"/>
  </r>
  <r>
    <x v="323"/>
    <x v="323"/>
    <s v="Sara Khan"/>
    <x v="0"/>
    <s v="India"/>
    <s v="Bangalore"/>
    <x v="3"/>
    <s v="Jacket"/>
    <x v="318"/>
    <n v="2"/>
    <n v="4778"/>
    <n v="0.23"/>
    <n v="3679.06"/>
    <x v="321"/>
    <n v="0.35"/>
    <x v="320"/>
    <x v="0"/>
    <x v="0"/>
    <n v="5"/>
    <x v="2"/>
    <x v="2"/>
    <n v="3"/>
    <s v="2025-03"/>
    <n v="4782.78"/>
    <s v="Standard"/>
    <s v="Profitable"/>
    <s v="High Value"/>
  </r>
  <r>
    <x v="324"/>
    <x v="324"/>
    <s v="Sara Khan"/>
    <x v="3"/>
    <s v="Canada"/>
    <s v="London"/>
    <x v="3"/>
    <s v="Dress"/>
    <x v="319"/>
    <n v="3"/>
    <n v="2556"/>
    <n v="0.04"/>
    <n v="2453.7600000000002"/>
    <x v="322"/>
    <n v="0.35"/>
    <x v="321"/>
    <x v="2"/>
    <x v="0"/>
    <n v="9"/>
    <x v="0"/>
    <x v="3"/>
    <n v="1"/>
    <s v="2023-01"/>
    <n v="4784.83"/>
    <s v="Delayed"/>
    <s v="Profitable"/>
    <s v="High Value"/>
  </r>
  <r>
    <x v="325"/>
    <x v="325"/>
    <s v="Sara Khan"/>
    <x v="1"/>
    <s v="Canada"/>
    <s v="New York"/>
    <x v="0"/>
    <s v="Non-Fiction"/>
    <x v="320"/>
    <n v="7"/>
    <n v="1098"/>
    <n v="0.16"/>
    <n v="922.32"/>
    <x v="323"/>
    <n v="0.4"/>
    <x v="322"/>
    <x v="1"/>
    <x v="0"/>
    <n v="8"/>
    <x v="1"/>
    <x v="10"/>
    <n v="5"/>
    <s v="2024-05"/>
    <n v="3873.74"/>
    <s v="Delayed"/>
    <s v="Profitable"/>
    <s v="High Value"/>
  </r>
  <r>
    <x v="326"/>
    <x v="326"/>
    <s v="John Smith"/>
    <x v="0"/>
    <s v="Canada"/>
    <s v="Mumbai"/>
    <x v="0"/>
    <s v="Non-Fiction"/>
    <x v="321"/>
    <n v="9"/>
    <n v="910"/>
    <n v="0.21"/>
    <n v="718.9"/>
    <x v="324"/>
    <n v="0.4"/>
    <x v="323"/>
    <x v="3"/>
    <x v="0"/>
    <n v="6"/>
    <x v="0"/>
    <x v="5"/>
    <n v="8"/>
    <s v="2023-08"/>
    <n v="3882.0600000000004"/>
    <s v="Standard"/>
    <s v="Profitable"/>
    <s v="High Value"/>
  </r>
  <r>
    <x v="327"/>
    <x v="327"/>
    <s v="Amit Verma"/>
    <x v="1"/>
    <s v="India"/>
    <s v="Toronto"/>
    <x v="3"/>
    <s v="T-Shirt"/>
    <x v="322"/>
    <n v="5"/>
    <n v="1741"/>
    <n v="0.15"/>
    <n v="1479.85"/>
    <x v="325"/>
    <n v="0.35"/>
    <x v="324"/>
    <x v="0"/>
    <x v="0"/>
    <n v="4"/>
    <x v="1"/>
    <x v="3"/>
    <n v="1"/>
    <s v="2024-01"/>
    <n v="4809.51"/>
    <s v="Standard"/>
    <s v="Profitable"/>
    <s v="High Value"/>
  </r>
  <r>
    <x v="328"/>
    <x v="328"/>
    <s v="Priya Mehta"/>
    <x v="0"/>
    <s v="Usa"/>
    <s v="Mumbai"/>
    <x v="0"/>
    <s v="Comics"/>
    <x v="323"/>
    <n v="5"/>
    <n v="1355"/>
    <n v="0.04"/>
    <n v="1300.8"/>
    <x v="326"/>
    <n v="0.4"/>
    <x v="325"/>
    <x v="1"/>
    <x v="0"/>
    <n v="5"/>
    <x v="2"/>
    <x v="7"/>
    <n v="2"/>
    <s v="2025-02"/>
    <n v="3902.4"/>
    <s v="Standard"/>
    <s v="Profitable"/>
    <s v="High Value"/>
  </r>
  <r>
    <x v="329"/>
    <x v="329"/>
    <s v="Maria Singh"/>
    <x v="3"/>
    <s v="Uk"/>
    <s v="Bangalore"/>
    <x v="3"/>
    <s v="Dress"/>
    <x v="324"/>
    <n v="3"/>
    <n v="2903"/>
    <n v="0.14000000000000001"/>
    <n v="2496.58"/>
    <x v="327"/>
    <n v="0.35"/>
    <x v="326"/>
    <x v="1"/>
    <x v="0"/>
    <n v="1"/>
    <x v="2"/>
    <x v="6"/>
    <n v="4"/>
    <s v="2025-04"/>
    <n v="4868.33"/>
    <s v="Fast"/>
    <s v="Profitable"/>
    <s v="High Value"/>
  </r>
  <r>
    <x v="330"/>
    <x v="330"/>
    <s v="Priya Mehta"/>
    <x v="0"/>
    <s v="Usa"/>
    <s v="New York"/>
    <x v="3"/>
    <s v="T-Shirt"/>
    <x v="325"/>
    <n v="3"/>
    <n v="3047"/>
    <n v="0.18"/>
    <n v="2498.54"/>
    <x v="328"/>
    <n v="0.35"/>
    <x v="327"/>
    <x v="3"/>
    <x v="0"/>
    <n v="6"/>
    <x v="2"/>
    <x v="3"/>
    <n v="1"/>
    <s v="2025-01"/>
    <n v="4872.1499999999996"/>
    <s v="Standard"/>
    <s v="Profitable"/>
    <s v="High Value"/>
  </r>
  <r>
    <x v="331"/>
    <x v="331"/>
    <s v="Maria Singh"/>
    <x v="3"/>
    <s v="Uk"/>
    <s v="Toronto"/>
    <x v="2"/>
    <s v="Table"/>
    <x v="326"/>
    <n v="2"/>
    <n v="8411"/>
    <n v="0.22"/>
    <n v="6560.58"/>
    <x v="329"/>
    <n v="0.2"/>
    <x v="328"/>
    <x v="0"/>
    <x v="1"/>
    <n v="3"/>
    <x v="2"/>
    <x v="11"/>
    <n v="9"/>
    <s v="2025-09"/>
    <n v="10496.93"/>
    <s v="Fast"/>
    <s v="Profitable"/>
    <s v="High Value"/>
  </r>
  <r>
    <x v="332"/>
    <x v="332"/>
    <s v="Maria Singh"/>
    <x v="3"/>
    <s v="Canada"/>
    <s v="Delhi"/>
    <x v="3"/>
    <s v="T-Shirt"/>
    <x v="327"/>
    <n v="9"/>
    <n v="872"/>
    <n v="0.04"/>
    <n v="837.12"/>
    <x v="330"/>
    <n v="0.35"/>
    <x v="329"/>
    <x v="3"/>
    <x v="0"/>
    <n v="9"/>
    <x v="0"/>
    <x v="1"/>
    <n v="10"/>
    <s v="2023-10"/>
    <n v="4897.1499999999996"/>
    <s v="Delayed"/>
    <s v="Profitable"/>
    <s v="High Value"/>
  </r>
  <r>
    <x v="333"/>
    <x v="333"/>
    <s v="David Lee"/>
    <x v="3"/>
    <s v="Uk"/>
    <s v="Bangalore"/>
    <x v="3"/>
    <s v="Jacket"/>
    <x v="328"/>
    <n v="7"/>
    <n v="1422"/>
    <n v="0.24"/>
    <n v="1080.72"/>
    <x v="331"/>
    <n v="0.35"/>
    <x v="330"/>
    <x v="1"/>
    <x v="1"/>
    <n v="1"/>
    <x v="2"/>
    <x v="3"/>
    <n v="1"/>
    <s v="2025-01"/>
    <n v="4917.28"/>
    <s v="Fast"/>
    <s v="Profitable"/>
    <s v="High Value"/>
  </r>
  <r>
    <x v="334"/>
    <x v="334"/>
    <s v="Maria Singh"/>
    <x v="2"/>
    <s v="Uk"/>
    <s v="London"/>
    <x v="0"/>
    <s v="Non-Fiction"/>
    <x v="329"/>
    <n v="9"/>
    <n v="943"/>
    <n v="0.21"/>
    <n v="744.97"/>
    <x v="332"/>
    <n v="0.4"/>
    <x v="331"/>
    <x v="2"/>
    <x v="0"/>
    <n v="2"/>
    <x v="1"/>
    <x v="5"/>
    <n v="8"/>
    <s v="2024-08"/>
    <n v="4022.8399999999997"/>
    <s v="Fast"/>
    <s v="Profitable"/>
    <s v="High Value"/>
  </r>
  <r>
    <x v="335"/>
    <x v="335"/>
    <s v="John Smith"/>
    <x v="3"/>
    <s v="Canada"/>
    <s v="New York"/>
    <x v="2"/>
    <s v="Chair"/>
    <x v="330"/>
    <n v="1"/>
    <n v="17078"/>
    <n v="0.21"/>
    <n v="13491.62"/>
    <x v="333"/>
    <n v="0.2"/>
    <x v="332"/>
    <x v="2"/>
    <x v="0"/>
    <n v="2"/>
    <x v="2"/>
    <x v="10"/>
    <n v="5"/>
    <s v="2025-05"/>
    <n v="10793.300000000001"/>
    <s v="Fast"/>
    <s v="Profitable"/>
    <s v="High Value"/>
  </r>
  <r>
    <x v="336"/>
    <x v="336"/>
    <s v="Priya Mehta"/>
    <x v="0"/>
    <s v="Uk"/>
    <s v="Mumbai"/>
    <x v="1"/>
    <s v="Yoga Mat"/>
    <x v="331"/>
    <n v="1"/>
    <n v="11142"/>
    <n v="0.02"/>
    <n v="10919.16"/>
    <x v="334"/>
    <n v="0.25"/>
    <x v="333"/>
    <x v="0"/>
    <x v="0"/>
    <n v="8"/>
    <x v="1"/>
    <x v="4"/>
    <n v="6"/>
    <s v="2024-06"/>
    <n v="8189.37"/>
    <s v="Delayed"/>
    <s v="Profitable"/>
    <s v="High Value"/>
  </r>
  <r>
    <x v="337"/>
    <x v="337"/>
    <s v="Maria Singh"/>
    <x v="2"/>
    <s v="Usa"/>
    <s v="Toronto"/>
    <x v="2"/>
    <s v="Chair"/>
    <x v="332"/>
    <n v="4"/>
    <n v="4289"/>
    <n v="0.2"/>
    <n v="3431.2"/>
    <x v="335"/>
    <n v="0.2"/>
    <x v="334"/>
    <x v="1"/>
    <x v="0"/>
    <n v="3"/>
    <x v="0"/>
    <x v="4"/>
    <n v="6"/>
    <s v="2023-06"/>
    <n v="10979.84"/>
    <s v="Fast"/>
    <s v="Profitable"/>
    <s v="High Value"/>
  </r>
  <r>
    <x v="338"/>
    <x v="338"/>
    <s v="John Smith"/>
    <x v="0"/>
    <s v="Usa"/>
    <s v="Toronto"/>
    <x v="0"/>
    <s v="Biography"/>
    <x v="333"/>
    <n v="8"/>
    <n v="1030"/>
    <n v="0.16"/>
    <n v="865.2"/>
    <x v="336"/>
    <n v="0.4"/>
    <x v="335"/>
    <x v="3"/>
    <x v="0"/>
    <n v="9"/>
    <x v="2"/>
    <x v="2"/>
    <n v="3"/>
    <s v="2025-03"/>
    <n v="4152.9600000000009"/>
    <s v="Delayed"/>
    <s v="Profitable"/>
    <s v="High Value"/>
  </r>
  <r>
    <x v="339"/>
    <x v="339"/>
    <s v="Sara Khan"/>
    <x v="1"/>
    <s v="Usa"/>
    <s v="Mumbai"/>
    <x v="1"/>
    <s v="Cricket Bat"/>
    <x v="334"/>
    <n v="1"/>
    <n v="14046"/>
    <n v="0.21"/>
    <n v="11096.34"/>
    <x v="337"/>
    <n v="0.25"/>
    <x v="336"/>
    <x v="3"/>
    <x v="0"/>
    <n v="7"/>
    <x v="1"/>
    <x v="11"/>
    <n v="9"/>
    <s v="2024-09"/>
    <n v="8322.26"/>
    <s v="Standard"/>
    <s v="Profitable"/>
    <s v="High Value"/>
  </r>
  <r>
    <x v="340"/>
    <x v="340"/>
    <s v="John Smith"/>
    <x v="1"/>
    <s v="Uk"/>
    <s v="Mumbai"/>
    <x v="1"/>
    <s v="Tennis Racket"/>
    <x v="335"/>
    <n v="4"/>
    <n v="2929"/>
    <n v="0.04"/>
    <n v="2811.84"/>
    <x v="338"/>
    <n v="0.25"/>
    <x v="337"/>
    <x v="0"/>
    <x v="0"/>
    <n v="6"/>
    <x v="2"/>
    <x v="7"/>
    <n v="2"/>
    <s v="2025-02"/>
    <n v="8435.52"/>
    <s v="Standard"/>
    <s v="Profitable"/>
    <s v="High Value"/>
  </r>
  <r>
    <x v="341"/>
    <x v="341"/>
    <s v="Sara Khan"/>
    <x v="0"/>
    <s v="Uk"/>
    <s v="Delhi"/>
    <x v="2"/>
    <s v="Bookshelf"/>
    <x v="336"/>
    <n v="2"/>
    <n v="7542"/>
    <n v="0.06"/>
    <n v="7089.48"/>
    <x v="339"/>
    <n v="0.2"/>
    <x v="338"/>
    <x v="0"/>
    <x v="1"/>
    <n v="6"/>
    <x v="1"/>
    <x v="9"/>
    <n v="7"/>
    <s v="2024-07"/>
    <n v="11343.169999999998"/>
    <s v="Standard"/>
    <s v="Profitable"/>
    <s v="High Value"/>
  </r>
  <r>
    <x v="342"/>
    <x v="342"/>
    <s v="David Lee"/>
    <x v="3"/>
    <s v="Usa"/>
    <s v="Delhi"/>
    <x v="2"/>
    <s v="Chair"/>
    <x v="337"/>
    <n v="1"/>
    <n v="18955"/>
    <n v="0.25"/>
    <n v="14216.25"/>
    <x v="340"/>
    <n v="0.2"/>
    <x v="339"/>
    <x v="1"/>
    <x v="0"/>
    <n v="5"/>
    <x v="1"/>
    <x v="5"/>
    <n v="8"/>
    <s v="2024-08"/>
    <n v="11373"/>
    <s v="Standard"/>
    <s v="Profitable"/>
    <s v="High Value"/>
  </r>
  <r>
    <x v="343"/>
    <x v="343"/>
    <s v="Maria Singh"/>
    <x v="0"/>
    <s v="Canada"/>
    <s v="London"/>
    <x v="0"/>
    <s v="Non-Fiction"/>
    <x v="338"/>
    <n v="9"/>
    <n v="791"/>
    <n v="0"/>
    <n v="791"/>
    <x v="341"/>
    <n v="0.4"/>
    <x v="340"/>
    <x v="3"/>
    <x v="1"/>
    <n v="2"/>
    <x v="0"/>
    <x v="10"/>
    <n v="5"/>
    <s v="2023-05"/>
    <n v="4271.3999999999996"/>
    <s v="Fast"/>
    <s v="Profitable"/>
    <s v="High Value"/>
  </r>
  <r>
    <x v="344"/>
    <x v="344"/>
    <s v="Sara Khan"/>
    <x v="0"/>
    <s v="Canada"/>
    <s v="Toronto"/>
    <x v="3"/>
    <s v="Dress"/>
    <x v="339"/>
    <n v="9"/>
    <n v="1146"/>
    <n v="0.21"/>
    <n v="905.34"/>
    <x v="342"/>
    <n v="0.35"/>
    <x v="341"/>
    <x v="3"/>
    <x v="0"/>
    <n v="1"/>
    <x v="1"/>
    <x v="8"/>
    <n v="12"/>
    <s v="2024-12"/>
    <n v="5296.24"/>
    <s v="Fast"/>
    <s v="Profitable"/>
    <s v="High Value"/>
  </r>
  <r>
    <x v="345"/>
    <x v="345"/>
    <s v="David Lee"/>
    <x v="0"/>
    <s v="Uk"/>
    <s v="Bangalore"/>
    <x v="1"/>
    <s v="Football"/>
    <x v="340"/>
    <n v="1"/>
    <n v="12424"/>
    <n v="0.08"/>
    <n v="11430.08"/>
    <x v="343"/>
    <n v="0.25"/>
    <x v="342"/>
    <x v="2"/>
    <x v="0"/>
    <n v="9"/>
    <x v="0"/>
    <x v="5"/>
    <n v="8"/>
    <s v="2023-08"/>
    <n v="8572.56"/>
    <s v="Delayed"/>
    <s v="Profitable"/>
    <s v="High Value"/>
  </r>
  <r>
    <x v="346"/>
    <x v="346"/>
    <s v="David Lee"/>
    <x v="3"/>
    <s v="Usa"/>
    <s v="Delhi"/>
    <x v="3"/>
    <s v="Jeans"/>
    <x v="341"/>
    <n v="3"/>
    <n v="2852"/>
    <n v="0.04"/>
    <n v="2737.92"/>
    <x v="344"/>
    <n v="0.35"/>
    <x v="343"/>
    <x v="0"/>
    <x v="0"/>
    <n v="9"/>
    <x v="2"/>
    <x v="4"/>
    <n v="6"/>
    <s v="2025-06"/>
    <n v="5338.9400000000005"/>
    <s v="Delayed"/>
    <s v="Profitable"/>
    <s v="High Value"/>
  </r>
  <r>
    <x v="347"/>
    <x v="347"/>
    <s v="Priya Mehta"/>
    <x v="1"/>
    <s v="Canada"/>
    <s v="Toronto"/>
    <x v="3"/>
    <s v="Dress"/>
    <x v="342"/>
    <n v="4"/>
    <n v="2395"/>
    <n v="0.14000000000000001"/>
    <n v="2059.6999999999998"/>
    <x v="345"/>
    <n v="0.35"/>
    <x v="344"/>
    <x v="1"/>
    <x v="0"/>
    <n v="6"/>
    <x v="0"/>
    <x v="3"/>
    <n v="1"/>
    <s v="2023-01"/>
    <n v="5355.2199999999993"/>
    <s v="Standard"/>
    <s v="Profitable"/>
    <s v="High Value"/>
  </r>
  <r>
    <x v="348"/>
    <x v="348"/>
    <s v="David Lee"/>
    <x v="1"/>
    <s v="Usa"/>
    <s v="London"/>
    <x v="1"/>
    <s v="Cricket Bat"/>
    <x v="343"/>
    <n v="1"/>
    <n v="13027"/>
    <n v="0.11"/>
    <n v="11594.03"/>
    <x v="346"/>
    <n v="0.25"/>
    <x v="345"/>
    <x v="1"/>
    <x v="2"/>
    <n v="9"/>
    <x v="1"/>
    <x v="5"/>
    <n v="8"/>
    <s v="2024-08"/>
    <n v="8695.52"/>
    <s v="Delayed"/>
    <s v="Profitable"/>
    <s v="High Value"/>
  </r>
  <r>
    <x v="349"/>
    <x v="349"/>
    <s v="John Smith"/>
    <x v="0"/>
    <s v="Uk"/>
    <s v="Mumbai"/>
    <x v="3"/>
    <s v="Dress"/>
    <x v="344"/>
    <n v="2"/>
    <n v="4420"/>
    <n v="0.06"/>
    <n v="4154.8"/>
    <x v="347"/>
    <n v="0.35"/>
    <x v="346"/>
    <x v="0"/>
    <x v="0"/>
    <n v="1"/>
    <x v="2"/>
    <x v="6"/>
    <n v="4"/>
    <s v="2025-04"/>
    <n v="5401.24"/>
    <s v="Fast"/>
    <s v="Profitable"/>
    <s v="High Value"/>
  </r>
  <r>
    <x v="350"/>
    <x v="350"/>
    <s v="Sara Khan"/>
    <x v="1"/>
    <s v="Uk"/>
    <s v="London"/>
    <x v="3"/>
    <s v="T-Shirt"/>
    <x v="345"/>
    <n v="8"/>
    <n v="1074"/>
    <n v="0.03"/>
    <n v="1041.78"/>
    <x v="348"/>
    <n v="0.35"/>
    <x v="347"/>
    <x v="1"/>
    <x v="0"/>
    <n v="4"/>
    <x v="0"/>
    <x v="5"/>
    <n v="8"/>
    <s v="2023-08"/>
    <n v="5417.26"/>
    <s v="Standard"/>
    <s v="Profitable"/>
    <s v="High Value"/>
  </r>
  <r>
    <x v="351"/>
    <x v="351"/>
    <s v="Maria Singh"/>
    <x v="2"/>
    <s v="India"/>
    <s v="Mumbai"/>
    <x v="3"/>
    <s v="Jacket"/>
    <x v="346"/>
    <n v="3"/>
    <n v="2960"/>
    <n v="0.06"/>
    <n v="2782.4"/>
    <x v="349"/>
    <n v="0.35"/>
    <x v="348"/>
    <x v="0"/>
    <x v="0"/>
    <n v="2"/>
    <x v="1"/>
    <x v="8"/>
    <n v="12"/>
    <s v="2024-12"/>
    <n v="5425.68"/>
    <s v="Fast"/>
    <s v="Profitable"/>
    <s v="High Value"/>
  </r>
  <r>
    <x v="352"/>
    <x v="352"/>
    <s v="Maria Singh"/>
    <x v="1"/>
    <s v="Usa"/>
    <s v="Delhi"/>
    <x v="1"/>
    <s v="Yoga Mat"/>
    <x v="347"/>
    <n v="3"/>
    <n v="4874"/>
    <n v="0.2"/>
    <n v="3899.2"/>
    <x v="350"/>
    <n v="0.25"/>
    <x v="349"/>
    <x v="3"/>
    <x v="0"/>
    <n v="8"/>
    <x v="1"/>
    <x v="7"/>
    <n v="2"/>
    <s v="2024-02"/>
    <n v="8773.2000000000007"/>
    <s v="Delayed"/>
    <s v="Profitable"/>
    <s v="High Value"/>
  </r>
  <r>
    <x v="353"/>
    <x v="353"/>
    <s v="Sara Khan"/>
    <x v="1"/>
    <s v="Canada"/>
    <s v="Toronto"/>
    <x v="3"/>
    <s v="Jeans"/>
    <x v="348"/>
    <n v="6"/>
    <n v="1537"/>
    <n v="0.09"/>
    <n v="1398.67"/>
    <x v="351"/>
    <n v="0.35"/>
    <x v="350"/>
    <x v="3"/>
    <x v="0"/>
    <n v="2"/>
    <x v="2"/>
    <x v="3"/>
    <n v="1"/>
    <s v="2025-01"/>
    <n v="5454.81"/>
    <s v="Fast"/>
    <s v="Profitable"/>
    <s v="High Value"/>
  </r>
  <r>
    <x v="354"/>
    <x v="354"/>
    <s v="John Smith"/>
    <x v="1"/>
    <s v="India"/>
    <s v="London"/>
    <x v="2"/>
    <s v="Table"/>
    <x v="349"/>
    <n v="6"/>
    <n v="2475"/>
    <n v="0.01"/>
    <n v="2450.25"/>
    <x v="352"/>
    <n v="0.2"/>
    <x v="351"/>
    <x v="2"/>
    <x v="0"/>
    <n v="2"/>
    <x v="2"/>
    <x v="11"/>
    <n v="9"/>
    <s v="2025-09"/>
    <n v="11761.2"/>
    <s v="Fast"/>
    <s v="Profitable"/>
    <s v="High Value"/>
  </r>
  <r>
    <x v="355"/>
    <x v="355"/>
    <s v="Amit Verma"/>
    <x v="1"/>
    <s v="Canada"/>
    <s v="Toronto"/>
    <x v="1"/>
    <s v="Cricket Bat"/>
    <x v="350"/>
    <n v="6"/>
    <n v="2394"/>
    <n v="0.18"/>
    <n v="1963.08"/>
    <x v="353"/>
    <n v="0.25"/>
    <x v="352"/>
    <x v="3"/>
    <x v="1"/>
    <n v="5"/>
    <x v="0"/>
    <x v="2"/>
    <n v="3"/>
    <s v="2023-03"/>
    <n v="8833.86"/>
    <s v="Standard"/>
    <s v="Profitable"/>
    <s v="High Value"/>
  </r>
  <r>
    <x v="356"/>
    <x v="356"/>
    <s v="Priya Mehta"/>
    <x v="3"/>
    <s v="Canada"/>
    <s v="New York"/>
    <x v="3"/>
    <s v="Jeans"/>
    <x v="351"/>
    <n v="2"/>
    <n v="4250"/>
    <n v="0.01"/>
    <n v="4207.5"/>
    <x v="354"/>
    <n v="0.35"/>
    <x v="353"/>
    <x v="2"/>
    <x v="0"/>
    <n v="8"/>
    <x v="2"/>
    <x v="5"/>
    <n v="8"/>
    <s v="2025-08"/>
    <n v="5469.75"/>
    <s v="Delayed"/>
    <s v="Profitable"/>
    <s v="High Value"/>
  </r>
  <r>
    <x v="357"/>
    <x v="357"/>
    <s v="John Smith"/>
    <x v="2"/>
    <s v="Canada"/>
    <s v="New York"/>
    <x v="2"/>
    <s v="Chair"/>
    <x v="352"/>
    <n v="6"/>
    <n v="3080"/>
    <n v="0.2"/>
    <n v="2464"/>
    <x v="355"/>
    <n v="0.2"/>
    <x v="354"/>
    <x v="3"/>
    <x v="2"/>
    <n v="6"/>
    <x v="2"/>
    <x v="7"/>
    <n v="2"/>
    <s v="2025-02"/>
    <n v="11827.2"/>
    <s v="Standard"/>
    <s v="Profitable"/>
    <s v="High Value"/>
  </r>
  <r>
    <x v="358"/>
    <x v="358"/>
    <s v="David Lee"/>
    <x v="1"/>
    <s v="India"/>
    <s v="Toronto"/>
    <x v="2"/>
    <s v="Table"/>
    <x v="353"/>
    <n v="4"/>
    <n v="4071"/>
    <n v="0.09"/>
    <n v="3704.61"/>
    <x v="356"/>
    <n v="0.2"/>
    <x v="355"/>
    <x v="1"/>
    <x v="0"/>
    <n v="5"/>
    <x v="0"/>
    <x v="2"/>
    <n v="3"/>
    <s v="2023-03"/>
    <n v="11854.75"/>
    <s v="Standard"/>
    <s v="Profitable"/>
    <s v="High Value"/>
  </r>
  <r>
    <x v="359"/>
    <x v="359"/>
    <s v="John Smith"/>
    <x v="1"/>
    <s v="India"/>
    <s v="Mumbai"/>
    <x v="1"/>
    <s v="Tennis Racket"/>
    <x v="354"/>
    <n v="2"/>
    <n v="7770"/>
    <n v="0.23"/>
    <n v="5982.9"/>
    <x v="357"/>
    <n v="0.25"/>
    <x v="356"/>
    <x v="2"/>
    <x v="0"/>
    <n v="3"/>
    <x v="1"/>
    <x v="2"/>
    <n v="3"/>
    <s v="2024-03"/>
    <n v="8974.3499999999985"/>
    <s v="Fast"/>
    <s v="Profitable"/>
    <s v="High Value"/>
  </r>
  <r>
    <x v="360"/>
    <x v="360"/>
    <s v="Amit Verma"/>
    <x v="0"/>
    <s v="Canada"/>
    <s v="New York"/>
    <x v="2"/>
    <s v="Sofa"/>
    <x v="355"/>
    <n v="1"/>
    <n v="18724"/>
    <n v="0.2"/>
    <n v="14979.2"/>
    <x v="358"/>
    <n v="0.2"/>
    <x v="357"/>
    <x v="2"/>
    <x v="0"/>
    <n v="5"/>
    <x v="1"/>
    <x v="2"/>
    <n v="3"/>
    <s v="2024-03"/>
    <n v="11983.36"/>
    <s v="Standard"/>
    <s v="Profitable"/>
    <s v="High Value"/>
  </r>
  <r>
    <x v="361"/>
    <x v="361"/>
    <s v="Sara Khan"/>
    <x v="2"/>
    <s v="India"/>
    <s v="Toronto"/>
    <x v="0"/>
    <s v="Fiction"/>
    <x v="356"/>
    <n v="6"/>
    <n v="1395"/>
    <n v="0.1"/>
    <n v="1255.5"/>
    <x v="359"/>
    <n v="0.4"/>
    <x v="358"/>
    <x v="1"/>
    <x v="0"/>
    <n v="3"/>
    <x v="1"/>
    <x v="0"/>
    <n v="11"/>
    <s v="2024-11"/>
    <n v="4519.8"/>
    <s v="Fast"/>
    <s v="Profitable"/>
    <s v="High Value"/>
  </r>
  <r>
    <x v="362"/>
    <x v="362"/>
    <s v="John Smith"/>
    <x v="0"/>
    <s v="India"/>
    <s v="Mumbai"/>
    <x v="3"/>
    <s v="Jeans"/>
    <x v="357"/>
    <n v="4"/>
    <n v="2540"/>
    <n v="0.15"/>
    <n v="2159"/>
    <x v="360"/>
    <n v="0.35"/>
    <x v="359"/>
    <x v="2"/>
    <x v="0"/>
    <n v="8"/>
    <x v="0"/>
    <x v="6"/>
    <n v="4"/>
    <s v="2023-04"/>
    <n v="5613.4"/>
    <s v="Delayed"/>
    <s v="Profitable"/>
    <s v="High Value"/>
  </r>
  <r>
    <x v="363"/>
    <x v="363"/>
    <s v="Sara Khan"/>
    <x v="1"/>
    <s v="India"/>
    <s v="London"/>
    <x v="0"/>
    <s v="Non-Fiction"/>
    <x v="358"/>
    <n v="9"/>
    <n v="1004"/>
    <n v="0.16"/>
    <n v="843.36"/>
    <x v="361"/>
    <n v="0.4"/>
    <x v="360"/>
    <x v="0"/>
    <x v="0"/>
    <n v="7"/>
    <x v="0"/>
    <x v="2"/>
    <n v="3"/>
    <s v="2023-03"/>
    <n v="4554.1399999999994"/>
    <s v="Standard"/>
    <s v="Profitable"/>
    <s v="High Value"/>
  </r>
  <r>
    <x v="364"/>
    <x v="364"/>
    <s v="Priya Mehta"/>
    <x v="3"/>
    <s v="Usa"/>
    <s v="Bangalore"/>
    <x v="0"/>
    <s v="Fiction"/>
    <x v="359"/>
    <n v="7"/>
    <n v="1279"/>
    <n v="0.15"/>
    <n v="1087.1500000000001"/>
    <x v="362"/>
    <n v="0.4"/>
    <x v="361"/>
    <x v="2"/>
    <x v="0"/>
    <n v="5"/>
    <x v="1"/>
    <x v="4"/>
    <n v="6"/>
    <s v="2024-06"/>
    <n v="4566.0300000000007"/>
    <s v="Standard"/>
    <s v="Profitable"/>
    <s v="High Value"/>
  </r>
  <r>
    <x v="365"/>
    <x v="365"/>
    <s v="Sara Khan"/>
    <x v="2"/>
    <s v="Canada"/>
    <s v="Toronto"/>
    <x v="2"/>
    <s v="Chair"/>
    <x v="360"/>
    <n v="7"/>
    <n v="2629"/>
    <n v="0.17"/>
    <n v="2182.0700000000002"/>
    <x v="363"/>
    <n v="0.2"/>
    <x v="362"/>
    <x v="2"/>
    <x v="0"/>
    <n v="7"/>
    <x v="0"/>
    <x v="10"/>
    <n v="5"/>
    <s v="2023-05"/>
    <n v="12219.59"/>
    <s v="Standard"/>
    <s v="Profitable"/>
    <s v="High Value"/>
  </r>
  <r>
    <x v="366"/>
    <x v="366"/>
    <s v="Sara Khan"/>
    <x v="1"/>
    <s v="India"/>
    <s v="New York"/>
    <x v="4"/>
    <s v="Laptop"/>
    <x v="361"/>
    <n v="1"/>
    <n v="20805"/>
    <n v="0.02"/>
    <n v="20388.900000000001"/>
    <x v="364"/>
    <n v="0.15"/>
    <x v="363"/>
    <x v="2"/>
    <x v="0"/>
    <n v="6"/>
    <x v="2"/>
    <x v="3"/>
    <n v="1"/>
    <s v="2025-01"/>
    <n v="17330.560000000001"/>
    <s v="Standard"/>
    <s v="Profitable"/>
    <s v="High Value"/>
  </r>
  <r>
    <x v="367"/>
    <x v="367"/>
    <s v="Maria Singh"/>
    <x v="1"/>
    <s v="Usa"/>
    <s v="Bangalore"/>
    <x v="3"/>
    <s v="T-Shirt"/>
    <x v="362"/>
    <n v="3"/>
    <n v="3644"/>
    <n v="0.2"/>
    <n v="2915.2"/>
    <x v="365"/>
    <n v="0.35"/>
    <x v="364"/>
    <x v="3"/>
    <x v="1"/>
    <n v="4"/>
    <x v="0"/>
    <x v="3"/>
    <n v="1"/>
    <s v="2023-01"/>
    <n v="5684.64"/>
    <s v="Standard"/>
    <s v="Profitable"/>
    <s v="High Value"/>
  </r>
  <r>
    <x v="368"/>
    <x v="368"/>
    <s v="Maria Singh"/>
    <x v="2"/>
    <s v="Canada"/>
    <s v="New York"/>
    <x v="3"/>
    <s v="Jeans"/>
    <x v="363"/>
    <n v="3"/>
    <n v="3802"/>
    <n v="0.23"/>
    <n v="2927.54"/>
    <x v="366"/>
    <n v="0.35"/>
    <x v="365"/>
    <x v="1"/>
    <x v="0"/>
    <n v="5"/>
    <x v="1"/>
    <x v="9"/>
    <n v="7"/>
    <s v="2024-07"/>
    <n v="5708.7000000000007"/>
    <s v="Standard"/>
    <s v="Profitable"/>
    <s v="High Value"/>
  </r>
  <r>
    <x v="369"/>
    <x v="369"/>
    <s v="Amit Verma"/>
    <x v="3"/>
    <s v="Canada"/>
    <s v="Mumbai"/>
    <x v="2"/>
    <s v="Sofa"/>
    <x v="364"/>
    <n v="2"/>
    <n v="9373"/>
    <n v="0.18"/>
    <n v="7685.86"/>
    <x v="367"/>
    <n v="0.2"/>
    <x v="366"/>
    <x v="1"/>
    <x v="0"/>
    <n v="3"/>
    <x v="1"/>
    <x v="6"/>
    <n v="4"/>
    <s v="2024-04"/>
    <n v="12297.38"/>
    <s v="Fast"/>
    <s v="Profitable"/>
    <s v="High Value"/>
  </r>
  <r>
    <x v="370"/>
    <x v="370"/>
    <s v="David Lee"/>
    <x v="2"/>
    <s v="Canada"/>
    <s v="Bangalore"/>
    <x v="1"/>
    <s v="Cricket Bat"/>
    <x v="365"/>
    <n v="6"/>
    <n v="2638"/>
    <n v="0.22"/>
    <n v="2057.64"/>
    <x v="368"/>
    <n v="0.25"/>
    <x v="367"/>
    <x v="0"/>
    <x v="1"/>
    <n v="9"/>
    <x v="1"/>
    <x v="4"/>
    <n v="6"/>
    <s v="2024-06"/>
    <n v="9259.380000000001"/>
    <s v="Delayed"/>
    <s v="Profitable"/>
    <s v="High Value"/>
  </r>
  <r>
    <x v="371"/>
    <x v="371"/>
    <s v="Sara Khan"/>
    <x v="0"/>
    <s v="Canada"/>
    <s v="New York"/>
    <x v="0"/>
    <s v="Biography"/>
    <x v="366"/>
    <n v="7"/>
    <n v="1401"/>
    <n v="0.21"/>
    <n v="1106.79"/>
    <x v="369"/>
    <n v="0.4"/>
    <x v="368"/>
    <x v="3"/>
    <x v="0"/>
    <n v="7"/>
    <x v="2"/>
    <x v="11"/>
    <n v="9"/>
    <s v="2025-09"/>
    <n v="4648.5199999999995"/>
    <s v="Standard"/>
    <s v="Profitable"/>
    <s v="High Value"/>
  </r>
  <r>
    <x v="372"/>
    <x v="372"/>
    <s v="Maria Singh"/>
    <x v="3"/>
    <s v="Canada"/>
    <s v="Delhi"/>
    <x v="0"/>
    <s v="Non-Fiction"/>
    <x v="367"/>
    <n v="9"/>
    <n v="992"/>
    <n v="0.13"/>
    <n v="863.04"/>
    <x v="370"/>
    <n v="0.4"/>
    <x v="369"/>
    <x v="1"/>
    <x v="0"/>
    <n v="5"/>
    <x v="0"/>
    <x v="1"/>
    <n v="10"/>
    <s v="2023-10"/>
    <n v="4660.42"/>
    <s v="Standard"/>
    <s v="Profitable"/>
    <s v="High Value"/>
  </r>
  <r>
    <x v="373"/>
    <x v="373"/>
    <s v="Sara Khan"/>
    <x v="0"/>
    <s v="Usa"/>
    <s v="London"/>
    <x v="3"/>
    <s v="Jacket"/>
    <x v="368"/>
    <n v="9"/>
    <n v="1097"/>
    <n v="0.1"/>
    <n v="987.3"/>
    <x v="371"/>
    <n v="0.35"/>
    <x v="370"/>
    <x v="0"/>
    <x v="0"/>
    <n v="4"/>
    <x v="2"/>
    <x v="9"/>
    <n v="7"/>
    <s v="2025-07"/>
    <n v="5775.7000000000007"/>
    <s v="Standard"/>
    <s v="Profitable"/>
    <s v="High Value"/>
  </r>
  <r>
    <x v="374"/>
    <x v="374"/>
    <s v="Amit Verma"/>
    <x v="0"/>
    <s v="India"/>
    <s v="Delhi"/>
    <x v="4"/>
    <s v="Mobile"/>
    <x v="369"/>
    <n v="2"/>
    <n v="11058"/>
    <n v="0.06"/>
    <n v="10394.52"/>
    <x v="372"/>
    <n v="0.15"/>
    <x v="371"/>
    <x v="1"/>
    <x v="1"/>
    <n v="9"/>
    <x v="0"/>
    <x v="4"/>
    <n v="6"/>
    <s v="2023-06"/>
    <n v="17670.68"/>
    <s v="Delayed"/>
    <s v="Profitable"/>
    <s v="High Value"/>
  </r>
  <r>
    <x v="375"/>
    <x v="375"/>
    <s v="Maria Singh"/>
    <x v="0"/>
    <s v="India"/>
    <s v="New York"/>
    <x v="3"/>
    <s v="Jeans"/>
    <x v="370"/>
    <n v="7"/>
    <n v="1400"/>
    <n v="0.09"/>
    <n v="1274"/>
    <x v="373"/>
    <n v="0.35"/>
    <x v="372"/>
    <x v="2"/>
    <x v="0"/>
    <n v="9"/>
    <x v="1"/>
    <x v="9"/>
    <n v="7"/>
    <s v="2024-07"/>
    <n v="5796.7"/>
    <s v="Delayed"/>
    <s v="Profitable"/>
    <s v="High Value"/>
  </r>
  <r>
    <x v="376"/>
    <x v="376"/>
    <s v="John Smith"/>
    <x v="2"/>
    <s v="India"/>
    <s v="Delhi"/>
    <x v="3"/>
    <s v="Jeans"/>
    <x v="371"/>
    <n v="3"/>
    <n v="3540"/>
    <n v="0.16"/>
    <n v="2973.6"/>
    <x v="374"/>
    <n v="0.35"/>
    <x v="373"/>
    <x v="2"/>
    <x v="0"/>
    <n v="7"/>
    <x v="0"/>
    <x v="8"/>
    <n v="12"/>
    <s v="2023-12"/>
    <n v="5798.5199999999986"/>
    <s v="Standard"/>
    <s v="Profitable"/>
    <s v="High Value"/>
  </r>
  <r>
    <x v="377"/>
    <x v="377"/>
    <s v="Amit Verma"/>
    <x v="2"/>
    <s v="Usa"/>
    <s v="Bangalore"/>
    <x v="1"/>
    <s v="Yoga Mat"/>
    <x v="372"/>
    <n v="3"/>
    <n v="4959"/>
    <n v="0.16"/>
    <n v="4165.5600000000004"/>
    <x v="375"/>
    <n v="0.25"/>
    <x v="374"/>
    <x v="1"/>
    <x v="0"/>
    <n v="6"/>
    <x v="2"/>
    <x v="4"/>
    <n v="6"/>
    <s v="2025-06"/>
    <n v="9372.51"/>
    <s v="Standard"/>
    <s v="Profitable"/>
    <s v="High Value"/>
  </r>
  <r>
    <x v="378"/>
    <x v="378"/>
    <s v="Amit Verma"/>
    <x v="0"/>
    <s v="Usa"/>
    <s v="Toronto"/>
    <x v="0"/>
    <s v="Biography"/>
    <x v="373"/>
    <n v="9"/>
    <n v="1034"/>
    <n v="0.16"/>
    <n v="868.56"/>
    <x v="376"/>
    <n v="0.4"/>
    <x v="375"/>
    <x v="3"/>
    <x v="0"/>
    <n v="5"/>
    <x v="1"/>
    <x v="2"/>
    <n v="3"/>
    <s v="2024-03"/>
    <n v="4690.2199999999993"/>
    <s v="Standard"/>
    <s v="Profitable"/>
    <s v="High Value"/>
  </r>
  <r>
    <x v="379"/>
    <x v="379"/>
    <s v="Sara Khan"/>
    <x v="3"/>
    <s v="Uk"/>
    <s v="New York"/>
    <x v="0"/>
    <s v="Fiction"/>
    <x v="374"/>
    <n v="7"/>
    <n v="1230"/>
    <n v="0.09"/>
    <n v="1119.3"/>
    <x v="377"/>
    <n v="0.4"/>
    <x v="376"/>
    <x v="3"/>
    <x v="0"/>
    <n v="4"/>
    <x v="1"/>
    <x v="6"/>
    <n v="4"/>
    <s v="2024-04"/>
    <n v="4701.0600000000004"/>
    <s v="Standard"/>
    <s v="Profitable"/>
    <s v="High Value"/>
  </r>
  <r>
    <x v="380"/>
    <x v="380"/>
    <s v="Amit Verma"/>
    <x v="2"/>
    <s v="India"/>
    <s v="Bangalore"/>
    <x v="0"/>
    <s v="Biography"/>
    <x v="375"/>
    <n v="8"/>
    <n v="1243"/>
    <n v="0.21"/>
    <n v="981.97"/>
    <x v="378"/>
    <n v="0.4"/>
    <x v="377"/>
    <x v="3"/>
    <x v="2"/>
    <n v="8"/>
    <x v="2"/>
    <x v="3"/>
    <n v="1"/>
    <s v="2025-01"/>
    <n v="4713.46"/>
    <s v="Delayed"/>
    <s v="Profitable"/>
    <s v="High Value"/>
  </r>
  <r>
    <x v="381"/>
    <x v="381"/>
    <s v="Priya Mehta"/>
    <x v="3"/>
    <s v="India"/>
    <s v="Mumbai"/>
    <x v="1"/>
    <s v="Football"/>
    <x v="6"/>
    <n v="2"/>
    <n v="7488"/>
    <n v="0.15"/>
    <n v="6364.8"/>
    <x v="379"/>
    <n v="0.25"/>
    <x v="378"/>
    <x v="2"/>
    <x v="0"/>
    <n v="6"/>
    <x v="1"/>
    <x v="4"/>
    <n v="6"/>
    <s v="2024-06"/>
    <n v="9547.2000000000007"/>
    <s v="Standard"/>
    <s v="Profitable"/>
    <s v="High Value"/>
  </r>
  <r>
    <x v="382"/>
    <x v="382"/>
    <s v="Maria Singh"/>
    <x v="2"/>
    <s v="India"/>
    <s v="New York"/>
    <x v="0"/>
    <s v="Comics"/>
    <x v="376"/>
    <n v="8"/>
    <n v="1082"/>
    <n v="7.0000000000000007E-2"/>
    <n v="1006.26"/>
    <x v="380"/>
    <n v="0.4"/>
    <x v="379"/>
    <x v="3"/>
    <x v="0"/>
    <n v="2"/>
    <x v="1"/>
    <x v="4"/>
    <n v="6"/>
    <s v="2024-06"/>
    <n v="4830.0499999999993"/>
    <s v="Fast"/>
    <s v="Profitable"/>
    <s v="High Value"/>
  </r>
  <r>
    <x v="383"/>
    <x v="383"/>
    <s v="Sara Khan"/>
    <x v="2"/>
    <s v="Uk"/>
    <s v="New York"/>
    <x v="1"/>
    <s v="Cricket Bat"/>
    <x v="377"/>
    <n v="7"/>
    <n v="2367"/>
    <n v="0.22"/>
    <n v="1846.26"/>
    <x v="381"/>
    <n v="0.25"/>
    <x v="380"/>
    <x v="1"/>
    <x v="0"/>
    <n v="6"/>
    <x v="0"/>
    <x v="5"/>
    <n v="8"/>
    <s v="2023-08"/>
    <n v="9692.86"/>
    <s v="Standard"/>
    <s v="Profitable"/>
    <s v="High Value"/>
  </r>
  <r>
    <x v="384"/>
    <x v="384"/>
    <s v="Maria Singh"/>
    <x v="2"/>
    <s v="Uk"/>
    <s v="London"/>
    <x v="0"/>
    <s v="Comics"/>
    <x v="378"/>
    <n v="8"/>
    <n v="1036"/>
    <n v="0.02"/>
    <n v="1015.28"/>
    <x v="382"/>
    <n v="0.4"/>
    <x v="381"/>
    <x v="0"/>
    <x v="0"/>
    <n v="6"/>
    <x v="0"/>
    <x v="4"/>
    <n v="6"/>
    <s v="2023-06"/>
    <n v="4873.34"/>
    <s v="Standard"/>
    <s v="Profitable"/>
    <s v="High Value"/>
  </r>
  <r>
    <x v="385"/>
    <x v="385"/>
    <s v="Maria Singh"/>
    <x v="0"/>
    <s v="India"/>
    <s v="Bangalore"/>
    <x v="1"/>
    <s v="Tennis Racket"/>
    <x v="379"/>
    <n v="8"/>
    <n v="1661"/>
    <n v="0.02"/>
    <n v="1627.78"/>
    <x v="383"/>
    <n v="0.25"/>
    <x v="382"/>
    <x v="2"/>
    <x v="0"/>
    <n v="7"/>
    <x v="1"/>
    <x v="7"/>
    <n v="2"/>
    <s v="2024-02"/>
    <n v="9766.68"/>
    <s v="Standard"/>
    <s v="Profitable"/>
    <s v="High Value"/>
  </r>
  <r>
    <x v="386"/>
    <x v="386"/>
    <s v="David Lee"/>
    <x v="0"/>
    <s v="India"/>
    <s v="Mumbai"/>
    <x v="1"/>
    <s v="Cricket Bat"/>
    <x v="380"/>
    <n v="2"/>
    <n v="7236"/>
    <n v="0.1"/>
    <n v="6512.4"/>
    <x v="384"/>
    <n v="0.25"/>
    <x v="383"/>
    <x v="3"/>
    <x v="0"/>
    <n v="5"/>
    <x v="0"/>
    <x v="7"/>
    <n v="2"/>
    <s v="2023-02"/>
    <n v="9768.5999999999985"/>
    <s v="Standard"/>
    <s v="Profitable"/>
    <s v="High Value"/>
  </r>
  <r>
    <x v="387"/>
    <x v="387"/>
    <s v="David Lee"/>
    <x v="0"/>
    <s v="Usa"/>
    <s v="New York"/>
    <x v="2"/>
    <s v="Table"/>
    <x v="381"/>
    <n v="1"/>
    <n v="19633"/>
    <n v="0.17"/>
    <n v="16295.39"/>
    <x v="385"/>
    <n v="0.2"/>
    <x v="384"/>
    <x v="1"/>
    <x v="0"/>
    <n v="5"/>
    <x v="0"/>
    <x v="8"/>
    <n v="12"/>
    <s v="2023-12"/>
    <n v="13036.31"/>
    <s v="Standard"/>
    <s v="Profitable"/>
    <s v="High Value"/>
  </r>
  <r>
    <x v="388"/>
    <x v="388"/>
    <s v="David Lee"/>
    <x v="0"/>
    <s v="India"/>
    <s v="New York"/>
    <x v="1"/>
    <s v="Cricket Bat"/>
    <x v="382"/>
    <n v="9"/>
    <n v="1593"/>
    <n v="0.09"/>
    <n v="1449.63"/>
    <x v="386"/>
    <n v="0.25"/>
    <x v="385"/>
    <x v="1"/>
    <x v="0"/>
    <n v="3"/>
    <x v="2"/>
    <x v="2"/>
    <n v="3"/>
    <s v="2025-03"/>
    <n v="9785"/>
    <s v="Fast"/>
    <s v="Profitable"/>
    <s v="High Value"/>
  </r>
  <r>
    <x v="389"/>
    <x v="389"/>
    <s v="Priya Mehta"/>
    <x v="3"/>
    <s v="Usa"/>
    <s v="New York"/>
    <x v="2"/>
    <s v="Sofa"/>
    <x v="383"/>
    <n v="1"/>
    <n v="18052"/>
    <n v="0.09"/>
    <n v="16427.32"/>
    <x v="387"/>
    <n v="0.2"/>
    <x v="386"/>
    <x v="3"/>
    <x v="0"/>
    <n v="7"/>
    <x v="1"/>
    <x v="5"/>
    <n v="8"/>
    <s v="2024-08"/>
    <n v="13141.86"/>
    <s v="Standard"/>
    <s v="Profitable"/>
    <s v="High Value"/>
  </r>
  <r>
    <x v="390"/>
    <x v="390"/>
    <s v="Maria Singh"/>
    <x v="0"/>
    <s v="Usa"/>
    <s v="New York"/>
    <x v="3"/>
    <s v="Jeans"/>
    <x v="384"/>
    <n v="3"/>
    <n v="3331"/>
    <n v="0.06"/>
    <n v="3131.14"/>
    <x v="388"/>
    <n v="0.35"/>
    <x v="387"/>
    <x v="0"/>
    <x v="0"/>
    <n v="9"/>
    <x v="1"/>
    <x v="2"/>
    <n v="3"/>
    <s v="2024-03"/>
    <n v="6105.72"/>
    <s v="Delayed"/>
    <s v="Profitable"/>
    <s v="High Value"/>
  </r>
  <r>
    <x v="391"/>
    <x v="391"/>
    <s v="Amit Verma"/>
    <x v="0"/>
    <s v="Canada"/>
    <s v="Bangalore"/>
    <x v="3"/>
    <s v="Jacket"/>
    <x v="385"/>
    <n v="4"/>
    <n v="2503"/>
    <n v="0.06"/>
    <n v="2352.8200000000002"/>
    <x v="389"/>
    <n v="0.35"/>
    <x v="388"/>
    <x v="0"/>
    <x v="0"/>
    <n v="5"/>
    <x v="2"/>
    <x v="6"/>
    <n v="4"/>
    <s v="2025-04"/>
    <n v="6117.3300000000008"/>
    <s v="Standard"/>
    <s v="Profitable"/>
    <s v="High Value"/>
  </r>
  <r>
    <x v="392"/>
    <x v="392"/>
    <s v="Priya Mehta"/>
    <x v="2"/>
    <s v="Uk"/>
    <s v="Toronto"/>
    <x v="1"/>
    <s v="Tennis Racket"/>
    <x v="386"/>
    <n v="4"/>
    <n v="4173"/>
    <n v="0.21"/>
    <n v="3296.67"/>
    <x v="390"/>
    <n v="0.25"/>
    <x v="389"/>
    <x v="0"/>
    <x v="0"/>
    <n v="8"/>
    <x v="0"/>
    <x v="5"/>
    <n v="8"/>
    <s v="2023-08"/>
    <n v="9890.01"/>
    <s v="Delayed"/>
    <s v="Profitable"/>
    <s v="High Value"/>
  </r>
  <r>
    <x v="393"/>
    <x v="393"/>
    <s v="Sara Khan"/>
    <x v="0"/>
    <s v="Canada"/>
    <s v="London"/>
    <x v="1"/>
    <s v="Yoga Mat"/>
    <x v="387"/>
    <n v="8"/>
    <n v="1956"/>
    <n v="0.15"/>
    <n v="1662.6"/>
    <x v="391"/>
    <n v="0.25"/>
    <x v="390"/>
    <x v="0"/>
    <x v="0"/>
    <n v="5"/>
    <x v="0"/>
    <x v="10"/>
    <n v="5"/>
    <s v="2023-05"/>
    <n v="9975.5999999999985"/>
    <s v="Standard"/>
    <s v="Profitable"/>
    <s v="High Value"/>
  </r>
  <r>
    <x v="394"/>
    <x v="394"/>
    <s v="Amit Verma"/>
    <x v="0"/>
    <s v="India"/>
    <s v="New York"/>
    <x v="2"/>
    <s v="Chair"/>
    <x v="388"/>
    <n v="3"/>
    <n v="6583"/>
    <n v="0.15"/>
    <n v="5595.55"/>
    <x v="392"/>
    <n v="0.2"/>
    <x v="391"/>
    <x v="3"/>
    <x v="2"/>
    <n v="1"/>
    <x v="1"/>
    <x v="0"/>
    <n v="11"/>
    <s v="2024-11"/>
    <n v="13429.320000000002"/>
    <s v="Fast"/>
    <s v="Profitable"/>
    <s v="High Value"/>
  </r>
  <r>
    <x v="395"/>
    <x v="395"/>
    <s v="Sara Khan"/>
    <x v="0"/>
    <s v="Usa"/>
    <s v="Bangalore"/>
    <x v="0"/>
    <s v="Comics"/>
    <x v="389"/>
    <n v="6"/>
    <n v="1430"/>
    <n v="0.02"/>
    <n v="1401.4"/>
    <x v="393"/>
    <n v="0.4"/>
    <x v="392"/>
    <x v="2"/>
    <x v="0"/>
    <n v="6"/>
    <x v="0"/>
    <x v="7"/>
    <n v="2"/>
    <s v="2023-02"/>
    <n v="5045.0399999999991"/>
    <s v="Standard"/>
    <s v="Profitable"/>
    <s v="High Value"/>
  </r>
  <r>
    <x v="396"/>
    <x v="396"/>
    <s v="Maria Singh"/>
    <x v="3"/>
    <s v="Uk"/>
    <s v="Toronto"/>
    <x v="0"/>
    <s v="Non-Fiction"/>
    <x v="390"/>
    <n v="9"/>
    <n v="1184"/>
    <n v="0.21"/>
    <n v="935.36"/>
    <x v="394"/>
    <n v="0.4"/>
    <x v="393"/>
    <x v="2"/>
    <x v="1"/>
    <n v="1"/>
    <x v="2"/>
    <x v="10"/>
    <n v="5"/>
    <s v="2025-05"/>
    <n v="5050.9399999999996"/>
    <s v="Fast"/>
    <s v="Profitable"/>
    <s v="High Value"/>
  </r>
  <r>
    <x v="397"/>
    <x v="397"/>
    <s v="Sara Khan"/>
    <x v="2"/>
    <s v="India"/>
    <s v="Mumbai"/>
    <x v="3"/>
    <s v="Jeans"/>
    <x v="391"/>
    <n v="7"/>
    <n v="1766"/>
    <n v="0.22"/>
    <n v="1377.48"/>
    <x v="395"/>
    <n v="0.35"/>
    <x v="394"/>
    <x v="0"/>
    <x v="0"/>
    <n v="3"/>
    <x v="0"/>
    <x v="3"/>
    <n v="1"/>
    <s v="2023-01"/>
    <n v="6267.5300000000007"/>
    <s v="Fast"/>
    <s v="Profitable"/>
    <s v="High Value"/>
  </r>
  <r>
    <x v="398"/>
    <x v="398"/>
    <s v="Amit Verma"/>
    <x v="1"/>
    <s v="India"/>
    <s v="Mumbai"/>
    <x v="3"/>
    <s v="Jeans"/>
    <x v="392"/>
    <n v="3"/>
    <n v="3916"/>
    <n v="0.17"/>
    <n v="3250.28"/>
    <x v="396"/>
    <n v="0.35"/>
    <x v="395"/>
    <x v="2"/>
    <x v="0"/>
    <n v="3"/>
    <x v="0"/>
    <x v="0"/>
    <n v="11"/>
    <s v="2023-11"/>
    <n v="6338.05"/>
    <s v="Fast"/>
    <s v="Profitable"/>
    <s v="High Value"/>
  </r>
  <r>
    <x v="399"/>
    <x v="399"/>
    <s v="John Smith"/>
    <x v="2"/>
    <s v="India"/>
    <s v="London"/>
    <x v="2"/>
    <s v="Table"/>
    <x v="393"/>
    <n v="8"/>
    <n v="2204"/>
    <n v="0.03"/>
    <n v="2137.88"/>
    <x v="397"/>
    <n v="0.2"/>
    <x v="396"/>
    <x v="1"/>
    <x v="0"/>
    <n v="1"/>
    <x v="2"/>
    <x v="4"/>
    <n v="6"/>
    <s v="2025-06"/>
    <n v="13682.43"/>
    <s v="Fast"/>
    <s v="Profitable"/>
    <s v="High Value"/>
  </r>
  <r>
    <x v="400"/>
    <x v="400"/>
    <s v="John Smith"/>
    <x v="3"/>
    <s v="Usa"/>
    <s v="Mumbai"/>
    <x v="0"/>
    <s v="Fiction"/>
    <x v="394"/>
    <n v="8"/>
    <n v="1213"/>
    <n v="0.11"/>
    <n v="1079.57"/>
    <x v="398"/>
    <n v="0.4"/>
    <x v="397"/>
    <x v="1"/>
    <x v="0"/>
    <n v="7"/>
    <x v="2"/>
    <x v="7"/>
    <n v="2"/>
    <s v="2025-02"/>
    <n v="5181.9399999999996"/>
    <s v="Standard"/>
    <s v="Profitable"/>
    <s v="High Value"/>
  </r>
  <r>
    <x v="401"/>
    <x v="401"/>
    <s v="Priya Mehta"/>
    <x v="0"/>
    <s v="Canada"/>
    <s v="Delhi"/>
    <x v="0"/>
    <s v="Fiction"/>
    <x v="395"/>
    <n v="8"/>
    <n v="1233"/>
    <n v="0.12"/>
    <n v="1085.04"/>
    <x v="399"/>
    <n v="0.4"/>
    <x v="398"/>
    <x v="2"/>
    <x v="0"/>
    <n v="1"/>
    <x v="1"/>
    <x v="11"/>
    <n v="9"/>
    <s v="2024-09"/>
    <n v="5208.1899999999996"/>
    <s v="Fast"/>
    <s v="Profitable"/>
    <s v="High Value"/>
  </r>
  <r>
    <x v="402"/>
    <x v="402"/>
    <s v="Sara Khan"/>
    <x v="2"/>
    <s v="Canada"/>
    <s v="Delhi"/>
    <x v="1"/>
    <s v="Football"/>
    <x v="396"/>
    <n v="8"/>
    <n v="2100"/>
    <n v="0.17"/>
    <n v="1743"/>
    <x v="400"/>
    <n v="0.25"/>
    <x v="399"/>
    <x v="0"/>
    <x v="0"/>
    <n v="1"/>
    <x v="0"/>
    <x v="8"/>
    <n v="12"/>
    <s v="2023-12"/>
    <n v="10458"/>
    <s v="Fast"/>
    <s v="Profitable"/>
    <s v="High Value"/>
  </r>
  <r>
    <x v="403"/>
    <x v="403"/>
    <s v="Maria Singh"/>
    <x v="0"/>
    <s v="Uk"/>
    <s v="New York"/>
    <x v="3"/>
    <s v="T-Shirt"/>
    <x v="397"/>
    <n v="3"/>
    <n v="4065"/>
    <n v="0.18"/>
    <n v="3333.3"/>
    <x v="401"/>
    <n v="0.35"/>
    <x v="400"/>
    <x v="2"/>
    <x v="0"/>
    <n v="4"/>
    <x v="1"/>
    <x v="4"/>
    <n v="6"/>
    <s v="2024-06"/>
    <n v="6499.94"/>
    <s v="Standard"/>
    <s v="Profitable"/>
    <s v="High Value"/>
  </r>
  <r>
    <x v="404"/>
    <x v="404"/>
    <s v="Sara Khan"/>
    <x v="2"/>
    <s v="Usa"/>
    <s v="New York"/>
    <x v="2"/>
    <s v="Bookshelf"/>
    <x v="398"/>
    <n v="1"/>
    <n v="18044"/>
    <n v="0.03"/>
    <n v="17502.68"/>
    <x v="402"/>
    <n v="0.2"/>
    <x v="401"/>
    <x v="2"/>
    <x v="2"/>
    <n v="8"/>
    <x v="2"/>
    <x v="2"/>
    <n v="3"/>
    <s v="2025-03"/>
    <n v="14002.14"/>
    <s v="Delayed"/>
    <s v="Profitable"/>
    <s v="High Value"/>
  </r>
  <r>
    <x v="405"/>
    <x v="405"/>
    <s v="Priya Mehta"/>
    <x v="1"/>
    <s v="Uk"/>
    <s v="Mumbai"/>
    <x v="3"/>
    <s v="T-Shirt"/>
    <x v="399"/>
    <n v="5"/>
    <n v="2431"/>
    <n v="0.17"/>
    <n v="2017.73"/>
    <x v="403"/>
    <n v="0.35"/>
    <x v="402"/>
    <x v="3"/>
    <x v="0"/>
    <n v="4"/>
    <x v="1"/>
    <x v="7"/>
    <n v="2"/>
    <s v="2024-02"/>
    <n v="6557.619999999999"/>
    <s v="Standard"/>
    <s v="Profitable"/>
    <s v="High Value"/>
  </r>
  <r>
    <x v="406"/>
    <x v="406"/>
    <s v="Sara Khan"/>
    <x v="1"/>
    <s v="Uk"/>
    <s v="New York"/>
    <x v="4"/>
    <s v="Tablet"/>
    <x v="400"/>
    <n v="2"/>
    <n v="12839"/>
    <n v="0.08"/>
    <n v="11811.88"/>
    <x v="404"/>
    <n v="0.15"/>
    <x v="403"/>
    <x v="1"/>
    <x v="0"/>
    <n v="8"/>
    <x v="2"/>
    <x v="10"/>
    <n v="5"/>
    <s v="2025-05"/>
    <n v="20080.199999999997"/>
    <s v="Delayed"/>
    <s v="Profitable"/>
    <s v="High Value"/>
  </r>
  <r>
    <x v="407"/>
    <x v="407"/>
    <s v="David Lee"/>
    <x v="2"/>
    <s v="Uk"/>
    <s v="Mumbai"/>
    <x v="3"/>
    <s v="Dress"/>
    <x v="401"/>
    <n v="3"/>
    <n v="3971"/>
    <n v="0.14000000000000001"/>
    <n v="3415.06"/>
    <x v="405"/>
    <n v="0.35"/>
    <x v="404"/>
    <x v="2"/>
    <x v="0"/>
    <n v="1"/>
    <x v="2"/>
    <x v="4"/>
    <n v="6"/>
    <s v="2025-06"/>
    <n v="6659.3700000000008"/>
    <s v="Fast"/>
    <s v="Profitable"/>
    <s v="High Value"/>
  </r>
  <r>
    <x v="408"/>
    <x v="408"/>
    <s v="Maria Singh"/>
    <x v="1"/>
    <s v="Usa"/>
    <s v="Delhi"/>
    <x v="3"/>
    <s v="Jacket"/>
    <x v="402"/>
    <n v="4"/>
    <n v="2756"/>
    <n v="7.0000000000000007E-2"/>
    <n v="2563.08"/>
    <x v="406"/>
    <n v="0.35"/>
    <x v="405"/>
    <x v="0"/>
    <x v="0"/>
    <n v="4"/>
    <x v="2"/>
    <x v="3"/>
    <n v="1"/>
    <s v="2025-01"/>
    <n v="6664.01"/>
    <s v="Standard"/>
    <s v="Profitable"/>
    <s v="High Value"/>
  </r>
  <r>
    <x v="409"/>
    <x v="409"/>
    <s v="John Smith"/>
    <x v="2"/>
    <s v="Uk"/>
    <s v="Mumbai"/>
    <x v="2"/>
    <s v="Bookshelf"/>
    <x v="403"/>
    <n v="3"/>
    <n v="7901"/>
    <n v="0.24"/>
    <n v="6004.76"/>
    <x v="407"/>
    <n v="0.2"/>
    <x v="406"/>
    <x v="2"/>
    <x v="0"/>
    <n v="8"/>
    <x v="1"/>
    <x v="10"/>
    <n v="5"/>
    <s v="2024-05"/>
    <n v="14411.419999999998"/>
    <s v="Delayed"/>
    <s v="Profitable"/>
    <s v="High Value"/>
  </r>
  <r>
    <x v="410"/>
    <x v="410"/>
    <s v="Amit Verma"/>
    <x v="1"/>
    <s v="Usa"/>
    <s v="Mumbai"/>
    <x v="1"/>
    <s v="Football"/>
    <x v="404"/>
    <n v="3"/>
    <n v="5654"/>
    <n v="0.15"/>
    <n v="4805.8999999999996"/>
    <x v="408"/>
    <n v="0.25"/>
    <x v="407"/>
    <x v="2"/>
    <x v="0"/>
    <n v="5"/>
    <x v="2"/>
    <x v="11"/>
    <n v="9"/>
    <s v="2025-09"/>
    <n v="10813.28"/>
    <s v="Standard"/>
    <s v="Profitable"/>
    <s v="High Value"/>
  </r>
  <r>
    <x v="411"/>
    <x v="411"/>
    <s v="Maria Singh"/>
    <x v="3"/>
    <s v="India"/>
    <s v="New York"/>
    <x v="1"/>
    <s v="Football"/>
    <x v="405"/>
    <n v="5"/>
    <n v="3529"/>
    <n v="0.18"/>
    <n v="2893.78"/>
    <x v="409"/>
    <n v="0.25"/>
    <x v="408"/>
    <x v="1"/>
    <x v="0"/>
    <n v="4"/>
    <x v="1"/>
    <x v="10"/>
    <n v="5"/>
    <s v="2024-05"/>
    <n v="10851.68"/>
    <s v="Standard"/>
    <s v="Profitable"/>
    <s v="High Value"/>
  </r>
  <r>
    <x v="412"/>
    <x v="412"/>
    <s v="Maria Singh"/>
    <x v="2"/>
    <s v="Uk"/>
    <s v="Bangalore"/>
    <x v="2"/>
    <s v="Bookshelf"/>
    <x v="406"/>
    <n v="1"/>
    <n v="19091"/>
    <n v="0.05"/>
    <n v="18136.45"/>
    <x v="410"/>
    <n v="0.2"/>
    <x v="409"/>
    <x v="0"/>
    <x v="0"/>
    <n v="3"/>
    <x v="1"/>
    <x v="3"/>
    <n v="1"/>
    <s v="2024-01"/>
    <n v="14509.16"/>
    <s v="Fast"/>
    <s v="Profitable"/>
    <s v="High Value"/>
  </r>
  <r>
    <x v="413"/>
    <x v="413"/>
    <s v="Maria Singh"/>
    <x v="0"/>
    <s v="Uk"/>
    <s v="Bangalore"/>
    <x v="1"/>
    <s v="Tennis Racket"/>
    <x v="407"/>
    <n v="2"/>
    <n v="9595"/>
    <n v="0.24"/>
    <n v="7292.2"/>
    <x v="411"/>
    <n v="0.25"/>
    <x v="410"/>
    <x v="2"/>
    <x v="0"/>
    <n v="2"/>
    <x v="0"/>
    <x v="2"/>
    <n v="3"/>
    <s v="2023-03"/>
    <n v="10938.3"/>
    <s v="Fast"/>
    <s v="Profitable"/>
    <s v="High Value"/>
  </r>
  <r>
    <x v="414"/>
    <x v="414"/>
    <s v="John Smith"/>
    <x v="1"/>
    <s v="Usa"/>
    <s v="Bangalore"/>
    <x v="4"/>
    <s v="Mobile"/>
    <x v="408"/>
    <n v="1"/>
    <n v="27347"/>
    <n v="0.11"/>
    <n v="24338.83"/>
    <x v="412"/>
    <n v="0.15"/>
    <x v="411"/>
    <x v="0"/>
    <x v="0"/>
    <n v="5"/>
    <x v="1"/>
    <x v="10"/>
    <n v="5"/>
    <s v="2024-05"/>
    <n v="20688.010000000002"/>
    <s v="Standard"/>
    <s v="Profitable"/>
    <s v="High Value"/>
  </r>
  <r>
    <x v="415"/>
    <x v="415"/>
    <s v="John Smith"/>
    <x v="0"/>
    <s v="Canada"/>
    <s v="New York"/>
    <x v="0"/>
    <s v="Biography"/>
    <x v="409"/>
    <n v="8"/>
    <n v="1214"/>
    <n v="0.06"/>
    <n v="1141.1600000000001"/>
    <x v="413"/>
    <n v="0.4"/>
    <x v="412"/>
    <x v="2"/>
    <x v="0"/>
    <n v="5"/>
    <x v="0"/>
    <x v="9"/>
    <n v="7"/>
    <s v="2023-07"/>
    <n v="5477.5700000000006"/>
    <s v="Standard"/>
    <s v="Profitable"/>
    <s v="High Value"/>
  </r>
  <r>
    <x v="416"/>
    <x v="416"/>
    <s v="Maria Singh"/>
    <x v="0"/>
    <s v="Canada"/>
    <s v="London"/>
    <x v="2"/>
    <s v="Table"/>
    <x v="410"/>
    <n v="1"/>
    <n v="18669"/>
    <n v="0.02"/>
    <n v="18295.62"/>
    <x v="414"/>
    <n v="0.2"/>
    <x v="413"/>
    <x v="1"/>
    <x v="0"/>
    <n v="4"/>
    <x v="1"/>
    <x v="2"/>
    <n v="3"/>
    <s v="2024-03"/>
    <n v="14636.5"/>
    <s v="Standard"/>
    <s v="Profitable"/>
    <s v="High Value"/>
  </r>
  <r>
    <x v="417"/>
    <x v="417"/>
    <s v="Priya Mehta"/>
    <x v="3"/>
    <s v="India"/>
    <s v="New York"/>
    <x v="2"/>
    <s v="Chair"/>
    <x v="411"/>
    <n v="2"/>
    <n v="11600"/>
    <n v="0.21"/>
    <n v="9164"/>
    <x v="415"/>
    <n v="0.2"/>
    <x v="414"/>
    <x v="3"/>
    <x v="0"/>
    <n v="1"/>
    <x v="0"/>
    <x v="0"/>
    <n v="11"/>
    <s v="2023-11"/>
    <n v="14662.4"/>
    <s v="Fast"/>
    <s v="Profitable"/>
    <s v="High Value"/>
  </r>
  <r>
    <x v="418"/>
    <x v="418"/>
    <s v="Priya Mehta"/>
    <x v="3"/>
    <s v="India"/>
    <s v="New York"/>
    <x v="0"/>
    <s v="Fiction"/>
    <x v="412"/>
    <n v="9"/>
    <n v="1216"/>
    <n v="0.16"/>
    <n v="1021.44"/>
    <x v="416"/>
    <n v="0.4"/>
    <x v="415"/>
    <x v="1"/>
    <x v="0"/>
    <n v="1"/>
    <x v="2"/>
    <x v="9"/>
    <n v="7"/>
    <s v="2025-07"/>
    <n v="5515.7799999999988"/>
    <s v="Fast"/>
    <s v="Profitable"/>
    <s v="High Value"/>
  </r>
  <r>
    <x v="419"/>
    <x v="419"/>
    <s v="Sara Khan"/>
    <x v="0"/>
    <s v="Canada"/>
    <s v="Toronto"/>
    <x v="3"/>
    <s v="Jeans"/>
    <x v="413"/>
    <n v="5"/>
    <n v="2634"/>
    <n v="0.2"/>
    <n v="2107.1999999999998"/>
    <x v="417"/>
    <n v="0.35"/>
    <x v="416"/>
    <x v="2"/>
    <x v="2"/>
    <n v="8"/>
    <x v="0"/>
    <x v="3"/>
    <n v="1"/>
    <s v="2023-01"/>
    <n v="6848.4"/>
    <s v="Delayed"/>
    <s v="Profitable"/>
    <s v="High Value"/>
  </r>
  <r>
    <x v="420"/>
    <x v="420"/>
    <s v="Amit Verma"/>
    <x v="2"/>
    <s v="Uk"/>
    <s v="New York"/>
    <x v="0"/>
    <s v="Non-Fiction"/>
    <x v="414"/>
    <n v="8"/>
    <n v="1333"/>
    <n v="0.13"/>
    <n v="1159.71"/>
    <x v="418"/>
    <n v="0.4"/>
    <x v="417"/>
    <x v="1"/>
    <x v="0"/>
    <n v="6"/>
    <x v="1"/>
    <x v="10"/>
    <n v="5"/>
    <s v="2024-05"/>
    <n v="5566.6100000000006"/>
    <s v="Standard"/>
    <s v="Profitable"/>
    <s v="High Value"/>
  </r>
  <r>
    <x v="421"/>
    <x v="421"/>
    <s v="Priya Mehta"/>
    <x v="1"/>
    <s v="Uk"/>
    <s v="Bangalore"/>
    <x v="0"/>
    <s v="Non-Fiction"/>
    <x v="415"/>
    <n v="9"/>
    <n v="1123"/>
    <n v="0.08"/>
    <n v="1033.1600000000001"/>
    <x v="419"/>
    <n v="0.4"/>
    <x v="418"/>
    <x v="0"/>
    <x v="0"/>
    <n v="4"/>
    <x v="0"/>
    <x v="7"/>
    <n v="2"/>
    <s v="2023-02"/>
    <n v="5579.06"/>
    <s v="Standard"/>
    <s v="Profitable"/>
    <s v="High Value"/>
  </r>
  <r>
    <x v="422"/>
    <x v="422"/>
    <s v="Priya Mehta"/>
    <x v="0"/>
    <s v="India"/>
    <s v="Mumbai"/>
    <x v="1"/>
    <s v="Cricket Bat"/>
    <x v="416"/>
    <n v="2"/>
    <n v="8462"/>
    <n v="0.12"/>
    <n v="7446.56"/>
    <x v="420"/>
    <n v="0.25"/>
    <x v="419"/>
    <x v="0"/>
    <x v="0"/>
    <n v="8"/>
    <x v="2"/>
    <x v="10"/>
    <n v="5"/>
    <s v="2025-05"/>
    <n v="11169.84"/>
    <s v="Delayed"/>
    <s v="Profitable"/>
    <s v="High Value"/>
  </r>
  <r>
    <x v="423"/>
    <x v="423"/>
    <s v="Priya Mehta"/>
    <x v="2"/>
    <s v="India"/>
    <s v="Delhi"/>
    <x v="2"/>
    <s v="Chair"/>
    <x v="417"/>
    <n v="7"/>
    <n v="2955"/>
    <n v="0.1"/>
    <n v="2659.5"/>
    <x v="421"/>
    <n v="0.2"/>
    <x v="420"/>
    <x v="1"/>
    <x v="0"/>
    <n v="3"/>
    <x v="0"/>
    <x v="2"/>
    <n v="3"/>
    <s v="2023-03"/>
    <n v="14893.2"/>
    <s v="Fast"/>
    <s v="Profitable"/>
    <s v="High Value"/>
  </r>
  <r>
    <x v="424"/>
    <x v="424"/>
    <s v="David Lee"/>
    <x v="2"/>
    <s v="India"/>
    <s v="London"/>
    <x v="1"/>
    <s v="Football"/>
    <x v="418"/>
    <n v="6"/>
    <n v="2560"/>
    <n v="0.03"/>
    <n v="2483.1999999999998"/>
    <x v="422"/>
    <n v="0.25"/>
    <x v="421"/>
    <x v="0"/>
    <x v="0"/>
    <n v="8"/>
    <x v="0"/>
    <x v="3"/>
    <n v="1"/>
    <s v="2023-01"/>
    <n v="11174.400000000001"/>
    <s v="Delayed"/>
    <s v="Profitable"/>
    <s v="High Value"/>
  </r>
  <r>
    <x v="425"/>
    <x v="425"/>
    <s v="David Lee"/>
    <x v="2"/>
    <s v="Usa"/>
    <s v="New York"/>
    <x v="3"/>
    <s v="Jacket"/>
    <x v="419"/>
    <n v="8"/>
    <n v="1752"/>
    <n v="0.24"/>
    <n v="1331.52"/>
    <x v="423"/>
    <n v="0.35"/>
    <x v="422"/>
    <x v="2"/>
    <x v="0"/>
    <n v="8"/>
    <x v="0"/>
    <x v="6"/>
    <n v="4"/>
    <s v="2023-04"/>
    <n v="6923.9"/>
    <s v="Delayed"/>
    <s v="Profitable"/>
    <s v="High Value"/>
  </r>
  <r>
    <x v="426"/>
    <x v="426"/>
    <s v="John Smith"/>
    <x v="1"/>
    <s v="Canada"/>
    <s v="Toronto"/>
    <x v="3"/>
    <s v="Dress"/>
    <x v="420"/>
    <n v="6"/>
    <n v="2018"/>
    <n v="0.11"/>
    <n v="1796.02"/>
    <x v="424"/>
    <n v="0.35"/>
    <x v="423"/>
    <x v="0"/>
    <x v="0"/>
    <n v="9"/>
    <x v="0"/>
    <x v="9"/>
    <n v="7"/>
    <s v="2023-07"/>
    <n v="7004.4800000000014"/>
    <s v="Delayed"/>
    <s v="Profitable"/>
    <s v="High Value"/>
  </r>
  <r>
    <x v="427"/>
    <x v="427"/>
    <s v="Amit Verma"/>
    <x v="1"/>
    <s v="Canada"/>
    <s v="Delhi"/>
    <x v="0"/>
    <s v="Non-Fiction"/>
    <x v="421"/>
    <n v="8"/>
    <n v="1270"/>
    <n v="0.05"/>
    <n v="1206.5"/>
    <x v="425"/>
    <n v="0.4"/>
    <x v="424"/>
    <x v="2"/>
    <x v="0"/>
    <n v="5"/>
    <x v="2"/>
    <x v="6"/>
    <n v="4"/>
    <s v="2025-04"/>
    <n v="5791.2"/>
    <s v="Standard"/>
    <s v="Profitable"/>
    <s v="High Value"/>
  </r>
  <r>
    <x v="428"/>
    <x v="428"/>
    <s v="Sara Khan"/>
    <x v="3"/>
    <s v="Usa"/>
    <s v="London"/>
    <x v="0"/>
    <s v="Non-Fiction"/>
    <x v="422"/>
    <n v="9"/>
    <n v="1398"/>
    <n v="0.23"/>
    <n v="1076.46"/>
    <x v="426"/>
    <n v="0.4"/>
    <x v="425"/>
    <x v="3"/>
    <x v="0"/>
    <n v="5"/>
    <x v="0"/>
    <x v="9"/>
    <n v="7"/>
    <s v="2023-07"/>
    <n v="5812.8799999999992"/>
    <s v="Standard"/>
    <s v="Profitable"/>
    <s v="High Value"/>
  </r>
  <r>
    <x v="429"/>
    <x v="429"/>
    <s v="David Lee"/>
    <x v="3"/>
    <s v="Canada"/>
    <s v="London"/>
    <x v="1"/>
    <s v="Yoga Mat"/>
    <x v="423"/>
    <n v="2"/>
    <n v="9841"/>
    <n v="0.2"/>
    <n v="7872.8"/>
    <x v="427"/>
    <n v="0.25"/>
    <x v="426"/>
    <x v="1"/>
    <x v="1"/>
    <n v="5"/>
    <x v="0"/>
    <x v="8"/>
    <n v="12"/>
    <s v="2023-12"/>
    <n v="11809.2"/>
    <s v="Standard"/>
    <s v="Profitable"/>
    <s v="High Value"/>
  </r>
  <r>
    <x v="430"/>
    <x v="430"/>
    <s v="Sara Khan"/>
    <x v="1"/>
    <s v="Uk"/>
    <s v="Delhi"/>
    <x v="2"/>
    <s v="Chair"/>
    <x v="424"/>
    <n v="5"/>
    <n v="4430"/>
    <n v="0.11"/>
    <n v="3942.7"/>
    <x v="428"/>
    <n v="0.2"/>
    <x v="427"/>
    <x v="1"/>
    <x v="0"/>
    <n v="1"/>
    <x v="0"/>
    <x v="3"/>
    <n v="1"/>
    <s v="2023-01"/>
    <n v="15770.8"/>
    <s v="Fast"/>
    <s v="Profitable"/>
    <s v="High Value"/>
  </r>
  <r>
    <x v="431"/>
    <x v="431"/>
    <s v="David Lee"/>
    <x v="3"/>
    <s v="Canada"/>
    <s v="New York"/>
    <x v="2"/>
    <s v="Table"/>
    <x v="425"/>
    <n v="4"/>
    <n v="5568"/>
    <n v="0.11"/>
    <n v="4955.5200000000004"/>
    <x v="429"/>
    <n v="0.2"/>
    <x v="428"/>
    <x v="0"/>
    <x v="1"/>
    <n v="4"/>
    <x v="0"/>
    <x v="10"/>
    <n v="5"/>
    <s v="2023-05"/>
    <n v="15857.660000000002"/>
    <s v="Standard"/>
    <s v="Profitable"/>
    <s v="High Value"/>
  </r>
  <r>
    <x v="432"/>
    <x v="432"/>
    <s v="David Lee"/>
    <x v="2"/>
    <s v="Usa"/>
    <s v="London"/>
    <x v="3"/>
    <s v="Dress"/>
    <x v="426"/>
    <n v="3"/>
    <n v="4181"/>
    <n v="0.09"/>
    <n v="3804.71"/>
    <x v="430"/>
    <n v="0.35"/>
    <x v="429"/>
    <x v="0"/>
    <x v="1"/>
    <n v="9"/>
    <x v="0"/>
    <x v="5"/>
    <n v="8"/>
    <s v="2023-08"/>
    <n v="7419.1799999999994"/>
    <s v="Delayed"/>
    <s v="Profitable"/>
    <s v="High Value"/>
  </r>
  <r>
    <x v="433"/>
    <x v="433"/>
    <s v="Sara Khan"/>
    <x v="0"/>
    <s v="India"/>
    <s v="Mumbai"/>
    <x v="3"/>
    <s v="Jeans"/>
    <x v="427"/>
    <n v="4"/>
    <n v="3352"/>
    <n v="0.14000000000000001"/>
    <n v="2882.72"/>
    <x v="431"/>
    <n v="0.35"/>
    <x v="430"/>
    <x v="0"/>
    <x v="0"/>
    <n v="2"/>
    <x v="0"/>
    <x v="8"/>
    <n v="12"/>
    <s v="2023-12"/>
    <n v="7495.07"/>
    <s v="Fast"/>
    <s v="Profitable"/>
    <s v="High Value"/>
  </r>
  <r>
    <x v="434"/>
    <x v="434"/>
    <s v="Maria Singh"/>
    <x v="0"/>
    <s v="Canada"/>
    <s v="New York"/>
    <x v="2"/>
    <s v="Chair"/>
    <x v="428"/>
    <n v="2"/>
    <n v="11110"/>
    <n v="0.09"/>
    <n v="10110.1"/>
    <x v="432"/>
    <n v="0.2"/>
    <x v="431"/>
    <x v="3"/>
    <x v="0"/>
    <n v="4"/>
    <x v="0"/>
    <x v="4"/>
    <n v="6"/>
    <s v="2023-06"/>
    <n v="16176.16"/>
    <s v="Standard"/>
    <s v="Profitable"/>
    <s v="High Value"/>
  </r>
  <r>
    <x v="435"/>
    <x v="435"/>
    <s v="David Lee"/>
    <x v="3"/>
    <s v="Usa"/>
    <s v="Mumbai"/>
    <x v="0"/>
    <s v="Fiction"/>
    <x v="429"/>
    <n v="9"/>
    <n v="1249"/>
    <n v="0.1"/>
    <n v="1124.0999999999999"/>
    <x v="433"/>
    <n v="0.4"/>
    <x v="432"/>
    <x v="0"/>
    <x v="0"/>
    <n v="3"/>
    <x v="0"/>
    <x v="0"/>
    <n v="11"/>
    <s v="2023-11"/>
    <n v="6070.1399999999994"/>
    <s v="Fast"/>
    <s v="Profitable"/>
    <s v="High Value"/>
  </r>
  <r>
    <x v="436"/>
    <x v="436"/>
    <s v="Maria Singh"/>
    <x v="0"/>
    <s v="Uk"/>
    <s v="Delhi"/>
    <x v="0"/>
    <s v="Comics"/>
    <x v="430"/>
    <n v="8"/>
    <n v="1370"/>
    <n v="7.0000000000000007E-2"/>
    <n v="1274.0999999999999"/>
    <x v="434"/>
    <n v="0.4"/>
    <x v="433"/>
    <x v="3"/>
    <x v="0"/>
    <n v="8"/>
    <x v="0"/>
    <x v="9"/>
    <n v="7"/>
    <s v="2023-07"/>
    <n v="6115.6799999999994"/>
    <s v="Delayed"/>
    <s v="Profitable"/>
    <s v="High Value"/>
  </r>
  <r>
    <x v="437"/>
    <x v="437"/>
    <s v="Priya Mehta"/>
    <x v="3"/>
    <s v="Uk"/>
    <s v="Toronto"/>
    <x v="1"/>
    <s v="Tennis Racket"/>
    <x v="431"/>
    <n v="8"/>
    <n v="2651"/>
    <n v="0.23"/>
    <n v="2041.27"/>
    <x v="435"/>
    <n v="0.25"/>
    <x v="434"/>
    <x v="1"/>
    <x v="0"/>
    <n v="7"/>
    <x v="2"/>
    <x v="2"/>
    <n v="3"/>
    <s v="2025-03"/>
    <n v="12247.619999999999"/>
    <s v="Standard"/>
    <s v="Profitable"/>
    <s v="High Value"/>
  </r>
  <r>
    <x v="438"/>
    <x v="438"/>
    <s v="John Smith"/>
    <x v="1"/>
    <s v="Canada"/>
    <s v="New York"/>
    <x v="0"/>
    <s v="Fiction"/>
    <x v="432"/>
    <n v="8"/>
    <n v="1353"/>
    <n v="0.05"/>
    <n v="1285.3499999999999"/>
    <x v="436"/>
    <n v="0.4"/>
    <x v="435"/>
    <x v="1"/>
    <x v="0"/>
    <n v="4"/>
    <x v="1"/>
    <x v="7"/>
    <n v="2"/>
    <s v="2024-02"/>
    <n v="6169.6799999999994"/>
    <s v="Standard"/>
    <s v="Profitable"/>
    <s v="High Value"/>
  </r>
  <r>
    <x v="439"/>
    <x v="439"/>
    <s v="David Lee"/>
    <x v="0"/>
    <s v="Uk"/>
    <s v="Delhi"/>
    <x v="3"/>
    <s v="Jacket"/>
    <x v="433"/>
    <n v="4"/>
    <n v="3474"/>
    <n v="0.15"/>
    <n v="2952.9"/>
    <x v="437"/>
    <n v="0.35"/>
    <x v="436"/>
    <x v="2"/>
    <x v="0"/>
    <n v="2"/>
    <x v="2"/>
    <x v="2"/>
    <n v="3"/>
    <s v="2025-03"/>
    <n v="7677.54"/>
    <s v="Fast"/>
    <s v="Profitable"/>
    <s v="High Value"/>
  </r>
  <r>
    <x v="440"/>
    <x v="440"/>
    <s v="David Lee"/>
    <x v="3"/>
    <s v="Uk"/>
    <s v="Toronto"/>
    <x v="0"/>
    <s v="Biography"/>
    <x v="434"/>
    <n v="9"/>
    <n v="1214"/>
    <n v="0.05"/>
    <n v="1153.3"/>
    <x v="438"/>
    <n v="0.4"/>
    <x v="437"/>
    <x v="2"/>
    <x v="0"/>
    <n v="2"/>
    <x v="2"/>
    <x v="3"/>
    <n v="1"/>
    <s v="2025-01"/>
    <n v="6227.8200000000006"/>
    <s v="Fast"/>
    <s v="Profitable"/>
    <s v="High Value"/>
  </r>
  <r>
    <x v="441"/>
    <x v="441"/>
    <s v="Amit Verma"/>
    <x v="0"/>
    <s v="India"/>
    <s v="New York"/>
    <x v="1"/>
    <s v="Football"/>
    <x v="435"/>
    <n v="2"/>
    <n v="9234"/>
    <n v="0.1"/>
    <n v="8310.6"/>
    <x v="439"/>
    <n v="0.25"/>
    <x v="438"/>
    <x v="0"/>
    <x v="0"/>
    <n v="3"/>
    <x v="0"/>
    <x v="11"/>
    <n v="9"/>
    <s v="2023-09"/>
    <n v="12465.900000000001"/>
    <s v="Fast"/>
    <s v="Profitable"/>
    <s v="High Value"/>
  </r>
  <r>
    <x v="442"/>
    <x v="442"/>
    <s v="David Lee"/>
    <x v="3"/>
    <s v="Uk"/>
    <s v="New York"/>
    <x v="2"/>
    <s v="Sofa"/>
    <x v="436"/>
    <n v="7"/>
    <n v="3382"/>
    <n v="0.12"/>
    <n v="2976.16"/>
    <x v="440"/>
    <n v="0.2"/>
    <x v="439"/>
    <x v="0"/>
    <x v="0"/>
    <n v="1"/>
    <x v="1"/>
    <x v="4"/>
    <n v="6"/>
    <s v="2024-06"/>
    <n v="16666.5"/>
    <s v="Fast"/>
    <s v="Profitable"/>
    <s v="High Value"/>
  </r>
  <r>
    <x v="443"/>
    <x v="443"/>
    <s v="David Lee"/>
    <x v="1"/>
    <s v="Usa"/>
    <s v="Mumbai"/>
    <x v="3"/>
    <s v="T-Shirt"/>
    <x v="437"/>
    <n v="7"/>
    <n v="2224"/>
    <n v="0.23"/>
    <n v="1712.48"/>
    <x v="441"/>
    <n v="0.35"/>
    <x v="440"/>
    <x v="0"/>
    <x v="0"/>
    <n v="3"/>
    <x v="1"/>
    <x v="8"/>
    <n v="12"/>
    <s v="2024-12"/>
    <n v="7791.7800000000007"/>
    <s v="Fast"/>
    <s v="Profitable"/>
    <s v="High Value"/>
  </r>
  <r>
    <x v="444"/>
    <x v="444"/>
    <s v="Sara Khan"/>
    <x v="1"/>
    <s v="Usa"/>
    <s v="Toronto"/>
    <x v="0"/>
    <s v="Fiction"/>
    <x v="438"/>
    <n v="8"/>
    <n v="1476"/>
    <n v="0.11"/>
    <n v="1313.64"/>
    <x v="442"/>
    <n v="0.4"/>
    <x v="441"/>
    <x v="1"/>
    <x v="0"/>
    <n v="5"/>
    <x v="1"/>
    <x v="4"/>
    <n v="6"/>
    <s v="2024-06"/>
    <n v="6305.4700000000012"/>
    <s v="Standard"/>
    <s v="Profitable"/>
    <s v="High Value"/>
  </r>
  <r>
    <x v="445"/>
    <x v="445"/>
    <s v="Amit Verma"/>
    <x v="2"/>
    <s v="India"/>
    <s v="Delhi"/>
    <x v="4"/>
    <s v="Laptop"/>
    <x v="439"/>
    <n v="1"/>
    <n v="33429"/>
    <n v="0.16"/>
    <n v="28080.36"/>
    <x v="443"/>
    <n v="0.15"/>
    <x v="442"/>
    <x v="3"/>
    <x v="0"/>
    <n v="7"/>
    <x v="1"/>
    <x v="10"/>
    <n v="5"/>
    <s v="2024-05"/>
    <n v="23868.31"/>
    <s v="Standard"/>
    <s v="Profitable"/>
    <s v="High Value"/>
  </r>
  <r>
    <x v="446"/>
    <x v="446"/>
    <s v="John Smith"/>
    <x v="2"/>
    <s v="Uk"/>
    <s v="Bangalore"/>
    <x v="3"/>
    <s v="T-Shirt"/>
    <x v="440"/>
    <n v="8"/>
    <n v="1511"/>
    <n v="0"/>
    <n v="1511"/>
    <x v="444"/>
    <n v="0.35"/>
    <x v="443"/>
    <x v="0"/>
    <x v="1"/>
    <n v="6"/>
    <x v="2"/>
    <x v="11"/>
    <n v="9"/>
    <s v="2025-09"/>
    <n v="7857.2"/>
    <s v="Standard"/>
    <s v="Profitable"/>
    <s v="High Value"/>
  </r>
  <r>
    <x v="447"/>
    <x v="447"/>
    <s v="John Smith"/>
    <x v="1"/>
    <s v="Usa"/>
    <s v="Delhi"/>
    <x v="2"/>
    <s v="Sofa"/>
    <x v="441"/>
    <n v="2"/>
    <n v="12053"/>
    <n v="0.12"/>
    <n v="10606.64"/>
    <x v="445"/>
    <n v="0.2"/>
    <x v="444"/>
    <x v="2"/>
    <x v="0"/>
    <n v="8"/>
    <x v="2"/>
    <x v="10"/>
    <n v="5"/>
    <s v="2025-05"/>
    <n v="16970.62"/>
    <s v="Delayed"/>
    <s v="Profitable"/>
    <s v="High Value"/>
  </r>
  <r>
    <x v="448"/>
    <x v="448"/>
    <s v="David Lee"/>
    <x v="3"/>
    <s v="Usa"/>
    <s v="London"/>
    <x v="2"/>
    <s v="Chair"/>
    <x v="442"/>
    <n v="7"/>
    <n v="3177"/>
    <n v="0.04"/>
    <n v="3049.92"/>
    <x v="446"/>
    <n v="0.2"/>
    <x v="445"/>
    <x v="0"/>
    <x v="0"/>
    <n v="3"/>
    <x v="0"/>
    <x v="11"/>
    <n v="9"/>
    <s v="2023-09"/>
    <n v="17079.55"/>
    <s v="Fast"/>
    <s v="Profitable"/>
    <s v="High Value"/>
  </r>
  <r>
    <x v="449"/>
    <x v="449"/>
    <s v="Amit Verma"/>
    <x v="1"/>
    <s v="India"/>
    <s v="New York"/>
    <x v="4"/>
    <s v="Laptop"/>
    <x v="443"/>
    <n v="1"/>
    <n v="33171"/>
    <n v="0.14000000000000001"/>
    <n v="28527.06"/>
    <x v="447"/>
    <n v="0.15"/>
    <x v="446"/>
    <x v="0"/>
    <x v="0"/>
    <n v="1"/>
    <x v="0"/>
    <x v="1"/>
    <n v="10"/>
    <s v="2023-10"/>
    <n v="24248"/>
    <s v="Fast"/>
    <s v="Profitable"/>
    <s v="High Value"/>
  </r>
  <r>
    <x v="450"/>
    <x v="450"/>
    <s v="Sara Khan"/>
    <x v="1"/>
    <s v="Canada"/>
    <s v="Delhi"/>
    <x v="2"/>
    <s v="Table"/>
    <x v="444"/>
    <n v="2"/>
    <n v="13754"/>
    <n v="0.22"/>
    <n v="10728.12"/>
    <x v="448"/>
    <n v="0.2"/>
    <x v="447"/>
    <x v="0"/>
    <x v="0"/>
    <n v="2"/>
    <x v="2"/>
    <x v="3"/>
    <n v="1"/>
    <s v="2025-01"/>
    <n v="17164.990000000002"/>
    <s v="Fast"/>
    <s v="Profitable"/>
    <s v="High Value"/>
  </r>
  <r>
    <x v="451"/>
    <x v="451"/>
    <s v="John Smith"/>
    <x v="2"/>
    <s v="Usa"/>
    <s v="Delhi"/>
    <x v="0"/>
    <s v="Fiction"/>
    <x v="445"/>
    <n v="8"/>
    <n v="1491"/>
    <n v="0.1"/>
    <n v="1341.9"/>
    <x v="449"/>
    <n v="0.4"/>
    <x v="448"/>
    <x v="1"/>
    <x v="0"/>
    <n v="8"/>
    <x v="0"/>
    <x v="2"/>
    <n v="3"/>
    <s v="2023-03"/>
    <n v="6441.1200000000008"/>
    <s v="Delayed"/>
    <s v="Profitable"/>
    <s v="High Value"/>
  </r>
  <r>
    <x v="452"/>
    <x v="452"/>
    <s v="Maria Singh"/>
    <x v="3"/>
    <s v="India"/>
    <s v="Delhi"/>
    <x v="3"/>
    <s v="Dress"/>
    <x v="446"/>
    <n v="8"/>
    <n v="1677"/>
    <n v="7.0000000000000007E-2"/>
    <n v="1559.61"/>
    <x v="450"/>
    <n v="0.35"/>
    <x v="449"/>
    <x v="1"/>
    <x v="0"/>
    <n v="3"/>
    <x v="2"/>
    <x v="5"/>
    <n v="8"/>
    <s v="2025-08"/>
    <n v="8109.9699999999993"/>
    <s v="Fast"/>
    <s v="Profitable"/>
    <s v="High Value"/>
  </r>
  <r>
    <x v="453"/>
    <x v="453"/>
    <s v="John Smith"/>
    <x v="3"/>
    <s v="India"/>
    <s v="Bangalore"/>
    <x v="3"/>
    <s v="Dress"/>
    <x v="447"/>
    <n v="4"/>
    <n v="3478"/>
    <n v="0.09"/>
    <n v="3164.98"/>
    <x v="451"/>
    <n v="0.35"/>
    <x v="450"/>
    <x v="3"/>
    <x v="0"/>
    <n v="2"/>
    <x v="2"/>
    <x v="10"/>
    <n v="5"/>
    <s v="2025-05"/>
    <n v="8228.9500000000007"/>
    <s v="Fast"/>
    <s v="Profitable"/>
    <s v="High Value"/>
  </r>
  <r>
    <x v="454"/>
    <x v="454"/>
    <s v="Amit Verma"/>
    <x v="1"/>
    <s v="Usa"/>
    <s v="New York"/>
    <x v="2"/>
    <s v="Chair"/>
    <x v="448"/>
    <n v="2"/>
    <n v="13695"/>
    <n v="0.19"/>
    <n v="11092.95"/>
    <x v="452"/>
    <n v="0.2"/>
    <x v="451"/>
    <x v="0"/>
    <x v="0"/>
    <n v="6"/>
    <x v="0"/>
    <x v="8"/>
    <n v="12"/>
    <s v="2023-12"/>
    <n v="17748.72"/>
    <s v="Standard"/>
    <s v="Profitable"/>
    <s v="High Value"/>
  </r>
  <r>
    <x v="455"/>
    <x v="455"/>
    <s v="John Smith"/>
    <x v="2"/>
    <s v="India"/>
    <s v="Delhi"/>
    <x v="0"/>
    <s v="Biography"/>
    <x v="449"/>
    <n v="9"/>
    <n v="1356"/>
    <n v="0.09"/>
    <n v="1233.96"/>
    <x v="453"/>
    <n v="0.4"/>
    <x v="452"/>
    <x v="0"/>
    <x v="2"/>
    <n v="8"/>
    <x v="0"/>
    <x v="11"/>
    <n v="9"/>
    <s v="2023-09"/>
    <n v="6663.3799999999992"/>
    <s v="Delayed"/>
    <s v="Profitable"/>
    <s v="High Value"/>
  </r>
  <r>
    <x v="456"/>
    <x v="456"/>
    <s v="Sara Khan"/>
    <x v="3"/>
    <s v="India"/>
    <s v="Delhi"/>
    <x v="3"/>
    <s v="T-Shirt"/>
    <x v="450"/>
    <n v="5"/>
    <n v="3240"/>
    <n v="0.21"/>
    <n v="2559.6"/>
    <x v="454"/>
    <n v="0.35"/>
    <x v="453"/>
    <x v="1"/>
    <x v="0"/>
    <n v="5"/>
    <x v="0"/>
    <x v="4"/>
    <n v="6"/>
    <s v="2023-06"/>
    <n v="8318.7000000000007"/>
    <s v="Standard"/>
    <s v="Profitable"/>
    <s v="High Value"/>
  </r>
  <r>
    <x v="457"/>
    <x v="457"/>
    <s v="John Smith"/>
    <x v="2"/>
    <s v="Canada"/>
    <s v="London"/>
    <x v="4"/>
    <s v="Tablet"/>
    <x v="451"/>
    <n v="1"/>
    <n v="35051"/>
    <n v="0.14000000000000001"/>
    <n v="30143.86"/>
    <x v="455"/>
    <n v="0.15"/>
    <x v="454"/>
    <x v="1"/>
    <x v="0"/>
    <n v="4"/>
    <x v="2"/>
    <x v="2"/>
    <n v="3"/>
    <s v="2025-03"/>
    <n v="25622.28"/>
    <s v="Standard"/>
    <s v="Profitable"/>
    <s v="High Value"/>
  </r>
  <r>
    <x v="458"/>
    <x v="458"/>
    <s v="David Lee"/>
    <x v="2"/>
    <s v="India"/>
    <s v="Mumbai"/>
    <x v="2"/>
    <s v="Table"/>
    <x v="452"/>
    <n v="6"/>
    <n v="4336"/>
    <n v="0.13"/>
    <n v="3772.32"/>
    <x v="456"/>
    <n v="0.2"/>
    <x v="455"/>
    <x v="2"/>
    <x v="1"/>
    <n v="3"/>
    <x v="2"/>
    <x v="9"/>
    <n v="7"/>
    <s v="2025-07"/>
    <n v="18107.14"/>
    <s v="Fast"/>
    <s v="Profitable"/>
    <s v="High Value"/>
  </r>
  <r>
    <x v="459"/>
    <x v="459"/>
    <s v="John Smith"/>
    <x v="3"/>
    <s v="Usa"/>
    <s v="Bangalore"/>
    <x v="4"/>
    <s v="Mobile"/>
    <x v="453"/>
    <n v="3"/>
    <n v="12461"/>
    <n v="0.19"/>
    <n v="10093.41"/>
    <x v="457"/>
    <n v="0.15"/>
    <x v="456"/>
    <x v="1"/>
    <x v="0"/>
    <n v="1"/>
    <x v="1"/>
    <x v="0"/>
    <n v="11"/>
    <s v="2024-11"/>
    <n v="25738.2"/>
    <s v="Fast"/>
    <s v="Profitable"/>
    <s v="High Value"/>
  </r>
  <r>
    <x v="460"/>
    <x v="460"/>
    <s v="Priya Mehta"/>
    <x v="2"/>
    <s v="Canada"/>
    <s v="Toronto"/>
    <x v="3"/>
    <s v="T-Shirt"/>
    <x v="454"/>
    <n v="6"/>
    <n v="2314"/>
    <n v="0.06"/>
    <n v="2175.16"/>
    <x v="458"/>
    <n v="0.35"/>
    <x v="457"/>
    <x v="3"/>
    <x v="1"/>
    <n v="6"/>
    <x v="2"/>
    <x v="11"/>
    <n v="9"/>
    <s v="2025-09"/>
    <n v="8483.119999999999"/>
    <s v="Standard"/>
    <s v="Profitable"/>
    <s v="High Value"/>
  </r>
  <r>
    <x v="461"/>
    <x v="461"/>
    <s v="Amit Verma"/>
    <x v="3"/>
    <s v="Uk"/>
    <s v="Mumbai"/>
    <x v="3"/>
    <s v="Dress"/>
    <x v="455"/>
    <n v="4"/>
    <n v="3678"/>
    <n v="0.11"/>
    <n v="3273.42"/>
    <x v="459"/>
    <n v="0.35"/>
    <x v="458"/>
    <x v="2"/>
    <x v="0"/>
    <n v="7"/>
    <x v="0"/>
    <x v="10"/>
    <n v="5"/>
    <s v="2023-05"/>
    <n v="8510.89"/>
    <s v="Standard"/>
    <s v="Profitable"/>
    <s v="High Value"/>
  </r>
  <r>
    <x v="462"/>
    <x v="462"/>
    <s v="John Smith"/>
    <x v="0"/>
    <s v="Canada"/>
    <s v="Bangalore"/>
    <x v="3"/>
    <s v="Jeans"/>
    <x v="456"/>
    <n v="6"/>
    <n v="2298"/>
    <n v="0.05"/>
    <n v="2183.1"/>
    <x v="460"/>
    <n v="0.35"/>
    <x v="459"/>
    <x v="3"/>
    <x v="1"/>
    <n v="7"/>
    <x v="0"/>
    <x v="0"/>
    <n v="11"/>
    <s v="2023-11"/>
    <n v="8514.09"/>
    <s v="Standard"/>
    <s v="Profitable"/>
    <s v="High Value"/>
  </r>
  <r>
    <x v="463"/>
    <x v="463"/>
    <s v="Sara Khan"/>
    <x v="0"/>
    <s v="Usa"/>
    <s v="Delhi"/>
    <x v="2"/>
    <s v="Table"/>
    <x v="457"/>
    <n v="4"/>
    <n v="7010"/>
    <n v="0.18"/>
    <n v="5748.2"/>
    <x v="461"/>
    <n v="0.2"/>
    <x v="460"/>
    <x v="2"/>
    <x v="0"/>
    <n v="7"/>
    <x v="0"/>
    <x v="8"/>
    <n v="12"/>
    <s v="2023-12"/>
    <n v="18394.239999999998"/>
    <s v="Standard"/>
    <s v="Profitable"/>
    <s v="High Value"/>
  </r>
  <r>
    <x v="464"/>
    <x v="464"/>
    <s v="Sara Khan"/>
    <x v="2"/>
    <s v="Uk"/>
    <s v="Mumbai"/>
    <x v="1"/>
    <s v="Yoga Mat"/>
    <x v="458"/>
    <n v="3"/>
    <n v="6704"/>
    <n v="7.0000000000000007E-2"/>
    <n v="6234.72"/>
    <x v="462"/>
    <n v="0.25"/>
    <x v="461"/>
    <x v="3"/>
    <x v="0"/>
    <n v="7"/>
    <x v="0"/>
    <x v="5"/>
    <n v="8"/>
    <s v="2023-08"/>
    <n v="14028.119999999999"/>
    <s v="Standard"/>
    <s v="Profitable"/>
    <s v="High Value"/>
  </r>
  <r>
    <x v="465"/>
    <x v="465"/>
    <s v="David Lee"/>
    <x v="3"/>
    <s v="Uk"/>
    <s v="Toronto"/>
    <x v="2"/>
    <s v="Bookshelf"/>
    <x v="459"/>
    <n v="4"/>
    <n v="7495"/>
    <n v="0.22"/>
    <n v="5846.1"/>
    <x v="463"/>
    <n v="0.2"/>
    <x v="462"/>
    <x v="0"/>
    <x v="0"/>
    <n v="5"/>
    <x v="0"/>
    <x v="0"/>
    <n v="11"/>
    <s v="2023-11"/>
    <n v="18707.52"/>
    <s v="Standard"/>
    <s v="Profitable"/>
    <s v="High Value"/>
  </r>
  <r>
    <x v="466"/>
    <x v="466"/>
    <s v="David Lee"/>
    <x v="2"/>
    <s v="India"/>
    <s v="Delhi"/>
    <x v="4"/>
    <s v="Laptop"/>
    <x v="460"/>
    <n v="1"/>
    <n v="35169"/>
    <n v="0.11"/>
    <n v="31300.41"/>
    <x v="464"/>
    <n v="0.15"/>
    <x v="463"/>
    <x v="2"/>
    <x v="0"/>
    <n v="5"/>
    <x v="1"/>
    <x v="6"/>
    <n v="4"/>
    <s v="2024-04"/>
    <n v="26605.35"/>
    <s v="Standard"/>
    <s v="Profitable"/>
    <s v="High Value"/>
  </r>
  <r>
    <x v="467"/>
    <x v="467"/>
    <s v="David Lee"/>
    <x v="3"/>
    <s v="Canada"/>
    <s v="Delhi"/>
    <x v="2"/>
    <s v="Sofa"/>
    <x v="461"/>
    <n v="4"/>
    <n v="6082"/>
    <n v="0.03"/>
    <n v="5899.54"/>
    <x v="465"/>
    <n v="0.2"/>
    <x v="464"/>
    <x v="1"/>
    <x v="0"/>
    <n v="6"/>
    <x v="1"/>
    <x v="8"/>
    <n v="12"/>
    <s v="2024-12"/>
    <n v="18878.53"/>
    <s v="Standard"/>
    <s v="Profitable"/>
    <s v="High Value"/>
  </r>
  <r>
    <x v="468"/>
    <x v="468"/>
    <s v="John Smith"/>
    <x v="0"/>
    <s v="Canada"/>
    <s v="New York"/>
    <x v="0"/>
    <s v="Biography"/>
    <x v="462"/>
    <n v="9"/>
    <n v="1445"/>
    <n v="0.09"/>
    <n v="1314.95"/>
    <x v="466"/>
    <n v="0.4"/>
    <x v="465"/>
    <x v="3"/>
    <x v="0"/>
    <n v="1"/>
    <x v="1"/>
    <x v="0"/>
    <n v="11"/>
    <s v="2024-11"/>
    <n v="7100.73"/>
    <s v="Fast"/>
    <s v="Profitable"/>
    <s v="High Value"/>
  </r>
  <r>
    <x v="469"/>
    <x v="469"/>
    <s v="Sara Khan"/>
    <x v="0"/>
    <s v="Uk"/>
    <s v="Toronto"/>
    <x v="2"/>
    <s v="Chair"/>
    <x v="463"/>
    <n v="2"/>
    <n v="13787"/>
    <n v="0.14000000000000001"/>
    <n v="11856.82"/>
    <x v="467"/>
    <n v="0.2"/>
    <x v="466"/>
    <x v="0"/>
    <x v="0"/>
    <n v="3"/>
    <x v="0"/>
    <x v="3"/>
    <n v="1"/>
    <s v="2023-01"/>
    <n v="18970.91"/>
    <s v="Fast"/>
    <s v="Profitable"/>
    <s v="High Value"/>
  </r>
  <r>
    <x v="470"/>
    <x v="470"/>
    <s v="Amit Verma"/>
    <x v="3"/>
    <s v="Usa"/>
    <s v="Toronto"/>
    <x v="4"/>
    <s v="Mobile"/>
    <x v="464"/>
    <n v="1"/>
    <n v="33705"/>
    <n v="0.06"/>
    <n v="31682.7"/>
    <x v="468"/>
    <n v="0.15"/>
    <x v="467"/>
    <x v="1"/>
    <x v="0"/>
    <n v="7"/>
    <x v="2"/>
    <x v="7"/>
    <n v="2"/>
    <s v="2025-02"/>
    <n v="26930.300000000003"/>
    <s v="Standard"/>
    <s v="Profitable"/>
    <s v="High Value"/>
  </r>
  <r>
    <x v="471"/>
    <x v="471"/>
    <s v="Maria Singh"/>
    <x v="0"/>
    <s v="Uk"/>
    <s v="Mumbai"/>
    <x v="2"/>
    <s v="Sofa"/>
    <x v="465"/>
    <n v="3"/>
    <n v="9114"/>
    <n v="0.13"/>
    <n v="7929.18"/>
    <x v="469"/>
    <n v="0.2"/>
    <x v="468"/>
    <x v="1"/>
    <x v="0"/>
    <n v="9"/>
    <x v="0"/>
    <x v="5"/>
    <n v="8"/>
    <s v="2023-08"/>
    <n v="19030.03"/>
    <s v="Delayed"/>
    <s v="Profitable"/>
    <s v="High Value"/>
  </r>
  <r>
    <x v="472"/>
    <x v="472"/>
    <s v="David Lee"/>
    <x v="1"/>
    <s v="Usa"/>
    <s v="London"/>
    <x v="1"/>
    <s v="Yoga Mat"/>
    <x v="466"/>
    <n v="3"/>
    <n v="8057"/>
    <n v="0.21"/>
    <n v="6365.03"/>
    <x v="470"/>
    <n v="0.25"/>
    <x v="469"/>
    <x v="1"/>
    <x v="0"/>
    <n v="6"/>
    <x v="0"/>
    <x v="7"/>
    <n v="2"/>
    <s v="2023-02"/>
    <n v="14321.32"/>
    <s v="Standard"/>
    <s v="Profitable"/>
    <s v="High Value"/>
  </r>
  <r>
    <x v="473"/>
    <x v="473"/>
    <s v="Priya Mehta"/>
    <x v="2"/>
    <s v="Usa"/>
    <s v="New York"/>
    <x v="0"/>
    <s v="Biography"/>
    <x v="467"/>
    <n v="9"/>
    <n v="1444"/>
    <n v="0.08"/>
    <n v="1328.48"/>
    <x v="471"/>
    <n v="0.4"/>
    <x v="470"/>
    <x v="1"/>
    <x v="0"/>
    <n v="1"/>
    <x v="1"/>
    <x v="4"/>
    <n v="6"/>
    <s v="2024-06"/>
    <n v="7173.79"/>
    <s v="Fast"/>
    <s v="Profitable"/>
    <s v="High Value"/>
  </r>
  <r>
    <x v="474"/>
    <x v="474"/>
    <s v="David Lee"/>
    <x v="0"/>
    <s v="Canada"/>
    <s v="London"/>
    <x v="4"/>
    <s v="Mobile"/>
    <x v="468"/>
    <n v="4"/>
    <n v="10281"/>
    <n v="0.22"/>
    <n v="8019.18"/>
    <x v="472"/>
    <n v="0.15"/>
    <x v="471"/>
    <x v="0"/>
    <x v="0"/>
    <n v="1"/>
    <x v="0"/>
    <x v="10"/>
    <n v="5"/>
    <s v="2023-05"/>
    <n v="27265.21"/>
    <s v="Fast"/>
    <s v="Profitable"/>
    <s v="High Value"/>
  </r>
  <r>
    <x v="475"/>
    <x v="475"/>
    <s v="David Lee"/>
    <x v="3"/>
    <s v="Uk"/>
    <s v="Bangalore"/>
    <x v="3"/>
    <s v="Dress"/>
    <x v="469"/>
    <n v="9"/>
    <n v="1868"/>
    <n v="0.18"/>
    <n v="1531.76"/>
    <x v="473"/>
    <n v="0.35"/>
    <x v="472"/>
    <x v="3"/>
    <x v="0"/>
    <n v="1"/>
    <x v="1"/>
    <x v="8"/>
    <n v="12"/>
    <s v="2024-12"/>
    <n v="8960.7999999999993"/>
    <s v="Fast"/>
    <s v="Profitable"/>
    <s v="High Value"/>
  </r>
  <r>
    <x v="476"/>
    <x v="476"/>
    <s v="John Smith"/>
    <x v="3"/>
    <s v="Canada"/>
    <s v="Toronto"/>
    <x v="3"/>
    <s v="Dress"/>
    <x v="470"/>
    <n v="5"/>
    <n v="3638"/>
    <n v="0.23"/>
    <n v="2801.26"/>
    <x v="474"/>
    <n v="0.35"/>
    <x v="473"/>
    <x v="0"/>
    <x v="0"/>
    <n v="6"/>
    <x v="1"/>
    <x v="6"/>
    <n v="4"/>
    <s v="2024-04"/>
    <n v="9104.0999999999985"/>
    <s v="Standard"/>
    <s v="Profitable"/>
    <s v="High Value"/>
  </r>
  <r>
    <x v="477"/>
    <x v="477"/>
    <s v="Sara Khan"/>
    <x v="3"/>
    <s v="Uk"/>
    <s v="Bangalore"/>
    <x v="4"/>
    <s v="Laptop"/>
    <x v="439"/>
    <n v="1"/>
    <n v="37598"/>
    <n v="0.13"/>
    <n v="32710.26"/>
    <x v="475"/>
    <n v="0.15"/>
    <x v="474"/>
    <x v="1"/>
    <x v="0"/>
    <n v="9"/>
    <x v="0"/>
    <x v="11"/>
    <n v="9"/>
    <s v="2023-09"/>
    <n v="27803.719999999998"/>
    <s v="Delayed"/>
    <s v="Profitable"/>
    <s v="High Value"/>
  </r>
  <r>
    <x v="478"/>
    <x v="478"/>
    <s v="Maria Singh"/>
    <x v="2"/>
    <s v="Usa"/>
    <s v="Toronto"/>
    <x v="2"/>
    <s v="Sofa"/>
    <x v="471"/>
    <n v="3"/>
    <n v="8542"/>
    <n v="0.04"/>
    <n v="8200.32"/>
    <x v="476"/>
    <n v="0.2"/>
    <x v="475"/>
    <x v="0"/>
    <x v="0"/>
    <n v="7"/>
    <x v="0"/>
    <x v="1"/>
    <n v="10"/>
    <s v="2023-10"/>
    <n v="19680.77"/>
    <s v="Standard"/>
    <s v="Profitable"/>
    <s v="High Value"/>
  </r>
  <r>
    <x v="479"/>
    <x v="479"/>
    <s v="Amit Verma"/>
    <x v="0"/>
    <s v="India"/>
    <s v="Bangalore"/>
    <x v="1"/>
    <s v="Football"/>
    <x v="472"/>
    <n v="2"/>
    <n v="11603"/>
    <n v="0.15"/>
    <n v="9862.5499999999993"/>
    <x v="477"/>
    <n v="0.25"/>
    <x v="476"/>
    <x v="3"/>
    <x v="0"/>
    <n v="9"/>
    <x v="0"/>
    <x v="1"/>
    <n v="10"/>
    <s v="2023-10"/>
    <n v="14793.829999999998"/>
    <s v="Delayed"/>
    <s v="Profitable"/>
    <s v="High Value"/>
  </r>
  <r>
    <x v="480"/>
    <x v="480"/>
    <s v="David Lee"/>
    <x v="0"/>
    <s v="Canada"/>
    <s v="Bangalore"/>
    <x v="1"/>
    <s v="Yoga Mat"/>
    <x v="473"/>
    <n v="3"/>
    <n v="7570"/>
    <n v="0.13"/>
    <n v="6585.9"/>
    <x v="478"/>
    <n v="0.25"/>
    <x v="477"/>
    <x v="2"/>
    <x v="0"/>
    <n v="2"/>
    <x v="0"/>
    <x v="4"/>
    <n v="6"/>
    <s v="2023-06"/>
    <n v="14818.28"/>
    <s v="Fast"/>
    <s v="Profitable"/>
    <s v="High Value"/>
  </r>
  <r>
    <x v="481"/>
    <x v="481"/>
    <s v="David Lee"/>
    <x v="0"/>
    <s v="Canada"/>
    <s v="Bangalore"/>
    <x v="2"/>
    <s v="Chair"/>
    <x v="474"/>
    <n v="7"/>
    <n v="3925"/>
    <n v="0.1"/>
    <n v="3532.5"/>
    <x v="479"/>
    <n v="0.2"/>
    <x v="478"/>
    <x v="3"/>
    <x v="0"/>
    <n v="8"/>
    <x v="0"/>
    <x v="3"/>
    <n v="1"/>
    <s v="2023-01"/>
    <n v="19782"/>
    <s v="Delayed"/>
    <s v="Profitable"/>
    <s v="High Value"/>
  </r>
  <r>
    <x v="482"/>
    <x v="482"/>
    <s v="Sara Khan"/>
    <x v="2"/>
    <s v="Canada"/>
    <s v="Toronto"/>
    <x v="3"/>
    <s v="Jacket"/>
    <x v="475"/>
    <n v="4"/>
    <n v="3701"/>
    <n v="0.04"/>
    <n v="3552.96"/>
    <x v="480"/>
    <n v="0.35"/>
    <x v="479"/>
    <x v="0"/>
    <x v="0"/>
    <n v="8"/>
    <x v="1"/>
    <x v="10"/>
    <n v="5"/>
    <s v="2024-05"/>
    <n v="9237.7000000000007"/>
    <s v="Delayed"/>
    <s v="Profitable"/>
    <s v="High Value"/>
  </r>
  <r>
    <x v="483"/>
    <x v="483"/>
    <s v="Maria Singh"/>
    <x v="3"/>
    <s v="Usa"/>
    <s v="Mumbai"/>
    <x v="3"/>
    <s v="Dress"/>
    <x v="476"/>
    <n v="6"/>
    <n v="2537"/>
    <n v="0.04"/>
    <n v="2435.52"/>
    <x v="481"/>
    <n v="0.35"/>
    <x v="480"/>
    <x v="1"/>
    <x v="0"/>
    <n v="6"/>
    <x v="1"/>
    <x v="1"/>
    <n v="10"/>
    <s v="2024-10"/>
    <n v="9498.5300000000007"/>
    <s v="Standard"/>
    <s v="Profitable"/>
    <s v="High Value"/>
  </r>
  <r>
    <x v="484"/>
    <x v="484"/>
    <s v="Sara Khan"/>
    <x v="2"/>
    <s v="Usa"/>
    <s v="Toronto"/>
    <x v="2"/>
    <s v="Table"/>
    <x v="477"/>
    <n v="7"/>
    <n v="4365"/>
    <n v="0.16"/>
    <n v="3666.6"/>
    <x v="482"/>
    <n v="0.2"/>
    <x v="481"/>
    <x v="3"/>
    <x v="1"/>
    <n v="8"/>
    <x v="0"/>
    <x v="6"/>
    <n v="4"/>
    <s v="2023-04"/>
    <n v="20532.96"/>
    <s v="Delayed"/>
    <s v="Profitable"/>
    <s v="High Value"/>
  </r>
  <r>
    <x v="485"/>
    <x v="485"/>
    <s v="Sara Khan"/>
    <x v="3"/>
    <s v="Uk"/>
    <s v="New York"/>
    <x v="2"/>
    <s v="Table"/>
    <x v="478"/>
    <n v="5"/>
    <n v="6517"/>
    <n v="0.21"/>
    <n v="5148.43"/>
    <x v="483"/>
    <n v="0.2"/>
    <x v="482"/>
    <x v="1"/>
    <x v="2"/>
    <n v="7"/>
    <x v="1"/>
    <x v="9"/>
    <n v="7"/>
    <s v="2024-07"/>
    <n v="20593.72"/>
    <s v="Standard"/>
    <s v="Profitable"/>
    <s v="High Value"/>
  </r>
  <r>
    <x v="486"/>
    <x v="486"/>
    <s v="John Smith"/>
    <x v="0"/>
    <s v="Uk"/>
    <s v="Mumbai"/>
    <x v="2"/>
    <s v="Bookshelf"/>
    <x v="479"/>
    <n v="2"/>
    <n v="15171"/>
    <n v="0.15"/>
    <n v="12895.35"/>
    <x v="484"/>
    <n v="0.2"/>
    <x v="483"/>
    <x v="2"/>
    <x v="0"/>
    <n v="3"/>
    <x v="2"/>
    <x v="5"/>
    <n v="8"/>
    <s v="2025-08"/>
    <n v="20632.560000000001"/>
    <s v="Fast"/>
    <s v="Profitable"/>
    <s v="High Value"/>
  </r>
  <r>
    <x v="487"/>
    <x v="487"/>
    <s v="Priya Mehta"/>
    <x v="2"/>
    <s v="Uk"/>
    <s v="Bangalore"/>
    <x v="3"/>
    <s v="Dress"/>
    <x v="480"/>
    <n v="4"/>
    <n v="3884"/>
    <n v="0.05"/>
    <n v="3689.8"/>
    <x v="485"/>
    <n v="0.35"/>
    <x v="484"/>
    <x v="0"/>
    <x v="0"/>
    <n v="6"/>
    <x v="2"/>
    <x v="10"/>
    <n v="5"/>
    <s v="2025-05"/>
    <n v="9593.48"/>
    <s v="Standard"/>
    <s v="Profitable"/>
    <s v="High Value"/>
  </r>
  <r>
    <x v="488"/>
    <x v="488"/>
    <s v="Amit Verma"/>
    <x v="2"/>
    <s v="Uk"/>
    <s v="Delhi"/>
    <x v="1"/>
    <s v="Yoga Mat"/>
    <x v="481"/>
    <n v="3"/>
    <n v="7230"/>
    <n v="0.04"/>
    <n v="6940.8"/>
    <x v="486"/>
    <n v="0.25"/>
    <x v="485"/>
    <x v="2"/>
    <x v="0"/>
    <n v="8"/>
    <x v="1"/>
    <x v="11"/>
    <n v="9"/>
    <s v="2024-09"/>
    <n v="15616.800000000001"/>
    <s v="Delayed"/>
    <s v="Profitable"/>
    <s v="High Value"/>
  </r>
  <r>
    <x v="489"/>
    <x v="489"/>
    <s v="Amit Verma"/>
    <x v="0"/>
    <s v="Uk"/>
    <s v="Bangalore"/>
    <x v="1"/>
    <s v="Yoga Mat"/>
    <x v="482"/>
    <n v="5"/>
    <n v="4867"/>
    <n v="0.14000000000000001"/>
    <n v="4185.62"/>
    <x v="487"/>
    <n v="0.25"/>
    <x v="486"/>
    <x v="2"/>
    <x v="0"/>
    <n v="6"/>
    <x v="2"/>
    <x v="5"/>
    <n v="8"/>
    <s v="2025-08"/>
    <n v="15696.079999999998"/>
    <s v="Standard"/>
    <s v="Profitable"/>
    <s v="High Value"/>
  </r>
  <r>
    <x v="490"/>
    <x v="490"/>
    <s v="Amit Verma"/>
    <x v="2"/>
    <s v="Canada"/>
    <s v="Bangalore"/>
    <x v="3"/>
    <s v="Jacket"/>
    <x v="483"/>
    <n v="5"/>
    <n v="3561"/>
    <n v="0.16"/>
    <n v="2991.24"/>
    <x v="488"/>
    <n v="0.35"/>
    <x v="487"/>
    <x v="0"/>
    <x v="0"/>
    <n v="2"/>
    <x v="1"/>
    <x v="7"/>
    <n v="2"/>
    <s v="2024-02"/>
    <n v="9721.5300000000007"/>
    <s v="Fast"/>
    <s v="Profitable"/>
    <s v="High Value"/>
  </r>
  <r>
    <x v="491"/>
    <x v="491"/>
    <s v="Maria Singh"/>
    <x v="0"/>
    <s v="Uk"/>
    <s v="Mumbai"/>
    <x v="4"/>
    <s v="Earphones"/>
    <x v="484"/>
    <n v="2"/>
    <n v="20634"/>
    <n v="0.15"/>
    <n v="17538.900000000001"/>
    <x v="489"/>
    <n v="0.15"/>
    <x v="488"/>
    <x v="2"/>
    <x v="0"/>
    <n v="9"/>
    <x v="1"/>
    <x v="5"/>
    <n v="8"/>
    <s v="2024-08"/>
    <n v="29816.130000000005"/>
    <s v="Delayed"/>
    <s v="Profitable"/>
    <s v="High Value"/>
  </r>
  <r>
    <x v="492"/>
    <x v="492"/>
    <s v="Amit Verma"/>
    <x v="2"/>
    <s v="Canada"/>
    <s v="London"/>
    <x v="3"/>
    <s v="Jeans"/>
    <x v="485"/>
    <n v="4"/>
    <n v="4178"/>
    <n v="0.1"/>
    <n v="3760.2"/>
    <x v="490"/>
    <n v="0.35"/>
    <x v="489"/>
    <x v="2"/>
    <x v="0"/>
    <n v="1"/>
    <x v="1"/>
    <x v="8"/>
    <n v="12"/>
    <s v="2024-12"/>
    <n v="9776.52"/>
    <s v="Fast"/>
    <s v="Profitable"/>
    <s v="High Value"/>
  </r>
  <r>
    <x v="493"/>
    <x v="493"/>
    <s v="Amit Verma"/>
    <x v="3"/>
    <s v="India"/>
    <s v="Delhi"/>
    <x v="4"/>
    <s v="Mobile"/>
    <x v="486"/>
    <n v="1"/>
    <n v="36966"/>
    <n v="0.05"/>
    <n v="35117.699999999997"/>
    <x v="491"/>
    <n v="0.15"/>
    <x v="490"/>
    <x v="0"/>
    <x v="0"/>
    <n v="7"/>
    <x v="0"/>
    <x v="11"/>
    <n v="9"/>
    <s v="2023-09"/>
    <n v="29850.039999999997"/>
    <s v="Standard"/>
    <s v="Profitable"/>
    <s v="High Value"/>
  </r>
  <r>
    <x v="494"/>
    <x v="494"/>
    <s v="Sara Khan"/>
    <x v="3"/>
    <s v="Uk"/>
    <s v="New York"/>
    <x v="1"/>
    <s v="Cricket Bat"/>
    <x v="487"/>
    <n v="4"/>
    <n v="6347"/>
    <n v="0.17"/>
    <n v="5268.01"/>
    <x v="492"/>
    <n v="0.25"/>
    <x v="491"/>
    <x v="0"/>
    <x v="0"/>
    <n v="7"/>
    <x v="2"/>
    <x v="4"/>
    <n v="6"/>
    <s v="2025-06"/>
    <n v="15804.03"/>
    <s v="Standard"/>
    <s v="Profitable"/>
    <s v="High Value"/>
  </r>
  <r>
    <x v="495"/>
    <x v="495"/>
    <s v="Maria Singh"/>
    <x v="3"/>
    <s v="Uk"/>
    <s v="Delhi"/>
    <x v="2"/>
    <s v="Table"/>
    <x v="488"/>
    <n v="5"/>
    <n v="6760"/>
    <n v="0.22"/>
    <n v="5272.8"/>
    <x v="493"/>
    <n v="0.2"/>
    <x v="492"/>
    <x v="3"/>
    <x v="0"/>
    <n v="6"/>
    <x v="0"/>
    <x v="11"/>
    <n v="9"/>
    <s v="2023-09"/>
    <n v="21091.200000000001"/>
    <s v="Standard"/>
    <s v="Profitable"/>
    <s v="High Value"/>
  </r>
  <r>
    <x v="496"/>
    <x v="496"/>
    <s v="David Lee"/>
    <x v="3"/>
    <s v="India"/>
    <s v="London"/>
    <x v="1"/>
    <s v="Tennis Racket"/>
    <x v="489"/>
    <n v="5"/>
    <n v="4683"/>
    <n v="0.09"/>
    <n v="4261.53"/>
    <x v="494"/>
    <n v="0.25"/>
    <x v="493"/>
    <x v="2"/>
    <x v="0"/>
    <n v="4"/>
    <x v="0"/>
    <x v="8"/>
    <n v="12"/>
    <s v="2023-12"/>
    <n v="15980.740000000002"/>
    <s v="Standard"/>
    <s v="Profitable"/>
    <s v="High Value"/>
  </r>
  <r>
    <x v="497"/>
    <x v="497"/>
    <s v="Priya Mehta"/>
    <x v="3"/>
    <s v="Uk"/>
    <s v="Mumbai"/>
    <x v="1"/>
    <s v="Football"/>
    <x v="490"/>
    <n v="3"/>
    <n v="7894"/>
    <n v="0.1"/>
    <n v="7104.6"/>
    <x v="495"/>
    <n v="0.25"/>
    <x v="494"/>
    <x v="0"/>
    <x v="0"/>
    <n v="2"/>
    <x v="0"/>
    <x v="1"/>
    <n v="10"/>
    <s v="2023-10"/>
    <n v="15985.349999999999"/>
    <s v="Fast"/>
    <s v="Profitable"/>
    <s v="High Value"/>
  </r>
  <r>
    <x v="498"/>
    <x v="498"/>
    <s v="David Lee"/>
    <x v="1"/>
    <s v="Usa"/>
    <s v="New York"/>
    <x v="4"/>
    <s v="Tablet"/>
    <x v="491"/>
    <n v="1"/>
    <n v="43662"/>
    <n v="0.18"/>
    <n v="35802.839999999997"/>
    <x v="496"/>
    <n v="0.15"/>
    <x v="495"/>
    <x v="1"/>
    <x v="0"/>
    <n v="3"/>
    <x v="0"/>
    <x v="3"/>
    <n v="1"/>
    <s v="2023-01"/>
    <n v="30432.409999999996"/>
    <s v="Fast"/>
    <s v="Profitable"/>
    <s v="High Value"/>
  </r>
  <r>
    <x v="499"/>
    <x v="499"/>
    <s v="Priya Mehta"/>
    <x v="2"/>
    <s v="Usa"/>
    <s v="Delhi"/>
    <x v="2"/>
    <s v="Sofa"/>
    <x v="492"/>
    <n v="2"/>
    <n v="14168"/>
    <n v="0.05"/>
    <n v="13459.6"/>
    <x v="497"/>
    <n v="0.2"/>
    <x v="496"/>
    <x v="0"/>
    <x v="0"/>
    <n v="2"/>
    <x v="1"/>
    <x v="4"/>
    <n v="6"/>
    <s v="2024-06"/>
    <n v="21535.360000000001"/>
    <s v="Fast"/>
    <s v="Profitable"/>
    <s v="High Value"/>
  </r>
  <r>
    <x v="500"/>
    <x v="500"/>
    <s v="Sara Khan"/>
    <x v="1"/>
    <s v="India"/>
    <s v="London"/>
    <x v="2"/>
    <s v="Table"/>
    <x v="493"/>
    <n v="2"/>
    <n v="16828"/>
    <n v="0.2"/>
    <n v="13462.4"/>
    <x v="498"/>
    <n v="0.2"/>
    <x v="497"/>
    <x v="2"/>
    <x v="0"/>
    <n v="2"/>
    <x v="1"/>
    <x v="9"/>
    <n v="7"/>
    <s v="2024-07"/>
    <n v="21539.84"/>
    <s v="Fast"/>
    <s v="Profitable"/>
    <s v="High Value"/>
  </r>
  <r>
    <x v="501"/>
    <x v="501"/>
    <s v="John Smith"/>
    <x v="0"/>
    <s v="India"/>
    <s v="Toronto"/>
    <x v="3"/>
    <s v="Dress"/>
    <x v="494"/>
    <n v="6"/>
    <n v="3293"/>
    <n v="0.22"/>
    <n v="2568.54"/>
    <x v="499"/>
    <n v="0.35"/>
    <x v="498"/>
    <x v="1"/>
    <x v="0"/>
    <n v="6"/>
    <x v="0"/>
    <x v="9"/>
    <n v="7"/>
    <s v="2023-07"/>
    <n v="10017.31"/>
    <s v="Standard"/>
    <s v="Profitable"/>
    <s v="High Value"/>
  </r>
  <r>
    <x v="502"/>
    <x v="502"/>
    <s v="Sara Khan"/>
    <x v="1"/>
    <s v="Uk"/>
    <s v="Toronto"/>
    <x v="4"/>
    <s v="Tablet"/>
    <x v="495"/>
    <n v="1"/>
    <n v="45643"/>
    <n v="0.21"/>
    <n v="36057.97"/>
    <x v="500"/>
    <n v="0.15"/>
    <x v="499"/>
    <x v="1"/>
    <x v="0"/>
    <n v="5"/>
    <x v="0"/>
    <x v="5"/>
    <n v="8"/>
    <s v="2023-08"/>
    <n v="30649.27"/>
    <s v="Standard"/>
    <s v="Profitable"/>
    <s v="High Value"/>
  </r>
  <r>
    <x v="503"/>
    <x v="503"/>
    <s v="Maria Singh"/>
    <x v="1"/>
    <s v="India"/>
    <s v="London"/>
    <x v="1"/>
    <s v="Football"/>
    <x v="496"/>
    <n v="2"/>
    <n v="10917"/>
    <n v="0"/>
    <n v="10917"/>
    <x v="501"/>
    <n v="0.25"/>
    <x v="500"/>
    <x v="2"/>
    <x v="0"/>
    <n v="6"/>
    <x v="1"/>
    <x v="2"/>
    <n v="3"/>
    <s v="2024-03"/>
    <n v="16375.5"/>
    <s v="Standard"/>
    <s v="Profitable"/>
    <s v="High Value"/>
  </r>
  <r>
    <x v="504"/>
    <x v="504"/>
    <s v="Sara Khan"/>
    <x v="3"/>
    <s v="Canada"/>
    <s v="New York"/>
    <x v="2"/>
    <s v="Sofa"/>
    <x v="497"/>
    <n v="9"/>
    <n v="3376"/>
    <n v="0.1"/>
    <n v="3038.4"/>
    <x v="502"/>
    <n v="0.2"/>
    <x v="501"/>
    <x v="0"/>
    <x v="0"/>
    <n v="3"/>
    <x v="1"/>
    <x v="8"/>
    <n v="12"/>
    <s v="2024-12"/>
    <n v="21876.48"/>
    <s v="Fast"/>
    <s v="Profitable"/>
    <s v="High Value"/>
  </r>
  <r>
    <x v="505"/>
    <x v="505"/>
    <s v="Maria Singh"/>
    <x v="3"/>
    <s v="Uk"/>
    <s v="Bangalore"/>
    <x v="2"/>
    <s v="Table"/>
    <x v="498"/>
    <n v="2"/>
    <n v="14003"/>
    <n v="0.02"/>
    <n v="13722.94"/>
    <x v="503"/>
    <n v="0.2"/>
    <x v="502"/>
    <x v="2"/>
    <x v="0"/>
    <n v="5"/>
    <x v="0"/>
    <x v="2"/>
    <n v="3"/>
    <s v="2023-03"/>
    <n v="21956.7"/>
    <s v="Standard"/>
    <s v="Profitable"/>
    <s v="High Value"/>
  </r>
  <r>
    <x v="506"/>
    <x v="506"/>
    <s v="Maria Singh"/>
    <x v="1"/>
    <s v="Canada"/>
    <s v="London"/>
    <x v="2"/>
    <s v="Sofa"/>
    <x v="499"/>
    <n v="8"/>
    <n v="3826"/>
    <n v="0.1"/>
    <n v="3443.4"/>
    <x v="504"/>
    <n v="0.2"/>
    <x v="503"/>
    <x v="2"/>
    <x v="1"/>
    <n v="5"/>
    <x v="1"/>
    <x v="6"/>
    <n v="4"/>
    <s v="2024-04"/>
    <n v="22037.760000000002"/>
    <s v="Standard"/>
    <s v="Profitable"/>
    <s v="High Value"/>
  </r>
  <r>
    <x v="507"/>
    <x v="507"/>
    <s v="John Smith"/>
    <x v="3"/>
    <s v="Canada"/>
    <s v="Toronto"/>
    <x v="1"/>
    <s v="Cricket Bat"/>
    <x v="500"/>
    <n v="2"/>
    <n v="11853"/>
    <n v="7.0000000000000007E-2"/>
    <n v="11023.29"/>
    <x v="505"/>
    <n v="0.25"/>
    <x v="504"/>
    <x v="0"/>
    <x v="0"/>
    <n v="8"/>
    <x v="1"/>
    <x v="7"/>
    <n v="2"/>
    <s v="2024-02"/>
    <n v="16534.940000000002"/>
    <s v="Delayed"/>
    <s v="Profitable"/>
    <s v="High Value"/>
  </r>
  <r>
    <x v="508"/>
    <x v="508"/>
    <s v="David Lee"/>
    <x v="2"/>
    <s v="Uk"/>
    <s v="Mumbai"/>
    <x v="2"/>
    <s v="Chair"/>
    <x v="501"/>
    <n v="4"/>
    <n v="9083"/>
    <n v="0.24"/>
    <n v="6903.08"/>
    <x v="506"/>
    <n v="0.2"/>
    <x v="505"/>
    <x v="1"/>
    <x v="0"/>
    <n v="8"/>
    <x v="1"/>
    <x v="11"/>
    <n v="9"/>
    <s v="2024-09"/>
    <n v="22089.86"/>
    <s v="Delayed"/>
    <s v="Profitable"/>
    <s v="High Value"/>
  </r>
  <r>
    <x v="509"/>
    <x v="509"/>
    <s v="Priya Mehta"/>
    <x v="1"/>
    <s v="India"/>
    <s v="Delhi"/>
    <x v="3"/>
    <s v="T-Shirt"/>
    <x v="502"/>
    <n v="4"/>
    <n v="3985"/>
    <n v="0.01"/>
    <n v="3945.15"/>
    <x v="507"/>
    <n v="0.35"/>
    <x v="506"/>
    <x v="2"/>
    <x v="0"/>
    <n v="9"/>
    <x v="0"/>
    <x v="9"/>
    <n v="7"/>
    <s v="2023-07"/>
    <n v="10257.39"/>
    <s v="Delayed"/>
    <s v="Profitable"/>
    <s v="High Value"/>
  </r>
  <r>
    <x v="510"/>
    <x v="510"/>
    <s v="Sara Khan"/>
    <x v="1"/>
    <s v="Canada"/>
    <s v="New York"/>
    <x v="2"/>
    <s v="Bookshelf"/>
    <x v="503"/>
    <n v="6"/>
    <n v="5983"/>
    <n v="0.23"/>
    <n v="4606.91"/>
    <x v="508"/>
    <n v="0.2"/>
    <x v="507"/>
    <x v="2"/>
    <x v="0"/>
    <n v="7"/>
    <x v="2"/>
    <x v="3"/>
    <n v="1"/>
    <s v="2025-01"/>
    <n v="22113.17"/>
    <s v="Standard"/>
    <s v="Profitable"/>
    <s v="High Value"/>
  </r>
  <r>
    <x v="511"/>
    <x v="511"/>
    <s v="Amit Verma"/>
    <x v="1"/>
    <s v="Canada"/>
    <s v="New York"/>
    <x v="3"/>
    <s v="T-Shirt"/>
    <x v="504"/>
    <n v="7"/>
    <n v="2859"/>
    <n v="0.21"/>
    <n v="2258.61"/>
    <x v="509"/>
    <n v="0.35"/>
    <x v="508"/>
    <x v="0"/>
    <x v="0"/>
    <n v="9"/>
    <x v="0"/>
    <x v="0"/>
    <n v="11"/>
    <s v="2023-11"/>
    <n v="10276.68"/>
    <s v="Delayed"/>
    <s v="Profitable"/>
    <s v="High Value"/>
  </r>
  <r>
    <x v="512"/>
    <x v="512"/>
    <s v="Amit Verma"/>
    <x v="2"/>
    <s v="Usa"/>
    <s v="Mumbai"/>
    <x v="2"/>
    <s v="Table"/>
    <x v="505"/>
    <n v="5"/>
    <n v="7189"/>
    <n v="0.23"/>
    <n v="5535.53"/>
    <x v="510"/>
    <n v="0.2"/>
    <x v="509"/>
    <x v="3"/>
    <x v="0"/>
    <n v="2"/>
    <x v="1"/>
    <x v="3"/>
    <n v="1"/>
    <s v="2024-01"/>
    <n v="22142.120000000003"/>
    <s v="Fast"/>
    <s v="Profitable"/>
    <s v="High Value"/>
  </r>
  <r>
    <x v="513"/>
    <x v="513"/>
    <s v="Amit Verma"/>
    <x v="2"/>
    <s v="Usa"/>
    <s v="London"/>
    <x v="1"/>
    <s v="Tennis Racket"/>
    <x v="506"/>
    <n v="4"/>
    <n v="6105"/>
    <n v="0.09"/>
    <n v="5555.55"/>
    <x v="511"/>
    <n v="0.25"/>
    <x v="510"/>
    <x v="0"/>
    <x v="0"/>
    <n v="5"/>
    <x v="2"/>
    <x v="10"/>
    <n v="5"/>
    <s v="2025-05"/>
    <n v="16666.650000000001"/>
    <s v="Standard"/>
    <s v="Profitable"/>
    <s v="High Value"/>
  </r>
  <r>
    <x v="514"/>
    <x v="514"/>
    <s v="Sara Khan"/>
    <x v="3"/>
    <s v="Usa"/>
    <s v="Mumbai"/>
    <x v="2"/>
    <s v="Bookshelf"/>
    <x v="507"/>
    <n v="8"/>
    <n v="3974"/>
    <n v="0.12"/>
    <n v="3497.12"/>
    <x v="512"/>
    <n v="0.2"/>
    <x v="511"/>
    <x v="1"/>
    <x v="0"/>
    <n v="9"/>
    <x v="2"/>
    <x v="10"/>
    <n v="5"/>
    <s v="2025-05"/>
    <n v="22381.57"/>
    <s v="Delayed"/>
    <s v="Profitable"/>
    <s v="High Value"/>
  </r>
  <r>
    <x v="515"/>
    <x v="515"/>
    <s v="Priya Mehta"/>
    <x v="0"/>
    <s v="Canada"/>
    <s v="Delhi"/>
    <x v="1"/>
    <s v="Tennis Racket"/>
    <x v="508"/>
    <n v="7"/>
    <n v="3496"/>
    <n v="0.08"/>
    <n v="3216.32"/>
    <x v="513"/>
    <n v="0.25"/>
    <x v="512"/>
    <x v="2"/>
    <x v="1"/>
    <n v="1"/>
    <x v="1"/>
    <x v="2"/>
    <n v="3"/>
    <s v="2024-03"/>
    <n v="16885.68"/>
    <s v="Fast"/>
    <s v="Profitable"/>
    <s v="High Value"/>
  </r>
  <r>
    <x v="516"/>
    <x v="516"/>
    <s v="Priya Mehta"/>
    <x v="2"/>
    <s v="Canada"/>
    <s v="Delhi"/>
    <x v="2"/>
    <s v="Table"/>
    <x v="509"/>
    <n v="6"/>
    <n v="6114"/>
    <n v="0.23"/>
    <n v="4707.78"/>
    <x v="514"/>
    <n v="0.2"/>
    <x v="513"/>
    <x v="3"/>
    <x v="0"/>
    <n v="5"/>
    <x v="0"/>
    <x v="5"/>
    <n v="8"/>
    <s v="2023-08"/>
    <n v="22597.34"/>
    <s v="Standard"/>
    <s v="Profitable"/>
    <s v="High Value"/>
  </r>
  <r>
    <x v="517"/>
    <x v="517"/>
    <s v="John Smith"/>
    <x v="1"/>
    <s v="Uk"/>
    <s v="Toronto"/>
    <x v="2"/>
    <s v="Chair"/>
    <x v="510"/>
    <n v="4"/>
    <n v="8638"/>
    <n v="0.18"/>
    <n v="7083.16"/>
    <x v="515"/>
    <n v="0.2"/>
    <x v="514"/>
    <x v="0"/>
    <x v="0"/>
    <n v="5"/>
    <x v="0"/>
    <x v="4"/>
    <n v="6"/>
    <s v="2023-06"/>
    <n v="22666.11"/>
    <s v="Standard"/>
    <s v="Profitable"/>
    <s v="High Value"/>
  </r>
  <r>
    <x v="518"/>
    <x v="518"/>
    <s v="John Smith"/>
    <x v="2"/>
    <s v="India"/>
    <s v="Delhi"/>
    <x v="4"/>
    <s v="Mobile"/>
    <x v="511"/>
    <n v="1"/>
    <n v="49071"/>
    <n v="0.23"/>
    <n v="37784.67"/>
    <x v="516"/>
    <n v="0.15"/>
    <x v="515"/>
    <x v="1"/>
    <x v="0"/>
    <n v="1"/>
    <x v="1"/>
    <x v="0"/>
    <n v="11"/>
    <s v="2024-11"/>
    <n v="32116.969999999998"/>
    <s v="Fast"/>
    <s v="Profitable"/>
    <s v="High Value"/>
  </r>
  <r>
    <x v="519"/>
    <x v="519"/>
    <s v="Sara Khan"/>
    <x v="0"/>
    <s v="Uk"/>
    <s v="Toronto"/>
    <x v="3"/>
    <s v="Jeans"/>
    <x v="512"/>
    <n v="7"/>
    <n v="2639"/>
    <n v="0.12"/>
    <n v="2322.3200000000002"/>
    <x v="517"/>
    <n v="0.35"/>
    <x v="516"/>
    <x v="2"/>
    <x v="0"/>
    <n v="5"/>
    <x v="1"/>
    <x v="9"/>
    <n v="7"/>
    <s v="2024-07"/>
    <n v="10566.56"/>
    <s v="Standard"/>
    <s v="Profitable"/>
    <s v="High Value"/>
  </r>
  <r>
    <x v="520"/>
    <x v="520"/>
    <s v="David Lee"/>
    <x v="3"/>
    <s v="India"/>
    <s v="New York"/>
    <x v="2"/>
    <s v="Table"/>
    <x v="513"/>
    <n v="2"/>
    <n v="16226"/>
    <n v="0.11"/>
    <n v="14441.14"/>
    <x v="518"/>
    <n v="0.2"/>
    <x v="517"/>
    <x v="1"/>
    <x v="0"/>
    <n v="1"/>
    <x v="2"/>
    <x v="2"/>
    <n v="3"/>
    <s v="2025-03"/>
    <n v="23105.82"/>
    <s v="Fast"/>
    <s v="Profitable"/>
    <s v="High Value"/>
  </r>
  <r>
    <x v="521"/>
    <x v="521"/>
    <s v="Amit Verma"/>
    <x v="2"/>
    <s v="India"/>
    <s v="Mumbai"/>
    <x v="2"/>
    <s v="Sofa"/>
    <x v="514"/>
    <n v="3"/>
    <n v="11223"/>
    <n v="0.14000000000000001"/>
    <n v="9651.7800000000007"/>
    <x v="519"/>
    <n v="0.2"/>
    <x v="518"/>
    <x v="0"/>
    <x v="0"/>
    <n v="8"/>
    <x v="1"/>
    <x v="11"/>
    <n v="9"/>
    <s v="2024-09"/>
    <n v="23164.27"/>
    <s v="Delayed"/>
    <s v="Profitable"/>
    <s v="High Value"/>
  </r>
  <r>
    <x v="522"/>
    <x v="522"/>
    <s v="Maria Singh"/>
    <x v="2"/>
    <s v="Canada"/>
    <s v="Mumbai"/>
    <x v="3"/>
    <s v="Jacket"/>
    <x v="515"/>
    <n v="6"/>
    <n v="2908"/>
    <n v="0.05"/>
    <n v="2762.6"/>
    <x v="520"/>
    <n v="0.35"/>
    <x v="519"/>
    <x v="0"/>
    <x v="1"/>
    <n v="6"/>
    <x v="0"/>
    <x v="9"/>
    <n v="7"/>
    <s v="2023-07"/>
    <n v="10774.14"/>
    <s v="Standard"/>
    <s v="Profitable"/>
    <s v="High Value"/>
  </r>
  <r>
    <x v="523"/>
    <x v="523"/>
    <s v="David Lee"/>
    <x v="0"/>
    <s v="Uk"/>
    <s v="London"/>
    <x v="2"/>
    <s v="Bookshelf"/>
    <x v="516"/>
    <n v="2"/>
    <n v="16025"/>
    <n v="0.09"/>
    <n v="14582.75"/>
    <x v="521"/>
    <n v="0.2"/>
    <x v="520"/>
    <x v="0"/>
    <x v="0"/>
    <n v="6"/>
    <x v="0"/>
    <x v="7"/>
    <n v="2"/>
    <s v="2023-02"/>
    <n v="23332.400000000001"/>
    <s v="Standard"/>
    <s v="Profitable"/>
    <s v="High Value"/>
  </r>
  <r>
    <x v="524"/>
    <x v="524"/>
    <s v="Maria Singh"/>
    <x v="0"/>
    <s v="Uk"/>
    <s v="London"/>
    <x v="3"/>
    <s v="Jacket"/>
    <x v="517"/>
    <n v="8"/>
    <n v="2781"/>
    <n v="0.25"/>
    <n v="2085.75"/>
    <x v="522"/>
    <n v="0.35"/>
    <x v="521"/>
    <x v="0"/>
    <x v="0"/>
    <n v="2"/>
    <x v="2"/>
    <x v="3"/>
    <n v="1"/>
    <s v="2025-01"/>
    <n v="10845.9"/>
    <s v="Fast"/>
    <s v="Profitable"/>
    <s v="High Value"/>
  </r>
  <r>
    <x v="525"/>
    <x v="525"/>
    <s v="John Smith"/>
    <x v="1"/>
    <s v="Canada"/>
    <s v="New York"/>
    <x v="2"/>
    <s v="Chair"/>
    <x v="518"/>
    <n v="8"/>
    <n v="3733"/>
    <n v="0.02"/>
    <n v="3658.34"/>
    <x v="523"/>
    <n v="0.2"/>
    <x v="522"/>
    <x v="3"/>
    <x v="0"/>
    <n v="9"/>
    <x v="2"/>
    <x v="6"/>
    <n v="4"/>
    <s v="2025-04"/>
    <n v="23413.38"/>
    <s v="Delayed"/>
    <s v="Profitable"/>
    <s v="High Value"/>
  </r>
  <r>
    <x v="526"/>
    <x v="526"/>
    <s v="Priya Mehta"/>
    <x v="3"/>
    <s v="India"/>
    <s v="Delhi"/>
    <x v="3"/>
    <s v="T-Shirt"/>
    <x v="519"/>
    <n v="4"/>
    <n v="4505"/>
    <n v="7.0000000000000007E-2"/>
    <n v="4189.6499999999996"/>
    <x v="524"/>
    <n v="0.35"/>
    <x v="523"/>
    <x v="3"/>
    <x v="0"/>
    <n v="1"/>
    <x v="0"/>
    <x v="6"/>
    <n v="4"/>
    <s v="2023-04"/>
    <n v="10893.089999999998"/>
    <s v="Fast"/>
    <s v="Profitable"/>
    <s v="High Value"/>
  </r>
  <r>
    <x v="527"/>
    <x v="527"/>
    <s v="Priya Mehta"/>
    <x v="0"/>
    <s v="Canada"/>
    <s v="New York"/>
    <x v="2"/>
    <s v="Bookshelf"/>
    <x v="520"/>
    <n v="3"/>
    <n v="12225"/>
    <n v="0.2"/>
    <n v="9780"/>
    <x v="525"/>
    <n v="0.2"/>
    <x v="524"/>
    <x v="1"/>
    <x v="0"/>
    <n v="8"/>
    <x v="0"/>
    <x v="9"/>
    <n v="7"/>
    <s v="2023-07"/>
    <n v="23472"/>
    <s v="Delayed"/>
    <s v="Profitable"/>
    <s v="High Value"/>
  </r>
  <r>
    <x v="528"/>
    <x v="528"/>
    <s v="Priya Mehta"/>
    <x v="1"/>
    <s v="India"/>
    <s v="Delhi"/>
    <x v="1"/>
    <s v="Tennis Racket"/>
    <x v="521"/>
    <n v="4"/>
    <n v="6560"/>
    <n v="0.1"/>
    <n v="5904"/>
    <x v="526"/>
    <n v="0.25"/>
    <x v="525"/>
    <x v="0"/>
    <x v="0"/>
    <n v="5"/>
    <x v="2"/>
    <x v="4"/>
    <n v="6"/>
    <s v="2025-06"/>
    <n v="17712"/>
    <s v="Standard"/>
    <s v="Profitable"/>
    <s v="High Value"/>
  </r>
  <r>
    <x v="529"/>
    <x v="529"/>
    <s v="Amit Verma"/>
    <x v="1"/>
    <s v="Usa"/>
    <s v="Toronto"/>
    <x v="1"/>
    <s v="Football"/>
    <x v="522"/>
    <n v="9"/>
    <n v="3385"/>
    <n v="0.22"/>
    <n v="2640.3"/>
    <x v="527"/>
    <n v="0.25"/>
    <x v="526"/>
    <x v="3"/>
    <x v="0"/>
    <n v="4"/>
    <x v="1"/>
    <x v="5"/>
    <n v="8"/>
    <s v="2024-08"/>
    <n v="17822.02"/>
    <s v="Standard"/>
    <s v="Profitable"/>
    <s v="High Value"/>
  </r>
  <r>
    <x v="530"/>
    <x v="530"/>
    <s v="Amit Verma"/>
    <x v="0"/>
    <s v="India"/>
    <s v="Mumbai"/>
    <x v="2"/>
    <s v="Sofa"/>
    <x v="523"/>
    <n v="8"/>
    <n v="3753"/>
    <n v="0.01"/>
    <n v="3715.47"/>
    <x v="528"/>
    <n v="0.2"/>
    <x v="527"/>
    <x v="1"/>
    <x v="0"/>
    <n v="3"/>
    <x v="2"/>
    <x v="4"/>
    <n v="6"/>
    <s v="2025-06"/>
    <n v="23779.01"/>
    <s v="Fast"/>
    <s v="Profitable"/>
    <s v="High Value"/>
  </r>
  <r>
    <x v="531"/>
    <x v="531"/>
    <s v="David Lee"/>
    <x v="3"/>
    <s v="India"/>
    <s v="London"/>
    <x v="3"/>
    <s v="Dress"/>
    <x v="524"/>
    <n v="7"/>
    <n v="3257"/>
    <n v="0.25"/>
    <n v="2442.75"/>
    <x v="529"/>
    <n v="0.35"/>
    <x v="528"/>
    <x v="1"/>
    <x v="0"/>
    <n v="7"/>
    <x v="2"/>
    <x v="6"/>
    <n v="4"/>
    <s v="2025-04"/>
    <n v="11114.51"/>
    <s v="Standard"/>
    <s v="Profitable"/>
    <s v="High Value"/>
  </r>
  <r>
    <x v="532"/>
    <x v="532"/>
    <s v="David Lee"/>
    <x v="3"/>
    <s v="India"/>
    <s v="Bangalore"/>
    <x v="3"/>
    <s v="T-Shirt"/>
    <x v="525"/>
    <n v="5"/>
    <n v="3971"/>
    <n v="0.13"/>
    <n v="3454.77"/>
    <x v="530"/>
    <n v="0.35"/>
    <x v="529"/>
    <x v="2"/>
    <x v="1"/>
    <n v="1"/>
    <x v="2"/>
    <x v="6"/>
    <n v="4"/>
    <s v="2025-04"/>
    <n v="11227.999999999998"/>
    <s v="Fast"/>
    <s v="Profitable"/>
    <s v="High Value"/>
  </r>
  <r>
    <x v="533"/>
    <x v="533"/>
    <s v="Maria Singh"/>
    <x v="3"/>
    <s v="Usa"/>
    <s v="Toronto"/>
    <x v="3"/>
    <s v="Jacket"/>
    <x v="526"/>
    <n v="6"/>
    <n v="3691"/>
    <n v="0.22"/>
    <n v="2878.98"/>
    <x v="531"/>
    <n v="0.35"/>
    <x v="530"/>
    <x v="2"/>
    <x v="1"/>
    <n v="9"/>
    <x v="1"/>
    <x v="5"/>
    <n v="8"/>
    <s v="2024-08"/>
    <n v="11228.02"/>
    <s v="Delayed"/>
    <s v="Profitable"/>
    <s v="High Value"/>
  </r>
  <r>
    <x v="534"/>
    <x v="534"/>
    <s v="David Lee"/>
    <x v="1"/>
    <s v="Canada"/>
    <s v="Bangalore"/>
    <x v="3"/>
    <s v="Jeans"/>
    <x v="285"/>
    <n v="6"/>
    <n v="3562"/>
    <n v="0.19"/>
    <n v="2885.22"/>
    <x v="532"/>
    <n v="0.35"/>
    <x v="531"/>
    <x v="2"/>
    <x v="2"/>
    <n v="8"/>
    <x v="2"/>
    <x v="9"/>
    <n v="7"/>
    <s v="2025-07"/>
    <n v="11252.36"/>
    <s v="Delayed"/>
    <s v="Profitable"/>
    <s v="High Value"/>
  </r>
  <r>
    <x v="535"/>
    <x v="535"/>
    <s v="Priya Mehta"/>
    <x v="2"/>
    <s v="Usa"/>
    <s v="New York"/>
    <x v="2"/>
    <s v="Table"/>
    <x v="527"/>
    <n v="2"/>
    <n v="19563"/>
    <n v="0.22"/>
    <n v="15259.14"/>
    <x v="533"/>
    <n v="0.2"/>
    <x v="532"/>
    <x v="2"/>
    <x v="0"/>
    <n v="9"/>
    <x v="1"/>
    <x v="4"/>
    <n v="6"/>
    <s v="2024-06"/>
    <n v="24414.62"/>
    <s v="Delayed"/>
    <s v="Profitable"/>
    <s v="High Value"/>
  </r>
  <r>
    <x v="536"/>
    <x v="536"/>
    <s v="David Lee"/>
    <x v="2"/>
    <s v="Uk"/>
    <s v="Mumbai"/>
    <x v="1"/>
    <s v="Football"/>
    <x v="528"/>
    <n v="2"/>
    <n v="14235"/>
    <n v="0.13"/>
    <n v="12384.45"/>
    <x v="534"/>
    <n v="0.25"/>
    <x v="533"/>
    <x v="2"/>
    <x v="0"/>
    <n v="4"/>
    <x v="1"/>
    <x v="6"/>
    <n v="4"/>
    <s v="2024-04"/>
    <n v="18576.68"/>
    <s v="Standard"/>
    <s v="Profitable"/>
    <s v="High Value"/>
  </r>
  <r>
    <x v="537"/>
    <x v="537"/>
    <s v="Priya Mehta"/>
    <x v="3"/>
    <s v="Canada"/>
    <s v="New York"/>
    <x v="4"/>
    <s v="Mobile"/>
    <x v="529"/>
    <n v="1"/>
    <n v="46060"/>
    <n v="0.1"/>
    <n v="41454"/>
    <x v="535"/>
    <n v="0.15"/>
    <x v="534"/>
    <x v="3"/>
    <x v="0"/>
    <n v="3"/>
    <x v="2"/>
    <x v="7"/>
    <n v="2"/>
    <s v="2025-02"/>
    <n v="35235.9"/>
    <s v="Fast"/>
    <s v="Profitable"/>
    <s v="High Value"/>
  </r>
  <r>
    <x v="538"/>
    <x v="538"/>
    <s v="Amit Verma"/>
    <x v="0"/>
    <s v="Canada"/>
    <s v="Mumbai"/>
    <x v="2"/>
    <s v="Chair"/>
    <x v="530"/>
    <n v="5"/>
    <n v="7699"/>
    <n v="0.19"/>
    <n v="6236.19"/>
    <x v="536"/>
    <n v="0.2"/>
    <x v="535"/>
    <x v="2"/>
    <x v="1"/>
    <n v="8"/>
    <x v="1"/>
    <x v="3"/>
    <n v="1"/>
    <s v="2024-01"/>
    <n v="24944.760000000002"/>
    <s v="Delayed"/>
    <s v="Profitable"/>
    <s v="High Value"/>
  </r>
  <r>
    <x v="539"/>
    <x v="539"/>
    <s v="Sara Khan"/>
    <x v="2"/>
    <s v="Uk"/>
    <s v="Delhi"/>
    <x v="1"/>
    <s v="Tennis Racket"/>
    <x v="531"/>
    <n v="7"/>
    <n v="4300"/>
    <n v="0.17"/>
    <n v="3569"/>
    <x v="537"/>
    <n v="0.25"/>
    <x v="536"/>
    <x v="3"/>
    <x v="0"/>
    <n v="7"/>
    <x v="2"/>
    <x v="3"/>
    <n v="1"/>
    <s v="2025-01"/>
    <n v="18737.25"/>
    <s v="Standard"/>
    <s v="Profitable"/>
    <s v="High Value"/>
  </r>
  <r>
    <x v="540"/>
    <x v="540"/>
    <s v="David Lee"/>
    <x v="2"/>
    <s v="Canada"/>
    <s v="New York"/>
    <x v="4"/>
    <s v="Laptop"/>
    <x v="532"/>
    <n v="1"/>
    <n v="49062"/>
    <n v="0.15"/>
    <n v="41702.699999999997"/>
    <x v="538"/>
    <n v="0.15"/>
    <x v="537"/>
    <x v="0"/>
    <x v="0"/>
    <n v="3"/>
    <x v="0"/>
    <x v="4"/>
    <n v="6"/>
    <s v="2023-06"/>
    <n v="35447.299999999996"/>
    <s v="Fast"/>
    <s v="Profitable"/>
    <s v="High Value"/>
  </r>
  <r>
    <x v="541"/>
    <x v="541"/>
    <s v="Maria Singh"/>
    <x v="2"/>
    <s v="Canada"/>
    <s v="Mumbai"/>
    <x v="3"/>
    <s v="Jeans"/>
    <x v="533"/>
    <n v="8"/>
    <n v="2793"/>
    <n v="0.2"/>
    <n v="2234.4"/>
    <x v="539"/>
    <n v="0.35"/>
    <x v="538"/>
    <x v="0"/>
    <x v="0"/>
    <n v="9"/>
    <x v="1"/>
    <x v="9"/>
    <n v="7"/>
    <s v="2024-07"/>
    <n v="11618.880000000001"/>
    <s v="Delayed"/>
    <s v="Profitable"/>
    <s v="High Value"/>
  </r>
  <r>
    <x v="542"/>
    <x v="542"/>
    <s v="David Lee"/>
    <x v="0"/>
    <s v="Usa"/>
    <s v="London"/>
    <x v="1"/>
    <s v="Football"/>
    <x v="534"/>
    <n v="3"/>
    <n v="9616"/>
    <n v="0.13"/>
    <n v="8365.92"/>
    <x v="540"/>
    <n v="0.25"/>
    <x v="539"/>
    <x v="0"/>
    <x v="0"/>
    <n v="3"/>
    <x v="1"/>
    <x v="5"/>
    <n v="8"/>
    <s v="2024-08"/>
    <n v="18823.32"/>
    <s v="Fast"/>
    <s v="Profitable"/>
    <s v="High Value"/>
  </r>
  <r>
    <x v="543"/>
    <x v="543"/>
    <s v="Amit Verma"/>
    <x v="0"/>
    <s v="India"/>
    <s v="Delhi"/>
    <x v="1"/>
    <s v="Yoga Mat"/>
    <x v="535"/>
    <n v="2"/>
    <n v="14870"/>
    <n v="0.15"/>
    <n v="12639.5"/>
    <x v="541"/>
    <n v="0.25"/>
    <x v="540"/>
    <x v="1"/>
    <x v="2"/>
    <n v="7"/>
    <x v="2"/>
    <x v="6"/>
    <n v="4"/>
    <s v="2025-04"/>
    <n v="18959.25"/>
    <s v="Standard"/>
    <s v="Profitable"/>
    <s v="High Value"/>
  </r>
  <r>
    <x v="544"/>
    <x v="544"/>
    <s v="Sara Khan"/>
    <x v="2"/>
    <s v="Usa"/>
    <s v="London"/>
    <x v="3"/>
    <s v="Jacket"/>
    <x v="536"/>
    <n v="4"/>
    <n v="4566"/>
    <n v="0.01"/>
    <n v="4520.34"/>
    <x v="542"/>
    <n v="0.35"/>
    <x v="541"/>
    <x v="3"/>
    <x v="0"/>
    <n v="5"/>
    <x v="1"/>
    <x v="0"/>
    <n v="11"/>
    <s v="2024-11"/>
    <n v="11752.880000000001"/>
    <s v="Standard"/>
    <s v="Profitable"/>
    <s v="High Value"/>
  </r>
  <r>
    <x v="545"/>
    <x v="545"/>
    <s v="Priya Mehta"/>
    <x v="2"/>
    <s v="India"/>
    <s v="Mumbai"/>
    <x v="1"/>
    <s v="Cricket Bat"/>
    <x v="537"/>
    <n v="3"/>
    <n v="9286"/>
    <n v="0.09"/>
    <n v="8450.26"/>
    <x v="543"/>
    <n v="0.25"/>
    <x v="542"/>
    <x v="2"/>
    <x v="1"/>
    <n v="8"/>
    <x v="1"/>
    <x v="10"/>
    <n v="5"/>
    <s v="2024-05"/>
    <n v="19013.079999999998"/>
    <s v="Delayed"/>
    <s v="Profitable"/>
    <s v="High Value"/>
  </r>
  <r>
    <x v="546"/>
    <x v="546"/>
    <s v="Priya Mehta"/>
    <x v="2"/>
    <s v="Canada"/>
    <s v="London"/>
    <x v="3"/>
    <s v="T-Shirt"/>
    <x v="538"/>
    <n v="9"/>
    <n v="2077"/>
    <n v="0.03"/>
    <n v="2014.69"/>
    <x v="544"/>
    <n v="0.35"/>
    <x v="543"/>
    <x v="3"/>
    <x v="0"/>
    <n v="4"/>
    <x v="2"/>
    <x v="11"/>
    <n v="9"/>
    <s v="2025-09"/>
    <n v="11785.939999999999"/>
    <s v="Standard"/>
    <s v="Profitable"/>
    <s v="High Value"/>
  </r>
  <r>
    <x v="547"/>
    <x v="547"/>
    <s v="Maria Singh"/>
    <x v="1"/>
    <s v="India"/>
    <s v="Bangalore"/>
    <x v="2"/>
    <s v="Table"/>
    <x v="539"/>
    <n v="4"/>
    <n v="9239"/>
    <n v="0.14000000000000001"/>
    <n v="7945.54"/>
    <x v="545"/>
    <n v="0.2"/>
    <x v="544"/>
    <x v="0"/>
    <x v="0"/>
    <n v="5"/>
    <x v="2"/>
    <x v="11"/>
    <n v="9"/>
    <s v="2025-09"/>
    <n v="25425.73"/>
    <s v="Standard"/>
    <s v="Profitable"/>
    <s v="High Value"/>
  </r>
  <r>
    <x v="548"/>
    <x v="548"/>
    <s v="Maria Singh"/>
    <x v="1"/>
    <s v="Usa"/>
    <s v="London"/>
    <x v="2"/>
    <s v="Bookshelf"/>
    <x v="540"/>
    <n v="2"/>
    <n v="16571"/>
    <n v="0.04"/>
    <n v="15908.16"/>
    <x v="546"/>
    <n v="0.2"/>
    <x v="545"/>
    <x v="3"/>
    <x v="0"/>
    <n v="9"/>
    <x v="1"/>
    <x v="8"/>
    <n v="12"/>
    <s v="2024-12"/>
    <n v="25453.059999999998"/>
    <s v="Delayed"/>
    <s v="Profitable"/>
    <s v="High Value"/>
  </r>
  <r>
    <x v="549"/>
    <x v="549"/>
    <s v="David Lee"/>
    <x v="0"/>
    <s v="Uk"/>
    <s v="Toronto"/>
    <x v="2"/>
    <s v="Chair"/>
    <x v="541"/>
    <n v="7"/>
    <n v="4643"/>
    <n v="0.02"/>
    <n v="4550.1400000000003"/>
    <x v="547"/>
    <n v="0.2"/>
    <x v="546"/>
    <x v="2"/>
    <x v="0"/>
    <n v="5"/>
    <x v="2"/>
    <x v="4"/>
    <n v="6"/>
    <s v="2025-06"/>
    <n v="25480.78"/>
    <s v="Standard"/>
    <s v="Profitable"/>
    <s v="High Value"/>
  </r>
  <r>
    <x v="550"/>
    <x v="550"/>
    <s v="Priya Mehta"/>
    <x v="0"/>
    <s v="Canada"/>
    <s v="Toronto"/>
    <x v="1"/>
    <s v="Yoga Mat"/>
    <x v="542"/>
    <n v="5"/>
    <n v="5940"/>
    <n v="0.14000000000000001"/>
    <n v="5108.3999999999996"/>
    <x v="548"/>
    <n v="0.25"/>
    <x v="547"/>
    <x v="0"/>
    <x v="0"/>
    <n v="1"/>
    <x v="1"/>
    <x v="11"/>
    <n v="9"/>
    <s v="2024-09"/>
    <n v="19156.5"/>
    <s v="Fast"/>
    <s v="Profitable"/>
    <s v="High Value"/>
  </r>
  <r>
    <x v="551"/>
    <x v="551"/>
    <s v="John Smith"/>
    <x v="3"/>
    <s v="Uk"/>
    <s v="New York"/>
    <x v="2"/>
    <s v="Sofa"/>
    <x v="543"/>
    <n v="5"/>
    <n v="7469"/>
    <n v="0.14000000000000001"/>
    <n v="6423.34"/>
    <x v="549"/>
    <n v="0.2"/>
    <x v="548"/>
    <x v="0"/>
    <x v="0"/>
    <n v="8"/>
    <x v="2"/>
    <x v="2"/>
    <n v="3"/>
    <s v="2025-03"/>
    <n v="25693.360000000001"/>
    <s v="Delayed"/>
    <s v="Profitable"/>
    <s v="High Value"/>
  </r>
  <r>
    <x v="552"/>
    <x v="552"/>
    <s v="Amit Verma"/>
    <x v="2"/>
    <s v="Usa"/>
    <s v="New York"/>
    <x v="4"/>
    <s v="Earphones"/>
    <x v="544"/>
    <n v="1"/>
    <n v="50390"/>
    <n v="0.15"/>
    <n v="42831.5"/>
    <x v="550"/>
    <n v="0.15"/>
    <x v="549"/>
    <x v="2"/>
    <x v="0"/>
    <n v="6"/>
    <x v="0"/>
    <x v="8"/>
    <n v="12"/>
    <s v="2023-12"/>
    <n v="36406.78"/>
    <s v="Standard"/>
    <s v="Profitable"/>
    <s v="High Value"/>
  </r>
  <r>
    <x v="553"/>
    <x v="553"/>
    <s v="John Smith"/>
    <x v="3"/>
    <s v="Usa"/>
    <s v="London"/>
    <x v="3"/>
    <s v="Dress"/>
    <x v="545"/>
    <n v="7"/>
    <n v="2974"/>
    <n v="0.11"/>
    <n v="2646.86"/>
    <x v="551"/>
    <n v="0.35"/>
    <x v="550"/>
    <x v="0"/>
    <x v="0"/>
    <n v="5"/>
    <x v="0"/>
    <x v="9"/>
    <n v="7"/>
    <s v="2023-07"/>
    <n v="12043.21"/>
    <s v="Standard"/>
    <s v="Profitable"/>
    <s v="High Value"/>
  </r>
  <r>
    <x v="554"/>
    <x v="554"/>
    <s v="Sara Khan"/>
    <x v="2"/>
    <s v="India"/>
    <s v="New York"/>
    <x v="2"/>
    <s v="Chair"/>
    <x v="546"/>
    <n v="4"/>
    <n v="10553"/>
    <n v="0.23"/>
    <n v="8125.81"/>
    <x v="552"/>
    <n v="0.2"/>
    <x v="551"/>
    <x v="2"/>
    <x v="1"/>
    <n v="7"/>
    <x v="2"/>
    <x v="3"/>
    <n v="1"/>
    <s v="2025-01"/>
    <n v="26002.590000000004"/>
    <s v="Standard"/>
    <s v="Profitable"/>
    <s v="High Value"/>
  </r>
  <r>
    <x v="555"/>
    <x v="555"/>
    <s v="David Lee"/>
    <x v="0"/>
    <s v="India"/>
    <s v="Delhi"/>
    <x v="1"/>
    <s v="Football"/>
    <x v="547"/>
    <n v="2"/>
    <n v="13686"/>
    <n v="0.05"/>
    <n v="13001.7"/>
    <x v="553"/>
    <n v="0.25"/>
    <x v="552"/>
    <x v="2"/>
    <x v="0"/>
    <n v="4"/>
    <x v="1"/>
    <x v="1"/>
    <n v="10"/>
    <s v="2024-10"/>
    <n v="19502.550000000003"/>
    <s v="Standard"/>
    <s v="Profitable"/>
    <s v="High Value"/>
  </r>
  <r>
    <x v="556"/>
    <x v="556"/>
    <s v="Maria Singh"/>
    <x v="2"/>
    <s v="Uk"/>
    <s v="Mumbai"/>
    <x v="2"/>
    <s v="Sofa"/>
    <x v="548"/>
    <n v="6"/>
    <n v="6644"/>
    <n v="0.17"/>
    <n v="5514.52"/>
    <x v="554"/>
    <n v="0.2"/>
    <x v="553"/>
    <x v="1"/>
    <x v="0"/>
    <n v="3"/>
    <x v="0"/>
    <x v="7"/>
    <n v="2"/>
    <s v="2023-02"/>
    <n v="26469.700000000004"/>
    <s v="Fast"/>
    <s v="Profitable"/>
    <s v="High Value"/>
  </r>
  <r>
    <x v="557"/>
    <x v="557"/>
    <s v="Sara Khan"/>
    <x v="3"/>
    <s v="Uk"/>
    <s v="Delhi"/>
    <x v="2"/>
    <s v="Sofa"/>
    <x v="514"/>
    <n v="2"/>
    <n v="19258"/>
    <n v="0.14000000000000001"/>
    <n v="16561.88"/>
    <x v="555"/>
    <n v="0.2"/>
    <x v="554"/>
    <x v="2"/>
    <x v="1"/>
    <n v="1"/>
    <x v="2"/>
    <x v="4"/>
    <n v="6"/>
    <s v="2025-06"/>
    <n v="26499.010000000002"/>
    <s v="Fast"/>
    <s v="Profitable"/>
    <s v="High Value"/>
  </r>
  <r>
    <x v="558"/>
    <x v="558"/>
    <s v="Maria Singh"/>
    <x v="1"/>
    <s v="Uk"/>
    <s v="Delhi"/>
    <x v="1"/>
    <s v="Tennis Racket"/>
    <x v="549"/>
    <n v="5"/>
    <n v="5703"/>
    <n v="7.0000000000000007E-2"/>
    <n v="5303.79"/>
    <x v="556"/>
    <n v="0.25"/>
    <x v="555"/>
    <x v="0"/>
    <x v="0"/>
    <n v="4"/>
    <x v="0"/>
    <x v="2"/>
    <n v="3"/>
    <s v="2023-03"/>
    <n v="19889.21"/>
    <s v="Standard"/>
    <s v="Profitable"/>
    <s v="High Value"/>
  </r>
  <r>
    <x v="559"/>
    <x v="559"/>
    <s v="Maria Singh"/>
    <x v="2"/>
    <s v="Usa"/>
    <s v="Bangalore"/>
    <x v="3"/>
    <s v="Dress"/>
    <x v="550"/>
    <n v="6"/>
    <n v="3291"/>
    <n v="0.03"/>
    <n v="3192.27"/>
    <x v="557"/>
    <n v="0.35"/>
    <x v="556"/>
    <x v="3"/>
    <x v="0"/>
    <n v="6"/>
    <x v="2"/>
    <x v="5"/>
    <n v="8"/>
    <s v="2025-08"/>
    <n v="12449.849999999999"/>
    <s v="Standard"/>
    <s v="Profitable"/>
    <s v="High Value"/>
  </r>
  <r>
    <x v="560"/>
    <x v="560"/>
    <s v="David Lee"/>
    <x v="3"/>
    <s v="Uk"/>
    <s v="New York"/>
    <x v="1"/>
    <s v="Yoga Mat"/>
    <x v="551"/>
    <n v="7"/>
    <n v="4456"/>
    <n v="0.14000000000000001"/>
    <n v="3832.16"/>
    <x v="558"/>
    <n v="0.25"/>
    <x v="557"/>
    <x v="3"/>
    <x v="0"/>
    <n v="3"/>
    <x v="1"/>
    <x v="11"/>
    <n v="9"/>
    <s v="2024-09"/>
    <n v="20118.84"/>
    <s v="Fast"/>
    <s v="Profitable"/>
    <s v="High Value"/>
  </r>
  <r>
    <x v="561"/>
    <x v="561"/>
    <s v="David Lee"/>
    <x v="2"/>
    <s v="Canada"/>
    <s v="Toronto"/>
    <x v="1"/>
    <s v="Cricket Bat"/>
    <x v="552"/>
    <n v="8"/>
    <n v="3649"/>
    <n v="0.08"/>
    <n v="3357.08"/>
    <x v="559"/>
    <n v="0.25"/>
    <x v="558"/>
    <x v="0"/>
    <x v="0"/>
    <n v="9"/>
    <x v="2"/>
    <x v="3"/>
    <n v="1"/>
    <s v="2025-01"/>
    <n v="20142.48"/>
    <s v="Delayed"/>
    <s v="Profitable"/>
    <s v="High Value"/>
  </r>
  <r>
    <x v="562"/>
    <x v="562"/>
    <s v="Sara Khan"/>
    <x v="2"/>
    <s v="Usa"/>
    <s v="Delhi"/>
    <x v="2"/>
    <s v="Table"/>
    <x v="553"/>
    <n v="4"/>
    <n v="9123"/>
    <n v="0.08"/>
    <n v="8393.16"/>
    <x v="560"/>
    <n v="0.2"/>
    <x v="559"/>
    <x v="1"/>
    <x v="0"/>
    <n v="3"/>
    <x v="1"/>
    <x v="2"/>
    <n v="3"/>
    <s v="2024-03"/>
    <n v="26858.11"/>
    <s v="Fast"/>
    <s v="Profitable"/>
    <s v="High Value"/>
  </r>
  <r>
    <x v="563"/>
    <x v="563"/>
    <s v="Amit Verma"/>
    <x v="1"/>
    <s v="India"/>
    <s v="New York"/>
    <x v="2"/>
    <s v="Table"/>
    <x v="554"/>
    <n v="5"/>
    <n v="7891"/>
    <n v="0.14000000000000001"/>
    <n v="6786.26"/>
    <x v="561"/>
    <n v="0.2"/>
    <x v="560"/>
    <x v="1"/>
    <x v="0"/>
    <n v="6"/>
    <x v="2"/>
    <x v="7"/>
    <n v="2"/>
    <s v="2025-02"/>
    <n v="27145.040000000001"/>
    <s v="Standard"/>
    <s v="Profitable"/>
    <s v="High Value"/>
  </r>
  <r>
    <x v="564"/>
    <x v="564"/>
    <s v="David Lee"/>
    <x v="3"/>
    <s v="Canada"/>
    <s v="Delhi"/>
    <x v="3"/>
    <s v="Jeans"/>
    <x v="555"/>
    <n v="6"/>
    <n v="3869"/>
    <n v="0.16"/>
    <n v="3249.96"/>
    <x v="562"/>
    <n v="0.35"/>
    <x v="561"/>
    <x v="0"/>
    <x v="0"/>
    <n v="4"/>
    <x v="0"/>
    <x v="2"/>
    <n v="3"/>
    <s v="2023-03"/>
    <n v="12674.839999999998"/>
    <s v="Standard"/>
    <s v="Profitable"/>
    <s v="High Value"/>
  </r>
  <r>
    <x v="565"/>
    <x v="565"/>
    <s v="Amit Verma"/>
    <x v="1"/>
    <s v="Usa"/>
    <s v="Bangalore"/>
    <x v="3"/>
    <s v="Dress"/>
    <x v="556"/>
    <n v="9"/>
    <n v="2659"/>
    <n v="0.18"/>
    <n v="2180.38"/>
    <x v="563"/>
    <n v="0.35"/>
    <x v="562"/>
    <x v="1"/>
    <x v="0"/>
    <n v="5"/>
    <x v="2"/>
    <x v="3"/>
    <n v="1"/>
    <s v="2025-01"/>
    <n v="12755.219999999998"/>
    <s v="Standard"/>
    <s v="Profitable"/>
    <s v="High Value"/>
  </r>
  <r>
    <x v="566"/>
    <x v="566"/>
    <s v="Maria Singh"/>
    <x v="1"/>
    <s v="Canada"/>
    <s v="Bangalore"/>
    <x v="1"/>
    <s v="Yoga Mat"/>
    <x v="557"/>
    <n v="8"/>
    <n v="3665"/>
    <n v="0.06"/>
    <n v="3445.1"/>
    <x v="564"/>
    <n v="0.25"/>
    <x v="563"/>
    <x v="2"/>
    <x v="1"/>
    <n v="3"/>
    <x v="1"/>
    <x v="7"/>
    <n v="2"/>
    <s v="2024-02"/>
    <n v="20670.599999999999"/>
    <s v="Fast"/>
    <s v="Profitable"/>
    <s v="High Value"/>
  </r>
  <r>
    <x v="567"/>
    <x v="567"/>
    <s v="Maria Singh"/>
    <x v="3"/>
    <s v="Usa"/>
    <s v="Mumbai"/>
    <x v="1"/>
    <s v="Cricket Bat"/>
    <x v="558"/>
    <n v="6"/>
    <n v="4983"/>
    <n v="7.0000000000000007E-2"/>
    <n v="4634.1899999999996"/>
    <x v="565"/>
    <n v="0.25"/>
    <x v="564"/>
    <x v="0"/>
    <x v="1"/>
    <n v="4"/>
    <x v="1"/>
    <x v="0"/>
    <n v="11"/>
    <s v="2024-11"/>
    <n v="20853.86"/>
    <s v="Standard"/>
    <s v="Profitable"/>
    <s v="High Value"/>
  </r>
  <r>
    <x v="568"/>
    <x v="568"/>
    <s v="Priya Mehta"/>
    <x v="2"/>
    <s v="Usa"/>
    <s v="Delhi"/>
    <x v="4"/>
    <s v="Tablet"/>
    <x v="559"/>
    <n v="1"/>
    <n v="60408"/>
    <n v="0.23"/>
    <n v="46514.16"/>
    <x v="566"/>
    <n v="0.15"/>
    <x v="565"/>
    <x v="1"/>
    <x v="0"/>
    <n v="5"/>
    <x v="1"/>
    <x v="0"/>
    <n v="11"/>
    <s v="2024-11"/>
    <n v="39537.040000000001"/>
    <s v="Standard"/>
    <s v="Profitable"/>
    <s v="High Value"/>
  </r>
  <r>
    <x v="569"/>
    <x v="569"/>
    <s v="John Smith"/>
    <x v="3"/>
    <s v="Uk"/>
    <s v="London"/>
    <x v="1"/>
    <s v="Tennis Racket"/>
    <x v="560"/>
    <n v="3"/>
    <n v="10472"/>
    <n v="0.11"/>
    <n v="9320.08"/>
    <x v="567"/>
    <n v="0.25"/>
    <x v="566"/>
    <x v="1"/>
    <x v="0"/>
    <n v="6"/>
    <x v="0"/>
    <x v="10"/>
    <n v="5"/>
    <s v="2023-05"/>
    <n v="20970.18"/>
    <s v="Standard"/>
    <s v="Profitable"/>
    <s v="High Value"/>
  </r>
  <r>
    <x v="570"/>
    <x v="570"/>
    <s v="Sara Khan"/>
    <x v="3"/>
    <s v="Canada"/>
    <s v="Mumbai"/>
    <x v="2"/>
    <s v="Chair"/>
    <x v="518"/>
    <n v="2"/>
    <n v="17711"/>
    <n v="0.01"/>
    <n v="17533.89"/>
    <x v="568"/>
    <n v="0.2"/>
    <x v="567"/>
    <x v="2"/>
    <x v="0"/>
    <n v="4"/>
    <x v="0"/>
    <x v="7"/>
    <n v="2"/>
    <s v="2023-02"/>
    <n v="28054.219999999998"/>
    <s v="Standard"/>
    <s v="Profitable"/>
    <s v="High Value"/>
  </r>
  <r>
    <x v="571"/>
    <x v="571"/>
    <s v="Amit Verma"/>
    <x v="2"/>
    <s v="Usa"/>
    <s v="London"/>
    <x v="3"/>
    <s v="Dress"/>
    <x v="561"/>
    <n v="5"/>
    <n v="4595"/>
    <n v="0.12"/>
    <n v="4043.6"/>
    <x v="569"/>
    <n v="0.35"/>
    <x v="568"/>
    <x v="3"/>
    <x v="0"/>
    <n v="9"/>
    <x v="1"/>
    <x v="11"/>
    <n v="9"/>
    <s v="2024-09"/>
    <n v="13141.7"/>
    <s v="Delayed"/>
    <s v="Profitable"/>
    <s v="High Value"/>
  </r>
  <r>
    <x v="572"/>
    <x v="572"/>
    <s v="David Lee"/>
    <x v="3"/>
    <s v="India"/>
    <s v="Bangalore"/>
    <x v="4"/>
    <s v="Earphones"/>
    <x v="562"/>
    <n v="1"/>
    <n v="55272"/>
    <n v="0.14000000000000001"/>
    <n v="47533.919999999998"/>
    <x v="570"/>
    <n v="0.15"/>
    <x v="569"/>
    <x v="1"/>
    <x v="0"/>
    <n v="7"/>
    <x v="0"/>
    <x v="4"/>
    <n v="6"/>
    <s v="2023-06"/>
    <n v="40403.83"/>
    <s v="Standard"/>
    <s v="Profitable"/>
    <s v="High Value"/>
  </r>
  <r>
    <x v="573"/>
    <x v="573"/>
    <s v="Sara Khan"/>
    <x v="3"/>
    <s v="India"/>
    <s v="Bangalore"/>
    <x v="3"/>
    <s v="Jacket"/>
    <x v="191"/>
    <n v="9"/>
    <n v="2835"/>
    <n v="0.2"/>
    <n v="2268"/>
    <x v="571"/>
    <n v="0.35"/>
    <x v="570"/>
    <x v="2"/>
    <x v="1"/>
    <n v="6"/>
    <x v="0"/>
    <x v="7"/>
    <n v="2"/>
    <s v="2023-02"/>
    <n v="13267.8"/>
    <s v="Standard"/>
    <s v="Profitable"/>
    <s v="High Value"/>
  </r>
  <r>
    <x v="574"/>
    <x v="574"/>
    <s v="Sara Khan"/>
    <x v="1"/>
    <s v="Usa"/>
    <s v="Toronto"/>
    <x v="3"/>
    <s v="Dress"/>
    <x v="563"/>
    <n v="5"/>
    <n v="4979"/>
    <n v="0.18"/>
    <n v="4082.78"/>
    <x v="572"/>
    <n v="0.35"/>
    <x v="571"/>
    <x v="1"/>
    <x v="0"/>
    <n v="4"/>
    <x v="2"/>
    <x v="9"/>
    <n v="7"/>
    <s v="2025-07"/>
    <n v="13269.04"/>
    <s v="Standard"/>
    <s v="Profitable"/>
    <s v="High Value"/>
  </r>
  <r>
    <x v="575"/>
    <x v="575"/>
    <s v="Sara Khan"/>
    <x v="1"/>
    <s v="India"/>
    <s v="Delhi"/>
    <x v="3"/>
    <s v="Dress"/>
    <x v="564"/>
    <n v="5"/>
    <n v="4772"/>
    <n v="0.14000000000000001"/>
    <n v="4103.92"/>
    <x v="573"/>
    <n v="0.35"/>
    <x v="572"/>
    <x v="2"/>
    <x v="0"/>
    <n v="3"/>
    <x v="2"/>
    <x v="9"/>
    <n v="7"/>
    <s v="2025-07"/>
    <n v="13337.739999999998"/>
    <s v="Fast"/>
    <s v="Profitable"/>
    <s v="High Value"/>
  </r>
  <r>
    <x v="576"/>
    <x v="576"/>
    <s v="Sara Khan"/>
    <x v="0"/>
    <s v="Canada"/>
    <s v="New York"/>
    <x v="1"/>
    <s v="Cricket Bat"/>
    <x v="565"/>
    <n v="6"/>
    <n v="4850"/>
    <n v="0.01"/>
    <n v="4801.5"/>
    <x v="574"/>
    <n v="0.25"/>
    <x v="573"/>
    <x v="0"/>
    <x v="0"/>
    <n v="7"/>
    <x v="1"/>
    <x v="4"/>
    <n v="6"/>
    <s v="2024-06"/>
    <n v="21606.75"/>
    <s v="Standard"/>
    <s v="Profitable"/>
    <s v="High Value"/>
  </r>
  <r>
    <x v="577"/>
    <x v="577"/>
    <s v="Maria Singh"/>
    <x v="1"/>
    <s v="Canada"/>
    <s v="London"/>
    <x v="2"/>
    <s v="Chair"/>
    <x v="566"/>
    <n v="5"/>
    <n v="7978"/>
    <n v="0.09"/>
    <n v="7259.98"/>
    <x v="575"/>
    <n v="0.2"/>
    <x v="574"/>
    <x v="3"/>
    <x v="0"/>
    <n v="1"/>
    <x v="1"/>
    <x v="1"/>
    <n v="10"/>
    <s v="2024-10"/>
    <n v="29039.920000000002"/>
    <s v="Fast"/>
    <s v="Profitable"/>
    <s v="High Value"/>
  </r>
  <r>
    <x v="578"/>
    <x v="578"/>
    <s v="Amit Verma"/>
    <x v="3"/>
    <s v="Canada"/>
    <s v="Toronto"/>
    <x v="1"/>
    <s v="Tennis Racket"/>
    <x v="161"/>
    <n v="3"/>
    <n v="10153"/>
    <n v="0.04"/>
    <n v="9746.8799999999992"/>
    <x v="576"/>
    <n v="0.25"/>
    <x v="575"/>
    <x v="0"/>
    <x v="0"/>
    <n v="7"/>
    <x v="0"/>
    <x v="11"/>
    <n v="9"/>
    <s v="2023-09"/>
    <n v="21930.48"/>
    <s v="Standard"/>
    <s v="Profitable"/>
    <s v="High Value"/>
  </r>
  <r>
    <x v="579"/>
    <x v="579"/>
    <s v="Amit Verma"/>
    <x v="2"/>
    <s v="Canada"/>
    <s v="London"/>
    <x v="3"/>
    <s v="Dress"/>
    <x v="567"/>
    <n v="7"/>
    <n v="3791"/>
    <n v="0.21"/>
    <n v="2994.89"/>
    <x v="577"/>
    <n v="0.35"/>
    <x v="576"/>
    <x v="0"/>
    <x v="0"/>
    <n v="2"/>
    <x v="1"/>
    <x v="1"/>
    <n v="10"/>
    <s v="2024-10"/>
    <n v="13626.75"/>
    <s v="Fast"/>
    <s v="Profitable"/>
    <s v="High Value"/>
  </r>
  <r>
    <x v="580"/>
    <x v="580"/>
    <s v="Sara Khan"/>
    <x v="1"/>
    <s v="Usa"/>
    <s v="London"/>
    <x v="1"/>
    <s v="Football"/>
    <x v="568"/>
    <n v="4"/>
    <n v="7823"/>
    <n v="0.06"/>
    <n v="7353.62"/>
    <x v="578"/>
    <n v="0.25"/>
    <x v="577"/>
    <x v="2"/>
    <x v="0"/>
    <n v="6"/>
    <x v="2"/>
    <x v="5"/>
    <n v="8"/>
    <s v="2025-08"/>
    <n v="22060.86"/>
    <s v="Standard"/>
    <s v="Profitable"/>
    <s v="High Value"/>
  </r>
  <r>
    <x v="581"/>
    <x v="581"/>
    <s v="Maria Singh"/>
    <x v="2"/>
    <s v="India"/>
    <s v="Toronto"/>
    <x v="2"/>
    <s v="Sofa"/>
    <x v="569"/>
    <n v="3"/>
    <n v="14803"/>
    <n v="0.17"/>
    <n v="12286.49"/>
    <x v="579"/>
    <n v="0.2"/>
    <x v="578"/>
    <x v="0"/>
    <x v="0"/>
    <n v="6"/>
    <x v="0"/>
    <x v="2"/>
    <n v="3"/>
    <s v="2023-03"/>
    <n v="29487.58"/>
    <s v="Standard"/>
    <s v="Profitable"/>
    <s v="High Value"/>
  </r>
  <r>
    <x v="582"/>
    <x v="582"/>
    <s v="John Smith"/>
    <x v="3"/>
    <s v="Usa"/>
    <s v="Toronto"/>
    <x v="1"/>
    <s v="Football"/>
    <x v="570"/>
    <n v="3"/>
    <n v="12451"/>
    <n v="0.21"/>
    <n v="9836.2900000000009"/>
    <x v="580"/>
    <n v="0.25"/>
    <x v="579"/>
    <x v="1"/>
    <x v="0"/>
    <n v="5"/>
    <x v="2"/>
    <x v="2"/>
    <n v="3"/>
    <s v="2025-03"/>
    <n v="22131.649999999998"/>
    <s v="Standard"/>
    <s v="Profitable"/>
    <s v="High Value"/>
  </r>
  <r>
    <x v="583"/>
    <x v="583"/>
    <s v="Amit Verma"/>
    <x v="0"/>
    <s v="India"/>
    <s v="Bangalore"/>
    <x v="3"/>
    <s v="T-Shirt"/>
    <x v="571"/>
    <n v="7"/>
    <n v="3208"/>
    <n v="0.06"/>
    <n v="3015.52"/>
    <x v="581"/>
    <n v="0.35"/>
    <x v="580"/>
    <x v="3"/>
    <x v="0"/>
    <n v="8"/>
    <x v="1"/>
    <x v="9"/>
    <n v="7"/>
    <s v="2024-07"/>
    <n v="13720.619999999999"/>
    <s v="Delayed"/>
    <s v="Profitable"/>
    <s v="High Value"/>
  </r>
  <r>
    <x v="584"/>
    <x v="584"/>
    <s v="Maria Singh"/>
    <x v="1"/>
    <s v="Usa"/>
    <s v="Toronto"/>
    <x v="2"/>
    <s v="Sofa"/>
    <x v="572"/>
    <n v="6"/>
    <n v="7179"/>
    <n v="0.14000000000000001"/>
    <n v="6173.94"/>
    <x v="582"/>
    <n v="0.2"/>
    <x v="581"/>
    <x v="2"/>
    <x v="1"/>
    <n v="1"/>
    <x v="1"/>
    <x v="10"/>
    <n v="5"/>
    <s v="2024-05"/>
    <n v="29634.91"/>
    <s v="Fast"/>
    <s v="Profitable"/>
    <s v="High Value"/>
  </r>
  <r>
    <x v="585"/>
    <x v="585"/>
    <s v="Priya Mehta"/>
    <x v="1"/>
    <s v="Usa"/>
    <s v="Bangalore"/>
    <x v="3"/>
    <s v="Jacket"/>
    <x v="368"/>
    <n v="9"/>
    <n v="2860"/>
    <n v="0.17"/>
    <n v="2373.8000000000002"/>
    <x v="583"/>
    <n v="0.35"/>
    <x v="582"/>
    <x v="2"/>
    <x v="0"/>
    <n v="9"/>
    <x v="0"/>
    <x v="10"/>
    <n v="5"/>
    <s v="2023-05"/>
    <n v="13886.73"/>
    <s v="Delayed"/>
    <s v="Profitable"/>
    <s v="High Value"/>
  </r>
  <r>
    <x v="586"/>
    <x v="586"/>
    <s v="John Smith"/>
    <x v="1"/>
    <s v="Uk"/>
    <s v="Toronto"/>
    <x v="3"/>
    <s v="Jacket"/>
    <x v="573"/>
    <n v="7"/>
    <n v="3753"/>
    <n v="0.18"/>
    <n v="3077.46"/>
    <x v="584"/>
    <n v="0.35"/>
    <x v="583"/>
    <x v="3"/>
    <x v="0"/>
    <n v="3"/>
    <x v="2"/>
    <x v="4"/>
    <n v="6"/>
    <s v="2025-06"/>
    <n v="14002.440000000002"/>
    <s v="Fast"/>
    <s v="Profitable"/>
    <s v="High Value"/>
  </r>
  <r>
    <x v="587"/>
    <x v="587"/>
    <s v="Sara Khan"/>
    <x v="3"/>
    <s v="Uk"/>
    <s v="London"/>
    <x v="4"/>
    <s v="Laptop"/>
    <x v="574"/>
    <n v="5"/>
    <n v="10162"/>
    <n v="0.01"/>
    <n v="10060.379999999999"/>
    <x v="585"/>
    <n v="0.15"/>
    <x v="584"/>
    <x v="2"/>
    <x v="0"/>
    <n v="2"/>
    <x v="2"/>
    <x v="10"/>
    <n v="5"/>
    <s v="2025-05"/>
    <n v="42756.62"/>
    <s v="Fast"/>
    <s v="Profitable"/>
    <s v="High Value"/>
  </r>
  <r>
    <x v="588"/>
    <x v="588"/>
    <s v="David Lee"/>
    <x v="2"/>
    <s v="Usa"/>
    <s v="Delhi"/>
    <x v="4"/>
    <s v="Tablet"/>
    <x v="575"/>
    <n v="2"/>
    <n v="30049"/>
    <n v="0.16"/>
    <n v="25241.16"/>
    <x v="586"/>
    <n v="0.15"/>
    <x v="585"/>
    <x v="0"/>
    <x v="0"/>
    <n v="3"/>
    <x v="0"/>
    <x v="7"/>
    <n v="2"/>
    <s v="2023-02"/>
    <n v="42909.97"/>
    <s v="Fast"/>
    <s v="Profitable"/>
    <s v="High Value"/>
  </r>
  <r>
    <x v="589"/>
    <x v="589"/>
    <s v="Amit Verma"/>
    <x v="1"/>
    <s v="Uk"/>
    <s v="Toronto"/>
    <x v="1"/>
    <s v="Cricket Bat"/>
    <x v="576"/>
    <n v="7"/>
    <n v="4374"/>
    <n v="0.01"/>
    <n v="4330.26"/>
    <x v="587"/>
    <n v="0.25"/>
    <x v="586"/>
    <x v="3"/>
    <x v="0"/>
    <n v="7"/>
    <x v="1"/>
    <x v="7"/>
    <n v="2"/>
    <s v="2024-02"/>
    <n v="22733.86"/>
    <s v="Standard"/>
    <s v="Profitable"/>
    <s v="High Value"/>
  </r>
  <r>
    <x v="590"/>
    <x v="590"/>
    <s v="Sara Khan"/>
    <x v="2"/>
    <s v="Usa"/>
    <s v="New York"/>
    <x v="2"/>
    <s v="Chair"/>
    <x v="577"/>
    <n v="3"/>
    <n v="13171"/>
    <n v="0.04"/>
    <n v="12644.16"/>
    <x v="588"/>
    <n v="0.2"/>
    <x v="587"/>
    <x v="1"/>
    <x v="0"/>
    <n v="6"/>
    <x v="0"/>
    <x v="2"/>
    <n v="3"/>
    <s v="2023-03"/>
    <n v="30345.980000000003"/>
    <s v="Standard"/>
    <s v="Profitable"/>
    <s v="High Value"/>
  </r>
  <r>
    <x v="591"/>
    <x v="591"/>
    <s v="John Smith"/>
    <x v="0"/>
    <s v="India"/>
    <s v="Toronto"/>
    <x v="4"/>
    <s v="Mobile"/>
    <x v="578"/>
    <n v="1"/>
    <n v="51779"/>
    <n v="0.02"/>
    <n v="50743.42"/>
    <x v="589"/>
    <n v="0.15"/>
    <x v="588"/>
    <x v="1"/>
    <x v="0"/>
    <n v="7"/>
    <x v="1"/>
    <x v="4"/>
    <n v="6"/>
    <s v="2024-06"/>
    <n v="43131.909999999996"/>
    <s v="Standard"/>
    <s v="Profitable"/>
    <s v="High Value"/>
  </r>
  <r>
    <x v="592"/>
    <x v="592"/>
    <s v="Priya Mehta"/>
    <x v="2"/>
    <s v="Usa"/>
    <s v="Bangalore"/>
    <x v="2"/>
    <s v="Sofa"/>
    <x v="579"/>
    <n v="3"/>
    <n v="15718"/>
    <n v="0.19"/>
    <n v="12731.58"/>
    <x v="590"/>
    <n v="0.2"/>
    <x v="589"/>
    <x v="0"/>
    <x v="0"/>
    <n v="1"/>
    <x v="1"/>
    <x v="8"/>
    <n v="12"/>
    <s v="2024-12"/>
    <n v="30555.789999999997"/>
    <s v="Fast"/>
    <s v="Profitable"/>
    <s v="High Value"/>
  </r>
  <r>
    <x v="593"/>
    <x v="593"/>
    <s v="David Lee"/>
    <x v="1"/>
    <s v="India"/>
    <s v="New York"/>
    <x v="2"/>
    <s v="Table"/>
    <x v="580"/>
    <n v="4"/>
    <n v="11235"/>
    <n v="0.15"/>
    <n v="9549.75"/>
    <x v="591"/>
    <n v="0.2"/>
    <x v="590"/>
    <x v="1"/>
    <x v="0"/>
    <n v="2"/>
    <x v="2"/>
    <x v="7"/>
    <n v="2"/>
    <s v="2025-02"/>
    <n v="30559.200000000001"/>
    <s v="Fast"/>
    <s v="Profitable"/>
    <s v="High Value"/>
  </r>
  <r>
    <x v="594"/>
    <x v="594"/>
    <s v="Maria Singh"/>
    <x v="3"/>
    <s v="India"/>
    <s v="Bangalore"/>
    <x v="2"/>
    <s v="Bookshelf"/>
    <x v="581"/>
    <n v="8"/>
    <n v="5754"/>
    <n v="0.17"/>
    <n v="4775.82"/>
    <x v="592"/>
    <n v="0.2"/>
    <x v="591"/>
    <x v="3"/>
    <x v="0"/>
    <n v="7"/>
    <x v="1"/>
    <x v="8"/>
    <n v="12"/>
    <s v="2024-12"/>
    <n v="30565.249999999996"/>
    <s v="Standard"/>
    <s v="Profitable"/>
    <s v="High Value"/>
  </r>
  <r>
    <x v="595"/>
    <x v="595"/>
    <s v="Amit Verma"/>
    <x v="3"/>
    <s v="Usa"/>
    <s v="Delhi"/>
    <x v="4"/>
    <s v="Laptop"/>
    <x v="582"/>
    <n v="5"/>
    <n v="12096"/>
    <n v="0.15"/>
    <n v="10281.6"/>
    <x v="593"/>
    <n v="0.15"/>
    <x v="592"/>
    <x v="1"/>
    <x v="0"/>
    <n v="7"/>
    <x v="2"/>
    <x v="6"/>
    <n v="4"/>
    <s v="2025-04"/>
    <n v="43696.800000000003"/>
    <s v="Standard"/>
    <s v="Profitable"/>
    <s v="High Value"/>
  </r>
  <r>
    <x v="596"/>
    <x v="596"/>
    <s v="Sara Khan"/>
    <x v="0"/>
    <s v="Canada"/>
    <s v="Toronto"/>
    <x v="1"/>
    <s v="Football"/>
    <x v="583"/>
    <n v="5"/>
    <n v="7721"/>
    <n v="0.2"/>
    <n v="6176.8"/>
    <x v="594"/>
    <n v="0.25"/>
    <x v="593"/>
    <x v="0"/>
    <x v="0"/>
    <n v="1"/>
    <x v="1"/>
    <x v="6"/>
    <n v="4"/>
    <s v="2024-04"/>
    <n v="23163"/>
    <s v="Fast"/>
    <s v="Profitable"/>
    <s v="High Value"/>
  </r>
  <r>
    <x v="597"/>
    <x v="597"/>
    <s v="Priya Mehta"/>
    <x v="0"/>
    <s v="India"/>
    <s v="New York"/>
    <x v="3"/>
    <s v="T-Shirt"/>
    <x v="584"/>
    <n v="5"/>
    <n v="4609"/>
    <n v="0.04"/>
    <n v="4424.6400000000003"/>
    <x v="595"/>
    <n v="0.35"/>
    <x v="594"/>
    <x v="0"/>
    <x v="0"/>
    <n v="2"/>
    <x v="0"/>
    <x v="3"/>
    <n v="1"/>
    <s v="2023-01"/>
    <n v="14380.080000000002"/>
    <s v="Fast"/>
    <s v="Profitable"/>
    <s v="High Value"/>
  </r>
  <r>
    <x v="598"/>
    <x v="598"/>
    <s v="Priya Mehta"/>
    <x v="2"/>
    <s v="Uk"/>
    <s v="Delhi"/>
    <x v="4"/>
    <s v="Laptop"/>
    <x v="585"/>
    <n v="1"/>
    <n v="53541"/>
    <n v="0.03"/>
    <n v="51934.77"/>
    <x v="596"/>
    <n v="0.15"/>
    <x v="595"/>
    <x v="2"/>
    <x v="2"/>
    <n v="6"/>
    <x v="1"/>
    <x v="8"/>
    <n v="12"/>
    <s v="2024-12"/>
    <n v="44144.549999999996"/>
    <s v="Standard"/>
    <s v="Profitable"/>
    <s v="High Value"/>
  </r>
  <r>
    <x v="599"/>
    <x v="599"/>
    <s v="Amit Verma"/>
    <x v="0"/>
    <s v="Canada"/>
    <s v="London"/>
    <x v="4"/>
    <s v="Laptop"/>
    <x v="586"/>
    <n v="3"/>
    <n v="20142"/>
    <n v="0.14000000000000001"/>
    <n v="17322.12"/>
    <x v="597"/>
    <n v="0.15"/>
    <x v="596"/>
    <x v="3"/>
    <x v="0"/>
    <n v="7"/>
    <x v="1"/>
    <x v="11"/>
    <n v="9"/>
    <s v="2024-09"/>
    <n v="44171.41"/>
    <s v="Standard"/>
    <s v="Profitable"/>
    <s v="High Value"/>
  </r>
  <r>
    <x v="600"/>
    <x v="600"/>
    <s v="Amit Verma"/>
    <x v="0"/>
    <s v="Uk"/>
    <s v="London"/>
    <x v="1"/>
    <s v="Cricket Bat"/>
    <x v="587"/>
    <n v="4"/>
    <n v="9632"/>
    <n v="0.19"/>
    <n v="7801.92"/>
    <x v="598"/>
    <n v="0.25"/>
    <x v="597"/>
    <x v="2"/>
    <x v="0"/>
    <n v="1"/>
    <x v="1"/>
    <x v="3"/>
    <n v="1"/>
    <s v="2024-01"/>
    <n v="23405.760000000002"/>
    <s v="Fast"/>
    <s v="Profitable"/>
    <s v="High Value"/>
  </r>
  <r>
    <x v="601"/>
    <x v="601"/>
    <s v="David Lee"/>
    <x v="1"/>
    <s v="India"/>
    <s v="Bangalore"/>
    <x v="3"/>
    <s v="Jeans"/>
    <x v="588"/>
    <n v="7"/>
    <n v="3285"/>
    <n v="0.03"/>
    <n v="3186.45"/>
    <x v="599"/>
    <n v="0.35"/>
    <x v="598"/>
    <x v="0"/>
    <x v="2"/>
    <n v="5"/>
    <x v="1"/>
    <x v="2"/>
    <n v="3"/>
    <s v="2024-03"/>
    <n v="14498.350000000002"/>
    <s v="Standard"/>
    <s v="Profitable"/>
    <s v="High Value"/>
  </r>
  <r>
    <x v="602"/>
    <x v="602"/>
    <s v="Sara Khan"/>
    <x v="1"/>
    <s v="Canada"/>
    <s v="Toronto"/>
    <x v="2"/>
    <s v="Sofa"/>
    <x v="589"/>
    <n v="6"/>
    <n v="7752"/>
    <n v="0.16"/>
    <n v="6511.68"/>
    <x v="600"/>
    <n v="0.2"/>
    <x v="599"/>
    <x v="1"/>
    <x v="0"/>
    <n v="5"/>
    <x v="0"/>
    <x v="0"/>
    <n v="11"/>
    <s v="2023-11"/>
    <n v="31256.06"/>
    <s v="Standard"/>
    <s v="Profitable"/>
    <s v="High Value"/>
  </r>
  <r>
    <x v="603"/>
    <x v="603"/>
    <s v="John Smith"/>
    <x v="3"/>
    <s v="India"/>
    <s v="London"/>
    <x v="2"/>
    <s v="Bookshelf"/>
    <x v="590"/>
    <n v="3"/>
    <n v="16109"/>
    <n v="0.19"/>
    <n v="13048.29"/>
    <x v="601"/>
    <n v="0.2"/>
    <x v="600"/>
    <x v="3"/>
    <x v="0"/>
    <n v="8"/>
    <x v="1"/>
    <x v="7"/>
    <n v="2"/>
    <s v="2024-02"/>
    <n v="31315.9"/>
    <s v="Delayed"/>
    <s v="Profitable"/>
    <s v="High Value"/>
  </r>
  <r>
    <x v="604"/>
    <x v="604"/>
    <s v="John Smith"/>
    <x v="2"/>
    <s v="Canada"/>
    <s v="Bangalore"/>
    <x v="2"/>
    <s v="Table"/>
    <x v="591"/>
    <n v="2"/>
    <n v="19826"/>
    <n v="0.01"/>
    <n v="19627.740000000002"/>
    <x v="602"/>
    <n v="0.2"/>
    <x v="601"/>
    <x v="2"/>
    <x v="0"/>
    <n v="5"/>
    <x v="1"/>
    <x v="6"/>
    <n v="4"/>
    <s v="2024-04"/>
    <n v="31404.380000000005"/>
    <s v="Standard"/>
    <s v="Profitable"/>
    <s v="High Value"/>
  </r>
  <r>
    <x v="605"/>
    <x v="605"/>
    <s v="Priya Mehta"/>
    <x v="2"/>
    <s v="Canada"/>
    <s v="Bangalore"/>
    <x v="4"/>
    <s v="Mobile"/>
    <x v="592"/>
    <n v="1"/>
    <n v="53619"/>
    <n v="0.02"/>
    <n v="52546.62"/>
    <x v="603"/>
    <n v="0.15"/>
    <x v="602"/>
    <x v="0"/>
    <x v="0"/>
    <n v="3"/>
    <x v="2"/>
    <x v="10"/>
    <n v="5"/>
    <s v="2025-05"/>
    <n v="44664.630000000005"/>
    <s v="Fast"/>
    <s v="Profitable"/>
    <s v="High Value"/>
  </r>
  <r>
    <x v="606"/>
    <x v="606"/>
    <s v="Amit Verma"/>
    <x v="3"/>
    <s v="Canada"/>
    <s v="Bangalore"/>
    <x v="2"/>
    <s v="Sofa"/>
    <x v="593"/>
    <n v="5"/>
    <n v="10258"/>
    <n v="0.23"/>
    <n v="7898.66"/>
    <x v="604"/>
    <n v="0.2"/>
    <x v="603"/>
    <x v="2"/>
    <x v="0"/>
    <n v="5"/>
    <x v="1"/>
    <x v="7"/>
    <n v="2"/>
    <s v="2024-02"/>
    <n v="31594.640000000003"/>
    <s v="Standard"/>
    <s v="Profitable"/>
    <s v="High Value"/>
  </r>
  <r>
    <x v="607"/>
    <x v="607"/>
    <s v="Amit Verma"/>
    <x v="3"/>
    <s v="Usa"/>
    <s v="Bangalore"/>
    <x v="4"/>
    <s v="Tablet"/>
    <x v="594"/>
    <n v="3"/>
    <n v="18329"/>
    <n v="0.04"/>
    <n v="17595.84"/>
    <x v="605"/>
    <n v="0.15"/>
    <x v="604"/>
    <x v="2"/>
    <x v="0"/>
    <n v="3"/>
    <x v="2"/>
    <x v="6"/>
    <n v="4"/>
    <s v="2025-04"/>
    <n v="44869.39"/>
    <s v="Fast"/>
    <s v="Profitable"/>
    <s v="High Value"/>
  </r>
  <r>
    <x v="608"/>
    <x v="608"/>
    <s v="Amit Verma"/>
    <x v="1"/>
    <s v="India"/>
    <s v="London"/>
    <x v="1"/>
    <s v="Yoga Mat"/>
    <x v="595"/>
    <n v="3"/>
    <n v="12760"/>
    <n v="0.17"/>
    <n v="10590.8"/>
    <x v="606"/>
    <n v="0.25"/>
    <x v="605"/>
    <x v="0"/>
    <x v="0"/>
    <n v="3"/>
    <x v="0"/>
    <x v="11"/>
    <n v="9"/>
    <s v="2023-09"/>
    <n v="23829.300000000003"/>
    <s v="Fast"/>
    <s v="Profitable"/>
    <s v="High Value"/>
  </r>
  <r>
    <x v="609"/>
    <x v="609"/>
    <s v="Amit Verma"/>
    <x v="3"/>
    <s v="India"/>
    <s v="Mumbai"/>
    <x v="2"/>
    <s v="Sofa"/>
    <x v="596"/>
    <n v="7"/>
    <n v="6616"/>
    <n v="0.14000000000000001"/>
    <n v="5689.76"/>
    <x v="607"/>
    <n v="0.2"/>
    <x v="606"/>
    <x v="1"/>
    <x v="0"/>
    <n v="3"/>
    <x v="0"/>
    <x v="0"/>
    <n v="11"/>
    <s v="2023-11"/>
    <n v="31862.66"/>
    <s v="Fast"/>
    <s v="Profitable"/>
    <s v="High Value"/>
  </r>
  <r>
    <x v="610"/>
    <x v="610"/>
    <s v="Maria Singh"/>
    <x v="3"/>
    <s v="India"/>
    <s v="Mumbai"/>
    <x v="3"/>
    <s v="T-Shirt"/>
    <x v="597"/>
    <n v="8"/>
    <n v="3317"/>
    <n v="0.14000000000000001"/>
    <n v="2852.62"/>
    <x v="608"/>
    <n v="0.35"/>
    <x v="607"/>
    <x v="2"/>
    <x v="0"/>
    <n v="9"/>
    <x v="1"/>
    <x v="2"/>
    <n v="3"/>
    <s v="2024-03"/>
    <n v="14833.619999999999"/>
    <s v="Delayed"/>
    <s v="Profitable"/>
    <s v="High Value"/>
  </r>
  <r>
    <x v="611"/>
    <x v="611"/>
    <s v="Priya Mehta"/>
    <x v="2"/>
    <s v="Canada"/>
    <s v="New York"/>
    <x v="4"/>
    <s v="Laptop"/>
    <x v="598"/>
    <n v="6"/>
    <n v="10163"/>
    <n v="0.12"/>
    <n v="8943.44"/>
    <x v="609"/>
    <n v="0.15"/>
    <x v="608"/>
    <x v="1"/>
    <x v="0"/>
    <n v="8"/>
    <x v="1"/>
    <x v="5"/>
    <n v="8"/>
    <s v="2024-08"/>
    <n v="45611.54"/>
    <s v="Delayed"/>
    <s v="Profitable"/>
    <s v="High Value"/>
  </r>
  <r>
    <x v="612"/>
    <x v="612"/>
    <s v="David Lee"/>
    <x v="1"/>
    <s v="India"/>
    <s v="Delhi"/>
    <x v="2"/>
    <s v="Bookshelf"/>
    <x v="599"/>
    <n v="6"/>
    <n v="8295"/>
    <n v="0.19"/>
    <n v="6718.95"/>
    <x v="610"/>
    <n v="0.2"/>
    <x v="609"/>
    <x v="3"/>
    <x v="0"/>
    <n v="3"/>
    <x v="0"/>
    <x v="2"/>
    <n v="3"/>
    <s v="2023-03"/>
    <n v="32250.959999999999"/>
    <s v="Fast"/>
    <s v="Profitable"/>
    <s v="High Value"/>
  </r>
  <r>
    <x v="613"/>
    <x v="613"/>
    <s v="David Lee"/>
    <x v="0"/>
    <s v="Canada"/>
    <s v="Delhi"/>
    <x v="4"/>
    <s v="Earphones"/>
    <x v="600"/>
    <n v="3"/>
    <n v="22411"/>
    <n v="0.2"/>
    <n v="17928.8"/>
    <x v="611"/>
    <n v="0.15"/>
    <x v="610"/>
    <x v="3"/>
    <x v="0"/>
    <n v="8"/>
    <x v="1"/>
    <x v="9"/>
    <n v="7"/>
    <s v="2024-07"/>
    <n v="45718.44"/>
    <s v="Delayed"/>
    <s v="Profitable"/>
    <s v="High Value"/>
  </r>
  <r>
    <x v="614"/>
    <x v="614"/>
    <s v="Amit Verma"/>
    <x v="2"/>
    <s v="Canada"/>
    <s v="Toronto"/>
    <x v="3"/>
    <s v="Jeans"/>
    <x v="601"/>
    <n v="9"/>
    <n v="2921"/>
    <n v="0.12"/>
    <n v="2570.48"/>
    <x v="612"/>
    <n v="0.35"/>
    <x v="611"/>
    <x v="0"/>
    <x v="1"/>
    <n v="4"/>
    <x v="1"/>
    <x v="0"/>
    <n v="11"/>
    <s v="2024-11"/>
    <n v="15037.31"/>
    <s v="Standard"/>
    <s v="Profitable"/>
    <s v="High Value"/>
  </r>
  <r>
    <x v="615"/>
    <x v="615"/>
    <s v="Amit Verma"/>
    <x v="0"/>
    <s v="Canada"/>
    <s v="Mumbai"/>
    <x v="1"/>
    <s v="Cricket Bat"/>
    <x v="602"/>
    <n v="4"/>
    <n v="8758"/>
    <n v="7.0000000000000007E-2"/>
    <n v="8144.94"/>
    <x v="613"/>
    <n v="0.25"/>
    <x v="612"/>
    <x v="3"/>
    <x v="1"/>
    <n v="1"/>
    <x v="1"/>
    <x v="9"/>
    <n v="7"/>
    <s v="2024-07"/>
    <n v="24434.82"/>
    <s v="Fast"/>
    <s v="Profitable"/>
    <s v="High Value"/>
  </r>
  <r>
    <x v="616"/>
    <x v="616"/>
    <s v="David Lee"/>
    <x v="2"/>
    <s v="Usa"/>
    <s v="Toronto"/>
    <x v="1"/>
    <s v="Cricket Bat"/>
    <x v="300"/>
    <n v="4"/>
    <n v="9100"/>
    <n v="0.1"/>
    <n v="8190"/>
    <x v="614"/>
    <n v="0.25"/>
    <x v="613"/>
    <x v="3"/>
    <x v="0"/>
    <n v="5"/>
    <x v="2"/>
    <x v="4"/>
    <n v="6"/>
    <s v="2025-06"/>
    <n v="24570"/>
    <s v="Standard"/>
    <s v="Profitable"/>
    <s v="High Value"/>
  </r>
  <r>
    <x v="617"/>
    <x v="617"/>
    <s v="David Lee"/>
    <x v="0"/>
    <s v="Usa"/>
    <s v="Bangalore"/>
    <x v="4"/>
    <s v="Earphones"/>
    <x v="603"/>
    <n v="2"/>
    <n v="35032"/>
    <n v="0.22"/>
    <n v="27324.959999999999"/>
    <x v="615"/>
    <n v="0.15"/>
    <x v="614"/>
    <x v="3"/>
    <x v="1"/>
    <n v="1"/>
    <x v="1"/>
    <x v="4"/>
    <n v="6"/>
    <s v="2024-06"/>
    <n v="46452.43"/>
    <s v="Fast"/>
    <s v="Profitable"/>
    <s v="High Value"/>
  </r>
  <r>
    <x v="618"/>
    <x v="618"/>
    <s v="Amit Verma"/>
    <x v="0"/>
    <s v="Usa"/>
    <s v="Delhi"/>
    <x v="2"/>
    <s v="Table"/>
    <x v="604"/>
    <n v="4"/>
    <n v="11556"/>
    <n v="0.11"/>
    <n v="10284.84"/>
    <x v="616"/>
    <n v="0.2"/>
    <x v="615"/>
    <x v="3"/>
    <x v="0"/>
    <n v="9"/>
    <x v="0"/>
    <x v="9"/>
    <n v="7"/>
    <s v="2023-07"/>
    <n v="32911.49"/>
    <s v="Delayed"/>
    <s v="Profitable"/>
    <s v="High Value"/>
  </r>
  <r>
    <x v="619"/>
    <x v="619"/>
    <s v="John Smith"/>
    <x v="0"/>
    <s v="Usa"/>
    <s v="London"/>
    <x v="2"/>
    <s v="Table"/>
    <x v="605"/>
    <n v="8"/>
    <n v="6107"/>
    <n v="0.15"/>
    <n v="5190.95"/>
    <x v="617"/>
    <n v="0.2"/>
    <x v="616"/>
    <x v="3"/>
    <x v="0"/>
    <n v="5"/>
    <x v="1"/>
    <x v="6"/>
    <n v="4"/>
    <s v="2024-04"/>
    <n v="33222.080000000002"/>
    <s v="Standard"/>
    <s v="Profitable"/>
    <s v="High Value"/>
  </r>
  <r>
    <x v="620"/>
    <x v="620"/>
    <s v="John Smith"/>
    <x v="3"/>
    <s v="Usa"/>
    <s v="Mumbai"/>
    <x v="4"/>
    <s v="Laptop"/>
    <x v="606"/>
    <n v="1"/>
    <n v="73870"/>
    <n v="0.25"/>
    <n v="55402.5"/>
    <x v="618"/>
    <n v="0.15"/>
    <x v="617"/>
    <x v="2"/>
    <x v="0"/>
    <n v="4"/>
    <x v="2"/>
    <x v="5"/>
    <n v="8"/>
    <s v="2025-08"/>
    <n v="47092.12"/>
    <s v="Standard"/>
    <s v="Profitable"/>
    <s v="High Value"/>
  </r>
  <r>
    <x v="621"/>
    <x v="621"/>
    <s v="Amit Verma"/>
    <x v="3"/>
    <s v="Uk"/>
    <s v="Toronto"/>
    <x v="3"/>
    <s v="Jacket"/>
    <x v="368"/>
    <n v="7"/>
    <n v="3715"/>
    <n v="0.08"/>
    <n v="3417.8"/>
    <x v="619"/>
    <n v="0.35"/>
    <x v="618"/>
    <x v="3"/>
    <x v="0"/>
    <n v="6"/>
    <x v="2"/>
    <x v="5"/>
    <n v="8"/>
    <s v="2025-08"/>
    <n v="15550.989999999998"/>
    <s v="Standard"/>
    <s v="Profitable"/>
    <s v="High Value"/>
  </r>
  <r>
    <x v="622"/>
    <x v="622"/>
    <s v="John Smith"/>
    <x v="2"/>
    <s v="Uk"/>
    <s v="Toronto"/>
    <x v="2"/>
    <s v="Chair"/>
    <x v="607"/>
    <n v="5"/>
    <n v="11032"/>
    <n v="0.23"/>
    <n v="8494.64"/>
    <x v="620"/>
    <n v="0.2"/>
    <x v="619"/>
    <x v="2"/>
    <x v="0"/>
    <n v="4"/>
    <x v="2"/>
    <x v="4"/>
    <n v="6"/>
    <s v="2025-06"/>
    <n v="33978.559999999998"/>
    <s v="Standard"/>
    <s v="Profitable"/>
    <s v="High Value"/>
  </r>
  <r>
    <x v="623"/>
    <x v="623"/>
    <s v="Maria Singh"/>
    <x v="2"/>
    <s v="Uk"/>
    <s v="New York"/>
    <x v="2"/>
    <s v="Chair"/>
    <x v="608"/>
    <n v="9"/>
    <n v="5081"/>
    <n v="7.0000000000000007E-2"/>
    <n v="4725.33"/>
    <x v="621"/>
    <n v="0.2"/>
    <x v="620"/>
    <x v="2"/>
    <x v="0"/>
    <n v="1"/>
    <x v="2"/>
    <x v="3"/>
    <n v="1"/>
    <s v="2025-01"/>
    <n v="34022.380000000005"/>
    <s v="Fast"/>
    <s v="Profitable"/>
    <s v="High Value"/>
  </r>
  <r>
    <x v="624"/>
    <x v="624"/>
    <s v="Amit Verma"/>
    <x v="0"/>
    <s v="Uk"/>
    <s v="Delhi"/>
    <x v="3"/>
    <s v="T-Shirt"/>
    <x v="609"/>
    <n v="7"/>
    <n v="3624"/>
    <n v="0.04"/>
    <n v="3479.04"/>
    <x v="622"/>
    <n v="0.35"/>
    <x v="621"/>
    <x v="0"/>
    <x v="0"/>
    <n v="8"/>
    <x v="0"/>
    <x v="9"/>
    <n v="7"/>
    <s v="2023-07"/>
    <n v="15829.63"/>
    <s v="Delayed"/>
    <s v="Profitable"/>
    <s v="High Value"/>
  </r>
  <r>
    <x v="625"/>
    <x v="625"/>
    <s v="John Smith"/>
    <x v="2"/>
    <s v="Uk"/>
    <s v="Delhi"/>
    <x v="1"/>
    <s v="Football"/>
    <x v="610"/>
    <n v="6"/>
    <n v="7116"/>
    <n v="0.19"/>
    <n v="5763.96"/>
    <x v="623"/>
    <n v="0.25"/>
    <x v="622"/>
    <x v="2"/>
    <x v="0"/>
    <n v="5"/>
    <x v="0"/>
    <x v="10"/>
    <n v="5"/>
    <s v="2023-05"/>
    <n v="25937.82"/>
    <s v="Standard"/>
    <s v="Profitable"/>
    <s v="High Value"/>
  </r>
  <r>
    <x v="626"/>
    <x v="626"/>
    <s v="Amit Verma"/>
    <x v="2"/>
    <s v="Usa"/>
    <s v="Mumbai"/>
    <x v="3"/>
    <s v="T-Shirt"/>
    <x v="611"/>
    <n v="6"/>
    <n v="4428"/>
    <n v="7.0000000000000007E-2"/>
    <n v="4118.04"/>
    <x v="624"/>
    <n v="0.35"/>
    <x v="623"/>
    <x v="0"/>
    <x v="0"/>
    <n v="1"/>
    <x v="0"/>
    <x v="6"/>
    <n v="4"/>
    <s v="2023-04"/>
    <n v="16060.360000000002"/>
    <s v="Fast"/>
    <s v="Profitable"/>
    <s v="High Value"/>
  </r>
  <r>
    <x v="627"/>
    <x v="627"/>
    <s v="John Smith"/>
    <x v="2"/>
    <s v="Canada"/>
    <s v="New York"/>
    <x v="1"/>
    <s v="Football"/>
    <x v="612"/>
    <n v="7"/>
    <n v="6546"/>
    <n v="0.24"/>
    <n v="4974.96"/>
    <x v="625"/>
    <n v="0.25"/>
    <x v="624"/>
    <x v="3"/>
    <x v="0"/>
    <n v="3"/>
    <x v="2"/>
    <x v="11"/>
    <n v="9"/>
    <s v="2025-09"/>
    <n v="26118.54"/>
    <s v="Fast"/>
    <s v="Profitable"/>
    <s v="High Value"/>
  </r>
  <r>
    <x v="628"/>
    <x v="628"/>
    <s v="Maria Singh"/>
    <x v="1"/>
    <s v="Canada"/>
    <s v="New York"/>
    <x v="1"/>
    <s v="Cricket Bat"/>
    <x v="613"/>
    <n v="4"/>
    <n v="9505"/>
    <n v="0.08"/>
    <n v="8744.6"/>
    <x v="626"/>
    <n v="0.25"/>
    <x v="625"/>
    <x v="3"/>
    <x v="0"/>
    <n v="3"/>
    <x v="2"/>
    <x v="3"/>
    <n v="1"/>
    <s v="2025-01"/>
    <n v="26233.800000000003"/>
    <s v="Fast"/>
    <s v="Profitable"/>
    <s v="High Value"/>
  </r>
  <r>
    <x v="629"/>
    <x v="629"/>
    <s v="John Smith"/>
    <x v="3"/>
    <s v="Usa"/>
    <s v="Toronto"/>
    <x v="3"/>
    <s v="Jeans"/>
    <x v="614"/>
    <n v="6"/>
    <n v="4443"/>
    <n v="0.06"/>
    <n v="4176.42"/>
    <x v="627"/>
    <n v="0.35"/>
    <x v="626"/>
    <x v="1"/>
    <x v="0"/>
    <n v="1"/>
    <x v="1"/>
    <x v="2"/>
    <n v="3"/>
    <s v="2024-03"/>
    <n v="16288.04"/>
    <s v="Fast"/>
    <s v="Profitable"/>
    <s v="High Value"/>
  </r>
  <r>
    <x v="630"/>
    <x v="630"/>
    <s v="Amit Verma"/>
    <x v="0"/>
    <s v="Uk"/>
    <s v="Mumbai"/>
    <x v="2"/>
    <s v="Chair"/>
    <x v="615"/>
    <n v="6"/>
    <n v="8764"/>
    <n v="0.16"/>
    <n v="7361.76"/>
    <x v="628"/>
    <n v="0.2"/>
    <x v="627"/>
    <x v="3"/>
    <x v="1"/>
    <n v="6"/>
    <x v="1"/>
    <x v="3"/>
    <n v="1"/>
    <s v="2024-01"/>
    <n v="35336.449999999997"/>
    <s v="Standard"/>
    <s v="Profitable"/>
    <s v="High Value"/>
  </r>
  <r>
    <x v="631"/>
    <x v="631"/>
    <s v="Sara Khan"/>
    <x v="2"/>
    <s v="India"/>
    <s v="Bangalore"/>
    <x v="4"/>
    <s v="Tablet"/>
    <x v="616"/>
    <n v="2"/>
    <n v="35611"/>
    <n v="0.17"/>
    <n v="29557.13"/>
    <x v="629"/>
    <n v="0.15"/>
    <x v="628"/>
    <x v="2"/>
    <x v="0"/>
    <n v="6"/>
    <x v="0"/>
    <x v="4"/>
    <n v="6"/>
    <s v="2023-06"/>
    <n v="50247.12"/>
    <s v="Standard"/>
    <s v="Profitable"/>
    <s v="High Value"/>
  </r>
  <r>
    <x v="632"/>
    <x v="632"/>
    <s v="Sara Khan"/>
    <x v="3"/>
    <s v="Usa"/>
    <s v="New York"/>
    <x v="3"/>
    <s v="T-Shirt"/>
    <x v="617"/>
    <n v="8"/>
    <n v="3234"/>
    <n v="0.02"/>
    <n v="3169.32"/>
    <x v="630"/>
    <n v="0.35"/>
    <x v="629"/>
    <x v="2"/>
    <x v="0"/>
    <n v="8"/>
    <x v="0"/>
    <x v="10"/>
    <n v="5"/>
    <s v="2023-05"/>
    <n v="16480.46"/>
    <s v="Delayed"/>
    <s v="Profitable"/>
    <s v="High Value"/>
  </r>
  <r>
    <x v="633"/>
    <x v="633"/>
    <s v="Sara Khan"/>
    <x v="3"/>
    <s v="India"/>
    <s v="New York"/>
    <x v="4"/>
    <s v="Tablet"/>
    <x v="618"/>
    <n v="1"/>
    <n v="74946"/>
    <n v="0.21"/>
    <n v="59207.34"/>
    <x v="631"/>
    <n v="0.15"/>
    <x v="630"/>
    <x v="3"/>
    <x v="0"/>
    <n v="4"/>
    <x v="1"/>
    <x v="0"/>
    <n v="11"/>
    <s v="2024-11"/>
    <n v="50326.239999999998"/>
    <s v="Standard"/>
    <s v="Profitable"/>
    <s v="High Value"/>
  </r>
  <r>
    <x v="634"/>
    <x v="634"/>
    <s v="Amit Verma"/>
    <x v="2"/>
    <s v="Canada"/>
    <s v="Bangalore"/>
    <x v="4"/>
    <s v="Earphones"/>
    <x v="619"/>
    <n v="6"/>
    <n v="12023"/>
    <n v="0.17"/>
    <n v="9979.09"/>
    <x v="632"/>
    <n v="0.15"/>
    <x v="631"/>
    <x v="2"/>
    <x v="1"/>
    <n v="8"/>
    <x v="2"/>
    <x v="7"/>
    <n v="2"/>
    <s v="2025-02"/>
    <n v="50893.36"/>
    <s v="Delayed"/>
    <s v="Profitable"/>
    <s v="High Value"/>
  </r>
  <r>
    <x v="635"/>
    <x v="635"/>
    <s v="Amit Verma"/>
    <x v="0"/>
    <s v="Usa"/>
    <s v="Toronto"/>
    <x v="1"/>
    <s v="Football"/>
    <x v="620"/>
    <n v="5"/>
    <n v="9123"/>
    <n v="0.21"/>
    <n v="7207.17"/>
    <x v="633"/>
    <n v="0.25"/>
    <x v="632"/>
    <x v="0"/>
    <x v="0"/>
    <n v="7"/>
    <x v="1"/>
    <x v="11"/>
    <n v="9"/>
    <s v="2024-09"/>
    <n v="27026.89"/>
    <s v="Standard"/>
    <s v="Profitable"/>
    <s v="High Value"/>
  </r>
  <r>
    <x v="636"/>
    <x v="636"/>
    <s v="Amit Verma"/>
    <x v="3"/>
    <s v="Uk"/>
    <s v="Delhi"/>
    <x v="4"/>
    <s v="Mobile"/>
    <x v="621"/>
    <n v="4"/>
    <n v="16710"/>
    <n v="0.1"/>
    <n v="15039"/>
    <x v="634"/>
    <n v="0.15"/>
    <x v="633"/>
    <x v="1"/>
    <x v="1"/>
    <n v="7"/>
    <x v="2"/>
    <x v="11"/>
    <n v="9"/>
    <s v="2025-09"/>
    <n v="51132.6"/>
    <s v="Standard"/>
    <s v="Profitable"/>
    <s v="High Value"/>
  </r>
  <r>
    <x v="637"/>
    <x v="637"/>
    <s v="Sara Khan"/>
    <x v="0"/>
    <s v="Uk"/>
    <s v="London"/>
    <x v="3"/>
    <s v="Dress"/>
    <x v="622"/>
    <n v="9"/>
    <n v="2925"/>
    <n v="0.02"/>
    <n v="2866.5"/>
    <x v="635"/>
    <n v="0.35"/>
    <x v="634"/>
    <x v="0"/>
    <x v="0"/>
    <n v="3"/>
    <x v="0"/>
    <x v="0"/>
    <n v="11"/>
    <s v="2023-11"/>
    <n v="16769.03"/>
    <s v="Fast"/>
    <s v="Profitable"/>
    <s v="High Value"/>
  </r>
  <r>
    <x v="638"/>
    <x v="638"/>
    <s v="Priya Mehta"/>
    <x v="3"/>
    <s v="Uk"/>
    <s v="Toronto"/>
    <x v="1"/>
    <s v="Cricket Bat"/>
    <x v="623"/>
    <n v="4"/>
    <n v="10435"/>
    <n v="0.13"/>
    <n v="9078.4500000000007"/>
    <x v="636"/>
    <n v="0.25"/>
    <x v="635"/>
    <x v="0"/>
    <x v="0"/>
    <n v="5"/>
    <x v="2"/>
    <x v="10"/>
    <n v="5"/>
    <s v="2025-05"/>
    <n v="27235.350000000002"/>
    <s v="Standard"/>
    <s v="Profitable"/>
    <s v="High Value"/>
  </r>
  <r>
    <x v="639"/>
    <x v="639"/>
    <s v="Maria Singh"/>
    <x v="2"/>
    <s v="Usa"/>
    <s v="Bangalore"/>
    <x v="2"/>
    <s v="Chair"/>
    <x v="624"/>
    <n v="4"/>
    <n v="13182"/>
    <n v="0.13"/>
    <n v="11468.34"/>
    <x v="637"/>
    <n v="0.2"/>
    <x v="636"/>
    <x v="0"/>
    <x v="0"/>
    <n v="2"/>
    <x v="1"/>
    <x v="0"/>
    <n v="11"/>
    <s v="2024-11"/>
    <n v="36698.69"/>
    <s v="Fast"/>
    <s v="Profitable"/>
    <s v="High Value"/>
  </r>
  <r>
    <x v="640"/>
    <x v="640"/>
    <s v="Amit Verma"/>
    <x v="3"/>
    <s v="Usa"/>
    <s v="New York"/>
    <x v="3"/>
    <s v="Jeans"/>
    <x v="625"/>
    <n v="9"/>
    <n v="3083"/>
    <n v="0.05"/>
    <n v="2928.85"/>
    <x v="638"/>
    <n v="0.35"/>
    <x v="637"/>
    <x v="0"/>
    <x v="0"/>
    <n v="6"/>
    <x v="2"/>
    <x v="2"/>
    <n v="3"/>
    <s v="2025-03"/>
    <n v="17133.770000000004"/>
    <s v="Standard"/>
    <s v="Profitable"/>
    <s v="High Value"/>
  </r>
  <r>
    <x v="641"/>
    <x v="641"/>
    <s v="Priya Mehta"/>
    <x v="3"/>
    <s v="Canada"/>
    <s v="London"/>
    <x v="2"/>
    <s v="Chair"/>
    <x v="626"/>
    <n v="8"/>
    <n v="7448"/>
    <n v="0.22"/>
    <n v="5809.44"/>
    <x v="639"/>
    <n v="0.2"/>
    <x v="638"/>
    <x v="2"/>
    <x v="0"/>
    <n v="4"/>
    <x v="1"/>
    <x v="4"/>
    <n v="6"/>
    <s v="2024-06"/>
    <n v="37180.42"/>
    <s v="Standard"/>
    <s v="Profitable"/>
    <s v="High Value"/>
  </r>
  <r>
    <x v="642"/>
    <x v="642"/>
    <s v="Priya Mehta"/>
    <x v="3"/>
    <s v="Canada"/>
    <s v="Toronto"/>
    <x v="1"/>
    <s v="Tennis Racket"/>
    <x v="627"/>
    <n v="9"/>
    <n v="4953"/>
    <n v="0.16"/>
    <n v="4160.5200000000004"/>
    <x v="640"/>
    <n v="0.25"/>
    <x v="639"/>
    <x v="2"/>
    <x v="1"/>
    <n v="4"/>
    <x v="0"/>
    <x v="10"/>
    <n v="5"/>
    <s v="2023-05"/>
    <n v="28083.510000000002"/>
    <s v="Standard"/>
    <s v="Profitable"/>
    <s v="High Value"/>
  </r>
  <r>
    <x v="643"/>
    <x v="643"/>
    <s v="Maria Singh"/>
    <x v="2"/>
    <s v="Uk"/>
    <s v="London"/>
    <x v="2"/>
    <s v="Chair"/>
    <x v="628"/>
    <n v="5"/>
    <n v="12340"/>
    <n v="0.24"/>
    <n v="9378.4"/>
    <x v="641"/>
    <n v="0.2"/>
    <x v="640"/>
    <x v="1"/>
    <x v="0"/>
    <n v="5"/>
    <x v="1"/>
    <x v="4"/>
    <n v="6"/>
    <s v="2024-06"/>
    <n v="37513.599999999999"/>
    <s v="Standard"/>
    <s v="Profitable"/>
    <s v="High Value"/>
  </r>
  <r>
    <x v="644"/>
    <x v="644"/>
    <s v="Priya Mehta"/>
    <x v="0"/>
    <s v="Uk"/>
    <s v="Mumbai"/>
    <x v="4"/>
    <s v="Mobile"/>
    <x v="629"/>
    <n v="3"/>
    <n v="23669"/>
    <n v="0.11"/>
    <n v="21065.41"/>
    <x v="642"/>
    <n v="0.15"/>
    <x v="641"/>
    <x v="1"/>
    <x v="0"/>
    <n v="8"/>
    <x v="0"/>
    <x v="9"/>
    <n v="7"/>
    <s v="2023-07"/>
    <n v="53716.800000000003"/>
    <s v="Delayed"/>
    <s v="Profitable"/>
    <s v="High Value"/>
  </r>
  <r>
    <x v="645"/>
    <x v="645"/>
    <s v="David Lee"/>
    <x v="1"/>
    <s v="Canada"/>
    <s v="London"/>
    <x v="1"/>
    <s v="Yoga Mat"/>
    <x v="630"/>
    <n v="3"/>
    <n v="13668"/>
    <n v="7.0000000000000007E-2"/>
    <n v="12711.24"/>
    <x v="643"/>
    <n v="0.25"/>
    <x v="642"/>
    <x v="0"/>
    <x v="0"/>
    <n v="3"/>
    <x v="0"/>
    <x v="6"/>
    <n v="4"/>
    <s v="2023-04"/>
    <n v="28600.29"/>
    <s v="Fast"/>
    <s v="Profitable"/>
    <s v="High Value"/>
  </r>
  <r>
    <x v="646"/>
    <x v="646"/>
    <s v="Priya Mehta"/>
    <x v="2"/>
    <s v="Canada"/>
    <s v="Delhi"/>
    <x v="3"/>
    <s v="Jacket"/>
    <x v="631"/>
    <n v="8"/>
    <n v="4423"/>
    <n v="0.23"/>
    <n v="3405.71"/>
    <x v="644"/>
    <n v="0.35"/>
    <x v="643"/>
    <x v="2"/>
    <x v="0"/>
    <n v="5"/>
    <x v="0"/>
    <x v="4"/>
    <n v="6"/>
    <s v="2023-06"/>
    <n v="17709.690000000002"/>
    <s v="Standard"/>
    <s v="Profitable"/>
    <s v="High Value"/>
  </r>
  <r>
    <x v="647"/>
    <x v="647"/>
    <s v="Sara Khan"/>
    <x v="2"/>
    <s v="Usa"/>
    <s v="Mumbai"/>
    <x v="2"/>
    <s v="Chair"/>
    <x v="632"/>
    <n v="4"/>
    <n v="12183"/>
    <n v="0.02"/>
    <n v="11939.34"/>
    <x v="645"/>
    <n v="0.2"/>
    <x v="644"/>
    <x v="3"/>
    <x v="0"/>
    <n v="7"/>
    <x v="2"/>
    <x v="11"/>
    <n v="9"/>
    <s v="2025-09"/>
    <n v="38205.89"/>
    <s v="Standard"/>
    <s v="Profitable"/>
    <s v="High Value"/>
  </r>
  <r>
    <x v="648"/>
    <x v="648"/>
    <s v="Amit Verma"/>
    <x v="1"/>
    <s v="India"/>
    <s v="Toronto"/>
    <x v="4"/>
    <s v="Earphones"/>
    <x v="633"/>
    <n v="2"/>
    <n v="33669"/>
    <n v="0.05"/>
    <n v="31985.55"/>
    <x v="646"/>
    <n v="0.15"/>
    <x v="645"/>
    <x v="3"/>
    <x v="1"/>
    <n v="4"/>
    <x v="0"/>
    <x v="0"/>
    <n v="11"/>
    <s v="2023-11"/>
    <n v="54375.44"/>
    <s v="Standard"/>
    <s v="Profitable"/>
    <s v="High Value"/>
  </r>
  <r>
    <x v="649"/>
    <x v="649"/>
    <s v="Maria Singh"/>
    <x v="2"/>
    <s v="Usa"/>
    <s v="Toronto"/>
    <x v="1"/>
    <s v="Football"/>
    <x v="634"/>
    <n v="9"/>
    <n v="4638"/>
    <n v="0.08"/>
    <n v="4266.96"/>
    <x v="647"/>
    <n v="0.25"/>
    <x v="646"/>
    <x v="0"/>
    <x v="0"/>
    <n v="8"/>
    <x v="0"/>
    <x v="7"/>
    <n v="2"/>
    <s v="2023-02"/>
    <n v="28801.98"/>
    <s v="Delayed"/>
    <s v="Profitable"/>
    <s v="High Value"/>
  </r>
  <r>
    <x v="650"/>
    <x v="650"/>
    <s v="John Smith"/>
    <x v="2"/>
    <s v="Usa"/>
    <s v="Bangalore"/>
    <x v="1"/>
    <s v="Tennis Racket"/>
    <x v="635"/>
    <n v="3"/>
    <n v="13065"/>
    <n v="0.02"/>
    <n v="12803.7"/>
    <x v="648"/>
    <n v="0.25"/>
    <x v="647"/>
    <x v="2"/>
    <x v="1"/>
    <n v="3"/>
    <x v="0"/>
    <x v="9"/>
    <n v="7"/>
    <s v="2023-07"/>
    <n v="28808.32"/>
    <s v="Fast"/>
    <s v="Profitable"/>
    <s v="High Value"/>
  </r>
  <r>
    <x v="651"/>
    <x v="651"/>
    <s v="Priya Mehta"/>
    <x v="2"/>
    <s v="Uk"/>
    <s v="Toronto"/>
    <x v="2"/>
    <s v="Bookshelf"/>
    <x v="636"/>
    <n v="4"/>
    <n v="14373"/>
    <n v="0.16"/>
    <n v="12073.32"/>
    <x v="649"/>
    <n v="0.2"/>
    <x v="648"/>
    <x v="2"/>
    <x v="0"/>
    <n v="7"/>
    <x v="0"/>
    <x v="9"/>
    <n v="7"/>
    <s v="2023-07"/>
    <n v="38634.619999999995"/>
    <s v="Standard"/>
    <s v="Profitable"/>
    <s v="High Value"/>
  </r>
  <r>
    <x v="652"/>
    <x v="652"/>
    <s v="David Lee"/>
    <x v="0"/>
    <s v="Canada"/>
    <s v="Toronto"/>
    <x v="2"/>
    <s v="Chair"/>
    <x v="637"/>
    <n v="4"/>
    <n v="15493"/>
    <n v="0.21"/>
    <n v="12239.47"/>
    <x v="650"/>
    <n v="0.2"/>
    <x v="649"/>
    <x v="0"/>
    <x v="0"/>
    <n v="5"/>
    <x v="2"/>
    <x v="10"/>
    <n v="5"/>
    <s v="2025-05"/>
    <n v="39166.299999999996"/>
    <s v="Standard"/>
    <s v="Profitable"/>
    <s v="High Value"/>
  </r>
  <r>
    <x v="653"/>
    <x v="653"/>
    <s v="Amit Verma"/>
    <x v="2"/>
    <s v="India"/>
    <s v="New York"/>
    <x v="2"/>
    <s v="Bookshelf"/>
    <x v="638"/>
    <n v="5"/>
    <n v="10535"/>
    <n v="7.0000000000000007E-2"/>
    <n v="9797.5499999999993"/>
    <x v="651"/>
    <n v="0.2"/>
    <x v="650"/>
    <x v="1"/>
    <x v="0"/>
    <n v="6"/>
    <x v="2"/>
    <x v="5"/>
    <n v="8"/>
    <s v="2025-08"/>
    <n v="39190.199999999997"/>
    <s v="Standard"/>
    <s v="Profitable"/>
    <s v="High Value"/>
  </r>
  <r>
    <x v="654"/>
    <x v="654"/>
    <s v="John Smith"/>
    <x v="1"/>
    <s v="Usa"/>
    <s v="Mumbai"/>
    <x v="1"/>
    <s v="Football"/>
    <x v="639"/>
    <n v="6"/>
    <n v="6539"/>
    <n v="0"/>
    <n v="6539"/>
    <x v="652"/>
    <n v="0.25"/>
    <x v="651"/>
    <x v="0"/>
    <x v="0"/>
    <n v="8"/>
    <x v="0"/>
    <x v="1"/>
    <n v="10"/>
    <s v="2023-10"/>
    <n v="29425.5"/>
    <s v="Delayed"/>
    <s v="Profitable"/>
    <s v="High Value"/>
  </r>
  <r>
    <x v="655"/>
    <x v="655"/>
    <s v="David Lee"/>
    <x v="2"/>
    <s v="Canada"/>
    <s v="Mumbai"/>
    <x v="4"/>
    <s v="Tablet"/>
    <x v="640"/>
    <n v="3"/>
    <n v="26531"/>
    <n v="0.17"/>
    <n v="22020.73"/>
    <x v="653"/>
    <n v="0.15"/>
    <x v="652"/>
    <x v="3"/>
    <x v="0"/>
    <n v="7"/>
    <x v="1"/>
    <x v="11"/>
    <n v="9"/>
    <s v="2024-09"/>
    <n v="56152.86"/>
    <s v="Standard"/>
    <s v="Profitable"/>
    <s v="High Value"/>
  </r>
  <r>
    <x v="656"/>
    <x v="656"/>
    <s v="Amit Verma"/>
    <x v="0"/>
    <s v="India"/>
    <s v="Mumbai"/>
    <x v="3"/>
    <s v="Dress"/>
    <x v="563"/>
    <n v="9"/>
    <n v="4197"/>
    <n v="0.25"/>
    <n v="3147.75"/>
    <x v="654"/>
    <n v="0.35"/>
    <x v="653"/>
    <x v="2"/>
    <x v="2"/>
    <n v="3"/>
    <x v="1"/>
    <x v="0"/>
    <n v="11"/>
    <s v="2024-11"/>
    <n v="18414.34"/>
    <s v="Fast"/>
    <s v="Profitable"/>
    <s v="High Value"/>
  </r>
  <r>
    <x v="657"/>
    <x v="657"/>
    <s v="Amit Verma"/>
    <x v="2"/>
    <s v="Uk"/>
    <s v="London"/>
    <x v="4"/>
    <s v="Earphones"/>
    <x v="641"/>
    <n v="2"/>
    <n v="44084"/>
    <n v="0.25"/>
    <n v="33063"/>
    <x v="655"/>
    <n v="0.15"/>
    <x v="654"/>
    <x v="2"/>
    <x v="0"/>
    <n v="6"/>
    <x v="0"/>
    <x v="8"/>
    <n v="12"/>
    <s v="2023-12"/>
    <n v="56207.1"/>
    <s v="Standard"/>
    <s v="Profitable"/>
    <s v="High Value"/>
  </r>
  <r>
    <x v="658"/>
    <x v="658"/>
    <s v="Priya Mehta"/>
    <x v="3"/>
    <s v="Canada"/>
    <s v="Bangalore"/>
    <x v="4"/>
    <s v="Laptop"/>
    <x v="642"/>
    <n v="1"/>
    <n v="76024"/>
    <n v="0.13"/>
    <n v="66140.88"/>
    <x v="656"/>
    <n v="0.15"/>
    <x v="655"/>
    <x v="3"/>
    <x v="0"/>
    <n v="4"/>
    <x v="0"/>
    <x v="5"/>
    <n v="8"/>
    <s v="2023-08"/>
    <n v="56219.750000000007"/>
    <s v="Standard"/>
    <s v="Profitable"/>
    <s v="High Value"/>
  </r>
  <r>
    <x v="659"/>
    <x v="659"/>
    <s v="Priya Mehta"/>
    <x v="2"/>
    <s v="India"/>
    <s v="New York"/>
    <x v="2"/>
    <s v="Chair"/>
    <x v="643"/>
    <n v="5"/>
    <n v="10906"/>
    <n v="0.09"/>
    <n v="9924.4599999999991"/>
    <x v="657"/>
    <n v="0.2"/>
    <x v="656"/>
    <x v="2"/>
    <x v="1"/>
    <n v="4"/>
    <x v="1"/>
    <x v="11"/>
    <n v="9"/>
    <s v="2024-09"/>
    <n v="39697.840000000004"/>
    <s v="Standard"/>
    <s v="Profitable"/>
    <s v="High Value"/>
  </r>
  <r>
    <x v="660"/>
    <x v="660"/>
    <s v="David Lee"/>
    <x v="0"/>
    <s v="Uk"/>
    <s v="Delhi"/>
    <x v="1"/>
    <s v="Cricket Bat"/>
    <x v="644"/>
    <n v="8"/>
    <n v="5869"/>
    <n v="0.15"/>
    <n v="4988.6499999999996"/>
    <x v="658"/>
    <n v="0.25"/>
    <x v="657"/>
    <x v="1"/>
    <x v="0"/>
    <n v="9"/>
    <x v="2"/>
    <x v="11"/>
    <n v="9"/>
    <s v="2025-09"/>
    <n v="29931.899999999998"/>
    <s v="Delayed"/>
    <s v="Profitable"/>
    <s v="High Value"/>
  </r>
  <r>
    <x v="661"/>
    <x v="661"/>
    <s v="Maria Singh"/>
    <x v="3"/>
    <s v="India"/>
    <s v="Toronto"/>
    <x v="3"/>
    <s v="Jacket"/>
    <x v="645"/>
    <n v="8"/>
    <n v="4348"/>
    <n v="0.18"/>
    <n v="3565.36"/>
    <x v="659"/>
    <n v="0.35"/>
    <x v="658"/>
    <x v="0"/>
    <x v="0"/>
    <n v="2"/>
    <x v="0"/>
    <x v="11"/>
    <n v="9"/>
    <s v="2023-09"/>
    <n v="18539.870000000003"/>
    <s v="Fast"/>
    <s v="Profitable"/>
    <s v="High Value"/>
  </r>
  <r>
    <x v="662"/>
    <x v="662"/>
    <s v="Amit Verma"/>
    <x v="1"/>
    <s v="Canada"/>
    <s v="Toronto"/>
    <x v="4"/>
    <s v="Laptop"/>
    <x v="646"/>
    <n v="6"/>
    <n v="12920"/>
    <n v="0.14000000000000001"/>
    <n v="11111.2"/>
    <x v="660"/>
    <n v="0.15"/>
    <x v="659"/>
    <x v="1"/>
    <x v="0"/>
    <n v="3"/>
    <x v="0"/>
    <x v="7"/>
    <n v="2"/>
    <s v="2023-02"/>
    <n v="56667.119999999995"/>
    <s v="Fast"/>
    <s v="Profitable"/>
    <s v="High Value"/>
  </r>
  <r>
    <x v="663"/>
    <x v="663"/>
    <s v="Sara Khan"/>
    <x v="1"/>
    <s v="Usa"/>
    <s v="London"/>
    <x v="1"/>
    <s v="Yoga Mat"/>
    <x v="647"/>
    <n v="8"/>
    <n v="6343"/>
    <n v="0.21"/>
    <n v="5010.97"/>
    <x v="661"/>
    <n v="0.25"/>
    <x v="660"/>
    <x v="2"/>
    <x v="0"/>
    <n v="9"/>
    <x v="2"/>
    <x v="3"/>
    <n v="1"/>
    <s v="2025-01"/>
    <n v="30065.82"/>
    <s v="Delayed"/>
    <s v="Profitable"/>
    <s v="High Value"/>
  </r>
  <r>
    <x v="664"/>
    <x v="664"/>
    <s v="David Lee"/>
    <x v="2"/>
    <s v="Canada"/>
    <s v="Delhi"/>
    <x v="2"/>
    <s v="Chair"/>
    <x v="648"/>
    <n v="3"/>
    <n v="18002"/>
    <n v="7.0000000000000007E-2"/>
    <n v="16741.86"/>
    <x v="662"/>
    <n v="0.2"/>
    <x v="661"/>
    <x v="2"/>
    <x v="0"/>
    <n v="9"/>
    <x v="0"/>
    <x v="7"/>
    <n v="2"/>
    <s v="2023-02"/>
    <n v="40180.46"/>
    <s v="Delayed"/>
    <s v="Profitable"/>
    <s v="High Value"/>
  </r>
  <r>
    <x v="665"/>
    <x v="665"/>
    <s v="Priya Mehta"/>
    <x v="3"/>
    <s v="Uk"/>
    <s v="Delhi"/>
    <x v="1"/>
    <s v="Tennis Racket"/>
    <x v="649"/>
    <n v="5"/>
    <n v="8473"/>
    <n v="0.05"/>
    <n v="8049.35"/>
    <x v="663"/>
    <n v="0.25"/>
    <x v="662"/>
    <x v="0"/>
    <x v="0"/>
    <n v="7"/>
    <x v="0"/>
    <x v="4"/>
    <n v="6"/>
    <s v="2023-06"/>
    <n v="30185.059999999998"/>
    <s v="Standard"/>
    <s v="Profitable"/>
    <s v="High Value"/>
  </r>
  <r>
    <x v="666"/>
    <x v="666"/>
    <s v="David Lee"/>
    <x v="3"/>
    <s v="Usa"/>
    <s v="Delhi"/>
    <x v="3"/>
    <s v="Jeans"/>
    <x v="614"/>
    <n v="9"/>
    <n v="4157"/>
    <n v="0.23"/>
    <n v="3200.89"/>
    <x v="664"/>
    <n v="0.35"/>
    <x v="663"/>
    <x v="3"/>
    <x v="0"/>
    <n v="5"/>
    <x v="2"/>
    <x v="11"/>
    <n v="9"/>
    <s v="2025-09"/>
    <n v="18725.21"/>
    <s v="Standard"/>
    <s v="Profitable"/>
    <s v="High Value"/>
  </r>
  <r>
    <x v="667"/>
    <x v="667"/>
    <s v="Priya Mehta"/>
    <x v="1"/>
    <s v="Usa"/>
    <s v="Bangalore"/>
    <x v="1"/>
    <s v="Yoga Mat"/>
    <x v="650"/>
    <n v="8"/>
    <n v="5798"/>
    <n v="0.13"/>
    <n v="5044.26"/>
    <x v="665"/>
    <n v="0.25"/>
    <x v="664"/>
    <x v="2"/>
    <x v="0"/>
    <n v="2"/>
    <x v="1"/>
    <x v="5"/>
    <n v="8"/>
    <s v="2024-08"/>
    <n v="30265.56"/>
    <s v="Fast"/>
    <s v="Profitable"/>
    <s v="High Value"/>
  </r>
  <r>
    <x v="668"/>
    <x v="668"/>
    <s v="Sara Khan"/>
    <x v="2"/>
    <s v="Uk"/>
    <s v="Delhi"/>
    <x v="2"/>
    <s v="Bookshelf"/>
    <x v="651"/>
    <n v="4"/>
    <n v="14232"/>
    <n v="0.11"/>
    <n v="12666.48"/>
    <x v="666"/>
    <n v="0.2"/>
    <x v="665"/>
    <x v="3"/>
    <x v="0"/>
    <n v="5"/>
    <x v="1"/>
    <x v="0"/>
    <n v="11"/>
    <s v="2024-11"/>
    <n v="40532.74"/>
    <s v="Standard"/>
    <s v="Profitable"/>
    <s v="High Value"/>
  </r>
  <r>
    <x v="669"/>
    <x v="669"/>
    <s v="Priya Mehta"/>
    <x v="3"/>
    <s v="Uk"/>
    <s v="New York"/>
    <x v="1"/>
    <s v="Yoga Mat"/>
    <x v="652"/>
    <n v="7"/>
    <n v="6238"/>
    <n v="7.0000000000000007E-2"/>
    <n v="5801.34"/>
    <x v="667"/>
    <n v="0.25"/>
    <x v="666"/>
    <x v="3"/>
    <x v="1"/>
    <n v="9"/>
    <x v="0"/>
    <x v="9"/>
    <n v="7"/>
    <s v="2023-07"/>
    <n v="30457.039999999997"/>
    <s v="Delayed"/>
    <s v="Profitable"/>
    <s v="High Value"/>
  </r>
  <r>
    <x v="670"/>
    <x v="670"/>
    <s v="Priya Mehta"/>
    <x v="3"/>
    <s v="India"/>
    <s v="Mumbai"/>
    <x v="3"/>
    <s v="Jeans"/>
    <x v="653"/>
    <n v="8"/>
    <n v="3874"/>
    <n v="0.05"/>
    <n v="3680.3"/>
    <x v="668"/>
    <n v="0.35"/>
    <x v="667"/>
    <x v="1"/>
    <x v="0"/>
    <n v="7"/>
    <x v="0"/>
    <x v="6"/>
    <n v="4"/>
    <s v="2023-04"/>
    <n v="19137.560000000001"/>
    <s v="Standard"/>
    <s v="Profitable"/>
    <s v="High Value"/>
  </r>
  <r>
    <x v="671"/>
    <x v="671"/>
    <s v="Priya Mehta"/>
    <x v="0"/>
    <s v="Canada"/>
    <s v="New York"/>
    <x v="4"/>
    <s v="Tablet"/>
    <x v="654"/>
    <n v="1"/>
    <n v="77278"/>
    <n v="0.11"/>
    <n v="68777.42"/>
    <x v="669"/>
    <n v="0.15"/>
    <x v="668"/>
    <x v="0"/>
    <x v="0"/>
    <n v="8"/>
    <x v="0"/>
    <x v="10"/>
    <n v="5"/>
    <s v="2023-05"/>
    <n v="58460.81"/>
    <s v="Delayed"/>
    <s v="Profitable"/>
    <s v="High Value"/>
  </r>
  <r>
    <x v="672"/>
    <x v="672"/>
    <s v="Sara Khan"/>
    <x v="3"/>
    <s v="Uk"/>
    <s v="Delhi"/>
    <x v="1"/>
    <s v="Tennis Racket"/>
    <x v="655"/>
    <n v="5"/>
    <n v="8898"/>
    <n v="7.0000000000000007E-2"/>
    <n v="8275.14"/>
    <x v="670"/>
    <n v="0.25"/>
    <x v="669"/>
    <x v="0"/>
    <x v="0"/>
    <n v="1"/>
    <x v="1"/>
    <x v="9"/>
    <n v="7"/>
    <s v="2024-07"/>
    <n v="31031.78"/>
    <s v="Fast"/>
    <s v="Profitable"/>
    <s v="High Value"/>
  </r>
  <r>
    <x v="673"/>
    <x v="673"/>
    <s v="Amit Verma"/>
    <x v="1"/>
    <s v="Usa"/>
    <s v="Toronto"/>
    <x v="3"/>
    <s v="Jacket"/>
    <x v="656"/>
    <n v="8"/>
    <n v="3773"/>
    <n v="0.02"/>
    <n v="3697.54"/>
    <x v="671"/>
    <n v="0.35"/>
    <x v="670"/>
    <x v="1"/>
    <x v="0"/>
    <n v="7"/>
    <x v="0"/>
    <x v="8"/>
    <n v="12"/>
    <s v="2023-12"/>
    <n v="19227.21"/>
    <s v="Standard"/>
    <s v="Profitable"/>
    <s v="High Value"/>
  </r>
  <r>
    <x v="674"/>
    <x v="674"/>
    <s v="David Lee"/>
    <x v="1"/>
    <s v="Usa"/>
    <s v="Mumbai"/>
    <x v="4"/>
    <s v="Earphones"/>
    <x v="657"/>
    <n v="3"/>
    <n v="27073"/>
    <n v="0.15"/>
    <n v="23012.05"/>
    <x v="672"/>
    <n v="0.15"/>
    <x v="671"/>
    <x v="2"/>
    <x v="0"/>
    <n v="5"/>
    <x v="2"/>
    <x v="4"/>
    <n v="6"/>
    <s v="2025-06"/>
    <n v="58680.729999999996"/>
    <s v="Standard"/>
    <s v="Profitable"/>
    <s v="High Value"/>
  </r>
  <r>
    <x v="675"/>
    <x v="675"/>
    <s v="Sara Khan"/>
    <x v="3"/>
    <s v="Canada"/>
    <s v="Delhi"/>
    <x v="3"/>
    <s v="Jeans"/>
    <x v="658"/>
    <n v="9"/>
    <n v="3515"/>
    <n v="0.06"/>
    <n v="3304.1"/>
    <x v="673"/>
    <n v="0.35"/>
    <x v="672"/>
    <x v="1"/>
    <x v="0"/>
    <n v="1"/>
    <x v="0"/>
    <x v="11"/>
    <n v="9"/>
    <s v="2023-09"/>
    <n v="19328.990000000002"/>
    <s v="Fast"/>
    <s v="Profitable"/>
    <s v="High Value"/>
  </r>
  <r>
    <x v="676"/>
    <x v="676"/>
    <s v="John Smith"/>
    <x v="0"/>
    <s v="Canada"/>
    <s v="Toronto"/>
    <x v="2"/>
    <s v="Sofa"/>
    <x v="659"/>
    <n v="9"/>
    <n v="7435"/>
    <n v="0.22"/>
    <n v="5799.3"/>
    <x v="674"/>
    <n v="0.2"/>
    <x v="673"/>
    <x v="1"/>
    <x v="0"/>
    <n v="4"/>
    <x v="1"/>
    <x v="6"/>
    <n v="4"/>
    <s v="2024-04"/>
    <n v="41754.959999999999"/>
    <s v="Standard"/>
    <s v="Profitable"/>
    <s v="High Value"/>
  </r>
  <r>
    <x v="677"/>
    <x v="677"/>
    <s v="Sara Khan"/>
    <x v="3"/>
    <s v="Uk"/>
    <s v="Mumbai"/>
    <x v="3"/>
    <s v="Jacket"/>
    <x v="660"/>
    <n v="8"/>
    <n v="4723"/>
    <n v="0.21"/>
    <n v="3731.17"/>
    <x v="675"/>
    <n v="0.35"/>
    <x v="674"/>
    <x v="1"/>
    <x v="0"/>
    <n v="7"/>
    <x v="1"/>
    <x v="10"/>
    <n v="5"/>
    <s v="2024-05"/>
    <n v="19402.080000000002"/>
    <s v="Standard"/>
    <s v="Profitable"/>
    <s v="High Value"/>
  </r>
  <r>
    <x v="678"/>
    <x v="678"/>
    <s v="David Lee"/>
    <x v="1"/>
    <s v="Uk"/>
    <s v="Delhi"/>
    <x v="2"/>
    <s v="Sofa"/>
    <x v="661"/>
    <n v="5"/>
    <n v="12181"/>
    <n v="0.14000000000000001"/>
    <n v="10475.66"/>
    <x v="676"/>
    <n v="0.2"/>
    <x v="675"/>
    <x v="2"/>
    <x v="0"/>
    <n v="7"/>
    <x v="0"/>
    <x v="7"/>
    <n v="2"/>
    <s v="2023-02"/>
    <n v="41902.639999999999"/>
    <s v="Standard"/>
    <s v="Profitable"/>
    <s v="High Value"/>
  </r>
  <r>
    <x v="679"/>
    <x v="679"/>
    <s v="Priya Mehta"/>
    <x v="3"/>
    <s v="India"/>
    <s v="New York"/>
    <x v="2"/>
    <s v="Table"/>
    <x v="226"/>
    <n v="4"/>
    <n v="15279"/>
    <n v="0.14000000000000001"/>
    <n v="13139.94"/>
    <x v="677"/>
    <n v="0.2"/>
    <x v="676"/>
    <x v="0"/>
    <x v="0"/>
    <n v="5"/>
    <x v="1"/>
    <x v="1"/>
    <n v="10"/>
    <s v="2024-10"/>
    <n v="42047.81"/>
    <s v="Standard"/>
    <s v="Profitable"/>
    <s v="High Value"/>
  </r>
  <r>
    <x v="680"/>
    <x v="680"/>
    <s v="Priya Mehta"/>
    <x v="3"/>
    <s v="Canada"/>
    <s v="Delhi"/>
    <x v="2"/>
    <s v="Bookshelf"/>
    <x v="662"/>
    <n v="3"/>
    <n v="19921"/>
    <n v="0.12"/>
    <n v="17530.48"/>
    <x v="678"/>
    <n v="0.2"/>
    <x v="677"/>
    <x v="1"/>
    <x v="0"/>
    <n v="6"/>
    <x v="2"/>
    <x v="9"/>
    <n v="7"/>
    <s v="2025-07"/>
    <n v="42073.15"/>
    <s v="Standard"/>
    <s v="Profitable"/>
    <s v="High Value"/>
  </r>
  <r>
    <x v="681"/>
    <x v="681"/>
    <s v="Priya Mehta"/>
    <x v="3"/>
    <s v="Usa"/>
    <s v="New York"/>
    <x v="3"/>
    <s v="Jeans"/>
    <x v="663"/>
    <n v="9"/>
    <n v="3637"/>
    <n v="0.08"/>
    <n v="3346.04"/>
    <x v="679"/>
    <n v="0.35"/>
    <x v="678"/>
    <x v="1"/>
    <x v="0"/>
    <n v="3"/>
    <x v="2"/>
    <x v="9"/>
    <n v="7"/>
    <s v="2025-07"/>
    <n v="19574.330000000002"/>
    <s v="Fast"/>
    <s v="Profitable"/>
    <s v="High Value"/>
  </r>
  <r>
    <x v="682"/>
    <x v="682"/>
    <s v="Maria Singh"/>
    <x v="0"/>
    <s v="India"/>
    <s v="Bangalore"/>
    <x v="2"/>
    <s v="Chair"/>
    <x v="664"/>
    <n v="3"/>
    <n v="17836"/>
    <n v="0.01"/>
    <n v="17657.64"/>
    <x v="680"/>
    <n v="0.2"/>
    <x v="679"/>
    <x v="3"/>
    <x v="0"/>
    <n v="5"/>
    <x v="1"/>
    <x v="7"/>
    <n v="2"/>
    <s v="2024-02"/>
    <n v="42378.34"/>
    <s v="Standard"/>
    <s v="Profitable"/>
    <s v="High Value"/>
  </r>
  <r>
    <x v="683"/>
    <x v="683"/>
    <s v="Amit Verma"/>
    <x v="0"/>
    <s v="Uk"/>
    <s v="Delhi"/>
    <x v="1"/>
    <s v="Cricket Bat"/>
    <x v="665"/>
    <n v="5"/>
    <n v="10732"/>
    <n v="0.21"/>
    <n v="8478.2800000000007"/>
    <x v="681"/>
    <n v="0.25"/>
    <x v="680"/>
    <x v="2"/>
    <x v="0"/>
    <n v="6"/>
    <x v="1"/>
    <x v="2"/>
    <n v="3"/>
    <s v="2024-03"/>
    <n v="31793.550000000003"/>
    <s v="Standard"/>
    <s v="Profitable"/>
    <s v="High Value"/>
  </r>
  <r>
    <x v="684"/>
    <x v="684"/>
    <s v="Sara Khan"/>
    <x v="2"/>
    <s v="Canada"/>
    <s v="Toronto"/>
    <x v="3"/>
    <s v="Dress"/>
    <x v="666"/>
    <n v="8"/>
    <n v="4365"/>
    <n v="0.13"/>
    <n v="3797.55"/>
    <x v="682"/>
    <n v="0.35"/>
    <x v="681"/>
    <x v="0"/>
    <x v="0"/>
    <n v="9"/>
    <x v="0"/>
    <x v="11"/>
    <n v="9"/>
    <s v="2023-09"/>
    <n v="19747.260000000002"/>
    <s v="Delayed"/>
    <s v="Profitable"/>
    <s v="High Value"/>
  </r>
  <r>
    <x v="685"/>
    <x v="685"/>
    <s v="Priya Mehta"/>
    <x v="3"/>
    <s v="India"/>
    <s v="Mumbai"/>
    <x v="4"/>
    <s v="Tablet"/>
    <x v="667"/>
    <n v="1"/>
    <n v="77203"/>
    <n v="0.08"/>
    <n v="71026.759999999995"/>
    <x v="683"/>
    <n v="0.15"/>
    <x v="682"/>
    <x v="3"/>
    <x v="0"/>
    <n v="7"/>
    <x v="0"/>
    <x v="5"/>
    <n v="8"/>
    <s v="2023-08"/>
    <n v="60372.749999999993"/>
    <s v="Standard"/>
    <s v="Profitable"/>
    <s v="High Value"/>
  </r>
  <r>
    <x v="686"/>
    <x v="686"/>
    <s v="Priya Mehta"/>
    <x v="0"/>
    <s v="Canada"/>
    <s v="Mumbai"/>
    <x v="1"/>
    <s v="Tennis Racket"/>
    <x v="668"/>
    <n v="4"/>
    <n v="12563"/>
    <n v="0.15"/>
    <n v="10678.55"/>
    <x v="684"/>
    <n v="0.25"/>
    <x v="683"/>
    <x v="2"/>
    <x v="0"/>
    <n v="1"/>
    <x v="0"/>
    <x v="11"/>
    <n v="9"/>
    <s v="2023-09"/>
    <n v="32035.649999999998"/>
    <s v="Fast"/>
    <s v="Profitable"/>
    <s v="High Value"/>
  </r>
  <r>
    <x v="687"/>
    <x v="687"/>
    <s v="John Smith"/>
    <x v="3"/>
    <s v="India"/>
    <s v="Mumbai"/>
    <x v="2"/>
    <s v="Table"/>
    <x v="669"/>
    <n v="8"/>
    <n v="7432"/>
    <n v="0.1"/>
    <n v="6688.8"/>
    <x v="685"/>
    <n v="0.2"/>
    <x v="684"/>
    <x v="0"/>
    <x v="0"/>
    <n v="8"/>
    <x v="2"/>
    <x v="4"/>
    <n v="6"/>
    <s v="2025-06"/>
    <n v="42808.32"/>
    <s v="Delayed"/>
    <s v="Profitable"/>
    <s v="High Value"/>
  </r>
  <r>
    <x v="688"/>
    <x v="688"/>
    <s v="Maria Singh"/>
    <x v="0"/>
    <s v="Canada"/>
    <s v="Delhi"/>
    <x v="3"/>
    <s v="Dress"/>
    <x v="670"/>
    <n v="8"/>
    <n v="4785"/>
    <n v="0.2"/>
    <n v="3828"/>
    <x v="686"/>
    <n v="0.35"/>
    <x v="685"/>
    <x v="0"/>
    <x v="1"/>
    <n v="6"/>
    <x v="1"/>
    <x v="1"/>
    <n v="10"/>
    <s v="2024-10"/>
    <n v="19905.599999999999"/>
    <s v="Standard"/>
    <s v="Profitable"/>
    <s v="High Value"/>
  </r>
  <r>
    <x v="689"/>
    <x v="689"/>
    <s v="John Smith"/>
    <x v="1"/>
    <s v="Uk"/>
    <s v="Mumbai"/>
    <x v="4"/>
    <s v="Tablet"/>
    <x v="671"/>
    <n v="6"/>
    <n v="14895"/>
    <n v="0.2"/>
    <n v="11916"/>
    <x v="687"/>
    <n v="0.15"/>
    <x v="686"/>
    <x v="2"/>
    <x v="1"/>
    <n v="6"/>
    <x v="1"/>
    <x v="2"/>
    <n v="3"/>
    <s v="2024-03"/>
    <n v="60771.6"/>
    <s v="Standard"/>
    <s v="Profitable"/>
    <s v="High Value"/>
  </r>
  <r>
    <x v="690"/>
    <x v="690"/>
    <s v="Amit Verma"/>
    <x v="3"/>
    <s v="Uk"/>
    <s v="Mumbai"/>
    <x v="2"/>
    <s v="Sofa"/>
    <x v="672"/>
    <n v="5"/>
    <n v="12106"/>
    <n v="0.11"/>
    <n v="10774.34"/>
    <x v="688"/>
    <n v="0.2"/>
    <x v="687"/>
    <x v="0"/>
    <x v="0"/>
    <n v="2"/>
    <x v="1"/>
    <x v="3"/>
    <n v="1"/>
    <s v="2024-01"/>
    <n v="43097.36"/>
    <s v="Fast"/>
    <s v="Profitable"/>
    <s v="High Value"/>
  </r>
  <r>
    <x v="691"/>
    <x v="691"/>
    <s v="Priya Mehta"/>
    <x v="0"/>
    <s v="Usa"/>
    <s v="Mumbai"/>
    <x v="4"/>
    <s v="Tablet"/>
    <x v="673"/>
    <n v="4"/>
    <n v="23760"/>
    <n v="0.24"/>
    <n v="18057.599999999999"/>
    <x v="689"/>
    <n v="0.15"/>
    <x v="688"/>
    <x v="3"/>
    <x v="1"/>
    <n v="7"/>
    <x v="0"/>
    <x v="6"/>
    <n v="4"/>
    <s v="2023-04"/>
    <n v="61395.839999999997"/>
    <s v="Standard"/>
    <s v="Profitable"/>
    <s v="High Value"/>
  </r>
  <r>
    <x v="692"/>
    <x v="692"/>
    <s v="Maria Singh"/>
    <x v="1"/>
    <s v="India"/>
    <s v="London"/>
    <x v="1"/>
    <s v="Cricket Bat"/>
    <x v="674"/>
    <n v="4"/>
    <n v="12148"/>
    <n v="0.1"/>
    <n v="10933.2"/>
    <x v="690"/>
    <n v="0.25"/>
    <x v="689"/>
    <x v="3"/>
    <x v="0"/>
    <n v="7"/>
    <x v="0"/>
    <x v="3"/>
    <n v="1"/>
    <s v="2023-01"/>
    <n v="32799.600000000006"/>
    <s v="Standard"/>
    <s v="Profitable"/>
    <s v="High Value"/>
  </r>
  <r>
    <x v="693"/>
    <x v="693"/>
    <s v="Maria Singh"/>
    <x v="1"/>
    <s v="Usa"/>
    <s v="London"/>
    <x v="2"/>
    <s v="Chair"/>
    <x v="675"/>
    <n v="4"/>
    <n v="14323"/>
    <n v="0.04"/>
    <n v="13750.08"/>
    <x v="691"/>
    <n v="0.2"/>
    <x v="690"/>
    <x v="0"/>
    <x v="0"/>
    <n v="6"/>
    <x v="1"/>
    <x v="3"/>
    <n v="1"/>
    <s v="2024-01"/>
    <n v="44000.26"/>
    <s v="Standard"/>
    <s v="Profitable"/>
    <s v="High Value"/>
  </r>
  <r>
    <x v="694"/>
    <x v="694"/>
    <s v="Sara Khan"/>
    <x v="0"/>
    <s v="India"/>
    <s v="Mumbai"/>
    <x v="1"/>
    <s v="Tennis Racket"/>
    <x v="676"/>
    <n v="9"/>
    <n v="5440"/>
    <n v="0.1"/>
    <n v="4896"/>
    <x v="692"/>
    <n v="0.25"/>
    <x v="691"/>
    <x v="3"/>
    <x v="0"/>
    <n v="5"/>
    <x v="0"/>
    <x v="9"/>
    <n v="7"/>
    <s v="2023-07"/>
    <n v="33048"/>
    <s v="Standard"/>
    <s v="Profitable"/>
    <s v="High Value"/>
  </r>
  <r>
    <x v="695"/>
    <x v="695"/>
    <s v="Sara Khan"/>
    <x v="2"/>
    <s v="Uk"/>
    <s v="Toronto"/>
    <x v="1"/>
    <s v="Tennis Racket"/>
    <x v="677"/>
    <n v="5"/>
    <n v="10160"/>
    <n v="0.13"/>
    <n v="8839.2000000000007"/>
    <x v="693"/>
    <n v="0.25"/>
    <x v="692"/>
    <x v="2"/>
    <x v="0"/>
    <n v="7"/>
    <x v="0"/>
    <x v="8"/>
    <n v="12"/>
    <s v="2023-12"/>
    <n v="33147"/>
    <s v="Standard"/>
    <s v="Profitable"/>
    <s v="High Value"/>
  </r>
  <r>
    <x v="696"/>
    <x v="696"/>
    <s v="Sara Khan"/>
    <x v="3"/>
    <s v="Usa"/>
    <s v="Toronto"/>
    <x v="2"/>
    <s v="Bookshelf"/>
    <x v="678"/>
    <n v="4"/>
    <n v="17552"/>
    <n v="0.21"/>
    <n v="13866.08"/>
    <x v="694"/>
    <n v="0.2"/>
    <x v="693"/>
    <x v="2"/>
    <x v="0"/>
    <n v="1"/>
    <x v="0"/>
    <x v="9"/>
    <n v="7"/>
    <s v="2023-07"/>
    <n v="44371.46"/>
    <s v="Fast"/>
    <s v="Profitable"/>
    <s v="High Value"/>
  </r>
  <r>
    <x v="697"/>
    <x v="697"/>
    <s v="Maria Singh"/>
    <x v="0"/>
    <s v="Uk"/>
    <s v="Mumbai"/>
    <x v="1"/>
    <s v="Cricket Bat"/>
    <x v="679"/>
    <n v="5"/>
    <n v="9189"/>
    <n v="0.03"/>
    <n v="8913.33"/>
    <x v="695"/>
    <n v="0.25"/>
    <x v="694"/>
    <x v="1"/>
    <x v="0"/>
    <n v="4"/>
    <x v="0"/>
    <x v="5"/>
    <n v="8"/>
    <s v="2023-08"/>
    <n v="33424.990000000005"/>
    <s v="Standard"/>
    <s v="Profitable"/>
    <s v="High Value"/>
  </r>
  <r>
    <x v="698"/>
    <x v="698"/>
    <s v="Amit Verma"/>
    <x v="0"/>
    <s v="Uk"/>
    <s v="Bangalore"/>
    <x v="4"/>
    <s v="Mobile"/>
    <x v="680"/>
    <n v="7"/>
    <n v="13631"/>
    <n v="0.22"/>
    <n v="10632.18"/>
    <x v="696"/>
    <n v="0.15"/>
    <x v="695"/>
    <x v="1"/>
    <x v="0"/>
    <n v="9"/>
    <x v="1"/>
    <x v="11"/>
    <n v="9"/>
    <s v="2024-09"/>
    <n v="63261.469999999994"/>
    <s v="Delayed"/>
    <s v="Profitable"/>
    <s v="High Value"/>
  </r>
  <r>
    <x v="699"/>
    <x v="699"/>
    <s v="Sara Khan"/>
    <x v="3"/>
    <s v="India"/>
    <s v="Bangalore"/>
    <x v="1"/>
    <s v="Yoga Mat"/>
    <x v="681"/>
    <n v="4"/>
    <n v="12139"/>
    <n v="0.08"/>
    <n v="11167.88"/>
    <x v="697"/>
    <n v="0.25"/>
    <x v="696"/>
    <x v="2"/>
    <x v="0"/>
    <n v="1"/>
    <x v="2"/>
    <x v="7"/>
    <n v="2"/>
    <s v="2025-02"/>
    <n v="33503.64"/>
    <s v="Fast"/>
    <s v="Profitable"/>
    <s v="High Value"/>
  </r>
  <r>
    <x v="700"/>
    <x v="700"/>
    <s v="David Lee"/>
    <x v="0"/>
    <s v="Uk"/>
    <s v="Delhi"/>
    <x v="4"/>
    <s v="Tablet"/>
    <x v="682"/>
    <n v="3"/>
    <n v="29201"/>
    <n v="0.15"/>
    <n v="24820.85"/>
    <x v="698"/>
    <n v="0.15"/>
    <x v="697"/>
    <x v="1"/>
    <x v="0"/>
    <n v="8"/>
    <x v="1"/>
    <x v="7"/>
    <n v="2"/>
    <s v="2024-02"/>
    <n v="63293.170000000006"/>
    <s v="Delayed"/>
    <s v="Profitable"/>
    <s v="High Value"/>
  </r>
  <r>
    <x v="701"/>
    <x v="701"/>
    <s v="David Lee"/>
    <x v="0"/>
    <s v="Canada"/>
    <s v="Bangalore"/>
    <x v="2"/>
    <s v="Chair"/>
    <x v="683"/>
    <n v="6"/>
    <n v="11667"/>
    <n v="0.2"/>
    <n v="9333.6"/>
    <x v="699"/>
    <n v="0.2"/>
    <x v="698"/>
    <x v="1"/>
    <x v="0"/>
    <n v="8"/>
    <x v="0"/>
    <x v="0"/>
    <n v="11"/>
    <s v="2023-11"/>
    <n v="44801.279999999999"/>
    <s v="Delayed"/>
    <s v="Profitable"/>
    <s v="High Value"/>
  </r>
  <r>
    <x v="702"/>
    <x v="702"/>
    <s v="Sara Khan"/>
    <x v="3"/>
    <s v="Uk"/>
    <s v="Delhi"/>
    <x v="3"/>
    <s v="Jeans"/>
    <x v="684"/>
    <n v="8"/>
    <n v="4179"/>
    <n v="0.04"/>
    <n v="4011.84"/>
    <x v="700"/>
    <n v="0.35"/>
    <x v="699"/>
    <x v="2"/>
    <x v="0"/>
    <n v="3"/>
    <x v="1"/>
    <x v="10"/>
    <n v="5"/>
    <s v="2024-05"/>
    <n v="20861.57"/>
    <s v="Fast"/>
    <s v="Profitable"/>
    <s v="High Value"/>
  </r>
  <r>
    <x v="703"/>
    <x v="703"/>
    <s v="David Lee"/>
    <x v="0"/>
    <s v="Usa"/>
    <s v="London"/>
    <x v="1"/>
    <s v="Tennis Racket"/>
    <x v="685"/>
    <n v="8"/>
    <n v="5795"/>
    <n v="0.03"/>
    <n v="5621.15"/>
    <x v="701"/>
    <n v="0.25"/>
    <x v="700"/>
    <x v="0"/>
    <x v="1"/>
    <n v="7"/>
    <x v="1"/>
    <x v="5"/>
    <n v="8"/>
    <s v="2024-08"/>
    <n v="33726.899999999994"/>
    <s v="Standard"/>
    <s v="Profitable"/>
    <s v="High Value"/>
  </r>
  <r>
    <x v="704"/>
    <x v="704"/>
    <s v="David Lee"/>
    <x v="1"/>
    <s v="India"/>
    <s v="Bangalore"/>
    <x v="1"/>
    <s v="Football"/>
    <x v="686"/>
    <n v="6"/>
    <n v="8151"/>
    <n v="0.08"/>
    <n v="7498.92"/>
    <x v="702"/>
    <n v="0.25"/>
    <x v="701"/>
    <x v="0"/>
    <x v="0"/>
    <n v="1"/>
    <x v="0"/>
    <x v="1"/>
    <n v="10"/>
    <s v="2023-10"/>
    <n v="33745.14"/>
    <s v="Fast"/>
    <s v="Profitable"/>
    <s v="High Value"/>
  </r>
  <r>
    <x v="705"/>
    <x v="705"/>
    <s v="David Lee"/>
    <x v="0"/>
    <s v="Usa"/>
    <s v="Mumbai"/>
    <x v="1"/>
    <s v="Football"/>
    <x v="687"/>
    <n v="4"/>
    <n v="14467"/>
    <n v="0.22"/>
    <n v="11284.26"/>
    <x v="703"/>
    <n v="0.25"/>
    <x v="702"/>
    <x v="3"/>
    <x v="0"/>
    <n v="4"/>
    <x v="0"/>
    <x v="1"/>
    <n v="10"/>
    <s v="2023-10"/>
    <n v="33852.78"/>
    <s v="Standard"/>
    <s v="Profitable"/>
    <s v="High Value"/>
  </r>
  <r>
    <x v="706"/>
    <x v="706"/>
    <s v="Sara Khan"/>
    <x v="0"/>
    <s v="India"/>
    <s v="Toronto"/>
    <x v="2"/>
    <s v="Sofa"/>
    <x v="688"/>
    <n v="3"/>
    <n v="18866"/>
    <n v="0"/>
    <n v="18866"/>
    <x v="704"/>
    <n v="0.2"/>
    <x v="703"/>
    <x v="2"/>
    <x v="0"/>
    <n v="1"/>
    <x v="0"/>
    <x v="8"/>
    <n v="12"/>
    <s v="2023-12"/>
    <n v="45278.400000000001"/>
    <s v="Fast"/>
    <s v="Profitable"/>
    <s v="High Value"/>
  </r>
  <r>
    <x v="707"/>
    <x v="707"/>
    <s v="Priya Mehta"/>
    <x v="2"/>
    <s v="India"/>
    <s v="Mumbai"/>
    <x v="3"/>
    <s v="Jeans"/>
    <x v="689"/>
    <n v="9"/>
    <n v="3637"/>
    <n v="0"/>
    <n v="3637"/>
    <x v="705"/>
    <n v="0.35"/>
    <x v="704"/>
    <x v="2"/>
    <x v="2"/>
    <n v="8"/>
    <x v="2"/>
    <x v="3"/>
    <n v="1"/>
    <s v="2025-01"/>
    <n v="21276.45"/>
    <s v="Delayed"/>
    <s v="Profitable"/>
    <s v="High Value"/>
  </r>
  <r>
    <x v="708"/>
    <x v="708"/>
    <s v="Amit Verma"/>
    <x v="2"/>
    <s v="India"/>
    <s v="Mumbai"/>
    <x v="3"/>
    <s v="T-Shirt"/>
    <x v="690"/>
    <n v="9"/>
    <n v="4006"/>
    <n v="0.09"/>
    <n v="3645.46"/>
    <x v="706"/>
    <n v="0.35"/>
    <x v="705"/>
    <x v="0"/>
    <x v="1"/>
    <n v="6"/>
    <x v="1"/>
    <x v="11"/>
    <n v="9"/>
    <s v="2024-09"/>
    <n v="21325.94"/>
    <s v="Standard"/>
    <s v="Profitable"/>
    <s v="High Value"/>
  </r>
  <r>
    <x v="709"/>
    <x v="709"/>
    <s v="Maria Singh"/>
    <x v="1"/>
    <s v="Uk"/>
    <s v="New York"/>
    <x v="1"/>
    <s v="Tennis Racket"/>
    <x v="691"/>
    <n v="8"/>
    <n v="6699"/>
    <n v="0.14000000000000001"/>
    <n v="5761.14"/>
    <x v="707"/>
    <n v="0.25"/>
    <x v="706"/>
    <x v="3"/>
    <x v="0"/>
    <n v="7"/>
    <x v="0"/>
    <x v="8"/>
    <n v="12"/>
    <s v="2023-12"/>
    <n v="34566.840000000004"/>
    <s v="Standard"/>
    <s v="Profitable"/>
    <s v="High Value"/>
  </r>
  <r>
    <x v="710"/>
    <x v="710"/>
    <s v="Priya Mehta"/>
    <x v="3"/>
    <s v="Uk"/>
    <s v="New York"/>
    <x v="1"/>
    <s v="Football"/>
    <x v="692"/>
    <n v="6"/>
    <n v="10067"/>
    <n v="0.23"/>
    <n v="7751.59"/>
    <x v="708"/>
    <n v="0.25"/>
    <x v="707"/>
    <x v="1"/>
    <x v="0"/>
    <n v="4"/>
    <x v="2"/>
    <x v="10"/>
    <n v="5"/>
    <s v="2025-05"/>
    <n v="34882.160000000003"/>
    <s v="Standard"/>
    <s v="Profitable"/>
    <s v="High Value"/>
  </r>
  <r>
    <x v="711"/>
    <x v="711"/>
    <s v="Amit Verma"/>
    <x v="3"/>
    <s v="Usa"/>
    <s v="Delhi"/>
    <x v="3"/>
    <s v="Jeans"/>
    <x v="693"/>
    <n v="8"/>
    <n v="4900"/>
    <n v="0.15"/>
    <n v="4165"/>
    <x v="709"/>
    <n v="0.35"/>
    <x v="708"/>
    <x v="1"/>
    <x v="0"/>
    <n v="2"/>
    <x v="0"/>
    <x v="11"/>
    <n v="9"/>
    <s v="2023-09"/>
    <n v="21658"/>
    <s v="Fast"/>
    <s v="Profitable"/>
    <s v="High Value"/>
  </r>
  <r>
    <x v="712"/>
    <x v="712"/>
    <s v="John Smith"/>
    <x v="3"/>
    <s v="Usa"/>
    <s v="Toronto"/>
    <x v="1"/>
    <s v="Cricket Bat"/>
    <x v="694"/>
    <n v="8"/>
    <n v="7295"/>
    <n v="0.2"/>
    <n v="5836"/>
    <x v="710"/>
    <n v="0.25"/>
    <x v="709"/>
    <x v="0"/>
    <x v="0"/>
    <n v="8"/>
    <x v="0"/>
    <x v="8"/>
    <n v="12"/>
    <s v="2023-12"/>
    <n v="35016"/>
    <s v="Delayed"/>
    <s v="Profitable"/>
    <s v="High Value"/>
  </r>
  <r>
    <x v="713"/>
    <x v="713"/>
    <s v="Maria Singh"/>
    <x v="3"/>
    <s v="Usa"/>
    <s v="Delhi"/>
    <x v="1"/>
    <s v="Yoga Mat"/>
    <x v="695"/>
    <n v="5"/>
    <n v="9555"/>
    <n v="0.02"/>
    <n v="9363.9"/>
    <x v="711"/>
    <n v="0.25"/>
    <x v="710"/>
    <x v="0"/>
    <x v="0"/>
    <n v="3"/>
    <x v="1"/>
    <x v="2"/>
    <n v="3"/>
    <s v="2024-03"/>
    <n v="35114.620000000003"/>
    <s v="Fast"/>
    <s v="Profitable"/>
    <s v="High Value"/>
  </r>
  <r>
    <x v="714"/>
    <x v="714"/>
    <s v="Amit Verma"/>
    <x v="3"/>
    <s v="India"/>
    <s v="New York"/>
    <x v="1"/>
    <s v="Tennis Racket"/>
    <x v="696"/>
    <n v="6"/>
    <n v="9320"/>
    <n v="0.16"/>
    <n v="7828.8"/>
    <x v="712"/>
    <n v="0.25"/>
    <x v="711"/>
    <x v="3"/>
    <x v="0"/>
    <n v="4"/>
    <x v="0"/>
    <x v="9"/>
    <n v="7"/>
    <s v="2023-07"/>
    <n v="35229.600000000006"/>
    <s v="Standard"/>
    <s v="Profitable"/>
    <s v="High Value"/>
  </r>
  <r>
    <x v="715"/>
    <x v="715"/>
    <s v="Sara Khan"/>
    <x v="1"/>
    <s v="Usa"/>
    <s v="Toronto"/>
    <x v="2"/>
    <s v="Chair"/>
    <x v="697"/>
    <n v="9"/>
    <n v="7774"/>
    <n v="0.16"/>
    <n v="6530.16"/>
    <x v="713"/>
    <n v="0.2"/>
    <x v="712"/>
    <x v="3"/>
    <x v="1"/>
    <n v="8"/>
    <x v="2"/>
    <x v="5"/>
    <n v="8"/>
    <s v="2025-08"/>
    <n v="47017.15"/>
    <s v="Delayed"/>
    <s v="Profitable"/>
    <s v="High Value"/>
  </r>
  <r>
    <x v="716"/>
    <x v="716"/>
    <s v="John Smith"/>
    <x v="1"/>
    <s v="Uk"/>
    <s v="Toronto"/>
    <x v="2"/>
    <s v="Sofa"/>
    <x v="698"/>
    <n v="9"/>
    <n v="6719"/>
    <n v="0.02"/>
    <n v="6584.62"/>
    <x v="714"/>
    <n v="0.2"/>
    <x v="713"/>
    <x v="0"/>
    <x v="0"/>
    <n v="8"/>
    <x v="1"/>
    <x v="5"/>
    <n v="8"/>
    <s v="2024-08"/>
    <n v="47409.26"/>
    <s v="Delayed"/>
    <s v="Profitable"/>
    <s v="High Value"/>
  </r>
  <r>
    <x v="717"/>
    <x v="717"/>
    <s v="David Lee"/>
    <x v="2"/>
    <s v="Usa"/>
    <s v="Bangalore"/>
    <x v="4"/>
    <s v="Laptop"/>
    <x v="699"/>
    <n v="2"/>
    <n v="41552"/>
    <n v="0.04"/>
    <n v="39889.919999999998"/>
    <x v="715"/>
    <n v="0.15"/>
    <x v="714"/>
    <x v="0"/>
    <x v="1"/>
    <n v="4"/>
    <x v="1"/>
    <x v="10"/>
    <n v="5"/>
    <s v="2024-05"/>
    <n v="67812.86"/>
    <s v="Standard"/>
    <s v="Profitable"/>
    <s v="High Value"/>
  </r>
  <r>
    <x v="718"/>
    <x v="718"/>
    <s v="David Lee"/>
    <x v="1"/>
    <s v="India"/>
    <s v="Mumbai"/>
    <x v="4"/>
    <s v="Earphones"/>
    <x v="700"/>
    <n v="3"/>
    <n v="27153"/>
    <n v="0.02"/>
    <n v="26609.94"/>
    <x v="716"/>
    <n v="0.15"/>
    <x v="715"/>
    <x v="3"/>
    <x v="0"/>
    <n v="6"/>
    <x v="1"/>
    <x v="1"/>
    <n v="10"/>
    <s v="2024-10"/>
    <n v="67855.350000000006"/>
    <s v="Standard"/>
    <s v="Profitable"/>
    <s v="High Value"/>
  </r>
  <r>
    <x v="719"/>
    <x v="719"/>
    <s v="Priya Mehta"/>
    <x v="2"/>
    <s v="Uk"/>
    <s v="Mumbai"/>
    <x v="2"/>
    <s v="Chair"/>
    <x v="701"/>
    <n v="9"/>
    <n v="8643"/>
    <n v="0.23"/>
    <n v="6655.11"/>
    <x v="717"/>
    <n v="0.2"/>
    <x v="716"/>
    <x v="2"/>
    <x v="0"/>
    <n v="7"/>
    <x v="2"/>
    <x v="7"/>
    <n v="2"/>
    <s v="2025-02"/>
    <n v="47916.789999999994"/>
    <s v="Standard"/>
    <s v="Profitable"/>
    <s v="High Value"/>
  </r>
  <r>
    <x v="720"/>
    <x v="720"/>
    <s v="Maria Singh"/>
    <x v="3"/>
    <s v="Canada"/>
    <s v="Mumbai"/>
    <x v="4"/>
    <s v="Earphones"/>
    <x v="702"/>
    <n v="3"/>
    <n v="32612"/>
    <n v="0.18"/>
    <n v="26741.84"/>
    <x v="718"/>
    <n v="0.15"/>
    <x v="717"/>
    <x v="1"/>
    <x v="0"/>
    <n v="9"/>
    <x v="0"/>
    <x v="11"/>
    <n v="9"/>
    <s v="2023-09"/>
    <n v="68191.69"/>
    <s v="Delayed"/>
    <s v="Profitable"/>
    <s v="High Value"/>
  </r>
  <r>
    <x v="721"/>
    <x v="721"/>
    <s v="Priya Mehta"/>
    <x v="0"/>
    <s v="Usa"/>
    <s v="Mumbai"/>
    <x v="2"/>
    <s v="Chair"/>
    <x v="703"/>
    <n v="4"/>
    <n v="19520"/>
    <n v="0.21"/>
    <n v="15420.8"/>
    <x v="719"/>
    <n v="0.2"/>
    <x v="718"/>
    <x v="0"/>
    <x v="0"/>
    <n v="6"/>
    <x v="2"/>
    <x v="2"/>
    <n v="3"/>
    <s v="2025-03"/>
    <n v="49346.559999999998"/>
    <s v="Standard"/>
    <s v="Profitable"/>
    <s v="High Value"/>
  </r>
  <r>
    <x v="722"/>
    <x v="722"/>
    <s v="Maria Singh"/>
    <x v="1"/>
    <s v="Canada"/>
    <s v="New York"/>
    <x v="3"/>
    <s v="Dress"/>
    <x v="704"/>
    <n v="9"/>
    <n v="4759"/>
    <n v="0.17"/>
    <n v="3949.97"/>
    <x v="720"/>
    <n v="0.35"/>
    <x v="719"/>
    <x v="1"/>
    <x v="0"/>
    <n v="6"/>
    <x v="1"/>
    <x v="10"/>
    <n v="5"/>
    <s v="2024-05"/>
    <n v="23107.320000000003"/>
    <s v="Standard"/>
    <s v="Profitable"/>
    <s v="High Value"/>
  </r>
  <r>
    <x v="723"/>
    <x v="723"/>
    <s v="Sara Khan"/>
    <x v="2"/>
    <s v="Uk"/>
    <s v="Bangalore"/>
    <x v="2"/>
    <s v="Bookshelf"/>
    <x v="705"/>
    <n v="7"/>
    <n v="9896"/>
    <n v="0.1"/>
    <n v="8906.4"/>
    <x v="721"/>
    <n v="0.2"/>
    <x v="720"/>
    <x v="1"/>
    <x v="0"/>
    <n v="8"/>
    <x v="2"/>
    <x v="4"/>
    <n v="6"/>
    <s v="2025-06"/>
    <n v="49875.840000000004"/>
    <s v="Delayed"/>
    <s v="Profitable"/>
    <s v="High Value"/>
  </r>
  <r>
    <x v="724"/>
    <x v="724"/>
    <s v="Priya Mehta"/>
    <x v="1"/>
    <s v="Uk"/>
    <s v="Delhi"/>
    <x v="1"/>
    <s v="Football"/>
    <x v="706"/>
    <n v="9"/>
    <n v="6879"/>
    <n v="0.19"/>
    <n v="5571.99"/>
    <x v="722"/>
    <n v="0.25"/>
    <x v="721"/>
    <x v="0"/>
    <x v="0"/>
    <n v="9"/>
    <x v="2"/>
    <x v="11"/>
    <n v="9"/>
    <s v="2025-09"/>
    <n v="37610.930000000008"/>
    <s v="Delayed"/>
    <s v="Profitable"/>
    <s v="High Value"/>
  </r>
  <r>
    <x v="725"/>
    <x v="725"/>
    <s v="John Smith"/>
    <x v="1"/>
    <s v="India"/>
    <s v="London"/>
    <x v="2"/>
    <s v="Chair"/>
    <x v="707"/>
    <n v="5"/>
    <n v="14149"/>
    <n v="0.11"/>
    <n v="12592.61"/>
    <x v="723"/>
    <n v="0.2"/>
    <x v="722"/>
    <x v="3"/>
    <x v="0"/>
    <n v="5"/>
    <x v="0"/>
    <x v="0"/>
    <n v="11"/>
    <s v="2023-11"/>
    <n v="50370.44"/>
    <s v="Standard"/>
    <s v="Profitable"/>
    <s v="High Value"/>
  </r>
  <r>
    <x v="726"/>
    <x v="726"/>
    <s v="Amit Verma"/>
    <x v="3"/>
    <s v="Canada"/>
    <s v="Toronto"/>
    <x v="4"/>
    <s v="Earphones"/>
    <x v="708"/>
    <n v="3"/>
    <n v="29816"/>
    <n v="0.06"/>
    <n v="28027.040000000001"/>
    <x v="724"/>
    <n v="0.15"/>
    <x v="723"/>
    <x v="2"/>
    <x v="0"/>
    <n v="8"/>
    <x v="0"/>
    <x v="10"/>
    <n v="5"/>
    <s v="2023-05"/>
    <n v="71468.95"/>
    <s v="Delayed"/>
    <s v="Profitable"/>
    <s v="High Value"/>
  </r>
  <r>
    <x v="727"/>
    <x v="727"/>
    <s v="John Smith"/>
    <x v="2"/>
    <s v="Uk"/>
    <s v="Toronto"/>
    <x v="1"/>
    <s v="Cricket Bat"/>
    <x v="709"/>
    <n v="9"/>
    <n v="6068"/>
    <n v="7.0000000000000007E-2"/>
    <n v="5643.24"/>
    <x v="725"/>
    <n v="0.25"/>
    <x v="724"/>
    <x v="1"/>
    <x v="0"/>
    <n v="7"/>
    <x v="2"/>
    <x v="6"/>
    <n v="4"/>
    <s v="2025-04"/>
    <n v="38091.870000000003"/>
    <s v="Standard"/>
    <s v="Profitable"/>
    <s v="High Value"/>
  </r>
  <r>
    <x v="728"/>
    <x v="728"/>
    <s v="John Smith"/>
    <x v="1"/>
    <s v="India"/>
    <s v="Toronto"/>
    <x v="1"/>
    <s v="Tennis Racket"/>
    <x v="710"/>
    <n v="4"/>
    <n v="14258"/>
    <n v="0.1"/>
    <n v="12832.2"/>
    <x v="726"/>
    <n v="0.25"/>
    <x v="725"/>
    <x v="1"/>
    <x v="1"/>
    <n v="6"/>
    <x v="2"/>
    <x v="2"/>
    <n v="3"/>
    <s v="2025-03"/>
    <n v="38496.600000000006"/>
    <s v="Standard"/>
    <s v="Profitable"/>
    <s v="High Value"/>
  </r>
  <r>
    <x v="729"/>
    <x v="729"/>
    <s v="Maria Singh"/>
    <x v="0"/>
    <s v="Usa"/>
    <s v="Mumbai"/>
    <x v="1"/>
    <s v="Yoga Mat"/>
    <x v="711"/>
    <n v="7"/>
    <n v="7807"/>
    <n v="0.06"/>
    <n v="7338.58"/>
    <x v="727"/>
    <n v="0.25"/>
    <x v="726"/>
    <x v="3"/>
    <x v="0"/>
    <n v="2"/>
    <x v="0"/>
    <x v="8"/>
    <n v="12"/>
    <s v="2023-12"/>
    <n v="38527.539999999994"/>
    <s v="Fast"/>
    <s v="Profitable"/>
    <s v="High Value"/>
  </r>
  <r>
    <x v="730"/>
    <x v="730"/>
    <s v="John Smith"/>
    <x v="1"/>
    <s v="Canada"/>
    <s v="New York"/>
    <x v="4"/>
    <s v="Laptop"/>
    <x v="712"/>
    <n v="6"/>
    <n v="15782"/>
    <n v="0.09"/>
    <n v="14361.62"/>
    <x v="728"/>
    <n v="0.15"/>
    <x v="727"/>
    <x v="3"/>
    <x v="0"/>
    <n v="5"/>
    <x v="1"/>
    <x v="2"/>
    <n v="3"/>
    <s v="2024-03"/>
    <n v="73244.260000000009"/>
    <s v="Standard"/>
    <s v="Profitable"/>
    <s v="High Value"/>
  </r>
  <r>
    <x v="731"/>
    <x v="731"/>
    <s v="Sara Khan"/>
    <x v="1"/>
    <s v="Uk"/>
    <s v="Mumbai"/>
    <x v="1"/>
    <s v="Football"/>
    <x v="713"/>
    <n v="6"/>
    <n v="8705"/>
    <n v="0.01"/>
    <n v="8617.9500000000007"/>
    <x v="729"/>
    <n v="0.25"/>
    <x v="728"/>
    <x v="1"/>
    <x v="0"/>
    <n v="4"/>
    <x v="0"/>
    <x v="9"/>
    <n v="7"/>
    <s v="2023-07"/>
    <n v="38780.78"/>
    <s v="Standard"/>
    <s v="Profitable"/>
    <s v="High Value"/>
  </r>
  <r>
    <x v="732"/>
    <x v="732"/>
    <s v="David Lee"/>
    <x v="2"/>
    <s v="Uk"/>
    <s v="Toronto"/>
    <x v="1"/>
    <s v="Tennis Racket"/>
    <x v="714"/>
    <n v="4"/>
    <n v="14660"/>
    <n v="0.11"/>
    <n v="13047.4"/>
    <x v="730"/>
    <n v="0.25"/>
    <x v="729"/>
    <x v="3"/>
    <x v="1"/>
    <n v="4"/>
    <x v="2"/>
    <x v="6"/>
    <n v="4"/>
    <s v="2025-04"/>
    <n v="39142.199999999997"/>
    <s v="Standard"/>
    <s v="Profitable"/>
    <s v="High Value"/>
  </r>
  <r>
    <x v="733"/>
    <x v="733"/>
    <s v="John Smith"/>
    <x v="3"/>
    <s v="Usa"/>
    <s v="Mumbai"/>
    <x v="1"/>
    <s v="Tennis Racket"/>
    <x v="715"/>
    <n v="9"/>
    <n v="6178"/>
    <n v="0.06"/>
    <n v="5807.32"/>
    <x v="731"/>
    <n v="0.25"/>
    <x v="730"/>
    <x v="3"/>
    <x v="0"/>
    <n v="6"/>
    <x v="0"/>
    <x v="4"/>
    <n v="6"/>
    <s v="2023-06"/>
    <n v="39199.409999999996"/>
    <s v="Standard"/>
    <s v="Profitable"/>
    <s v="High Value"/>
  </r>
  <r>
    <x v="734"/>
    <x v="734"/>
    <s v="Maria Singh"/>
    <x v="0"/>
    <s v="Usa"/>
    <s v="New York"/>
    <x v="4"/>
    <s v="Laptop"/>
    <x v="716"/>
    <n v="8"/>
    <n v="11969"/>
    <n v="0.09"/>
    <n v="10891.79"/>
    <x v="732"/>
    <n v="0.15"/>
    <x v="731"/>
    <x v="1"/>
    <x v="0"/>
    <n v="5"/>
    <x v="0"/>
    <x v="4"/>
    <n v="6"/>
    <s v="2023-06"/>
    <n v="74064.170000000013"/>
    <s v="Standard"/>
    <s v="Profitable"/>
    <s v="High Value"/>
  </r>
  <r>
    <x v="735"/>
    <x v="735"/>
    <s v="Sara Khan"/>
    <x v="0"/>
    <s v="Canada"/>
    <s v="Toronto"/>
    <x v="1"/>
    <s v="Cricket Bat"/>
    <x v="717"/>
    <n v="7"/>
    <n v="9616"/>
    <n v="0.22"/>
    <n v="7500.48"/>
    <x v="733"/>
    <n v="0.25"/>
    <x v="732"/>
    <x v="2"/>
    <x v="0"/>
    <n v="8"/>
    <x v="2"/>
    <x v="9"/>
    <n v="7"/>
    <s v="2025-07"/>
    <n v="39377.520000000004"/>
    <s v="Delayed"/>
    <s v="Profitable"/>
    <s v="High Value"/>
  </r>
  <r>
    <x v="736"/>
    <x v="736"/>
    <s v="Maria Singh"/>
    <x v="2"/>
    <s v="Canada"/>
    <s v="Delhi"/>
    <x v="4"/>
    <s v="Earphones"/>
    <x v="718"/>
    <n v="2"/>
    <n v="43787"/>
    <n v="0"/>
    <n v="43787"/>
    <x v="734"/>
    <n v="0.15"/>
    <x v="733"/>
    <x v="3"/>
    <x v="0"/>
    <n v="7"/>
    <x v="2"/>
    <x v="2"/>
    <n v="3"/>
    <s v="2025-03"/>
    <n v="74437.899999999994"/>
    <s v="Standard"/>
    <s v="Profitable"/>
    <s v="High Value"/>
  </r>
  <r>
    <x v="737"/>
    <x v="737"/>
    <s v="Priya Mehta"/>
    <x v="3"/>
    <s v="India"/>
    <s v="Mumbai"/>
    <x v="2"/>
    <s v="Sofa"/>
    <x v="719"/>
    <n v="6"/>
    <n v="13861"/>
    <n v="0.21"/>
    <n v="10950.19"/>
    <x v="735"/>
    <n v="0.2"/>
    <x v="734"/>
    <x v="0"/>
    <x v="0"/>
    <n v="3"/>
    <x v="2"/>
    <x v="9"/>
    <n v="7"/>
    <s v="2025-07"/>
    <n v="52560.91"/>
    <s v="Fast"/>
    <s v="Profitable"/>
    <s v="High Value"/>
  </r>
  <r>
    <x v="738"/>
    <x v="738"/>
    <s v="Maria Singh"/>
    <x v="0"/>
    <s v="Uk"/>
    <s v="London"/>
    <x v="2"/>
    <s v="Sofa"/>
    <x v="720"/>
    <n v="4"/>
    <n v="18462"/>
    <n v="0.11"/>
    <n v="16431.18"/>
    <x v="736"/>
    <n v="0.2"/>
    <x v="735"/>
    <x v="3"/>
    <x v="0"/>
    <n v="6"/>
    <x v="1"/>
    <x v="11"/>
    <n v="9"/>
    <s v="2024-09"/>
    <n v="52579.78"/>
    <s v="Standard"/>
    <s v="Profitable"/>
    <s v="High Value"/>
  </r>
  <r>
    <x v="739"/>
    <x v="739"/>
    <s v="Priya Mehta"/>
    <x v="1"/>
    <s v="Usa"/>
    <s v="Toronto"/>
    <x v="2"/>
    <s v="Table"/>
    <x v="721"/>
    <n v="6"/>
    <n v="13543"/>
    <n v="0.19"/>
    <n v="10969.83"/>
    <x v="737"/>
    <n v="0.2"/>
    <x v="736"/>
    <x v="0"/>
    <x v="0"/>
    <n v="3"/>
    <x v="1"/>
    <x v="3"/>
    <n v="1"/>
    <s v="2024-01"/>
    <n v="52655.179999999993"/>
    <s v="Fast"/>
    <s v="Profitable"/>
    <s v="High Value"/>
  </r>
  <r>
    <x v="740"/>
    <x v="740"/>
    <s v="David Lee"/>
    <x v="2"/>
    <s v="Usa"/>
    <s v="Delhi"/>
    <x v="1"/>
    <s v="Football"/>
    <x v="722"/>
    <n v="5"/>
    <n v="11246"/>
    <n v="0.06"/>
    <n v="10571.24"/>
    <x v="738"/>
    <n v="0.25"/>
    <x v="737"/>
    <x v="0"/>
    <x v="0"/>
    <n v="7"/>
    <x v="0"/>
    <x v="3"/>
    <n v="1"/>
    <s v="2023-01"/>
    <n v="39642.149999999994"/>
    <s v="Standard"/>
    <s v="Profitable"/>
    <s v="High Value"/>
  </r>
  <r>
    <x v="741"/>
    <x v="741"/>
    <s v="David Lee"/>
    <x v="3"/>
    <s v="India"/>
    <s v="New York"/>
    <x v="1"/>
    <s v="Tennis Racket"/>
    <x v="723"/>
    <n v="6"/>
    <n v="11028"/>
    <n v="0.2"/>
    <n v="8822.4"/>
    <x v="739"/>
    <n v="0.25"/>
    <x v="738"/>
    <x v="0"/>
    <x v="0"/>
    <n v="6"/>
    <x v="2"/>
    <x v="2"/>
    <n v="3"/>
    <s v="2025-03"/>
    <n v="39700.800000000003"/>
    <s v="Standard"/>
    <s v="Profitable"/>
    <s v="High Value"/>
  </r>
  <r>
    <x v="742"/>
    <x v="742"/>
    <s v="Maria Singh"/>
    <x v="3"/>
    <s v="Uk"/>
    <s v="New York"/>
    <x v="1"/>
    <s v="Cricket Bat"/>
    <x v="724"/>
    <n v="7"/>
    <n v="8697"/>
    <n v="0.13"/>
    <n v="7566.39"/>
    <x v="740"/>
    <n v="0.25"/>
    <x v="739"/>
    <x v="0"/>
    <x v="2"/>
    <n v="1"/>
    <x v="1"/>
    <x v="0"/>
    <n v="11"/>
    <s v="2024-11"/>
    <n v="39723.550000000003"/>
    <s v="Fast"/>
    <s v="Profitable"/>
    <s v="High Value"/>
  </r>
  <r>
    <x v="743"/>
    <x v="743"/>
    <s v="Maria Singh"/>
    <x v="1"/>
    <s v="India"/>
    <s v="New York"/>
    <x v="1"/>
    <s v="Tennis Racket"/>
    <x v="354"/>
    <n v="4"/>
    <n v="14395"/>
    <n v="0.08"/>
    <n v="13243.4"/>
    <x v="741"/>
    <n v="0.25"/>
    <x v="740"/>
    <x v="0"/>
    <x v="0"/>
    <n v="8"/>
    <x v="1"/>
    <x v="2"/>
    <n v="3"/>
    <s v="2024-03"/>
    <n v="39730.199999999997"/>
    <s v="Delayed"/>
    <s v="Profitable"/>
    <s v="High Value"/>
  </r>
  <r>
    <x v="744"/>
    <x v="744"/>
    <s v="David Lee"/>
    <x v="3"/>
    <s v="Usa"/>
    <s v="Mumbai"/>
    <x v="1"/>
    <s v="Yoga Mat"/>
    <x v="725"/>
    <n v="4"/>
    <n v="14885"/>
    <n v="0.11"/>
    <n v="13247.65"/>
    <x v="742"/>
    <n v="0.25"/>
    <x v="741"/>
    <x v="3"/>
    <x v="0"/>
    <n v="7"/>
    <x v="1"/>
    <x v="9"/>
    <n v="7"/>
    <s v="2024-07"/>
    <n v="39742.949999999997"/>
    <s v="Standard"/>
    <s v="Profitable"/>
    <s v="High Value"/>
  </r>
  <r>
    <x v="745"/>
    <x v="745"/>
    <s v="John Smith"/>
    <x v="3"/>
    <s v="India"/>
    <s v="Toronto"/>
    <x v="2"/>
    <s v="Bookshelf"/>
    <x v="167"/>
    <n v="5"/>
    <n v="14835"/>
    <n v="0.1"/>
    <n v="13351.5"/>
    <x v="743"/>
    <n v="0.2"/>
    <x v="742"/>
    <x v="0"/>
    <x v="0"/>
    <n v="2"/>
    <x v="2"/>
    <x v="10"/>
    <n v="5"/>
    <s v="2025-05"/>
    <n v="53406"/>
    <s v="Fast"/>
    <s v="Profitable"/>
    <s v="High Value"/>
  </r>
  <r>
    <x v="746"/>
    <x v="746"/>
    <s v="David Lee"/>
    <x v="0"/>
    <s v="Canada"/>
    <s v="Bangalore"/>
    <x v="2"/>
    <s v="Sofa"/>
    <x v="726"/>
    <n v="5"/>
    <n v="16537"/>
    <n v="0.19"/>
    <n v="13394.97"/>
    <x v="744"/>
    <n v="0.2"/>
    <x v="743"/>
    <x v="2"/>
    <x v="0"/>
    <n v="7"/>
    <x v="2"/>
    <x v="7"/>
    <n v="2"/>
    <s v="2025-02"/>
    <n v="53579.880000000005"/>
    <s v="Standard"/>
    <s v="Profitable"/>
    <s v="High Value"/>
  </r>
  <r>
    <x v="747"/>
    <x v="747"/>
    <s v="Amit Verma"/>
    <x v="3"/>
    <s v="Uk"/>
    <s v="Delhi"/>
    <x v="4"/>
    <s v="Laptop"/>
    <x v="727"/>
    <n v="6"/>
    <n v="18894"/>
    <n v="0.21"/>
    <n v="14926.26"/>
    <x v="745"/>
    <n v="0.15"/>
    <x v="744"/>
    <x v="3"/>
    <x v="0"/>
    <n v="4"/>
    <x v="1"/>
    <x v="8"/>
    <n v="12"/>
    <s v="2024-12"/>
    <n v="76123.929999999993"/>
    <s v="Standard"/>
    <s v="Profitable"/>
    <s v="High Value"/>
  </r>
  <r>
    <x v="748"/>
    <x v="748"/>
    <s v="Priya Mehta"/>
    <x v="0"/>
    <s v="India"/>
    <s v="London"/>
    <x v="1"/>
    <s v="Football"/>
    <x v="728"/>
    <n v="5"/>
    <n v="13987"/>
    <n v="0.23"/>
    <n v="10769.99"/>
    <x v="746"/>
    <n v="0.25"/>
    <x v="745"/>
    <x v="3"/>
    <x v="0"/>
    <n v="7"/>
    <x v="1"/>
    <x v="3"/>
    <n v="1"/>
    <s v="2024-01"/>
    <n v="40387.46"/>
    <s v="Standard"/>
    <s v="Profitable"/>
    <s v="High Value"/>
  </r>
  <r>
    <x v="749"/>
    <x v="749"/>
    <s v="Priya Mehta"/>
    <x v="3"/>
    <s v="Uk"/>
    <s v="New York"/>
    <x v="4"/>
    <s v="Tablet"/>
    <x v="729"/>
    <n v="2"/>
    <n v="45046"/>
    <n v="0"/>
    <n v="45046"/>
    <x v="747"/>
    <n v="0.15"/>
    <x v="746"/>
    <x v="2"/>
    <x v="0"/>
    <n v="7"/>
    <x v="0"/>
    <x v="6"/>
    <n v="4"/>
    <s v="2023-04"/>
    <n v="76578.2"/>
    <s v="Standard"/>
    <s v="Profitable"/>
    <s v="High Value"/>
  </r>
  <r>
    <x v="750"/>
    <x v="750"/>
    <s v="Sara Khan"/>
    <x v="1"/>
    <s v="Usa"/>
    <s v="London"/>
    <x v="2"/>
    <s v="Table"/>
    <x v="730"/>
    <n v="5"/>
    <n v="17563"/>
    <n v="0.23"/>
    <n v="13523.51"/>
    <x v="748"/>
    <n v="0.2"/>
    <x v="747"/>
    <x v="3"/>
    <x v="0"/>
    <n v="9"/>
    <x v="0"/>
    <x v="10"/>
    <n v="5"/>
    <s v="2023-05"/>
    <n v="54094.04"/>
    <s v="Delayed"/>
    <s v="Profitable"/>
    <s v="High Value"/>
  </r>
  <r>
    <x v="751"/>
    <x v="751"/>
    <s v="Priya Mehta"/>
    <x v="0"/>
    <s v="Canada"/>
    <s v="London"/>
    <x v="1"/>
    <s v="Yoga Mat"/>
    <x v="731"/>
    <n v="5"/>
    <n v="10951"/>
    <n v="0.01"/>
    <n v="10841.49"/>
    <x v="749"/>
    <n v="0.25"/>
    <x v="748"/>
    <x v="3"/>
    <x v="0"/>
    <n v="4"/>
    <x v="1"/>
    <x v="8"/>
    <n v="12"/>
    <s v="2024-12"/>
    <n v="40655.589999999997"/>
    <s v="Standard"/>
    <s v="Profitable"/>
    <s v="High Value"/>
  </r>
  <r>
    <x v="752"/>
    <x v="752"/>
    <s v="Amit Verma"/>
    <x v="0"/>
    <s v="India"/>
    <s v="Toronto"/>
    <x v="1"/>
    <s v="Tennis Racket"/>
    <x v="732"/>
    <n v="5"/>
    <n v="11573"/>
    <n v="0.06"/>
    <n v="10878.62"/>
    <x v="750"/>
    <n v="0.25"/>
    <x v="749"/>
    <x v="2"/>
    <x v="0"/>
    <n v="2"/>
    <x v="0"/>
    <x v="10"/>
    <n v="5"/>
    <s v="2023-05"/>
    <n v="40794.82"/>
    <s v="Fast"/>
    <s v="Profitable"/>
    <s v="High Value"/>
  </r>
  <r>
    <x v="753"/>
    <x v="753"/>
    <s v="David Lee"/>
    <x v="3"/>
    <s v="Uk"/>
    <s v="Mumbai"/>
    <x v="1"/>
    <s v="Yoga Mat"/>
    <x v="733"/>
    <n v="5"/>
    <n v="11361"/>
    <n v="0.04"/>
    <n v="10906.56"/>
    <x v="751"/>
    <n v="0.25"/>
    <x v="750"/>
    <x v="3"/>
    <x v="2"/>
    <n v="2"/>
    <x v="0"/>
    <x v="7"/>
    <n v="2"/>
    <s v="2023-02"/>
    <n v="40899.600000000006"/>
    <s v="Fast"/>
    <s v="Profitable"/>
    <s v="High Value"/>
  </r>
  <r>
    <x v="754"/>
    <x v="754"/>
    <s v="Priya Mehta"/>
    <x v="1"/>
    <s v="Uk"/>
    <s v="Toronto"/>
    <x v="2"/>
    <s v="Chair"/>
    <x v="734"/>
    <n v="6"/>
    <n v="13970"/>
    <n v="0.18"/>
    <n v="11455.4"/>
    <x v="752"/>
    <n v="0.2"/>
    <x v="751"/>
    <x v="2"/>
    <x v="0"/>
    <n v="6"/>
    <x v="0"/>
    <x v="6"/>
    <n v="4"/>
    <s v="2023-04"/>
    <n v="54985.919999999998"/>
    <s v="Standard"/>
    <s v="Profitable"/>
    <s v="High Value"/>
  </r>
  <r>
    <x v="755"/>
    <x v="755"/>
    <s v="Sara Khan"/>
    <x v="3"/>
    <s v="Uk"/>
    <s v="Bangalore"/>
    <x v="2"/>
    <s v="Bookshelf"/>
    <x v="735"/>
    <n v="4"/>
    <n v="19772"/>
    <n v="0.13"/>
    <n v="17201.64"/>
    <x v="753"/>
    <n v="0.2"/>
    <x v="752"/>
    <x v="1"/>
    <x v="0"/>
    <n v="9"/>
    <x v="0"/>
    <x v="5"/>
    <n v="8"/>
    <s v="2023-08"/>
    <n v="55045.25"/>
    <s v="Delayed"/>
    <s v="Profitable"/>
    <s v="High Value"/>
  </r>
  <r>
    <x v="756"/>
    <x v="756"/>
    <s v="Amit Verma"/>
    <x v="2"/>
    <s v="India"/>
    <s v="Toronto"/>
    <x v="2"/>
    <s v="Bookshelf"/>
    <x v="736"/>
    <n v="5"/>
    <n v="17222"/>
    <n v="0.2"/>
    <n v="13777.6"/>
    <x v="754"/>
    <n v="0.2"/>
    <x v="753"/>
    <x v="2"/>
    <x v="0"/>
    <n v="9"/>
    <x v="0"/>
    <x v="0"/>
    <n v="11"/>
    <s v="2023-11"/>
    <n v="55110.400000000001"/>
    <s v="Delayed"/>
    <s v="Profitable"/>
    <s v="High Value"/>
  </r>
  <r>
    <x v="757"/>
    <x v="757"/>
    <s v="John Smith"/>
    <x v="3"/>
    <s v="Canada"/>
    <s v="Delhi"/>
    <x v="4"/>
    <s v="Mobile"/>
    <x v="737"/>
    <n v="4"/>
    <n v="24210"/>
    <n v="0.05"/>
    <n v="22999.5"/>
    <x v="755"/>
    <n v="0.15"/>
    <x v="754"/>
    <x v="0"/>
    <x v="0"/>
    <n v="5"/>
    <x v="1"/>
    <x v="3"/>
    <n v="1"/>
    <s v="2024-01"/>
    <n v="78198.3"/>
    <s v="Standard"/>
    <s v="Profitable"/>
    <s v="High Value"/>
  </r>
  <r>
    <x v="758"/>
    <x v="758"/>
    <s v="Maria Singh"/>
    <x v="2"/>
    <s v="Uk"/>
    <s v="Bangalore"/>
    <x v="4"/>
    <s v="Laptop"/>
    <x v="738"/>
    <n v="2"/>
    <n v="47481"/>
    <n v="0.03"/>
    <n v="46056.57"/>
    <x v="756"/>
    <n v="0.15"/>
    <x v="755"/>
    <x v="0"/>
    <x v="0"/>
    <n v="5"/>
    <x v="2"/>
    <x v="10"/>
    <n v="5"/>
    <s v="2025-05"/>
    <n v="78296.17"/>
    <s v="Standard"/>
    <s v="Profitable"/>
    <s v="High Value"/>
  </r>
  <r>
    <x v="759"/>
    <x v="759"/>
    <s v="David Lee"/>
    <x v="1"/>
    <s v="Usa"/>
    <s v="Mumbai"/>
    <x v="4"/>
    <s v="Earphones"/>
    <x v="739"/>
    <n v="5"/>
    <n v="19503"/>
    <n v="0.05"/>
    <n v="18527.849999999999"/>
    <x v="757"/>
    <n v="0.15"/>
    <x v="756"/>
    <x v="0"/>
    <x v="0"/>
    <n v="6"/>
    <x v="1"/>
    <x v="0"/>
    <n v="11"/>
    <s v="2024-11"/>
    <n v="78743.360000000001"/>
    <s v="Standard"/>
    <s v="Profitable"/>
    <s v="High Value"/>
  </r>
  <r>
    <x v="760"/>
    <x v="760"/>
    <s v="Priya Mehta"/>
    <x v="3"/>
    <s v="Usa"/>
    <s v="Mumbai"/>
    <x v="1"/>
    <s v="Cricket Bat"/>
    <x v="740"/>
    <n v="5"/>
    <n v="13928"/>
    <n v="0.2"/>
    <n v="11142.4"/>
    <x v="758"/>
    <n v="0.25"/>
    <x v="757"/>
    <x v="0"/>
    <x v="0"/>
    <n v="5"/>
    <x v="2"/>
    <x v="10"/>
    <n v="5"/>
    <s v="2025-05"/>
    <n v="41784"/>
    <s v="Standard"/>
    <s v="Profitable"/>
    <s v="High Value"/>
  </r>
  <r>
    <x v="761"/>
    <x v="761"/>
    <s v="David Lee"/>
    <x v="1"/>
    <s v="Uk"/>
    <s v="Toronto"/>
    <x v="1"/>
    <s v="Cricket Bat"/>
    <x v="741"/>
    <n v="9"/>
    <n v="6895"/>
    <n v="0.1"/>
    <n v="6205.5"/>
    <x v="759"/>
    <n v="0.25"/>
    <x v="758"/>
    <x v="1"/>
    <x v="0"/>
    <n v="5"/>
    <x v="0"/>
    <x v="10"/>
    <n v="5"/>
    <s v="2023-05"/>
    <n v="41887.120000000003"/>
    <s v="Standard"/>
    <s v="Profitable"/>
    <s v="High Value"/>
  </r>
  <r>
    <x v="762"/>
    <x v="762"/>
    <s v="Priya Mehta"/>
    <x v="2"/>
    <s v="India"/>
    <s v="Mumbai"/>
    <x v="3"/>
    <s v="Dress"/>
    <x v="742"/>
    <n v="9"/>
    <n v="4793"/>
    <n v="0.05"/>
    <n v="4553.3500000000004"/>
    <x v="760"/>
    <n v="0.35"/>
    <x v="759"/>
    <x v="3"/>
    <x v="1"/>
    <n v="3"/>
    <x v="0"/>
    <x v="4"/>
    <n v="6"/>
    <s v="2023-06"/>
    <n v="26637.100000000002"/>
    <s v="Fast"/>
    <s v="Profitable"/>
    <s v="High Value"/>
  </r>
  <r>
    <x v="763"/>
    <x v="763"/>
    <s v="Maria Singh"/>
    <x v="1"/>
    <s v="Uk"/>
    <s v="Mumbai"/>
    <x v="1"/>
    <s v="Cricket Bat"/>
    <x v="743"/>
    <n v="5"/>
    <n v="13880"/>
    <n v="0.17"/>
    <n v="11520.4"/>
    <x v="761"/>
    <n v="0.25"/>
    <x v="760"/>
    <x v="0"/>
    <x v="0"/>
    <n v="1"/>
    <x v="2"/>
    <x v="9"/>
    <n v="7"/>
    <s v="2025-07"/>
    <n v="43201.5"/>
    <s v="Fast"/>
    <s v="Profitable"/>
    <s v="High Value"/>
  </r>
  <r>
    <x v="764"/>
    <x v="764"/>
    <s v="David Lee"/>
    <x v="1"/>
    <s v="Uk"/>
    <s v="New York"/>
    <x v="1"/>
    <s v="Tennis Racket"/>
    <x v="744"/>
    <n v="6"/>
    <n v="10715"/>
    <n v="0.1"/>
    <n v="9643.5"/>
    <x v="762"/>
    <n v="0.25"/>
    <x v="761"/>
    <x v="1"/>
    <x v="0"/>
    <n v="6"/>
    <x v="1"/>
    <x v="2"/>
    <n v="3"/>
    <s v="2024-03"/>
    <n v="43395.75"/>
    <s v="Standard"/>
    <s v="Profitable"/>
    <s v="High Value"/>
  </r>
  <r>
    <x v="765"/>
    <x v="765"/>
    <s v="Priya Mehta"/>
    <x v="2"/>
    <s v="India"/>
    <s v="Bangalore"/>
    <x v="4"/>
    <s v="Mobile"/>
    <x v="745"/>
    <n v="5"/>
    <n v="20749"/>
    <n v="7.0000000000000007E-2"/>
    <n v="19296.57"/>
    <x v="763"/>
    <n v="0.15"/>
    <x v="762"/>
    <x v="2"/>
    <x v="0"/>
    <n v="2"/>
    <x v="1"/>
    <x v="5"/>
    <n v="8"/>
    <s v="2024-08"/>
    <n v="82010.420000000013"/>
    <s v="Fast"/>
    <s v="Profitable"/>
    <s v="High Value"/>
  </r>
  <r>
    <x v="766"/>
    <x v="766"/>
    <s v="Maria Singh"/>
    <x v="3"/>
    <s v="Canada"/>
    <s v="London"/>
    <x v="1"/>
    <s v="Tennis Racket"/>
    <x v="746"/>
    <n v="5"/>
    <n v="13485"/>
    <n v="0.14000000000000001"/>
    <n v="11597.1"/>
    <x v="764"/>
    <n v="0.25"/>
    <x v="763"/>
    <x v="3"/>
    <x v="0"/>
    <n v="8"/>
    <x v="2"/>
    <x v="6"/>
    <n v="4"/>
    <s v="2025-04"/>
    <n v="43489.120000000003"/>
    <s v="Delayed"/>
    <s v="Profitable"/>
    <s v="High Value"/>
  </r>
  <r>
    <x v="767"/>
    <x v="767"/>
    <s v="David Lee"/>
    <x v="0"/>
    <s v="Uk"/>
    <s v="Delhi"/>
    <x v="2"/>
    <s v="Table"/>
    <x v="747"/>
    <n v="8"/>
    <n v="9165"/>
    <n v="0.01"/>
    <n v="9073.35"/>
    <x v="765"/>
    <n v="0.2"/>
    <x v="764"/>
    <x v="1"/>
    <x v="1"/>
    <n v="2"/>
    <x v="1"/>
    <x v="0"/>
    <n v="11"/>
    <s v="2024-11"/>
    <n v="58069.440000000002"/>
    <s v="Fast"/>
    <s v="Profitable"/>
    <s v="High Value"/>
  </r>
  <r>
    <x v="768"/>
    <x v="768"/>
    <s v="Sara Khan"/>
    <x v="1"/>
    <s v="India"/>
    <s v="New York"/>
    <x v="2"/>
    <s v="Sofa"/>
    <x v="596"/>
    <n v="6"/>
    <n v="14265"/>
    <n v="0.15"/>
    <n v="12125.25"/>
    <x v="766"/>
    <n v="0.2"/>
    <x v="765"/>
    <x v="2"/>
    <x v="0"/>
    <n v="5"/>
    <x v="1"/>
    <x v="6"/>
    <n v="4"/>
    <s v="2024-04"/>
    <n v="58201.2"/>
    <s v="Standard"/>
    <s v="Profitable"/>
    <s v="High Value"/>
  </r>
  <r>
    <x v="769"/>
    <x v="769"/>
    <s v="Maria Singh"/>
    <x v="3"/>
    <s v="Canada"/>
    <s v="London"/>
    <x v="4"/>
    <s v="Laptop"/>
    <x v="748"/>
    <n v="9"/>
    <n v="13654"/>
    <n v="0.21"/>
    <n v="10786.66"/>
    <x v="767"/>
    <n v="0.15"/>
    <x v="766"/>
    <x v="1"/>
    <x v="0"/>
    <n v="9"/>
    <x v="0"/>
    <x v="0"/>
    <n v="11"/>
    <s v="2023-11"/>
    <n v="82517.95"/>
    <s v="Delayed"/>
    <s v="Profitable"/>
    <s v="High Value"/>
  </r>
  <r>
    <x v="770"/>
    <x v="770"/>
    <s v="Amit Verma"/>
    <x v="0"/>
    <s v="Usa"/>
    <s v="London"/>
    <x v="4"/>
    <s v="Laptop"/>
    <x v="749"/>
    <n v="6"/>
    <n v="20754"/>
    <n v="0.22"/>
    <n v="16188.12"/>
    <x v="768"/>
    <n v="0.15"/>
    <x v="767"/>
    <x v="3"/>
    <x v="1"/>
    <n v="5"/>
    <x v="1"/>
    <x v="2"/>
    <n v="3"/>
    <s v="2024-03"/>
    <n v="82559.41"/>
    <s v="Standard"/>
    <s v="Profitable"/>
    <s v="High Value"/>
  </r>
  <r>
    <x v="771"/>
    <x v="771"/>
    <s v="David Lee"/>
    <x v="1"/>
    <s v="India"/>
    <s v="New York"/>
    <x v="2"/>
    <s v="Bookshelf"/>
    <x v="750"/>
    <n v="6"/>
    <n v="12822"/>
    <n v="0.05"/>
    <n v="12180.9"/>
    <x v="769"/>
    <n v="0.2"/>
    <x v="768"/>
    <x v="3"/>
    <x v="0"/>
    <n v="5"/>
    <x v="2"/>
    <x v="7"/>
    <n v="2"/>
    <s v="2025-02"/>
    <n v="58468.319999999992"/>
    <s v="Standard"/>
    <s v="Profitable"/>
    <s v="High Value"/>
  </r>
  <r>
    <x v="772"/>
    <x v="772"/>
    <s v="Sara Khan"/>
    <x v="1"/>
    <s v="Canada"/>
    <s v="London"/>
    <x v="1"/>
    <s v="Football"/>
    <x v="751"/>
    <n v="7"/>
    <n v="9601"/>
    <n v="0.13"/>
    <n v="8352.8700000000008"/>
    <x v="770"/>
    <n v="0.25"/>
    <x v="769"/>
    <x v="1"/>
    <x v="0"/>
    <n v="2"/>
    <x v="0"/>
    <x v="3"/>
    <n v="1"/>
    <s v="2023-01"/>
    <n v="43852.569999999992"/>
    <s v="Fast"/>
    <s v="Profitable"/>
    <s v="High Value"/>
  </r>
  <r>
    <x v="773"/>
    <x v="773"/>
    <s v="Priya Mehta"/>
    <x v="3"/>
    <s v="Usa"/>
    <s v="Bangalore"/>
    <x v="1"/>
    <s v="Football"/>
    <x v="752"/>
    <n v="5"/>
    <n v="14350"/>
    <n v="0.18"/>
    <n v="11767"/>
    <x v="771"/>
    <n v="0.25"/>
    <x v="770"/>
    <x v="0"/>
    <x v="0"/>
    <n v="8"/>
    <x v="0"/>
    <x v="0"/>
    <n v="11"/>
    <s v="2023-11"/>
    <n v="44126.25"/>
    <s v="Delayed"/>
    <s v="Profitable"/>
    <s v="High Value"/>
  </r>
  <r>
    <x v="774"/>
    <x v="774"/>
    <s v="Amit Verma"/>
    <x v="0"/>
    <s v="Usa"/>
    <s v="Bangalore"/>
    <x v="1"/>
    <s v="Football"/>
    <x v="753"/>
    <n v="6"/>
    <n v="9907"/>
    <n v="0.01"/>
    <n v="9807.93"/>
    <x v="772"/>
    <n v="0.25"/>
    <x v="771"/>
    <x v="1"/>
    <x v="0"/>
    <n v="5"/>
    <x v="0"/>
    <x v="3"/>
    <n v="1"/>
    <s v="2023-01"/>
    <n v="44135.68"/>
    <s v="Standard"/>
    <s v="Profitable"/>
    <s v="High Value"/>
  </r>
  <r>
    <x v="775"/>
    <x v="775"/>
    <s v="Sara Khan"/>
    <x v="0"/>
    <s v="Usa"/>
    <s v="Toronto"/>
    <x v="2"/>
    <s v="Chair"/>
    <x v="754"/>
    <n v="6"/>
    <n v="15930"/>
    <n v="0.23"/>
    <n v="12266.1"/>
    <x v="773"/>
    <n v="0.2"/>
    <x v="772"/>
    <x v="2"/>
    <x v="0"/>
    <n v="2"/>
    <x v="2"/>
    <x v="6"/>
    <n v="4"/>
    <s v="2025-04"/>
    <n v="58877.280000000006"/>
    <s v="Fast"/>
    <s v="Profitable"/>
    <s v="High Value"/>
  </r>
  <r>
    <x v="776"/>
    <x v="776"/>
    <s v="David Lee"/>
    <x v="0"/>
    <s v="Uk"/>
    <s v="London"/>
    <x v="4"/>
    <s v="Laptop"/>
    <x v="755"/>
    <n v="8"/>
    <n v="15439"/>
    <n v="0.2"/>
    <n v="12351.2"/>
    <x v="774"/>
    <n v="0.15"/>
    <x v="773"/>
    <x v="0"/>
    <x v="0"/>
    <n v="4"/>
    <x v="1"/>
    <x v="1"/>
    <n v="10"/>
    <s v="2024-10"/>
    <n v="83988.160000000003"/>
    <s v="Standard"/>
    <s v="Profitable"/>
    <s v="High Value"/>
  </r>
  <r>
    <x v="777"/>
    <x v="777"/>
    <s v="Sara Khan"/>
    <x v="3"/>
    <s v="Canada"/>
    <s v="Toronto"/>
    <x v="4"/>
    <s v="Mobile"/>
    <x v="756"/>
    <n v="3"/>
    <n v="37490"/>
    <n v="0.12"/>
    <n v="32991.199999999997"/>
    <x v="775"/>
    <n v="0.15"/>
    <x v="774"/>
    <x v="1"/>
    <x v="0"/>
    <n v="8"/>
    <x v="0"/>
    <x v="2"/>
    <n v="3"/>
    <s v="2023-03"/>
    <n v="84127.56"/>
    <s v="Delayed"/>
    <s v="Profitable"/>
    <s v="High Value"/>
  </r>
  <r>
    <x v="778"/>
    <x v="778"/>
    <s v="John Smith"/>
    <x v="1"/>
    <s v="Canada"/>
    <s v="Delhi"/>
    <x v="2"/>
    <s v="Bookshelf"/>
    <x v="757"/>
    <n v="7"/>
    <n v="12382"/>
    <n v="0.14000000000000001"/>
    <n v="10648.52"/>
    <x v="776"/>
    <n v="0.2"/>
    <x v="775"/>
    <x v="3"/>
    <x v="1"/>
    <n v="8"/>
    <x v="1"/>
    <x v="6"/>
    <n v="4"/>
    <s v="2024-04"/>
    <n v="59631.71"/>
    <s v="Delayed"/>
    <s v="Profitable"/>
    <s v="High Value"/>
  </r>
  <r>
    <x v="779"/>
    <x v="779"/>
    <s v="Maria Singh"/>
    <x v="0"/>
    <s v="Usa"/>
    <s v="Delhi"/>
    <x v="3"/>
    <s v="Jeans"/>
    <x v="758"/>
    <n v="9"/>
    <n v="4902"/>
    <n v="0.03"/>
    <n v="4754.9399999999996"/>
    <x v="777"/>
    <n v="0.35"/>
    <x v="776"/>
    <x v="0"/>
    <x v="2"/>
    <n v="8"/>
    <x v="2"/>
    <x v="11"/>
    <n v="9"/>
    <s v="2025-09"/>
    <n v="27816.400000000001"/>
    <s v="Delayed"/>
    <s v="Profitable"/>
    <s v="High Value"/>
  </r>
  <r>
    <x v="780"/>
    <x v="780"/>
    <s v="Amit Verma"/>
    <x v="2"/>
    <s v="India"/>
    <s v="Mumbai"/>
    <x v="1"/>
    <s v="Yoga Mat"/>
    <x v="759"/>
    <n v="7"/>
    <n v="10678"/>
    <n v="0.19"/>
    <n v="8649.18"/>
    <x v="778"/>
    <n v="0.25"/>
    <x v="777"/>
    <x v="1"/>
    <x v="0"/>
    <n v="6"/>
    <x v="1"/>
    <x v="8"/>
    <n v="12"/>
    <s v="2024-12"/>
    <n v="45408.200000000004"/>
    <s v="Standard"/>
    <s v="Profitable"/>
    <s v="High Value"/>
  </r>
  <r>
    <x v="781"/>
    <x v="781"/>
    <s v="Priya Mehta"/>
    <x v="2"/>
    <s v="Usa"/>
    <s v="Toronto"/>
    <x v="1"/>
    <s v="Tennis Racket"/>
    <x v="294"/>
    <n v="6"/>
    <n v="10519"/>
    <n v="0.04"/>
    <n v="10098.24"/>
    <x v="779"/>
    <n v="0.25"/>
    <x v="778"/>
    <x v="3"/>
    <x v="0"/>
    <n v="7"/>
    <x v="0"/>
    <x v="9"/>
    <n v="7"/>
    <s v="2023-07"/>
    <n v="45442.080000000002"/>
    <s v="Standard"/>
    <s v="Profitable"/>
    <s v="High Value"/>
  </r>
  <r>
    <x v="782"/>
    <x v="782"/>
    <s v="Amit Verma"/>
    <x v="1"/>
    <s v="Canada"/>
    <s v="Bangalore"/>
    <x v="1"/>
    <s v="Cricket Bat"/>
    <x v="760"/>
    <n v="5"/>
    <n v="13322"/>
    <n v="0.08"/>
    <n v="12256.24"/>
    <x v="780"/>
    <n v="0.25"/>
    <x v="779"/>
    <x v="0"/>
    <x v="0"/>
    <n v="8"/>
    <x v="0"/>
    <x v="7"/>
    <n v="2"/>
    <s v="2023-02"/>
    <n v="45960.899999999994"/>
    <s v="Delayed"/>
    <s v="Profitable"/>
    <s v="High Value"/>
  </r>
  <r>
    <x v="783"/>
    <x v="783"/>
    <s v="David Lee"/>
    <x v="1"/>
    <s v="Canada"/>
    <s v="London"/>
    <x v="2"/>
    <s v="Table"/>
    <x v="761"/>
    <n v="6"/>
    <n v="14693"/>
    <n v="0.13"/>
    <n v="12782.91"/>
    <x v="781"/>
    <n v="0.2"/>
    <x v="780"/>
    <x v="3"/>
    <x v="1"/>
    <n v="5"/>
    <x v="2"/>
    <x v="2"/>
    <n v="3"/>
    <s v="2025-03"/>
    <n v="61357.970000000008"/>
    <s v="Standard"/>
    <s v="Profitable"/>
    <s v="High Value"/>
  </r>
  <r>
    <x v="784"/>
    <x v="784"/>
    <s v="John Smith"/>
    <x v="2"/>
    <s v="Uk"/>
    <s v="Toronto"/>
    <x v="2"/>
    <s v="Sofa"/>
    <x v="762"/>
    <n v="8"/>
    <n v="12077"/>
    <n v="0.2"/>
    <n v="9661.6"/>
    <x v="782"/>
    <n v="0.2"/>
    <x v="781"/>
    <x v="1"/>
    <x v="0"/>
    <n v="1"/>
    <x v="2"/>
    <x v="6"/>
    <n v="4"/>
    <s v="2025-04"/>
    <n v="61834.240000000005"/>
    <s v="Fast"/>
    <s v="Profitable"/>
    <s v="High Value"/>
  </r>
  <r>
    <x v="785"/>
    <x v="785"/>
    <s v="Priya Mehta"/>
    <x v="3"/>
    <s v="India"/>
    <s v="Delhi"/>
    <x v="2"/>
    <s v="Sofa"/>
    <x v="763"/>
    <n v="8"/>
    <n v="9993"/>
    <n v="0.03"/>
    <n v="9693.2099999999991"/>
    <x v="783"/>
    <n v="0.2"/>
    <x v="782"/>
    <x v="0"/>
    <x v="1"/>
    <n v="6"/>
    <x v="1"/>
    <x v="9"/>
    <n v="7"/>
    <s v="2024-07"/>
    <n v="62036.539999999994"/>
    <s v="Standard"/>
    <s v="Profitable"/>
    <s v="High Value"/>
  </r>
  <r>
    <x v="786"/>
    <x v="786"/>
    <s v="Maria Singh"/>
    <x v="1"/>
    <s v="Uk"/>
    <s v="Delhi"/>
    <x v="4"/>
    <s v="Tablet"/>
    <x v="764"/>
    <n v="4"/>
    <n v="26163"/>
    <n v="0.01"/>
    <n v="25901.37"/>
    <x v="784"/>
    <n v="0.15"/>
    <x v="783"/>
    <x v="3"/>
    <x v="0"/>
    <n v="1"/>
    <x v="1"/>
    <x v="2"/>
    <n v="3"/>
    <s v="2024-03"/>
    <n v="88064.66"/>
    <s v="Fast"/>
    <s v="Profitable"/>
    <s v="High Value"/>
  </r>
  <r>
    <x v="787"/>
    <x v="787"/>
    <s v="Amit Verma"/>
    <x v="2"/>
    <s v="Usa"/>
    <s v="Delhi"/>
    <x v="1"/>
    <s v="Cricket Bat"/>
    <x v="765"/>
    <n v="7"/>
    <n v="10382"/>
    <n v="0.14000000000000001"/>
    <n v="8928.52"/>
    <x v="785"/>
    <n v="0.25"/>
    <x v="784"/>
    <x v="1"/>
    <x v="0"/>
    <n v="9"/>
    <x v="1"/>
    <x v="3"/>
    <n v="1"/>
    <s v="2024-01"/>
    <n v="46874.729999999996"/>
    <s v="Delayed"/>
    <s v="Profitable"/>
    <s v="High Value"/>
  </r>
  <r>
    <x v="788"/>
    <x v="788"/>
    <s v="Maria Singh"/>
    <x v="0"/>
    <s v="India"/>
    <s v="London"/>
    <x v="2"/>
    <s v="Table"/>
    <x v="766"/>
    <n v="6"/>
    <n v="17463"/>
    <n v="0.25"/>
    <n v="13097.25"/>
    <x v="786"/>
    <n v="0.2"/>
    <x v="785"/>
    <x v="2"/>
    <x v="0"/>
    <n v="2"/>
    <x v="1"/>
    <x v="2"/>
    <n v="3"/>
    <s v="2024-03"/>
    <n v="62866.8"/>
    <s v="Fast"/>
    <s v="Profitable"/>
    <s v="High Value"/>
  </r>
  <r>
    <x v="789"/>
    <x v="789"/>
    <s v="Priya Mehta"/>
    <x v="3"/>
    <s v="Canada"/>
    <s v="New York"/>
    <x v="1"/>
    <s v="Cricket Bat"/>
    <x v="767"/>
    <n v="9"/>
    <n v="8736"/>
    <n v="0.2"/>
    <n v="6988.8"/>
    <x v="787"/>
    <n v="0.25"/>
    <x v="786"/>
    <x v="0"/>
    <x v="0"/>
    <n v="7"/>
    <x v="2"/>
    <x v="10"/>
    <n v="5"/>
    <s v="2025-05"/>
    <n v="47174.399999999994"/>
    <s v="Standard"/>
    <s v="Profitable"/>
    <s v="High Value"/>
  </r>
  <r>
    <x v="790"/>
    <x v="790"/>
    <s v="Amit Verma"/>
    <x v="0"/>
    <s v="Uk"/>
    <s v="New York"/>
    <x v="1"/>
    <s v="Yoga Mat"/>
    <x v="768"/>
    <n v="8"/>
    <n v="9853"/>
    <n v="0.2"/>
    <n v="7882.4"/>
    <x v="788"/>
    <n v="0.25"/>
    <x v="787"/>
    <x v="1"/>
    <x v="1"/>
    <n v="1"/>
    <x v="0"/>
    <x v="8"/>
    <n v="12"/>
    <s v="2023-12"/>
    <n v="47294.399999999994"/>
    <s v="Fast"/>
    <s v="Profitable"/>
    <s v="High Value"/>
  </r>
  <r>
    <x v="791"/>
    <x v="791"/>
    <s v="Amit Verma"/>
    <x v="0"/>
    <s v="Uk"/>
    <s v="London"/>
    <x v="1"/>
    <s v="Tennis Racket"/>
    <x v="769"/>
    <n v="6"/>
    <n v="10956"/>
    <n v="0.04"/>
    <n v="10517.76"/>
    <x v="789"/>
    <n v="0.25"/>
    <x v="788"/>
    <x v="3"/>
    <x v="0"/>
    <n v="7"/>
    <x v="1"/>
    <x v="9"/>
    <n v="7"/>
    <s v="2024-07"/>
    <n v="47329.919999999998"/>
    <s v="Standard"/>
    <s v="Profitable"/>
    <s v="High Value"/>
  </r>
  <r>
    <x v="792"/>
    <x v="792"/>
    <s v="David Lee"/>
    <x v="2"/>
    <s v="Usa"/>
    <s v="London"/>
    <x v="4"/>
    <s v="Laptop"/>
    <x v="770"/>
    <n v="2"/>
    <n v="54857"/>
    <n v="0.04"/>
    <n v="52662.720000000001"/>
    <x v="790"/>
    <n v="0.15"/>
    <x v="789"/>
    <x v="1"/>
    <x v="0"/>
    <n v="8"/>
    <x v="1"/>
    <x v="11"/>
    <n v="9"/>
    <s v="2024-09"/>
    <n v="89526.62"/>
    <s v="Delayed"/>
    <s v="Profitable"/>
    <s v="High Value"/>
  </r>
  <r>
    <x v="793"/>
    <x v="793"/>
    <s v="David Lee"/>
    <x v="2"/>
    <s v="Canada"/>
    <s v="Toronto"/>
    <x v="4"/>
    <s v="Laptop"/>
    <x v="771"/>
    <n v="2"/>
    <n v="56819"/>
    <n v="0.06"/>
    <n v="53409.86"/>
    <x v="791"/>
    <n v="0.15"/>
    <x v="790"/>
    <x v="0"/>
    <x v="0"/>
    <n v="6"/>
    <x v="0"/>
    <x v="11"/>
    <n v="9"/>
    <s v="2023-09"/>
    <n v="90796.760000000009"/>
    <s v="Standard"/>
    <s v="Profitable"/>
    <s v="High Value"/>
  </r>
  <r>
    <x v="794"/>
    <x v="794"/>
    <s v="David Lee"/>
    <x v="1"/>
    <s v="Usa"/>
    <s v="Mumbai"/>
    <x v="2"/>
    <s v="Table"/>
    <x v="772"/>
    <n v="5"/>
    <n v="16916"/>
    <n v="0.05"/>
    <n v="16070.2"/>
    <x v="792"/>
    <n v="0.2"/>
    <x v="791"/>
    <x v="2"/>
    <x v="0"/>
    <n v="8"/>
    <x v="1"/>
    <x v="11"/>
    <n v="9"/>
    <s v="2024-09"/>
    <n v="64280.800000000003"/>
    <s v="Delayed"/>
    <s v="Profitable"/>
    <s v="High Value"/>
  </r>
  <r>
    <x v="795"/>
    <x v="795"/>
    <s v="Priya Mehta"/>
    <x v="2"/>
    <s v="India"/>
    <s v="New York"/>
    <x v="1"/>
    <s v="Tennis Racket"/>
    <x v="184"/>
    <n v="7"/>
    <n v="9853"/>
    <n v="0.06"/>
    <n v="9261.82"/>
    <x v="793"/>
    <n v="0.25"/>
    <x v="792"/>
    <x v="2"/>
    <x v="0"/>
    <n v="5"/>
    <x v="1"/>
    <x v="8"/>
    <n v="12"/>
    <s v="2024-12"/>
    <n v="48624.56"/>
    <s v="Standard"/>
    <s v="Profitable"/>
    <s v="High Value"/>
  </r>
  <r>
    <x v="796"/>
    <x v="796"/>
    <s v="Sara Khan"/>
    <x v="2"/>
    <s v="Uk"/>
    <s v="Mumbai"/>
    <x v="4"/>
    <s v="Tablet"/>
    <x v="773"/>
    <n v="9"/>
    <n v="14470"/>
    <n v="0.17"/>
    <n v="12010.1"/>
    <x v="794"/>
    <n v="0.15"/>
    <x v="793"/>
    <x v="0"/>
    <x v="0"/>
    <n v="7"/>
    <x v="0"/>
    <x v="9"/>
    <n v="7"/>
    <s v="2023-07"/>
    <n v="91877.26999999999"/>
    <s v="Standard"/>
    <s v="Profitable"/>
    <s v="High Value"/>
  </r>
  <r>
    <x v="797"/>
    <x v="797"/>
    <s v="Amit Verma"/>
    <x v="2"/>
    <s v="India"/>
    <s v="Delhi"/>
    <x v="1"/>
    <s v="Tennis Racket"/>
    <x v="774"/>
    <n v="9"/>
    <n v="7675"/>
    <n v="0.05"/>
    <n v="7291.25"/>
    <x v="795"/>
    <n v="0.25"/>
    <x v="794"/>
    <x v="3"/>
    <x v="0"/>
    <n v="4"/>
    <x v="0"/>
    <x v="2"/>
    <n v="3"/>
    <s v="2023-03"/>
    <n v="49215.94"/>
    <s v="Standard"/>
    <s v="Profitable"/>
    <s v="High Value"/>
  </r>
  <r>
    <x v="798"/>
    <x v="798"/>
    <s v="David Lee"/>
    <x v="1"/>
    <s v="Usa"/>
    <s v="Toronto"/>
    <x v="4"/>
    <s v="Mobile"/>
    <x v="775"/>
    <n v="6"/>
    <n v="23140"/>
    <n v="0.21"/>
    <n v="18280.599999999999"/>
    <x v="796"/>
    <n v="0.15"/>
    <x v="795"/>
    <x v="1"/>
    <x v="1"/>
    <n v="3"/>
    <x v="2"/>
    <x v="9"/>
    <n v="7"/>
    <s v="2025-07"/>
    <n v="93231.06"/>
    <s v="Fast"/>
    <s v="Profitable"/>
    <s v="High Value"/>
  </r>
  <r>
    <x v="799"/>
    <x v="799"/>
    <s v="Sara Khan"/>
    <x v="3"/>
    <s v="Usa"/>
    <s v="London"/>
    <x v="1"/>
    <s v="Yoga Mat"/>
    <x v="776"/>
    <n v="8"/>
    <n v="10078"/>
    <n v="0.18"/>
    <n v="8263.9599999999991"/>
    <x v="797"/>
    <n v="0.25"/>
    <x v="796"/>
    <x v="3"/>
    <x v="2"/>
    <n v="9"/>
    <x v="0"/>
    <x v="3"/>
    <n v="1"/>
    <s v="2023-01"/>
    <n v="49583.759999999995"/>
    <s v="Delayed"/>
    <s v="Profitable"/>
    <s v="High Value"/>
  </r>
  <r>
    <x v="800"/>
    <x v="800"/>
    <s v="Sara Khan"/>
    <x v="1"/>
    <s v="Usa"/>
    <s v="Bangalore"/>
    <x v="1"/>
    <s v="Football"/>
    <x v="777"/>
    <n v="9"/>
    <n v="9080"/>
    <n v="0.19"/>
    <n v="7354.8"/>
    <x v="798"/>
    <n v="0.25"/>
    <x v="797"/>
    <x v="1"/>
    <x v="0"/>
    <n v="2"/>
    <x v="1"/>
    <x v="11"/>
    <n v="9"/>
    <s v="2024-09"/>
    <n v="49644.899999999994"/>
    <s v="Fast"/>
    <s v="Profitable"/>
    <s v="High Value"/>
  </r>
  <r>
    <x v="801"/>
    <x v="801"/>
    <s v="Priya Mehta"/>
    <x v="3"/>
    <s v="Usa"/>
    <s v="Toronto"/>
    <x v="4"/>
    <s v="Mobile"/>
    <x v="778"/>
    <n v="4"/>
    <n v="29975"/>
    <n v="7.0000000000000007E-2"/>
    <n v="27876.75"/>
    <x v="799"/>
    <n v="0.15"/>
    <x v="798"/>
    <x v="0"/>
    <x v="0"/>
    <n v="3"/>
    <x v="0"/>
    <x v="2"/>
    <n v="3"/>
    <s v="2023-03"/>
    <n v="94780.95"/>
    <s v="Fast"/>
    <s v="Profitable"/>
    <s v="High Value"/>
  </r>
  <r>
    <x v="802"/>
    <x v="802"/>
    <s v="John Smith"/>
    <x v="2"/>
    <s v="Canada"/>
    <s v="Delhi"/>
    <x v="2"/>
    <s v="Sofa"/>
    <x v="779"/>
    <n v="9"/>
    <n v="10964"/>
    <n v="0.14000000000000001"/>
    <n v="9429.0400000000009"/>
    <x v="800"/>
    <n v="0.2"/>
    <x v="799"/>
    <x v="2"/>
    <x v="0"/>
    <n v="7"/>
    <x v="1"/>
    <x v="1"/>
    <n v="10"/>
    <s v="2024-10"/>
    <n v="67889.09"/>
    <s v="Standard"/>
    <s v="Profitable"/>
    <s v="High Value"/>
  </r>
  <r>
    <x v="803"/>
    <x v="803"/>
    <s v="Amit Verma"/>
    <x v="0"/>
    <s v="Canada"/>
    <s v="Mumbai"/>
    <x v="4"/>
    <s v="Earphones"/>
    <x v="780"/>
    <n v="3"/>
    <n v="37766"/>
    <n v="0"/>
    <n v="37766"/>
    <x v="801"/>
    <n v="0.15"/>
    <x v="800"/>
    <x v="1"/>
    <x v="0"/>
    <n v="1"/>
    <x v="2"/>
    <x v="7"/>
    <n v="2"/>
    <s v="2025-02"/>
    <n v="96303.3"/>
    <s v="Fast"/>
    <s v="Profitable"/>
    <s v="High Value"/>
  </r>
  <r>
    <x v="804"/>
    <x v="804"/>
    <s v="Amit Verma"/>
    <x v="0"/>
    <s v="Canada"/>
    <s v="Mumbai"/>
    <x v="1"/>
    <s v="Football"/>
    <x v="781"/>
    <n v="5"/>
    <n v="14794"/>
    <n v="0.08"/>
    <n v="13610.48"/>
    <x v="802"/>
    <n v="0.25"/>
    <x v="801"/>
    <x v="2"/>
    <x v="2"/>
    <n v="3"/>
    <x v="2"/>
    <x v="3"/>
    <n v="1"/>
    <s v="2025-01"/>
    <n v="51039.299999999996"/>
    <s v="Fast"/>
    <s v="Profitable"/>
    <s v="High Value"/>
  </r>
  <r>
    <x v="805"/>
    <x v="805"/>
    <s v="John Smith"/>
    <x v="3"/>
    <s v="India"/>
    <s v="Bangalore"/>
    <x v="2"/>
    <s v="Chair"/>
    <x v="782"/>
    <n v="8"/>
    <n v="12060"/>
    <n v="0.11"/>
    <n v="10733.4"/>
    <x v="803"/>
    <n v="0.2"/>
    <x v="802"/>
    <x v="2"/>
    <x v="0"/>
    <n v="8"/>
    <x v="1"/>
    <x v="7"/>
    <n v="2"/>
    <s v="2024-02"/>
    <n v="68693.759999999995"/>
    <s v="Delayed"/>
    <s v="Profitable"/>
    <s v="High Value"/>
  </r>
  <r>
    <x v="806"/>
    <x v="806"/>
    <s v="Priya Mehta"/>
    <x v="3"/>
    <s v="India"/>
    <s v="London"/>
    <x v="2"/>
    <s v="Table"/>
    <x v="783"/>
    <n v="6"/>
    <n v="14504"/>
    <n v="0"/>
    <n v="14504"/>
    <x v="804"/>
    <n v="0.2"/>
    <x v="803"/>
    <x v="1"/>
    <x v="0"/>
    <n v="9"/>
    <x v="1"/>
    <x v="1"/>
    <n v="10"/>
    <s v="2024-10"/>
    <n v="69619.199999999997"/>
    <s v="Delayed"/>
    <s v="Profitable"/>
    <s v="High Value"/>
  </r>
  <r>
    <x v="807"/>
    <x v="807"/>
    <s v="Amit Verma"/>
    <x v="2"/>
    <s v="Uk"/>
    <s v="Bangalore"/>
    <x v="4"/>
    <s v="Mobile"/>
    <x v="784"/>
    <n v="3"/>
    <n v="46727"/>
    <n v="0.17"/>
    <n v="38783.410000000003"/>
    <x v="805"/>
    <n v="0.15"/>
    <x v="804"/>
    <x v="0"/>
    <x v="2"/>
    <n v="9"/>
    <x v="2"/>
    <x v="7"/>
    <n v="2"/>
    <s v="2025-02"/>
    <n v="98897.7"/>
    <s v="Delayed"/>
    <s v="Profitable"/>
    <s v="High Value"/>
  </r>
  <r>
    <x v="808"/>
    <x v="808"/>
    <s v="Sara Khan"/>
    <x v="0"/>
    <s v="Usa"/>
    <s v="Mumbai"/>
    <x v="1"/>
    <s v="Cricket Bat"/>
    <x v="785"/>
    <n v="6"/>
    <n v="13889"/>
    <n v="0.16"/>
    <n v="11666.76"/>
    <x v="806"/>
    <n v="0.25"/>
    <x v="805"/>
    <x v="2"/>
    <x v="0"/>
    <n v="3"/>
    <x v="2"/>
    <x v="6"/>
    <n v="4"/>
    <s v="2025-04"/>
    <n v="52500.42"/>
    <s v="Fast"/>
    <s v="Profitable"/>
    <s v="High Value"/>
  </r>
  <r>
    <x v="809"/>
    <x v="809"/>
    <s v="John Smith"/>
    <x v="3"/>
    <s v="India"/>
    <s v="London"/>
    <x v="4"/>
    <s v="Earphones"/>
    <x v="786"/>
    <n v="2"/>
    <n v="60138"/>
    <n v="0.03"/>
    <n v="58333.86"/>
    <x v="807"/>
    <n v="0.15"/>
    <x v="806"/>
    <x v="0"/>
    <x v="0"/>
    <n v="8"/>
    <x v="0"/>
    <x v="9"/>
    <n v="7"/>
    <s v="2023-07"/>
    <n v="99167.56"/>
    <s v="Delayed"/>
    <s v="Profitable"/>
    <s v="High Value"/>
  </r>
  <r>
    <x v="810"/>
    <x v="810"/>
    <s v="John Smith"/>
    <x v="0"/>
    <s v="India"/>
    <s v="Delhi"/>
    <x v="1"/>
    <s v="Football"/>
    <x v="787"/>
    <n v="9"/>
    <n v="8029"/>
    <n v="0.03"/>
    <n v="7788.13"/>
    <x v="808"/>
    <n v="0.25"/>
    <x v="807"/>
    <x v="0"/>
    <x v="0"/>
    <n v="4"/>
    <x v="0"/>
    <x v="10"/>
    <n v="5"/>
    <s v="2023-05"/>
    <n v="52569.88"/>
    <s v="Standard"/>
    <s v="Profitable"/>
    <s v="High Value"/>
  </r>
  <r>
    <x v="811"/>
    <x v="811"/>
    <s v="Maria Singh"/>
    <x v="3"/>
    <s v="Usa"/>
    <s v="Delhi"/>
    <x v="1"/>
    <s v="Football"/>
    <x v="788"/>
    <n v="9"/>
    <n v="8099"/>
    <n v="0.03"/>
    <n v="7856.03"/>
    <x v="809"/>
    <n v="0.25"/>
    <x v="808"/>
    <x v="1"/>
    <x v="0"/>
    <n v="4"/>
    <x v="1"/>
    <x v="11"/>
    <n v="9"/>
    <s v="2024-09"/>
    <n v="53028.200000000004"/>
    <s v="Standard"/>
    <s v="Profitable"/>
    <s v="High Value"/>
  </r>
  <r>
    <x v="812"/>
    <x v="812"/>
    <s v="Sara Khan"/>
    <x v="3"/>
    <s v="Uk"/>
    <s v="Delhi"/>
    <x v="1"/>
    <s v="Football"/>
    <x v="789"/>
    <n v="7"/>
    <n v="10866"/>
    <n v="7.0000000000000007E-2"/>
    <n v="10105.379999999999"/>
    <x v="810"/>
    <n v="0.25"/>
    <x v="809"/>
    <x v="1"/>
    <x v="0"/>
    <n v="6"/>
    <x v="1"/>
    <x v="11"/>
    <n v="9"/>
    <s v="2024-09"/>
    <n v="53053.240000000005"/>
    <s v="Standard"/>
    <s v="Profitable"/>
    <s v="High Value"/>
  </r>
  <r>
    <x v="813"/>
    <x v="813"/>
    <s v="David Lee"/>
    <x v="0"/>
    <s v="Usa"/>
    <s v="Delhi"/>
    <x v="2"/>
    <s v="Bookshelf"/>
    <x v="790"/>
    <n v="7"/>
    <n v="15992"/>
    <n v="0.21"/>
    <n v="12633.68"/>
    <x v="811"/>
    <n v="0.2"/>
    <x v="810"/>
    <x v="0"/>
    <x v="0"/>
    <n v="3"/>
    <x v="2"/>
    <x v="9"/>
    <n v="7"/>
    <s v="2025-07"/>
    <n v="70748.609999999986"/>
    <s v="Fast"/>
    <s v="Profitable"/>
    <s v="High Value"/>
  </r>
  <r>
    <x v="814"/>
    <x v="814"/>
    <s v="Sara Khan"/>
    <x v="2"/>
    <s v="Usa"/>
    <s v="New York"/>
    <x v="1"/>
    <s v="Cricket Bat"/>
    <x v="791"/>
    <n v="7"/>
    <n v="10283"/>
    <n v="0.01"/>
    <n v="10180.17"/>
    <x v="812"/>
    <n v="0.25"/>
    <x v="811"/>
    <x v="3"/>
    <x v="1"/>
    <n v="7"/>
    <x v="2"/>
    <x v="5"/>
    <n v="8"/>
    <s v="2025-08"/>
    <n v="53445.89"/>
    <s v="Standard"/>
    <s v="Profitable"/>
    <s v="High Value"/>
  </r>
  <r>
    <x v="815"/>
    <x v="815"/>
    <s v="David Lee"/>
    <x v="0"/>
    <s v="Uk"/>
    <s v="Toronto"/>
    <x v="2"/>
    <s v="Bookshelf"/>
    <x v="792"/>
    <n v="7"/>
    <n v="13154"/>
    <n v="0.03"/>
    <n v="12759.38"/>
    <x v="813"/>
    <n v="0.2"/>
    <x v="812"/>
    <x v="3"/>
    <x v="1"/>
    <n v="9"/>
    <x v="2"/>
    <x v="2"/>
    <n v="3"/>
    <s v="2025-03"/>
    <n v="71452.53"/>
    <s v="Delayed"/>
    <s v="Profitable"/>
    <s v="High Value"/>
  </r>
  <r>
    <x v="816"/>
    <x v="816"/>
    <s v="Maria Singh"/>
    <x v="1"/>
    <s v="Canada"/>
    <s v="New York"/>
    <x v="4"/>
    <s v="Mobile"/>
    <x v="793"/>
    <n v="7"/>
    <n v="18906"/>
    <n v="0.1"/>
    <n v="17015.400000000001"/>
    <x v="814"/>
    <n v="0.15"/>
    <x v="813"/>
    <x v="3"/>
    <x v="0"/>
    <n v="5"/>
    <x v="0"/>
    <x v="1"/>
    <n v="10"/>
    <s v="2023-10"/>
    <n v="101241.63"/>
    <s v="Standard"/>
    <s v="Profitable"/>
    <s v="High Value"/>
  </r>
  <r>
    <x v="817"/>
    <x v="817"/>
    <s v="Maria Singh"/>
    <x v="1"/>
    <s v="Uk"/>
    <s v="Bangalore"/>
    <x v="2"/>
    <s v="Sofa"/>
    <x v="794"/>
    <n v="7"/>
    <n v="15629"/>
    <n v="0.18"/>
    <n v="12815.78"/>
    <x v="815"/>
    <n v="0.2"/>
    <x v="814"/>
    <x v="3"/>
    <x v="1"/>
    <n v="6"/>
    <x v="0"/>
    <x v="3"/>
    <n v="1"/>
    <s v="2023-01"/>
    <n v="71768.37000000001"/>
    <s v="Standard"/>
    <s v="Profitable"/>
    <s v="High Value"/>
  </r>
  <r>
    <x v="818"/>
    <x v="818"/>
    <s v="John Smith"/>
    <x v="3"/>
    <s v="India"/>
    <s v="Mumbai"/>
    <x v="1"/>
    <s v="Tennis Racket"/>
    <x v="795"/>
    <n v="8"/>
    <n v="11653"/>
    <n v="0.23"/>
    <n v="8972.81"/>
    <x v="816"/>
    <n v="0.25"/>
    <x v="815"/>
    <x v="0"/>
    <x v="0"/>
    <n v="9"/>
    <x v="2"/>
    <x v="10"/>
    <n v="5"/>
    <s v="2025-05"/>
    <n v="53836.86"/>
    <s v="Delayed"/>
    <s v="Profitable"/>
    <s v="High Value"/>
  </r>
  <r>
    <x v="819"/>
    <x v="819"/>
    <s v="Sara Khan"/>
    <x v="1"/>
    <s v="India"/>
    <s v="Toronto"/>
    <x v="2"/>
    <s v="Sofa"/>
    <x v="312"/>
    <n v="6"/>
    <n v="16473"/>
    <n v="0.09"/>
    <n v="14990.43"/>
    <x v="817"/>
    <n v="0.2"/>
    <x v="816"/>
    <x v="2"/>
    <x v="0"/>
    <n v="2"/>
    <x v="1"/>
    <x v="1"/>
    <n v="10"/>
    <s v="2024-10"/>
    <n v="71954.06"/>
    <s v="Fast"/>
    <s v="Profitable"/>
    <s v="High Value"/>
  </r>
  <r>
    <x v="820"/>
    <x v="820"/>
    <s v="Amit Verma"/>
    <x v="2"/>
    <s v="Canada"/>
    <s v="London"/>
    <x v="1"/>
    <s v="Yoga Mat"/>
    <x v="796"/>
    <n v="9"/>
    <n v="8380"/>
    <n v="0.04"/>
    <n v="8044.8"/>
    <x v="818"/>
    <n v="0.25"/>
    <x v="817"/>
    <x v="0"/>
    <x v="0"/>
    <n v="8"/>
    <x v="1"/>
    <x v="9"/>
    <n v="7"/>
    <s v="2024-07"/>
    <n v="54302.399999999994"/>
    <s v="Delayed"/>
    <s v="Profitable"/>
    <s v="High Value"/>
  </r>
  <r>
    <x v="821"/>
    <x v="821"/>
    <s v="David Lee"/>
    <x v="1"/>
    <s v="Uk"/>
    <s v="Bangalore"/>
    <x v="1"/>
    <s v="Football"/>
    <x v="797"/>
    <n v="7"/>
    <n v="12530"/>
    <n v="0.17"/>
    <n v="10399.9"/>
    <x v="819"/>
    <n v="0.25"/>
    <x v="818"/>
    <x v="1"/>
    <x v="0"/>
    <n v="4"/>
    <x v="0"/>
    <x v="11"/>
    <n v="9"/>
    <s v="2023-09"/>
    <n v="54599.48"/>
    <s v="Standard"/>
    <s v="Profitable"/>
    <s v="High Value"/>
  </r>
  <r>
    <x v="822"/>
    <x v="822"/>
    <s v="Maria Singh"/>
    <x v="0"/>
    <s v="Uk"/>
    <s v="New York"/>
    <x v="4"/>
    <s v="Tablet"/>
    <x v="798"/>
    <n v="2"/>
    <n v="74174"/>
    <n v="0.18"/>
    <n v="60822.68"/>
    <x v="820"/>
    <n v="0.15"/>
    <x v="819"/>
    <x v="3"/>
    <x v="0"/>
    <n v="3"/>
    <x v="0"/>
    <x v="8"/>
    <n v="12"/>
    <s v="2023-12"/>
    <n v="103398.56"/>
    <s v="Fast"/>
    <s v="Profitable"/>
    <s v="High Value"/>
  </r>
  <r>
    <x v="823"/>
    <x v="823"/>
    <s v="Maria Singh"/>
    <x v="3"/>
    <s v="India"/>
    <s v="New York"/>
    <x v="1"/>
    <s v="Tennis Racket"/>
    <x v="799"/>
    <n v="8"/>
    <n v="10042"/>
    <n v="0.09"/>
    <n v="9138.2199999999993"/>
    <x v="821"/>
    <n v="0.25"/>
    <x v="820"/>
    <x v="1"/>
    <x v="0"/>
    <n v="5"/>
    <x v="0"/>
    <x v="5"/>
    <n v="8"/>
    <s v="2023-08"/>
    <n v="54829.319999999992"/>
    <s v="Standard"/>
    <s v="Profitable"/>
    <s v="High Value"/>
  </r>
  <r>
    <x v="824"/>
    <x v="824"/>
    <s v="Amit Verma"/>
    <x v="3"/>
    <s v="Uk"/>
    <s v="Mumbai"/>
    <x v="1"/>
    <s v="Football"/>
    <x v="800"/>
    <n v="7"/>
    <n v="11482"/>
    <n v="0.09"/>
    <n v="10448.620000000001"/>
    <x v="822"/>
    <n v="0.25"/>
    <x v="821"/>
    <x v="0"/>
    <x v="0"/>
    <n v="6"/>
    <x v="2"/>
    <x v="5"/>
    <n v="8"/>
    <s v="2025-08"/>
    <n v="54855.259999999995"/>
    <s v="Standard"/>
    <s v="Profitable"/>
    <s v="High Value"/>
  </r>
  <r>
    <x v="825"/>
    <x v="825"/>
    <s v="Sara Khan"/>
    <x v="3"/>
    <s v="Uk"/>
    <s v="Delhi"/>
    <x v="2"/>
    <s v="Chair"/>
    <x v="801"/>
    <n v="7"/>
    <n v="13824"/>
    <n v="0.05"/>
    <n v="13132.8"/>
    <x v="823"/>
    <n v="0.2"/>
    <x v="822"/>
    <x v="0"/>
    <x v="0"/>
    <n v="9"/>
    <x v="1"/>
    <x v="1"/>
    <n v="10"/>
    <s v="2024-10"/>
    <n v="73543.680000000008"/>
    <s v="Delayed"/>
    <s v="Profitable"/>
    <s v="High Value"/>
  </r>
  <r>
    <x v="826"/>
    <x v="826"/>
    <s v="Amit Verma"/>
    <x v="3"/>
    <s v="India"/>
    <s v="Mumbai"/>
    <x v="4"/>
    <s v="Tablet"/>
    <x v="802"/>
    <n v="4"/>
    <n v="37420"/>
    <n v="0.18"/>
    <n v="30684.400000000001"/>
    <x v="824"/>
    <n v="0.15"/>
    <x v="823"/>
    <x v="3"/>
    <x v="0"/>
    <n v="7"/>
    <x v="0"/>
    <x v="4"/>
    <n v="6"/>
    <s v="2023-06"/>
    <n v="104326.96"/>
    <s v="Standard"/>
    <s v="Profitable"/>
    <s v="High Value"/>
  </r>
  <r>
    <x v="827"/>
    <x v="827"/>
    <s v="David Lee"/>
    <x v="1"/>
    <s v="Uk"/>
    <s v="Mumbai"/>
    <x v="2"/>
    <s v="Bookshelf"/>
    <x v="803"/>
    <n v="6"/>
    <n v="17997"/>
    <n v="0.14000000000000001"/>
    <n v="15477.42"/>
    <x v="825"/>
    <n v="0.2"/>
    <x v="824"/>
    <x v="0"/>
    <x v="0"/>
    <n v="6"/>
    <x v="1"/>
    <x v="0"/>
    <n v="11"/>
    <s v="2024-11"/>
    <n v="74291.62"/>
    <s v="Standard"/>
    <s v="Profitable"/>
    <s v="High Value"/>
  </r>
  <r>
    <x v="828"/>
    <x v="828"/>
    <s v="Priya Mehta"/>
    <x v="1"/>
    <s v="Uk"/>
    <s v="New York"/>
    <x v="4"/>
    <s v="Earphones"/>
    <x v="804"/>
    <n v="8"/>
    <n v="15656"/>
    <n v="0.01"/>
    <n v="15499.44"/>
    <x v="826"/>
    <n v="0.15"/>
    <x v="825"/>
    <x v="1"/>
    <x v="0"/>
    <n v="6"/>
    <x v="1"/>
    <x v="6"/>
    <n v="4"/>
    <s v="2024-04"/>
    <n v="105396.19"/>
    <s v="Standard"/>
    <s v="Profitable"/>
    <s v="High Value"/>
  </r>
  <r>
    <x v="829"/>
    <x v="829"/>
    <s v="David Lee"/>
    <x v="1"/>
    <s v="Uk"/>
    <s v="New York"/>
    <x v="1"/>
    <s v="Cricket Bat"/>
    <x v="805"/>
    <n v="9"/>
    <n v="9946"/>
    <n v="0.16"/>
    <n v="8354.64"/>
    <x v="827"/>
    <n v="0.25"/>
    <x v="826"/>
    <x v="0"/>
    <x v="0"/>
    <n v="8"/>
    <x v="0"/>
    <x v="7"/>
    <n v="2"/>
    <s v="2023-02"/>
    <n v="56393.819999999992"/>
    <s v="Delayed"/>
    <s v="Profitable"/>
    <s v="High Value"/>
  </r>
  <r>
    <x v="830"/>
    <x v="830"/>
    <s v="Amit Verma"/>
    <x v="2"/>
    <s v="Canada"/>
    <s v="New York"/>
    <x v="4"/>
    <s v="Tablet"/>
    <x v="806"/>
    <n v="4"/>
    <n v="35227"/>
    <n v="0.11"/>
    <n v="31352.03"/>
    <x v="828"/>
    <n v="0.15"/>
    <x v="827"/>
    <x v="2"/>
    <x v="0"/>
    <n v="4"/>
    <x v="1"/>
    <x v="1"/>
    <n v="10"/>
    <s v="2024-10"/>
    <n v="106596.9"/>
    <s v="Standard"/>
    <s v="Profitable"/>
    <s v="High Value"/>
  </r>
  <r>
    <x v="831"/>
    <x v="831"/>
    <s v="Amit Verma"/>
    <x v="2"/>
    <s v="India"/>
    <s v="London"/>
    <x v="2"/>
    <s v="Chair"/>
    <x v="807"/>
    <n v="9"/>
    <n v="11700"/>
    <n v="0.1"/>
    <n v="10530"/>
    <x v="829"/>
    <n v="0.2"/>
    <x v="828"/>
    <x v="1"/>
    <x v="0"/>
    <n v="9"/>
    <x v="1"/>
    <x v="9"/>
    <n v="7"/>
    <s v="2024-07"/>
    <n v="75816"/>
    <s v="Delayed"/>
    <s v="Profitable"/>
    <s v="High Value"/>
  </r>
  <r>
    <x v="832"/>
    <x v="832"/>
    <s v="John Smith"/>
    <x v="1"/>
    <s v="Uk"/>
    <s v="London"/>
    <x v="4"/>
    <s v="Laptop"/>
    <x v="808"/>
    <n v="8"/>
    <n v="16471"/>
    <n v="0.04"/>
    <n v="15812.16"/>
    <x v="830"/>
    <n v="0.15"/>
    <x v="829"/>
    <x v="1"/>
    <x v="1"/>
    <n v="5"/>
    <x v="0"/>
    <x v="11"/>
    <n v="9"/>
    <s v="2023-09"/>
    <n v="107522.69"/>
    <s v="Standard"/>
    <s v="Profitable"/>
    <s v="High Value"/>
  </r>
  <r>
    <x v="833"/>
    <x v="833"/>
    <s v="John Smith"/>
    <x v="0"/>
    <s v="India"/>
    <s v="Bangalore"/>
    <x v="1"/>
    <s v="Yoga Mat"/>
    <x v="809"/>
    <n v="7"/>
    <n v="13925"/>
    <n v="0.21"/>
    <n v="11000.75"/>
    <x v="831"/>
    <n v="0.25"/>
    <x v="830"/>
    <x v="3"/>
    <x v="0"/>
    <n v="2"/>
    <x v="2"/>
    <x v="10"/>
    <n v="5"/>
    <s v="2025-05"/>
    <n v="57753.94"/>
    <s v="Fast"/>
    <s v="Profitable"/>
    <s v="High Value"/>
  </r>
  <r>
    <x v="834"/>
    <x v="834"/>
    <s v="David Lee"/>
    <x v="2"/>
    <s v="Uk"/>
    <s v="Bangalore"/>
    <x v="2"/>
    <s v="Sofa"/>
    <x v="810"/>
    <n v="9"/>
    <n v="11028"/>
    <n v="0.03"/>
    <n v="10697.16"/>
    <x v="832"/>
    <n v="0.2"/>
    <x v="831"/>
    <x v="1"/>
    <x v="0"/>
    <n v="8"/>
    <x v="2"/>
    <x v="6"/>
    <n v="4"/>
    <s v="2025-04"/>
    <n v="77019.55"/>
    <s v="Delayed"/>
    <s v="Profitable"/>
    <s v="High Value"/>
  </r>
  <r>
    <x v="835"/>
    <x v="835"/>
    <s v="Sara Khan"/>
    <x v="3"/>
    <s v="India"/>
    <s v="Mumbai"/>
    <x v="4"/>
    <s v="Mobile"/>
    <x v="811"/>
    <n v="3"/>
    <n v="44068"/>
    <n v="0.02"/>
    <n v="43186.64"/>
    <x v="833"/>
    <n v="0.15"/>
    <x v="832"/>
    <x v="2"/>
    <x v="0"/>
    <n v="7"/>
    <x v="0"/>
    <x v="0"/>
    <n v="11"/>
    <s v="2023-11"/>
    <n v="110125.93"/>
    <s v="Standard"/>
    <s v="Profitable"/>
    <s v="High Value"/>
  </r>
  <r>
    <x v="836"/>
    <x v="836"/>
    <s v="David Lee"/>
    <x v="0"/>
    <s v="Canada"/>
    <s v="London"/>
    <x v="2"/>
    <s v="Table"/>
    <x v="812"/>
    <n v="6"/>
    <n v="19014"/>
    <n v="0.12"/>
    <n v="16732.32"/>
    <x v="834"/>
    <n v="0.2"/>
    <x v="833"/>
    <x v="2"/>
    <x v="0"/>
    <n v="7"/>
    <x v="0"/>
    <x v="8"/>
    <n v="12"/>
    <s v="2023-12"/>
    <n v="80315.14"/>
    <s v="Standard"/>
    <s v="Profitable"/>
    <s v="High Value"/>
  </r>
  <r>
    <x v="837"/>
    <x v="837"/>
    <s v="Sara Khan"/>
    <x v="3"/>
    <s v="India"/>
    <s v="London"/>
    <x v="1"/>
    <s v="Football"/>
    <x v="813"/>
    <n v="8"/>
    <n v="13398"/>
    <n v="0.24"/>
    <n v="10182.48"/>
    <x v="835"/>
    <n v="0.25"/>
    <x v="834"/>
    <x v="1"/>
    <x v="0"/>
    <n v="9"/>
    <x v="0"/>
    <x v="3"/>
    <n v="1"/>
    <s v="2023-01"/>
    <n v="61094.879999999997"/>
    <s v="Delayed"/>
    <s v="Profitable"/>
    <s v="High Value"/>
  </r>
  <r>
    <x v="838"/>
    <x v="838"/>
    <s v="Priya Mehta"/>
    <x v="3"/>
    <s v="Usa"/>
    <s v="Mumbai"/>
    <x v="4"/>
    <s v="Earphones"/>
    <x v="814"/>
    <n v="7"/>
    <n v="19833"/>
    <n v="0.02"/>
    <n v="19436.34"/>
    <x v="836"/>
    <n v="0.15"/>
    <x v="835"/>
    <x v="0"/>
    <x v="0"/>
    <n v="1"/>
    <x v="2"/>
    <x v="4"/>
    <n v="6"/>
    <s v="2025-06"/>
    <n v="115646.22"/>
    <s v="Fast"/>
    <s v="Profitable"/>
    <s v="High Value"/>
  </r>
  <r>
    <x v="839"/>
    <x v="839"/>
    <s v="Priya Mehta"/>
    <x v="3"/>
    <s v="Uk"/>
    <s v="London"/>
    <x v="4"/>
    <s v="Earphones"/>
    <x v="815"/>
    <n v="5"/>
    <n v="33196"/>
    <n v="0.18"/>
    <n v="27220.720000000001"/>
    <x v="837"/>
    <n v="0.15"/>
    <x v="836"/>
    <x v="2"/>
    <x v="2"/>
    <n v="5"/>
    <x v="0"/>
    <x v="9"/>
    <n v="7"/>
    <s v="2023-07"/>
    <n v="115688.06"/>
    <s v="Standard"/>
    <s v="Profitable"/>
    <s v="High Value"/>
  </r>
  <r>
    <x v="840"/>
    <x v="840"/>
    <s v="Priya Mehta"/>
    <x v="3"/>
    <s v="India"/>
    <s v="Delhi"/>
    <x v="4"/>
    <s v="Mobile"/>
    <x v="816"/>
    <n v="9"/>
    <n v="16441"/>
    <n v="0.08"/>
    <n v="15125.72"/>
    <x v="838"/>
    <n v="0.15"/>
    <x v="837"/>
    <x v="1"/>
    <x v="0"/>
    <n v="2"/>
    <x v="0"/>
    <x v="0"/>
    <n v="11"/>
    <s v="2023-11"/>
    <n v="115711.76000000001"/>
    <s v="Fast"/>
    <s v="Profitable"/>
    <s v="High Value"/>
  </r>
  <r>
    <x v="841"/>
    <x v="841"/>
    <s v="Sara Khan"/>
    <x v="0"/>
    <s v="Canada"/>
    <s v="London"/>
    <x v="2"/>
    <s v="Bookshelf"/>
    <x v="817"/>
    <n v="9"/>
    <n v="14588"/>
    <n v="0.22"/>
    <n v="11378.64"/>
    <x v="839"/>
    <n v="0.2"/>
    <x v="838"/>
    <x v="3"/>
    <x v="1"/>
    <n v="5"/>
    <x v="0"/>
    <x v="6"/>
    <n v="4"/>
    <s v="2023-04"/>
    <n v="81926.209999999992"/>
    <s v="Standard"/>
    <s v="Profitable"/>
    <s v="High Value"/>
  </r>
  <r>
    <x v="842"/>
    <x v="842"/>
    <s v="Priya Mehta"/>
    <x v="2"/>
    <s v="Canada"/>
    <s v="Toronto"/>
    <x v="1"/>
    <s v="Tennis Racket"/>
    <x v="818"/>
    <n v="9"/>
    <n v="9174"/>
    <n v="0"/>
    <n v="9174"/>
    <x v="840"/>
    <n v="0.25"/>
    <x v="839"/>
    <x v="3"/>
    <x v="0"/>
    <n v="3"/>
    <x v="2"/>
    <x v="5"/>
    <n v="8"/>
    <s v="2025-08"/>
    <n v="61924.5"/>
    <s v="Fast"/>
    <s v="Profitable"/>
    <s v="High Value"/>
  </r>
  <r>
    <x v="843"/>
    <x v="843"/>
    <s v="Maria Singh"/>
    <x v="3"/>
    <s v="Uk"/>
    <s v="New York"/>
    <x v="1"/>
    <s v="Cricket Bat"/>
    <x v="819"/>
    <n v="7"/>
    <n v="12556"/>
    <n v="0.06"/>
    <n v="11802.64"/>
    <x v="841"/>
    <n v="0.25"/>
    <x v="840"/>
    <x v="2"/>
    <x v="1"/>
    <n v="1"/>
    <x v="0"/>
    <x v="11"/>
    <n v="9"/>
    <s v="2023-09"/>
    <n v="61963.86"/>
    <s v="Fast"/>
    <s v="Profitable"/>
    <s v="High Value"/>
  </r>
  <r>
    <x v="844"/>
    <x v="844"/>
    <s v="John Smith"/>
    <x v="0"/>
    <s v="Canada"/>
    <s v="Mumbai"/>
    <x v="1"/>
    <s v="Football"/>
    <x v="820"/>
    <n v="8"/>
    <n v="13677"/>
    <n v="0.24"/>
    <n v="10394.52"/>
    <x v="842"/>
    <n v="0.25"/>
    <x v="841"/>
    <x v="3"/>
    <x v="0"/>
    <n v="7"/>
    <x v="1"/>
    <x v="10"/>
    <n v="5"/>
    <s v="2024-05"/>
    <n v="62367.12"/>
    <s v="Standard"/>
    <s v="Profitable"/>
    <s v="High Value"/>
  </r>
  <r>
    <x v="845"/>
    <x v="845"/>
    <s v="Priya Mehta"/>
    <x v="1"/>
    <s v="Uk"/>
    <s v="Delhi"/>
    <x v="2"/>
    <s v="Chair"/>
    <x v="821"/>
    <n v="7"/>
    <n v="18230"/>
    <n v="0.18"/>
    <n v="14948.6"/>
    <x v="843"/>
    <n v="0.2"/>
    <x v="842"/>
    <x v="0"/>
    <x v="0"/>
    <n v="2"/>
    <x v="2"/>
    <x v="6"/>
    <n v="4"/>
    <s v="2025-04"/>
    <n v="83712.160000000003"/>
    <s v="Fast"/>
    <s v="Profitable"/>
    <s v="High Value"/>
  </r>
  <r>
    <x v="846"/>
    <x v="846"/>
    <s v="Maria Singh"/>
    <x v="1"/>
    <s v="Canada"/>
    <s v="New York"/>
    <x v="4"/>
    <s v="Earphones"/>
    <x v="822"/>
    <n v="5"/>
    <n v="36916"/>
    <n v="0.24"/>
    <n v="28056.16"/>
    <x v="844"/>
    <n v="0.15"/>
    <x v="843"/>
    <x v="3"/>
    <x v="0"/>
    <n v="8"/>
    <x v="0"/>
    <x v="6"/>
    <n v="4"/>
    <s v="2023-04"/>
    <n v="119238.68"/>
    <s v="Delayed"/>
    <s v="Profitable"/>
    <s v="High Value"/>
  </r>
  <r>
    <x v="847"/>
    <x v="847"/>
    <s v="Priya Mehta"/>
    <x v="2"/>
    <s v="Usa"/>
    <s v="New York"/>
    <x v="4"/>
    <s v="Laptop"/>
    <x v="823"/>
    <n v="9"/>
    <n v="17521"/>
    <n v="0.11"/>
    <n v="15593.69"/>
    <x v="845"/>
    <n v="0.15"/>
    <x v="844"/>
    <x v="1"/>
    <x v="0"/>
    <n v="5"/>
    <x v="2"/>
    <x v="9"/>
    <n v="7"/>
    <s v="2025-07"/>
    <n v="119291.73"/>
    <s v="Standard"/>
    <s v="Profitable"/>
    <s v="High Value"/>
  </r>
  <r>
    <x v="848"/>
    <x v="848"/>
    <s v="John Smith"/>
    <x v="2"/>
    <s v="India"/>
    <s v="Toronto"/>
    <x v="1"/>
    <s v="Cricket Bat"/>
    <x v="824"/>
    <n v="6"/>
    <n v="14380"/>
    <n v="0.02"/>
    <n v="14092.4"/>
    <x v="846"/>
    <n v="0.25"/>
    <x v="845"/>
    <x v="1"/>
    <x v="1"/>
    <n v="4"/>
    <x v="0"/>
    <x v="9"/>
    <n v="7"/>
    <s v="2023-07"/>
    <n v="63415.799999999996"/>
    <s v="Standard"/>
    <s v="Profitable"/>
    <s v="High Value"/>
  </r>
  <r>
    <x v="849"/>
    <x v="849"/>
    <s v="Maria Singh"/>
    <x v="2"/>
    <s v="India"/>
    <s v="Mumbai"/>
    <x v="2"/>
    <s v="Table"/>
    <x v="825"/>
    <n v="9"/>
    <n v="12517"/>
    <n v="0.06"/>
    <n v="11765.98"/>
    <x v="847"/>
    <n v="0.2"/>
    <x v="846"/>
    <x v="2"/>
    <x v="1"/>
    <n v="3"/>
    <x v="1"/>
    <x v="8"/>
    <n v="12"/>
    <s v="2024-12"/>
    <n v="84715.060000000012"/>
    <s v="Fast"/>
    <s v="Profitable"/>
    <s v="High Value"/>
  </r>
  <r>
    <x v="850"/>
    <x v="850"/>
    <s v="David Lee"/>
    <x v="3"/>
    <s v="Usa"/>
    <s v="Mumbai"/>
    <x v="2"/>
    <s v="Table"/>
    <x v="826"/>
    <n v="9"/>
    <n v="13130"/>
    <n v="0.1"/>
    <n v="11817"/>
    <x v="848"/>
    <n v="0.2"/>
    <x v="847"/>
    <x v="0"/>
    <x v="2"/>
    <n v="2"/>
    <x v="0"/>
    <x v="0"/>
    <n v="11"/>
    <s v="2023-11"/>
    <n v="85082.4"/>
    <s v="Fast"/>
    <s v="Profitable"/>
    <s v="High Value"/>
  </r>
  <r>
    <x v="851"/>
    <x v="851"/>
    <s v="Maria Singh"/>
    <x v="1"/>
    <s v="India"/>
    <s v="Delhi"/>
    <x v="2"/>
    <s v="Table"/>
    <x v="827"/>
    <n v="7"/>
    <n v="15673"/>
    <n v="0.02"/>
    <n v="15359.54"/>
    <x v="849"/>
    <n v="0.2"/>
    <x v="848"/>
    <x v="0"/>
    <x v="0"/>
    <n v="2"/>
    <x v="0"/>
    <x v="0"/>
    <n v="11"/>
    <s v="2023-11"/>
    <n v="86013.42"/>
    <s v="Fast"/>
    <s v="Profitable"/>
    <s v="High Value"/>
  </r>
  <r>
    <x v="852"/>
    <x v="852"/>
    <s v="David Lee"/>
    <x v="1"/>
    <s v="Canada"/>
    <s v="Toronto"/>
    <x v="1"/>
    <s v="Tennis Racket"/>
    <x v="828"/>
    <n v="8"/>
    <n v="12041"/>
    <n v="0.1"/>
    <n v="10836.9"/>
    <x v="850"/>
    <n v="0.25"/>
    <x v="849"/>
    <x v="0"/>
    <x v="0"/>
    <n v="2"/>
    <x v="1"/>
    <x v="11"/>
    <n v="9"/>
    <s v="2024-09"/>
    <n v="65021.399999999994"/>
    <s v="Fast"/>
    <s v="Profitable"/>
    <s v="High Value"/>
  </r>
  <r>
    <x v="853"/>
    <x v="853"/>
    <s v="Amit Verma"/>
    <x v="1"/>
    <s v="India"/>
    <s v="Mumbai"/>
    <x v="4"/>
    <s v="Earphones"/>
    <x v="829"/>
    <n v="2"/>
    <n v="74315"/>
    <n v="0.02"/>
    <n v="72828.7"/>
    <x v="851"/>
    <n v="0.15"/>
    <x v="850"/>
    <x v="0"/>
    <x v="0"/>
    <n v="3"/>
    <x v="1"/>
    <x v="3"/>
    <n v="1"/>
    <s v="2024-01"/>
    <n v="123808.79"/>
    <s v="Fast"/>
    <s v="Profitable"/>
    <s v="High Value"/>
  </r>
  <r>
    <x v="854"/>
    <x v="854"/>
    <s v="Sara Khan"/>
    <x v="1"/>
    <s v="Uk"/>
    <s v="Mumbai"/>
    <x v="1"/>
    <s v="Tennis Racket"/>
    <x v="830"/>
    <n v="7"/>
    <n v="14559"/>
    <n v="0.14000000000000001"/>
    <n v="12520.74"/>
    <x v="852"/>
    <n v="0.25"/>
    <x v="851"/>
    <x v="3"/>
    <x v="0"/>
    <n v="6"/>
    <x v="1"/>
    <x v="2"/>
    <n v="3"/>
    <s v="2024-03"/>
    <n v="65733.87999999999"/>
    <s v="Standard"/>
    <s v="Profitable"/>
    <s v="High Value"/>
  </r>
  <r>
    <x v="855"/>
    <x v="855"/>
    <s v="Sara Khan"/>
    <x v="1"/>
    <s v="India"/>
    <s v="New York"/>
    <x v="4"/>
    <s v="Earphones"/>
    <x v="831"/>
    <n v="9"/>
    <n v="19557"/>
    <n v="0.17"/>
    <n v="16232.31"/>
    <x v="853"/>
    <n v="0.15"/>
    <x v="852"/>
    <x v="0"/>
    <x v="0"/>
    <n v="1"/>
    <x v="2"/>
    <x v="10"/>
    <n v="5"/>
    <s v="2025-05"/>
    <n v="124177.17000000001"/>
    <s v="Fast"/>
    <s v="Profitable"/>
    <s v="High Value"/>
  </r>
  <r>
    <x v="856"/>
    <x v="856"/>
    <s v="Amit Verma"/>
    <x v="1"/>
    <s v="Canada"/>
    <s v="Bangalore"/>
    <x v="1"/>
    <s v="Football"/>
    <x v="832"/>
    <n v="7"/>
    <n v="14042"/>
    <n v="0.1"/>
    <n v="12637.8"/>
    <x v="854"/>
    <n v="0.25"/>
    <x v="853"/>
    <x v="1"/>
    <x v="0"/>
    <n v="3"/>
    <x v="0"/>
    <x v="2"/>
    <n v="3"/>
    <s v="2023-03"/>
    <n v="66348.450000000012"/>
    <s v="Fast"/>
    <s v="Profitable"/>
    <s v="High Value"/>
  </r>
  <r>
    <x v="857"/>
    <x v="857"/>
    <s v="Amit Verma"/>
    <x v="3"/>
    <s v="Usa"/>
    <s v="Delhi"/>
    <x v="2"/>
    <s v="Chair"/>
    <x v="675"/>
    <n v="7"/>
    <n v="16083"/>
    <n v="0.01"/>
    <n v="15922.17"/>
    <x v="855"/>
    <n v="0.2"/>
    <x v="854"/>
    <x v="1"/>
    <x v="0"/>
    <n v="2"/>
    <x v="1"/>
    <x v="4"/>
    <n v="6"/>
    <s v="2024-06"/>
    <n v="89164.15"/>
    <s v="Fast"/>
    <s v="Profitable"/>
    <s v="High Value"/>
  </r>
  <r>
    <x v="858"/>
    <x v="858"/>
    <s v="Maria Singh"/>
    <x v="2"/>
    <s v="Uk"/>
    <s v="Delhi"/>
    <x v="1"/>
    <s v="Yoga Mat"/>
    <x v="833"/>
    <n v="8"/>
    <n v="12130"/>
    <n v="0.08"/>
    <n v="11159.6"/>
    <x v="856"/>
    <n v="0.25"/>
    <x v="855"/>
    <x v="1"/>
    <x v="0"/>
    <n v="8"/>
    <x v="0"/>
    <x v="6"/>
    <n v="4"/>
    <s v="2023-04"/>
    <n v="66957.600000000006"/>
    <s v="Delayed"/>
    <s v="Profitable"/>
    <s v="High Value"/>
  </r>
  <r>
    <x v="859"/>
    <x v="859"/>
    <s v="Sara Khan"/>
    <x v="1"/>
    <s v="Usa"/>
    <s v="Mumbai"/>
    <x v="2"/>
    <s v="Chair"/>
    <x v="834"/>
    <n v="8"/>
    <n v="18393"/>
    <n v="0.24"/>
    <n v="13978.68"/>
    <x v="857"/>
    <n v="0.2"/>
    <x v="856"/>
    <x v="2"/>
    <x v="0"/>
    <n v="6"/>
    <x v="0"/>
    <x v="0"/>
    <n v="11"/>
    <s v="2023-11"/>
    <n v="89463.55"/>
    <s v="Standard"/>
    <s v="Profitable"/>
    <s v="High Value"/>
  </r>
  <r>
    <x v="860"/>
    <x v="860"/>
    <s v="John Smith"/>
    <x v="0"/>
    <s v="India"/>
    <s v="Mumbai"/>
    <x v="4"/>
    <s v="Mobile"/>
    <x v="835"/>
    <n v="8"/>
    <n v="18706"/>
    <n v="0"/>
    <n v="18706"/>
    <x v="858"/>
    <n v="0.15"/>
    <x v="857"/>
    <x v="2"/>
    <x v="0"/>
    <n v="4"/>
    <x v="1"/>
    <x v="8"/>
    <n v="12"/>
    <s v="2024-12"/>
    <n v="127200.8"/>
    <s v="Standard"/>
    <s v="Profitable"/>
    <s v="High Value"/>
  </r>
  <r>
    <x v="861"/>
    <x v="861"/>
    <s v="Amit Verma"/>
    <x v="0"/>
    <s v="Usa"/>
    <s v="Toronto"/>
    <x v="1"/>
    <s v="Football"/>
    <x v="836"/>
    <n v="9"/>
    <n v="10508"/>
    <n v="0.05"/>
    <n v="9982.6"/>
    <x v="859"/>
    <n v="0.25"/>
    <x v="858"/>
    <x v="1"/>
    <x v="1"/>
    <n v="5"/>
    <x v="0"/>
    <x v="10"/>
    <n v="5"/>
    <s v="2023-05"/>
    <n v="67382.549999999988"/>
    <s v="Standard"/>
    <s v="Profitable"/>
    <s v="High Value"/>
  </r>
  <r>
    <x v="862"/>
    <x v="862"/>
    <s v="Sara Khan"/>
    <x v="3"/>
    <s v="Canada"/>
    <s v="London"/>
    <x v="1"/>
    <s v="Football"/>
    <x v="837"/>
    <n v="8"/>
    <n v="13732"/>
    <n v="0.18"/>
    <n v="11260.24"/>
    <x v="860"/>
    <n v="0.25"/>
    <x v="859"/>
    <x v="1"/>
    <x v="2"/>
    <n v="5"/>
    <x v="0"/>
    <x v="7"/>
    <n v="2"/>
    <s v="2023-02"/>
    <n v="67561.440000000002"/>
    <s v="Standard"/>
    <s v="Profitable"/>
    <s v="High Value"/>
  </r>
  <r>
    <x v="863"/>
    <x v="863"/>
    <s v="David Lee"/>
    <x v="1"/>
    <s v="India"/>
    <s v="Mumbai"/>
    <x v="4"/>
    <s v="Mobile"/>
    <x v="838"/>
    <n v="5"/>
    <n v="40447"/>
    <n v="0.25"/>
    <n v="30335.25"/>
    <x v="861"/>
    <n v="0.15"/>
    <x v="860"/>
    <x v="1"/>
    <x v="0"/>
    <n v="6"/>
    <x v="2"/>
    <x v="6"/>
    <n v="4"/>
    <s v="2025-04"/>
    <n v="128924.81"/>
    <s v="Standard"/>
    <s v="Profitable"/>
    <s v="High Value"/>
  </r>
  <r>
    <x v="864"/>
    <x v="864"/>
    <s v="Priya Mehta"/>
    <x v="0"/>
    <s v="India"/>
    <s v="New York"/>
    <x v="1"/>
    <s v="Yoga Mat"/>
    <x v="466"/>
    <n v="8"/>
    <n v="11658"/>
    <n v="0.02"/>
    <n v="11424.84"/>
    <x v="862"/>
    <n v="0.25"/>
    <x v="861"/>
    <x v="2"/>
    <x v="0"/>
    <n v="3"/>
    <x v="0"/>
    <x v="8"/>
    <n v="12"/>
    <s v="2023-12"/>
    <n v="68549.040000000008"/>
    <s v="Fast"/>
    <s v="Profitable"/>
    <s v="High Value"/>
  </r>
  <r>
    <x v="865"/>
    <x v="865"/>
    <s v="Maria Singh"/>
    <x v="0"/>
    <s v="Uk"/>
    <s v="New York"/>
    <x v="2"/>
    <s v="Chair"/>
    <x v="839"/>
    <n v="9"/>
    <n v="14087"/>
    <n v="0.09"/>
    <n v="12819.17"/>
    <x v="863"/>
    <n v="0.2"/>
    <x v="862"/>
    <x v="0"/>
    <x v="0"/>
    <n v="6"/>
    <x v="2"/>
    <x v="3"/>
    <n v="1"/>
    <s v="2025-01"/>
    <n v="92298.02"/>
    <s v="Standard"/>
    <s v="Profitable"/>
    <s v="High Value"/>
  </r>
  <r>
    <x v="866"/>
    <x v="866"/>
    <s v="John Smith"/>
    <x v="0"/>
    <s v="Uk"/>
    <s v="Toronto"/>
    <x v="2"/>
    <s v="Table"/>
    <x v="747"/>
    <n v="9"/>
    <n v="16871"/>
    <n v="0.24"/>
    <n v="12821.96"/>
    <x v="864"/>
    <n v="0.2"/>
    <x v="863"/>
    <x v="3"/>
    <x v="0"/>
    <n v="7"/>
    <x v="2"/>
    <x v="7"/>
    <n v="2"/>
    <s v="2025-02"/>
    <n v="92318.11"/>
    <s v="Standard"/>
    <s v="Profitable"/>
    <s v="High Value"/>
  </r>
  <r>
    <x v="867"/>
    <x v="867"/>
    <s v="Sara Khan"/>
    <x v="0"/>
    <s v="Usa"/>
    <s v="London"/>
    <x v="4"/>
    <s v="Laptop"/>
    <x v="840"/>
    <n v="3"/>
    <n v="65099"/>
    <n v="0.21"/>
    <n v="51428.21"/>
    <x v="865"/>
    <n v="0.15"/>
    <x v="864"/>
    <x v="0"/>
    <x v="2"/>
    <n v="8"/>
    <x v="1"/>
    <x v="10"/>
    <n v="5"/>
    <s v="2024-05"/>
    <n v="131141.94"/>
    <s v="Delayed"/>
    <s v="Profitable"/>
    <s v="High Value"/>
  </r>
  <r>
    <x v="868"/>
    <x v="868"/>
    <s v="Sara Khan"/>
    <x v="2"/>
    <s v="Uk"/>
    <s v="Mumbai"/>
    <x v="1"/>
    <s v="Cricket Bat"/>
    <x v="841"/>
    <n v="8"/>
    <n v="13080"/>
    <n v="0.11"/>
    <n v="11641.2"/>
    <x v="866"/>
    <n v="0.25"/>
    <x v="865"/>
    <x v="1"/>
    <x v="0"/>
    <n v="4"/>
    <x v="0"/>
    <x v="7"/>
    <n v="2"/>
    <s v="2023-02"/>
    <n v="69847.200000000012"/>
    <s v="Standard"/>
    <s v="Profitable"/>
    <s v="High Value"/>
  </r>
  <r>
    <x v="869"/>
    <x v="869"/>
    <s v="Priya Mehta"/>
    <x v="2"/>
    <s v="Usa"/>
    <s v="Mumbai"/>
    <x v="4"/>
    <s v="Tablet"/>
    <x v="842"/>
    <n v="5"/>
    <n v="31384"/>
    <n v="0.01"/>
    <n v="31070.16"/>
    <x v="867"/>
    <n v="0.15"/>
    <x v="866"/>
    <x v="0"/>
    <x v="0"/>
    <n v="7"/>
    <x v="2"/>
    <x v="11"/>
    <n v="9"/>
    <s v="2025-09"/>
    <n v="132048.18"/>
    <s v="Standard"/>
    <s v="Profitable"/>
    <s v="High Value"/>
  </r>
  <r>
    <x v="870"/>
    <x v="870"/>
    <s v="Amit Verma"/>
    <x v="2"/>
    <s v="Usa"/>
    <s v="London"/>
    <x v="1"/>
    <s v="Football"/>
    <x v="843"/>
    <n v="9"/>
    <n v="12795"/>
    <n v="0.19"/>
    <n v="10363.950000000001"/>
    <x v="868"/>
    <n v="0.25"/>
    <x v="867"/>
    <x v="3"/>
    <x v="0"/>
    <n v="8"/>
    <x v="1"/>
    <x v="10"/>
    <n v="5"/>
    <s v="2024-05"/>
    <n v="69956.66"/>
    <s v="Delayed"/>
    <s v="Profitable"/>
    <s v="High Value"/>
  </r>
  <r>
    <x v="871"/>
    <x v="871"/>
    <s v="Priya Mehta"/>
    <x v="3"/>
    <s v="Usa"/>
    <s v="Bangalore"/>
    <x v="4"/>
    <s v="Earphones"/>
    <x v="844"/>
    <n v="6"/>
    <n v="33225"/>
    <n v="0.22"/>
    <n v="25915.5"/>
    <x v="869"/>
    <n v="0.15"/>
    <x v="868"/>
    <x v="0"/>
    <x v="0"/>
    <n v="2"/>
    <x v="2"/>
    <x v="7"/>
    <n v="2"/>
    <s v="2025-02"/>
    <n v="132169.04999999999"/>
    <s v="Fast"/>
    <s v="Profitable"/>
    <s v="High Value"/>
  </r>
  <r>
    <x v="872"/>
    <x v="872"/>
    <s v="John Smith"/>
    <x v="2"/>
    <s v="Canada"/>
    <s v="London"/>
    <x v="1"/>
    <s v="Cricket Bat"/>
    <x v="845"/>
    <n v="8"/>
    <n v="11935"/>
    <n v="0.02"/>
    <n v="11696.3"/>
    <x v="870"/>
    <n v="0.25"/>
    <x v="869"/>
    <x v="0"/>
    <x v="0"/>
    <n v="7"/>
    <x v="1"/>
    <x v="8"/>
    <n v="12"/>
    <s v="2024-12"/>
    <n v="70177.799999999988"/>
    <s v="Standard"/>
    <s v="Profitable"/>
    <s v="High Value"/>
  </r>
  <r>
    <x v="873"/>
    <x v="873"/>
    <s v="Maria Singh"/>
    <x v="1"/>
    <s v="Usa"/>
    <s v="Mumbai"/>
    <x v="4"/>
    <s v="Laptop"/>
    <x v="846"/>
    <n v="8"/>
    <n v="21005"/>
    <n v="7.0000000000000007E-2"/>
    <n v="19534.650000000001"/>
    <x v="871"/>
    <n v="0.15"/>
    <x v="870"/>
    <x v="0"/>
    <x v="0"/>
    <n v="7"/>
    <x v="2"/>
    <x v="7"/>
    <n v="2"/>
    <s v="2025-02"/>
    <n v="132835.62"/>
    <s v="Standard"/>
    <s v="Profitable"/>
    <s v="High Value"/>
  </r>
  <r>
    <x v="874"/>
    <x v="874"/>
    <s v="John Smith"/>
    <x v="0"/>
    <s v="Usa"/>
    <s v="New York"/>
    <x v="2"/>
    <s v="Sofa"/>
    <x v="95"/>
    <n v="9"/>
    <n v="16939"/>
    <n v="0.23"/>
    <n v="13043.03"/>
    <x v="872"/>
    <n v="0.2"/>
    <x v="871"/>
    <x v="0"/>
    <x v="0"/>
    <n v="4"/>
    <x v="2"/>
    <x v="5"/>
    <n v="8"/>
    <s v="2025-08"/>
    <n v="93909.82"/>
    <s v="Standard"/>
    <s v="Profitable"/>
    <s v="High Value"/>
  </r>
  <r>
    <x v="875"/>
    <x v="875"/>
    <s v="Sara Khan"/>
    <x v="1"/>
    <s v="India"/>
    <s v="London"/>
    <x v="2"/>
    <s v="Sofa"/>
    <x v="847"/>
    <n v="9"/>
    <n v="16052"/>
    <n v="0.18"/>
    <n v="13162.64"/>
    <x v="873"/>
    <n v="0.2"/>
    <x v="872"/>
    <x v="2"/>
    <x v="1"/>
    <n v="1"/>
    <x v="1"/>
    <x v="3"/>
    <n v="1"/>
    <s v="2024-01"/>
    <n v="94771.01"/>
    <s v="Fast"/>
    <s v="Profitable"/>
    <s v="High Value"/>
  </r>
  <r>
    <x v="876"/>
    <x v="876"/>
    <s v="Priya Mehta"/>
    <x v="3"/>
    <s v="India"/>
    <s v="New York"/>
    <x v="1"/>
    <s v="Yoga Mat"/>
    <x v="848"/>
    <n v="9"/>
    <n v="11339"/>
    <n v="7.0000000000000007E-2"/>
    <n v="10545.27"/>
    <x v="874"/>
    <n v="0.25"/>
    <x v="873"/>
    <x v="3"/>
    <x v="0"/>
    <n v="4"/>
    <x v="0"/>
    <x v="2"/>
    <n v="3"/>
    <s v="2023-03"/>
    <n v="71180.569999999992"/>
    <s v="Standard"/>
    <s v="Profitable"/>
    <s v="High Value"/>
  </r>
  <r>
    <x v="877"/>
    <x v="877"/>
    <s v="John Smith"/>
    <x v="1"/>
    <s v="India"/>
    <s v="London"/>
    <x v="2"/>
    <s v="Chair"/>
    <x v="849"/>
    <n v="9"/>
    <n v="14500"/>
    <n v="0.09"/>
    <n v="13195"/>
    <x v="875"/>
    <n v="0.2"/>
    <x v="874"/>
    <x v="2"/>
    <x v="0"/>
    <n v="3"/>
    <x v="1"/>
    <x v="8"/>
    <n v="12"/>
    <s v="2024-12"/>
    <n v="95004"/>
    <s v="Fast"/>
    <s v="Profitable"/>
    <s v="High Value"/>
  </r>
  <r>
    <x v="878"/>
    <x v="878"/>
    <s v="Maria Singh"/>
    <x v="0"/>
    <s v="Canada"/>
    <s v="Toronto"/>
    <x v="2"/>
    <s v="Sofa"/>
    <x v="850"/>
    <n v="8"/>
    <n v="18406"/>
    <n v="0.19"/>
    <n v="14908.86"/>
    <x v="876"/>
    <n v="0.2"/>
    <x v="875"/>
    <x v="3"/>
    <x v="0"/>
    <n v="9"/>
    <x v="1"/>
    <x v="8"/>
    <n v="12"/>
    <s v="2024-12"/>
    <n v="95416.700000000012"/>
    <s v="Delayed"/>
    <s v="Profitable"/>
    <s v="High Value"/>
  </r>
  <r>
    <x v="879"/>
    <x v="879"/>
    <s v="Amit Verma"/>
    <x v="0"/>
    <s v="India"/>
    <s v="Bangalore"/>
    <x v="2"/>
    <s v="Table"/>
    <x v="851"/>
    <n v="7"/>
    <n v="17795"/>
    <n v="0.04"/>
    <n v="17083.2"/>
    <x v="877"/>
    <n v="0.2"/>
    <x v="876"/>
    <x v="0"/>
    <x v="0"/>
    <n v="8"/>
    <x v="2"/>
    <x v="11"/>
    <n v="9"/>
    <s v="2025-09"/>
    <n v="95665.919999999998"/>
    <s v="Delayed"/>
    <s v="Profitable"/>
    <s v="High Value"/>
  </r>
  <r>
    <x v="880"/>
    <x v="880"/>
    <s v="Priya Mehta"/>
    <x v="0"/>
    <s v="Canada"/>
    <s v="Delhi"/>
    <x v="1"/>
    <s v="Yoga Mat"/>
    <x v="852"/>
    <n v="9"/>
    <n v="12865"/>
    <n v="0.17"/>
    <n v="10677.95"/>
    <x v="878"/>
    <n v="0.25"/>
    <x v="877"/>
    <x v="1"/>
    <x v="0"/>
    <n v="4"/>
    <x v="0"/>
    <x v="9"/>
    <n v="7"/>
    <s v="2023-07"/>
    <n v="72076.160000000003"/>
    <s v="Standard"/>
    <s v="Profitable"/>
    <s v="High Value"/>
  </r>
  <r>
    <x v="881"/>
    <x v="881"/>
    <s v="Sara Khan"/>
    <x v="1"/>
    <s v="Uk"/>
    <s v="Bangalore"/>
    <x v="2"/>
    <s v="Sofa"/>
    <x v="853"/>
    <n v="7"/>
    <n v="19456"/>
    <n v="0.11"/>
    <n v="17315.84"/>
    <x v="879"/>
    <n v="0.2"/>
    <x v="878"/>
    <x v="0"/>
    <x v="1"/>
    <n v="3"/>
    <x v="0"/>
    <x v="8"/>
    <n v="12"/>
    <s v="2023-12"/>
    <n v="96968.700000000012"/>
    <s v="Fast"/>
    <s v="Profitable"/>
    <s v="High Value"/>
  </r>
  <r>
    <x v="882"/>
    <x v="882"/>
    <s v="David Lee"/>
    <x v="3"/>
    <s v="India"/>
    <s v="Toronto"/>
    <x v="4"/>
    <s v="Mobile"/>
    <x v="854"/>
    <n v="4"/>
    <n v="41401"/>
    <n v="0.02"/>
    <n v="40572.980000000003"/>
    <x v="880"/>
    <n v="0.15"/>
    <x v="879"/>
    <x v="3"/>
    <x v="0"/>
    <n v="4"/>
    <x v="0"/>
    <x v="0"/>
    <n v="11"/>
    <s v="2023-11"/>
    <n v="137948.13"/>
    <s v="Standard"/>
    <s v="Profitable"/>
    <s v="High Value"/>
  </r>
  <r>
    <x v="883"/>
    <x v="883"/>
    <s v="Priya Mehta"/>
    <x v="2"/>
    <s v="India"/>
    <s v="Mumbai"/>
    <x v="4"/>
    <s v="Mobile"/>
    <x v="855"/>
    <n v="8"/>
    <n v="25892"/>
    <n v="0.21"/>
    <n v="20454.68"/>
    <x v="881"/>
    <n v="0.15"/>
    <x v="880"/>
    <x v="0"/>
    <x v="1"/>
    <n v="4"/>
    <x v="2"/>
    <x v="4"/>
    <n v="6"/>
    <s v="2025-06"/>
    <n v="139091.82"/>
    <s v="Standard"/>
    <s v="Profitable"/>
    <s v="High Value"/>
  </r>
  <r>
    <x v="884"/>
    <x v="884"/>
    <s v="Amit Verma"/>
    <x v="2"/>
    <s v="India"/>
    <s v="London"/>
    <x v="4"/>
    <s v="Laptop"/>
    <x v="856"/>
    <n v="8"/>
    <n v="24716"/>
    <n v="0.17"/>
    <n v="20514.28"/>
    <x v="882"/>
    <n v="0.15"/>
    <x v="881"/>
    <x v="3"/>
    <x v="0"/>
    <n v="9"/>
    <x v="1"/>
    <x v="10"/>
    <n v="5"/>
    <s v="2024-05"/>
    <n v="139497.09999999998"/>
    <s v="Delayed"/>
    <s v="Profitable"/>
    <s v="High Value"/>
  </r>
  <r>
    <x v="885"/>
    <x v="885"/>
    <s v="John Smith"/>
    <x v="2"/>
    <s v="Uk"/>
    <s v="Mumbai"/>
    <x v="2"/>
    <s v="Sofa"/>
    <x v="857"/>
    <n v="8"/>
    <n v="17600"/>
    <n v="0.12"/>
    <n v="15488"/>
    <x v="883"/>
    <n v="0.2"/>
    <x v="882"/>
    <x v="3"/>
    <x v="1"/>
    <n v="1"/>
    <x v="0"/>
    <x v="0"/>
    <n v="11"/>
    <s v="2023-11"/>
    <n v="99123.199999999997"/>
    <s v="Fast"/>
    <s v="Profitable"/>
    <s v="High Value"/>
  </r>
  <r>
    <x v="886"/>
    <x v="886"/>
    <s v="David Lee"/>
    <x v="3"/>
    <s v="Usa"/>
    <s v="Delhi"/>
    <x v="4"/>
    <s v="Earphones"/>
    <x v="858"/>
    <n v="3"/>
    <n v="60669"/>
    <n v="0.09"/>
    <n v="55208.79"/>
    <x v="884"/>
    <n v="0.15"/>
    <x v="883"/>
    <x v="1"/>
    <x v="0"/>
    <n v="9"/>
    <x v="2"/>
    <x v="9"/>
    <n v="7"/>
    <s v="2025-07"/>
    <n v="140782.41"/>
    <s v="Delayed"/>
    <s v="Profitable"/>
    <s v="High Value"/>
  </r>
  <r>
    <x v="887"/>
    <x v="887"/>
    <s v="John Smith"/>
    <x v="0"/>
    <s v="Uk"/>
    <s v="New York"/>
    <x v="1"/>
    <s v="Yoga Mat"/>
    <x v="859"/>
    <n v="8"/>
    <n v="13201"/>
    <n v="0.03"/>
    <n v="12804.97"/>
    <x v="885"/>
    <n v="0.25"/>
    <x v="884"/>
    <x v="0"/>
    <x v="0"/>
    <n v="8"/>
    <x v="0"/>
    <x v="2"/>
    <n v="3"/>
    <s v="2023-03"/>
    <n v="76829.819999999992"/>
    <s v="Delayed"/>
    <s v="Profitable"/>
    <s v="High Value"/>
  </r>
  <r>
    <x v="888"/>
    <x v="888"/>
    <s v="Maria Singh"/>
    <x v="1"/>
    <s v="Usa"/>
    <s v="New York"/>
    <x v="4"/>
    <s v="Earphones"/>
    <x v="860"/>
    <n v="7"/>
    <n v="28268"/>
    <n v="0.13"/>
    <n v="24593.16"/>
    <x v="886"/>
    <n v="0.15"/>
    <x v="885"/>
    <x v="1"/>
    <x v="0"/>
    <n v="6"/>
    <x v="1"/>
    <x v="10"/>
    <n v="5"/>
    <s v="2024-05"/>
    <n v="146329.29999999999"/>
    <s v="Standard"/>
    <s v="Profitable"/>
    <s v="High Value"/>
  </r>
  <r>
    <x v="889"/>
    <x v="889"/>
    <s v="John Smith"/>
    <x v="0"/>
    <s v="Uk"/>
    <s v="Bangalore"/>
    <x v="4"/>
    <s v="Earphones"/>
    <x v="861"/>
    <n v="6"/>
    <n v="34226"/>
    <n v="0.16"/>
    <n v="28749.84"/>
    <x v="887"/>
    <n v="0.15"/>
    <x v="886"/>
    <x v="1"/>
    <x v="0"/>
    <n v="2"/>
    <x v="1"/>
    <x v="6"/>
    <n v="4"/>
    <s v="2024-04"/>
    <n v="146624.18"/>
    <s v="Fast"/>
    <s v="Profitable"/>
    <s v="High Value"/>
  </r>
  <r>
    <x v="890"/>
    <x v="890"/>
    <s v="Maria Singh"/>
    <x v="1"/>
    <s v="Canada"/>
    <s v="Delhi"/>
    <x v="4"/>
    <s v="Tablet"/>
    <x v="862"/>
    <n v="3"/>
    <n v="62579"/>
    <n v="7.0000000000000007E-2"/>
    <n v="58198.47"/>
    <x v="888"/>
    <n v="0.15"/>
    <x v="887"/>
    <x v="2"/>
    <x v="0"/>
    <n v="3"/>
    <x v="0"/>
    <x v="7"/>
    <n v="2"/>
    <s v="2023-02"/>
    <n v="148406.1"/>
    <s v="Fast"/>
    <s v="Profitable"/>
    <s v="High Value"/>
  </r>
  <r>
    <x v="891"/>
    <x v="891"/>
    <s v="Priya Mehta"/>
    <x v="2"/>
    <s v="Canada"/>
    <s v="Bangalore"/>
    <x v="1"/>
    <s v="Yoga Mat"/>
    <x v="863"/>
    <n v="9"/>
    <n v="13330"/>
    <n v="0.12"/>
    <n v="11730.4"/>
    <x v="889"/>
    <n v="0.25"/>
    <x v="888"/>
    <x v="3"/>
    <x v="0"/>
    <n v="6"/>
    <x v="1"/>
    <x v="10"/>
    <n v="5"/>
    <s v="2024-05"/>
    <n v="79180.200000000012"/>
    <s v="Standard"/>
    <s v="Profitable"/>
    <s v="High Value"/>
  </r>
  <r>
    <x v="892"/>
    <x v="892"/>
    <s v="John Smith"/>
    <x v="1"/>
    <s v="Canada"/>
    <s v="Mumbai"/>
    <x v="4"/>
    <s v="Mobile"/>
    <x v="864"/>
    <n v="3"/>
    <n v="74157"/>
    <n v="0.2"/>
    <n v="59325.599999999999"/>
    <x v="890"/>
    <n v="0.15"/>
    <x v="889"/>
    <x v="3"/>
    <x v="0"/>
    <n v="3"/>
    <x v="0"/>
    <x v="1"/>
    <n v="10"/>
    <s v="2023-10"/>
    <n v="151280.28"/>
    <s v="Fast"/>
    <s v="Profitable"/>
    <s v="High Value"/>
  </r>
  <r>
    <x v="893"/>
    <x v="893"/>
    <s v="Sara Khan"/>
    <x v="0"/>
    <s v="Usa"/>
    <s v="Toronto"/>
    <x v="4"/>
    <s v="Laptop"/>
    <x v="865"/>
    <n v="3"/>
    <n v="65677"/>
    <n v="0.09"/>
    <n v="59766.07"/>
    <x v="891"/>
    <n v="0.15"/>
    <x v="890"/>
    <x v="3"/>
    <x v="0"/>
    <n v="2"/>
    <x v="1"/>
    <x v="4"/>
    <n v="6"/>
    <s v="2024-06"/>
    <n v="152403.47999999998"/>
    <s v="Fast"/>
    <s v="Profitable"/>
    <s v="High Value"/>
  </r>
  <r>
    <x v="894"/>
    <x v="894"/>
    <s v="Amit Verma"/>
    <x v="0"/>
    <s v="Canada"/>
    <s v="New York"/>
    <x v="4"/>
    <s v="Tablet"/>
    <x v="866"/>
    <n v="9"/>
    <n v="26082"/>
    <n v="0.23"/>
    <n v="20083.14"/>
    <x v="892"/>
    <n v="0.15"/>
    <x v="891"/>
    <x v="1"/>
    <x v="1"/>
    <n v="8"/>
    <x v="0"/>
    <x v="7"/>
    <n v="2"/>
    <s v="2023-02"/>
    <n v="153636.02000000002"/>
    <s v="Delayed"/>
    <s v="Profitable"/>
    <s v="High Value"/>
  </r>
  <r>
    <x v="895"/>
    <x v="895"/>
    <s v="Maria Singh"/>
    <x v="1"/>
    <s v="Canada"/>
    <s v="London"/>
    <x v="4"/>
    <s v="Laptop"/>
    <x v="867"/>
    <n v="5"/>
    <n v="43893"/>
    <n v="0.16"/>
    <n v="36870.120000000003"/>
    <x v="893"/>
    <n v="0.15"/>
    <x v="892"/>
    <x v="1"/>
    <x v="0"/>
    <n v="3"/>
    <x v="1"/>
    <x v="3"/>
    <n v="1"/>
    <s v="2024-01"/>
    <n v="156698.01"/>
    <s v="Fast"/>
    <s v="Profitable"/>
    <s v="High Value"/>
  </r>
  <r>
    <x v="896"/>
    <x v="896"/>
    <s v="Priya Mehta"/>
    <x v="0"/>
    <s v="Usa"/>
    <s v="Mumbai"/>
    <x v="4"/>
    <s v="Tablet"/>
    <x v="868"/>
    <n v="9"/>
    <n v="25398"/>
    <n v="0.19"/>
    <n v="20572.38"/>
    <x v="894"/>
    <n v="0.15"/>
    <x v="893"/>
    <x v="1"/>
    <x v="0"/>
    <n v="9"/>
    <x v="0"/>
    <x v="4"/>
    <n v="6"/>
    <s v="2023-06"/>
    <n v="157378.71000000002"/>
    <s v="Delayed"/>
    <s v="Profitable"/>
    <s v="High Value"/>
  </r>
  <r>
    <x v="897"/>
    <x v="897"/>
    <s v="Maria Singh"/>
    <x v="2"/>
    <s v="Canada"/>
    <s v="London"/>
    <x v="1"/>
    <s v="Yoga Mat"/>
    <x v="869"/>
    <n v="8"/>
    <n v="14183"/>
    <n v="0.02"/>
    <n v="13899.34"/>
    <x v="895"/>
    <n v="0.25"/>
    <x v="894"/>
    <x v="2"/>
    <x v="0"/>
    <n v="1"/>
    <x v="2"/>
    <x v="4"/>
    <n v="6"/>
    <s v="2025-06"/>
    <n v="83396.040000000008"/>
    <s v="Fast"/>
    <s v="Profitable"/>
    <s v="High Value"/>
  </r>
  <r>
    <x v="898"/>
    <x v="898"/>
    <s v="Maria Singh"/>
    <x v="2"/>
    <s v="Uk"/>
    <s v="Mumbai"/>
    <x v="4"/>
    <s v="Laptop"/>
    <x v="870"/>
    <n v="4"/>
    <n v="52229"/>
    <n v="0.11"/>
    <n v="46483.81"/>
    <x v="896"/>
    <n v="0.15"/>
    <x v="895"/>
    <x v="2"/>
    <x v="0"/>
    <n v="6"/>
    <x v="0"/>
    <x v="2"/>
    <n v="3"/>
    <s v="2023-03"/>
    <n v="158044.94999999998"/>
    <s v="Standard"/>
    <s v="Profitable"/>
    <s v="High Value"/>
  </r>
  <r>
    <x v="899"/>
    <x v="899"/>
    <s v="Maria Singh"/>
    <x v="1"/>
    <s v="Canada"/>
    <s v="Mumbai"/>
    <x v="4"/>
    <s v="Earphones"/>
    <x v="871"/>
    <n v="5"/>
    <n v="40027"/>
    <n v="7.0000000000000007E-2"/>
    <n v="37225.11"/>
    <x v="897"/>
    <n v="0.15"/>
    <x v="896"/>
    <x v="1"/>
    <x v="0"/>
    <n v="7"/>
    <x v="0"/>
    <x v="7"/>
    <n v="2"/>
    <s v="2023-02"/>
    <n v="158206.71999999997"/>
    <s v="Standard"/>
    <s v="Profitable"/>
    <s v="High Value"/>
  </r>
  <r>
    <x v="900"/>
    <x v="900"/>
    <s v="David Lee"/>
    <x v="0"/>
    <s v="Uk"/>
    <s v="New York"/>
    <x v="4"/>
    <s v="Laptop"/>
    <x v="872"/>
    <n v="6"/>
    <n v="39301"/>
    <n v="0.21"/>
    <n v="31047.79"/>
    <x v="898"/>
    <n v="0.15"/>
    <x v="897"/>
    <x v="3"/>
    <x v="1"/>
    <n v="5"/>
    <x v="1"/>
    <x v="2"/>
    <n v="3"/>
    <s v="2024-03"/>
    <n v="158343.72999999998"/>
    <s v="Standard"/>
    <s v="Profitable"/>
    <s v="High Value"/>
  </r>
  <r>
    <x v="901"/>
    <x v="901"/>
    <s v="Amit Verma"/>
    <x v="0"/>
    <s v="Usa"/>
    <s v="Mumbai"/>
    <x v="4"/>
    <s v="Tablet"/>
    <x v="873"/>
    <n v="7"/>
    <n v="30281"/>
    <n v="0.12"/>
    <n v="26647.279999999999"/>
    <x v="899"/>
    <n v="0.15"/>
    <x v="898"/>
    <x v="3"/>
    <x v="2"/>
    <n v="6"/>
    <x v="1"/>
    <x v="11"/>
    <n v="9"/>
    <s v="2024-09"/>
    <n v="158551.32"/>
    <s v="Standard"/>
    <s v="Profitable"/>
    <s v="High Value"/>
  </r>
  <r>
    <x v="902"/>
    <x v="902"/>
    <s v="John Smith"/>
    <x v="3"/>
    <s v="Usa"/>
    <s v="London"/>
    <x v="1"/>
    <s v="Cricket Bat"/>
    <x v="874"/>
    <n v="9"/>
    <n v="13281"/>
    <n v="0.05"/>
    <n v="12616.95"/>
    <x v="900"/>
    <n v="0.25"/>
    <x v="899"/>
    <x v="2"/>
    <x v="1"/>
    <n v="5"/>
    <x v="0"/>
    <x v="5"/>
    <n v="8"/>
    <s v="2023-08"/>
    <n v="85164.41"/>
    <s v="Standard"/>
    <s v="Profitable"/>
    <s v="High Value"/>
  </r>
  <r>
    <x v="903"/>
    <x v="903"/>
    <s v="John Smith"/>
    <x v="1"/>
    <s v="Uk"/>
    <s v="Mumbai"/>
    <x v="4"/>
    <s v="Laptop"/>
    <x v="875"/>
    <n v="4"/>
    <n v="60979"/>
    <n v="0.22"/>
    <n v="47563.62"/>
    <x v="901"/>
    <n v="0.15"/>
    <x v="900"/>
    <x v="3"/>
    <x v="0"/>
    <n v="9"/>
    <x v="1"/>
    <x v="1"/>
    <n v="10"/>
    <s v="2024-10"/>
    <n v="161716.31"/>
    <s v="Delayed"/>
    <s v="Profitable"/>
    <s v="High Value"/>
  </r>
  <r>
    <x v="904"/>
    <x v="904"/>
    <s v="David Lee"/>
    <x v="3"/>
    <s v="India"/>
    <s v="Bangalore"/>
    <x v="4"/>
    <s v="Tablet"/>
    <x v="876"/>
    <n v="8"/>
    <n v="26184"/>
    <n v="0.08"/>
    <n v="24089.279999999999"/>
    <x v="902"/>
    <n v="0.15"/>
    <x v="901"/>
    <x v="2"/>
    <x v="0"/>
    <n v="3"/>
    <x v="2"/>
    <x v="2"/>
    <n v="3"/>
    <s v="2025-03"/>
    <n v="163807.09999999998"/>
    <s v="Fast"/>
    <s v="Profitable"/>
    <s v="High Value"/>
  </r>
  <r>
    <x v="905"/>
    <x v="905"/>
    <s v="Amit Verma"/>
    <x v="3"/>
    <s v="Usa"/>
    <s v="Mumbai"/>
    <x v="2"/>
    <s v="Sofa"/>
    <x v="877"/>
    <n v="9"/>
    <n v="18898"/>
    <n v="0.15"/>
    <n v="16063.3"/>
    <x v="903"/>
    <n v="0.2"/>
    <x v="902"/>
    <x v="1"/>
    <x v="0"/>
    <n v="4"/>
    <x v="2"/>
    <x v="3"/>
    <n v="1"/>
    <s v="2025-01"/>
    <n v="115655.76000000001"/>
    <s v="Standard"/>
    <s v="Profitable"/>
    <s v="High Value"/>
  </r>
  <r>
    <x v="906"/>
    <x v="906"/>
    <s v="John Smith"/>
    <x v="2"/>
    <s v="Usa"/>
    <s v="New York"/>
    <x v="4"/>
    <s v="Tablet"/>
    <x v="878"/>
    <n v="8"/>
    <n v="24472"/>
    <n v="0.01"/>
    <n v="24227.279999999999"/>
    <x v="904"/>
    <n v="0.15"/>
    <x v="903"/>
    <x v="1"/>
    <x v="0"/>
    <n v="7"/>
    <x v="2"/>
    <x v="6"/>
    <n v="4"/>
    <s v="2025-04"/>
    <n v="164745.5"/>
    <s v="Standard"/>
    <s v="Profitable"/>
    <s v="High Value"/>
  </r>
  <r>
    <x v="907"/>
    <x v="907"/>
    <s v="Maria Singh"/>
    <x v="1"/>
    <s v="India"/>
    <s v="Bangalore"/>
    <x v="4"/>
    <s v="Laptop"/>
    <x v="879"/>
    <n v="3"/>
    <n v="76061"/>
    <n v="0.15"/>
    <n v="64651.85"/>
    <x v="905"/>
    <n v="0.15"/>
    <x v="904"/>
    <x v="2"/>
    <x v="0"/>
    <n v="9"/>
    <x v="0"/>
    <x v="6"/>
    <n v="4"/>
    <s v="2023-04"/>
    <n v="164862.21999999997"/>
    <s v="Delayed"/>
    <s v="Profitable"/>
    <s v="High Value"/>
  </r>
  <r>
    <x v="908"/>
    <x v="908"/>
    <s v="Maria Singh"/>
    <x v="1"/>
    <s v="Usa"/>
    <s v="London"/>
    <x v="4"/>
    <s v="Earphones"/>
    <x v="880"/>
    <n v="5"/>
    <n v="51235"/>
    <n v="0.24"/>
    <n v="38938.6"/>
    <x v="906"/>
    <n v="0.15"/>
    <x v="905"/>
    <x v="1"/>
    <x v="0"/>
    <n v="1"/>
    <x v="0"/>
    <x v="4"/>
    <n v="6"/>
    <s v="2023-06"/>
    <n v="165489.04999999999"/>
    <s v="Fast"/>
    <s v="Profitable"/>
    <s v="High Value"/>
  </r>
  <r>
    <x v="909"/>
    <x v="909"/>
    <s v="Sara Khan"/>
    <x v="3"/>
    <s v="Canada"/>
    <s v="Bangalore"/>
    <x v="4"/>
    <s v="Mobile"/>
    <x v="881"/>
    <n v="6"/>
    <n v="37723"/>
    <n v="0.13"/>
    <n v="32819.01"/>
    <x v="907"/>
    <n v="0.15"/>
    <x v="906"/>
    <x v="1"/>
    <x v="0"/>
    <n v="2"/>
    <x v="0"/>
    <x v="5"/>
    <n v="8"/>
    <s v="2023-08"/>
    <n v="167376.95000000001"/>
    <s v="Fast"/>
    <s v="Profitable"/>
    <s v="High Value"/>
  </r>
  <r>
    <x v="910"/>
    <x v="910"/>
    <s v="Maria Singh"/>
    <x v="1"/>
    <s v="Usa"/>
    <s v="Delhi"/>
    <x v="4"/>
    <s v="Tablet"/>
    <x v="882"/>
    <n v="6"/>
    <n v="39300"/>
    <n v="0.16"/>
    <n v="33012"/>
    <x v="908"/>
    <n v="0.15"/>
    <x v="907"/>
    <x v="0"/>
    <x v="0"/>
    <n v="4"/>
    <x v="1"/>
    <x v="5"/>
    <n v="8"/>
    <s v="2024-08"/>
    <n v="168361.2"/>
    <s v="Standard"/>
    <s v="Profitable"/>
    <s v="High Value"/>
  </r>
  <r>
    <x v="911"/>
    <x v="911"/>
    <s v="Amit Verma"/>
    <x v="0"/>
    <s v="Canada"/>
    <s v="Toronto"/>
    <x v="2"/>
    <s v="Bookshelf"/>
    <x v="883"/>
    <n v="9"/>
    <n v="16846"/>
    <n v="0.02"/>
    <n v="16509.080000000002"/>
    <x v="909"/>
    <n v="0.2"/>
    <x v="908"/>
    <x v="1"/>
    <x v="0"/>
    <n v="8"/>
    <x v="0"/>
    <x v="10"/>
    <n v="5"/>
    <s v="2023-05"/>
    <n v="118865.38"/>
    <s v="Delayed"/>
    <s v="Profitable"/>
    <s v="High Value"/>
  </r>
  <r>
    <x v="912"/>
    <x v="912"/>
    <s v="Sara Khan"/>
    <x v="2"/>
    <s v="India"/>
    <s v="Delhi"/>
    <x v="4"/>
    <s v="Laptop"/>
    <x v="884"/>
    <n v="7"/>
    <n v="33387"/>
    <n v="0.15"/>
    <n v="28378.95"/>
    <x v="910"/>
    <n v="0.15"/>
    <x v="909"/>
    <x v="1"/>
    <x v="0"/>
    <n v="8"/>
    <x v="1"/>
    <x v="8"/>
    <n v="12"/>
    <s v="2024-12"/>
    <n v="168854.75"/>
    <s v="Delayed"/>
    <s v="Profitable"/>
    <s v="High Value"/>
  </r>
  <r>
    <x v="913"/>
    <x v="913"/>
    <s v="Amit Verma"/>
    <x v="0"/>
    <s v="India"/>
    <s v="Delhi"/>
    <x v="4"/>
    <s v="Mobile"/>
    <x v="885"/>
    <n v="4"/>
    <n v="60200"/>
    <n v="0.15"/>
    <n v="51170"/>
    <x v="911"/>
    <n v="0.15"/>
    <x v="910"/>
    <x v="3"/>
    <x v="0"/>
    <n v="1"/>
    <x v="1"/>
    <x v="10"/>
    <n v="5"/>
    <s v="2024-05"/>
    <n v="173978"/>
    <s v="Fast"/>
    <s v="Profitable"/>
    <s v="High Value"/>
  </r>
  <r>
    <x v="914"/>
    <x v="914"/>
    <s v="Maria Singh"/>
    <x v="3"/>
    <s v="Canada"/>
    <s v="Mumbai"/>
    <x v="2"/>
    <s v="Chair"/>
    <x v="886"/>
    <n v="9"/>
    <n v="17422"/>
    <n v="0.02"/>
    <n v="17073.560000000001"/>
    <x v="912"/>
    <n v="0.2"/>
    <x v="911"/>
    <x v="2"/>
    <x v="0"/>
    <n v="3"/>
    <x v="1"/>
    <x v="9"/>
    <n v="7"/>
    <s v="2024-07"/>
    <n v="122929.63"/>
    <s v="Fast"/>
    <s v="Profitable"/>
    <s v="High Value"/>
  </r>
  <r>
    <x v="915"/>
    <x v="915"/>
    <s v="David Lee"/>
    <x v="2"/>
    <s v="India"/>
    <s v="Bangalore"/>
    <x v="4"/>
    <s v="Laptop"/>
    <x v="887"/>
    <n v="4"/>
    <n v="55113"/>
    <n v="7.0000000000000007E-2"/>
    <n v="51255.09"/>
    <x v="913"/>
    <n v="0.15"/>
    <x v="912"/>
    <x v="1"/>
    <x v="1"/>
    <n v="3"/>
    <x v="1"/>
    <x v="7"/>
    <n v="2"/>
    <s v="2024-02"/>
    <n v="174267.31"/>
    <s v="Fast"/>
    <s v="Profitable"/>
    <s v="High Value"/>
  </r>
  <r>
    <x v="916"/>
    <x v="916"/>
    <s v="Priya Mehta"/>
    <x v="2"/>
    <s v="Uk"/>
    <s v="London"/>
    <x v="4"/>
    <s v="Tablet"/>
    <x v="888"/>
    <n v="9"/>
    <n v="24289"/>
    <n v="0.06"/>
    <n v="22831.66"/>
    <x v="914"/>
    <n v="0.15"/>
    <x v="913"/>
    <x v="2"/>
    <x v="0"/>
    <n v="8"/>
    <x v="2"/>
    <x v="4"/>
    <n v="6"/>
    <s v="2025-06"/>
    <n v="174662.2"/>
    <s v="Delayed"/>
    <s v="Profitable"/>
    <s v="High Value"/>
  </r>
  <r>
    <x v="917"/>
    <x v="917"/>
    <s v="John Smith"/>
    <x v="0"/>
    <s v="Usa"/>
    <s v="Mumbai"/>
    <x v="4"/>
    <s v="Laptop"/>
    <x v="889"/>
    <n v="3"/>
    <n v="77169"/>
    <n v="0.11"/>
    <n v="68680.41"/>
    <x v="915"/>
    <n v="0.15"/>
    <x v="914"/>
    <x v="3"/>
    <x v="0"/>
    <n v="5"/>
    <x v="2"/>
    <x v="9"/>
    <n v="7"/>
    <s v="2025-07"/>
    <n v="175135.05000000002"/>
    <s v="Standard"/>
    <s v="Profitable"/>
    <s v="High Value"/>
  </r>
  <r>
    <x v="918"/>
    <x v="918"/>
    <s v="Maria Singh"/>
    <x v="3"/>
    <s v="Canada"/>
    <s v="London"/>
    <x v="4"/>
    <s v="Earphones"/>
    <x v="890"/>
    <n v="3"/>
    <n v="75128"/>
    <n v="7.0000000000000007E-2"/>
    <n v="69869.039999999994"/>
    <x v="916"/>
    <n v="0.15"/>
    <x v="915"/>
    <x v="3"/>
    <x v="0"/>
    <n v="8"/>
    <x v="0"/>
    <x v="2"/>
    <n v="3"/>
    <s v="2023-03"/>
    <n v="178166.05"/>
    <s v="Delayed"/>
    <s v="Profitable"/>
    <s v="High Value"/>
  </r>
  <r>
    <x v="919"/>
    <x v="919"/>
    <s v="Maria Singh"/>
    <x v="1"/>
    <s v="Usa"/>
    <s v="London"/>
    <x v="4"/>
    <s v="Earphones"/>
    <x v="891"/>
    <n v="4"/>
    <n v="69889"/>
    <n v="0.24"/>
    <n v="53115.64"/>
    <x v="917"/>
    <n v="0.15"/>
    <x v="916"/>
    <x v="1"/>
    <x v="1"/>
    <n v="8"/>
    <x v="0"/>
    <x v="11"/>
    <n v="9"/>
    <s v="2023-09"/>
    <n v="180593.18"/>
    <s v="Delayed"/>
    <s v="Profitable"/>
    <s v="High Value"/>
  </r>
  <r>
    <x v="920"/>
    <x v="920"/>
    <s v="Amit Verma"/>
    <x v="3"/>
    <s v="India"/>
    <s v="Bangalore"/>
    <x v="4"/>
    <s v="Laptop"/>
    <x v="892"/>
    <n v="6"/>
    <n v="38404"/>
    <n v="7.0000000000000007E-2"/>
    <n v="35715.72"/>
    <x v="918"/>
    <n v="0.15"/>
    <x v="917"/>
    <x v="2"/>
    <x v="2"/>
    <n v="3"/>
    <x v="0"/>
    <x v="4"/>
    <n v="6"/>
    <s v="2023-06"/>
    <n v="182150.17"/>
    <s v="Fast"/>
    <s v="Profitable"/>
    <s v="High Value"/>
  </r>
  <r>
    <x v="921"/>
    <x v="921"/>
    <s v="John Smith"/>
    <x v="1"/>
    <s v="Canada"/>
    <s v="Bangalore"/>
    <x v="4"/>
    <s v="Mobile"/>
    <x v="893"/>
    <n v="4"/>
    <n v="57945"/>
    <n v="0.06"/>
    <n v="54468.3"/>
    <x v="919"/>
    <n v="0.15"/>
    <x v="918"/>
    <x v="3"/>
    <x v="0"/>
    <n v="3"/>
    <x v="2"/>
    <x v="9"/>
    <n v="7"/>
    <s v="2025-07"/>
    <n v="185192.22"/>
    <s v="Fast"/>
    <s v="Profitable"/>
    <s v="High Value"/>
  </r>
  <r>
    <x v="922"/>
    <x v="922"/>
    <s v="Amit Verma"/>
    <x v="3"/>
    <s v="Usa"/>
    <s v="Toronto"/>
    <x v="4"/>
    <s v="Laptop"/>
    <x v="894"/>
    <n v="7"/>
    <n v="32443"/>
    <n v="0.04"/>
    <n v="31145.279999999999"/>
    <x v="920"/>
    <n v="0.15"/>
    <x v="919"/>
    <x v="3"/>
    <x v="1"/>
    <n v="9"/>
    <x v="0"/>
    <x v="11"/>
    <n v="9"/>
    <s v="2023-09"/>
    <n v="185314.41999999998"/>
    <s v="Delayed"/>
    <s v="Profitable"/>
    <s v="High Value"/>
  </r>
  <r>
    <x v="923"/>
    <x v="923"/>
    <s v="David Lee"/>
    <x v="1"/>
    <s v="Canada"/>
    <s v="Bangalore"/>
    <x v="4"/>
    <s v="Mobile"/>
    <x v="895"/>
    <n v="5"/>
    <n v="43613"/>
    <n v="0"/>
    <n v="43613"/>
    <x v="921"/>
    <n v="0.15"/>
    <x v="920"/>
    <x v="0"/>
    <x v="0"/>
    <n v="7"/>
    <x v="1"/>
    <x v="10"/>
    <n v="5"/>
    <s v="2024-05"/>
    <n v="185355.25"/>
    <s v="Standard"/>
    <s v="Profitable"/>
    <s v="High Value"/>
  </r>
  <r>
    <x v="924"/>
    <x v="924"/>
    <s v="David Lee"/>
    <x v="3"/>
    <s v="Canada"/>
    <s v="London"/>
    <x v="4"/>
    <s v="Laptop"/>
    <x v="896"/>
    <n v="4"/>
    <n v="71949"/>
    <n v="0.24"/>
    <n v="54681.24"/>
    <x v="922"/>
    <n v="0.15"/>
    <x v="921"/>
    <x v="0"/>
    <x v="0"/>
    <n v="3"/>
    <x v="1"/>
    <x v="9"/>
    <n v="7"/>
    <s v="2024-07"/>
    <n v="185916.22"/>
    <s v="Fast"/>
    <s v="Profitable"/>
    <s v="High Value"/>
  </r>
  <r>
    <x v="925"/>
    <x v="925"/>
    <s v="Maria Singh"/>
    <x v="3"/>
    <s v="Usa"/>
    <s v="London"/>
    <x v="4"/>
    <s v="Laptop"/>
    <x v="897"/>
    <n v="7"/>
    <n v="37386"/>
    <n v="0.16"/>
    <n v="31404.240000000002"/>
    <x v="923"/>
    <n v="0.15"/>
    <x v="922"/>
    <x v="1"/>
    <x v="0"/>
    <n v="2"/>
    <x v="2"/>
    <x v="2"/>
    <n v="3"/>
    <s v="2025-03"/>
    <n v="186855.22999999998"/>
    <s v="Fast"/>
    <s v="Profitable"/>
    <s v="High Value"/>
  </r>
  <r>
    <x v="926"/>
    <x v="926"/>
    <s v="Amit Verma"/>
    <x v="2"/>
    <s v="Canada"/>
    <s v="Bangalore"/>
    <x v="4"/>
    <s v="Earphones"/>
    <x v="898"/>
    <n v="6"/>
    <n v="47823"/>
    <n v="0.2"/>
    <n v="38258.400000000001"/>
    <x v="924"/>
    <n v="0.15"/>
    <x v="923"/>
    <x v="0"/>
    <x v="0"/>
    <n v="6"/>
    <x v="2"/>
    <x v="5"/>
    <n v="8"/>
    <s v="2025-08"/>
    <n v="195117.84"/>
    <s v="Standard"/>
    <s v="Profitable"/>
    <s v="High Value"/>
  </r>
  <r>
    <x v="927"/>
    <x v="927"/>
    <s v="Amit Verma"/>
    <x v="2"/>
    <s v="India"/>
    <s v="New York"/>
    <x v="4"/>
    <s v="Laptop"/>
    <x v="899"/>
    <n v="4"/>
    <n v="65826"/>
    <n v="0.09"/>
    <n v="59901.66"/>
    <x v="925"/>
    <n v="0.15"/>
    <x v="924"/>
    <x v="3"/>
    <x v="0"/>
    <n v="3"/>
    <x v="0"/>
    <x v="8"/>
    <n v="12"/>
    <s v="2023-12"/>
    <n v="203665.64"/>
    <s v="Fast"/>
    <s v="Profitable"/>
    <s v="High Value"/>
  </r>
  <r>
    <x v="928"/>
    <x v="928"/>
    <s v="Amit Verma"/>
    <x v="3"/>
    <s v="India"/>
    <s v="Mumbai"/>
    <x v="4"/>
    <s v="Mobile"/>
    <x v="900"/>
    <n v="8"/>
    <n v="38228"/>
    <n v="0.21"/>
    <n v="30200.12"/>
    <x v="926"/>
    <n v="0.15"/>
    <x v="925"/>
    <x v="1"/>
    <x v="1"/>
    <n v="8"/>
    <x v="2"/>
    <x v="4"/>
    <n v="6"/>
    <s v="2025-06"/>
    <n v="205360.82"/>
    <s v="Delayed"/>
    <s v="Profitable"/>
    <s v="High Value"/>
  </r>
  <r>
    <x v="929"/>
    <x v="929"/>
    <s v="Amit Verma"/>
    <x v="1"/>
    <s v="India"/>
    <s v="Bangalore"/>
    <x v="4"/>
    <s v="Mobile"/>
    <x v="901"/>
    <n v="5"/>
    <n v="57701"/>
    <n v="0.16"/>
    <n v="48468.84"/>
    <x v="927"/>
    <n v="0.15"/>
    <x v="926"/>
    <x v="2"/>
    <x v="1"/>
    <n v="2"/>
    <x v="2"/>
    <x v="3"/>
    <n v="1"/>
    <s v="2025-01"/>
    <n v="205992.57"/>
    <s v="Fast"/>
    <s v="Profitable"/>
    <s v="High Value"/>
  </r>
  <r>
    <x v="930"/>
    <x v="930"/>
    <s v="Amit Verma"/>
    <x v="2"/>
    <s v="Uk"/>
    <s v="Delhi"/>
    <x v="4"/>
    <s v="Earphones"/>
    <x v="902"/>
    <n v="6"/>
    <n v="47643"/>
    <n v="0.15"/>
    <n v="40496.550000000003"/>
    <x v="928"/>
    <n v="0.15"/>
    <x v="927"/>
    <x v="1"/>
    <x v="0"/>
    <n v="4"/>
    <x v="1"/>
    <x v="0"/>
    <n v="11"/>
    <s v="2024-11"/>
    <n v="206532.40999999997"/>
    <s v="Standard"/>
    <s v="Profitable"/>
    <s v="High Value"/>
  </r>
  <r>
    <x v="931"/>
    <x v="931"/>
    <s v="Priya Mehta"/>
    <x v="2"/>
    <s v="Canada"/>
    <s v="Bangalore"/>
    <x v="4"/>
    <s v="Earphones"/>
    <x v="903"/>
    <n v="7"/>
    <n v="35122"/>
    <n v="0.01"/>
    <n v="34770.78"/>
    <x v="929"/>
    <n v="0.15"/>
    <x v="928"/>
    <x v="0"/>
    <x v="0"/>
    <n v="4"/>
    <x v="2"/>
    <x v="6"/>
    <n v="4"/>
    <s v="2025-04"/>
    <n v="206886.13999999998"/>
    <s v="Standard"/>
    <s v="Profitable"/>
    <s v="High Value"/>
  </r>
  <r>
    <x v="932"/>
    <x v="932"/>
    <s v="John Smith"/>
    <x v="3"/>
    <s v="India"/>
    <s v="New York"/>
    <x v="4"/>
    <s v="Tablet"/>
    <x v="904"/>
    <n v="4"/>
    <n v="64624"/>
    <n v="0.05"/>
    <n v="61392.800000000003"/>
    <x v="930"/>
    <n v="0.15"/>
    <x v="929"/>
    <x v="0"/>
    <x v="0"/>
    <n v="5"/>
    <x v="1"/>
    <x v="3"/>
    <n v="1"/>
    <s v="2024-01"/>
    <n v="208735.52000000002"/>
    <s v="Standard"/>
    <s v="Profitable"/>
    <s v="High Value"/>
  </r>
  <r>
    <x v="933"/>
    <x v="933"/>
    <s v="Priya Mehta"/>
    <x v="0"/>
    <s v="Uk"/>
    <s v="Toronto"/>
    <x v="4"/>
    <s v="Earphones"/>
    <x v="905"/>
    <n v="7"/>
    <n v="39856"/>
    <n v="0.11"/>
    <n v="35471.839999999997"/>
    <x v="931"/>
    <n v="0.15"/>
    <x v="930"/>
    <x v="0"/>
    <x v="0"/>
    <n v="6"/>
    <x v="0"/>
    <x v="4"/>
    <n v="6"/>
    <s v="2023-06"/>
    <n v="211057.45"/>
    <s v="Standard"/>
    <s v="Profitable"/>
    <s v="High Value"/>
  </r>
  <r>
    <x v="934"/>
    <x v="934"/>
    <s v="Maria Singh"/>
    <x v="3"/>
    <s v="Canada"/>
    <s v="Mumbai"/>
    <x v="4"/>
    <s v="Mobile"/>
    <x v="906"/>
    <n v="8"/>
    <n v="39165"/>
    <n v="0.2"/>
    <n v="31332"/>
    <x v="932"/>
    <n v="0.15"/>
    <x v="931"/>
    <x v="1"/>
    <x v="0"/>
    <n v="4"/>
    <x v="0"/>
    <x v="5"/>
    <n v="8"/>
    <s v="2023-08"/>
    <n v="213057.6"/>
    <s v="Standard"/>
    <s v="Profitable"/>
    <s v="High Value"/>
  </r>
  <r>
    <x v="935"/>
    <x v="935"/>
    <s v="Priya Mehta"/>
    <x v="3"/>
    <s v="Usa"/>
    <s v="Toronto"/>
    <x v="4"/>
    <s v="Laptop"/>
    <x v="907"/>
    <n v="7"/>
    <n v="43937"/>
    <n v="0.18"/>
    <n v="36028.339999999997"/>
    <x v="933"/>
    <n v="0.15"/>
    <x v="932"/>
    <x v="3"/>
    <x v="0"/>
    <n v="4"/>
    <x v="2"/>
    <x v="2"/>
    <n v="3"/>
    <s v="2025-03"/>
    <n v="214368.62"/>
    <s v="Standard"/>
    <s v="Profitable"/>
    <s v="High Value"/>
  </r>
  <r>
    <x v="936"/>
    <x v="936"/>
    <s v="Maria Singh"/>
    <x v="3"/>
    <s v="India"/>
    <s v="London"/>
    <x v="4"/>
    <s v="Mobile"/>
    <x v="908"/>
    <n v="4"/>
    <n v="75450"/>
    <n v="0.15"/>
    <n v="64132.5"/>
    <x v="934"/>
    <n v="0.15"/>
    <x v="933"/>
    <x v="2"/>
    <x v="0"/>
    <n v="9"/>
    <x v="1"/>
    <x v="6"/>
    <n v="4"/>
    <s v="2024-04"/>
    <n v="218050.5"/>
    <s v="Delayed"/>
    <s v="Profitable"/>
    <s v="High Value"/>
  </r>
  <r>
    <x v="937"/>
    <x v="937"/>
    <s v="Sara Khan"/>
    <x v="3"/>
    <s v="Canada"/>
    <s v="Delhi"/>
    <x v="4"/>
    <s v="Tablet"/>
    <x v="909"/>
    <n v="7"/>
    <n v="40682"/>
    <n v="0.09"/>
    <n v="37020.620000000003"/>
    <x v="935"/>
    <n v="0.15"/>
    <x v="934"/>
    <x v="2"/>
    <x v="0"/>
    <n v="3"/>
    <x v="2"/>
    <x v="4"/>
    <n v="6"/>
    <s v="2025-06"/>
    <n v="220272.69"/>
    <s v="Fast"/>
    <s v="Profitable"/>
    <s v="High Value"/>
  </r>
  <r>
    <x v="938"/>
    <x v="938"/>
    <s v="Maria Singh"/>
    <x v="1"/>
    <s v="Uk"/>
    <s v="London"/>
    <x v="4"/>
    <s v="Laptop"/>
    <x v="910"/>
    <n v="8"/>
    <n v="35923"/>
    <n v="0.09"/>
    <n v="32689.93"/>
    <x v="936"/>
    <n v="0.15"/>
    <x v="935"/>
    <x v="1"/>
    <x v="0"/>
    <n v="5"/>
    <x v="0"/>
    <x v="5"/>
    <n v="8"/>
    <s v="2023-08"/>
    <n v="222291.52000000002"/>
    <s v="Standard"/>
    <s v="Profitable"/>
    <s v="High Value"/>
  </r>
  <r>
    <x v="939"/>
    <x v="939"/>
    <s v="Amit Verma"/>
    <x v="2"/>
    <s v="Canada"/>
    <s v="Delhi"/>
    <x v="4"/>
    <s v="Laptop"/>
    <x v="911"/>
    <n v="6"/>
    <n v="56163"/>
    <n v="0.2"/>
    <n v="44930.400000000001"/>
    <x v="937"/>
    <n v="0.15"/>
    <x v="936"/>
    <x v="3"/>
    <x v="0"/>
    <n v="3"/>
    <x v="0"/>
    <x v="3"/>
    <n v="1"/>
    <s v="2023-01"/>
    <n v="229145.04000000004"/>
    <s v="Fast"/>
    <s v="Profitable"/>
    <s v="High Value"/>
  </r>
  <r>
    <x v="940"/>
    <x v="940"/>
    <s v="Sara Khan"/>
    <x v="1"/>
    <s v="Uk"/>
    <s v="Bangalore"/>
    <x v="4"/>
    <s v="Earphones"/>
    <x v="912"/>
    <n v="6"/>
    <n v="54843"/>
    <n v="0.17"/>
    <n v="45519.69"/>
    <x v="938"/>
    <n v="0.15"/>
    <x v="937"/>
    <x v="1"/>
    <x v="0"/>
    <n v="2"/>
    <x v="1"/>
    <x v="7"/>
    <n v="2"/>
    <s v="2024-02"/>
    <n v="232150.42"/>
    <s v="Fast"/>
    <s v="Profitable"/>
    <s v="High Value"/>
  </r>
  <r>
    <x v="941"/>
    <x v="941"/>
    <s v="Sara Khan"/>
    <x v="0"/>
    <s v="Uk"/>
    <s v="New York"/>
    <x v="4"/>
    <s v="Mobile"/>
    <x v="906"/>
    <n v="6"/>
    <n v="56857"/>
    <n v="0.19"/>
    <n v="46054.17"/>
    <x v="939"/>
    <n v="0.15"/>
    <x v="938"/>
    <x v="1"/>
    <x v="1"/>
    <n v="7"/>
    <x v="1"/>
    <x v="1"/>
    <n v="10"/>
    <s v="2024-10"/>
    <n v="234876.27000000002"/>
    <s v="Standard"/>
    <s v="Profitable"/>
    <s v="High Value"/>
  </r>
  <r>
    <x v="942"/>
    <x v="942"/>
    <s v="David Lee"/>
    <x v="1"/>
    <s v="Usa"/>
    <s v="Mumbai"/>
    <x v="4"/>
    <s v="Tablet"/>
    <x v="913"/>
    <n v="7"/>
    <n v="42556"/>
    <n v="7.0000000000000007E-2"/>
    <n v="39577.08"/>
    <x v="940"/>
    <n v="0.15"/>
    <x v="939"/>
    <x v="2"/>
    <x v="0"/>
    <n v="5"/>
    <x v="0"/>
    <x v="4"/>
    <n v="6"/>
    <s v="2023-06"/>
    <n v="235483.63"/>
    <s v="Standard"/>
    <s v="Profitable"/>
    <s v="High Value"/>
  </r>
  <r>
    <x v="943"/>
    <x v="943"/>
    <s v="Maria Singh"/>
    <x v="0"/>
    <s v="Canada"/>
    <s v="Bangalore"/>
    <x v="4"/>
    <s v="Mobile"/>
    <x v="914"/>
    <n v="5"/>
    <n v="61924"/>
    <n v="0.1"/>
    <n v="55731.6"/>
    <x v="941"/>
    <n v="0.15"/>
    <x v="940"/>
    <x v="2"/>
    <x v="0"/>
    <n v="2"/>
    <x v="0"/>
    <x v="5"/>
    <n v="8"/>
    <s v="2023-08"/>
    <n v="236859.3"/>
    <s v="Fast"/>
    <s v="Profitable"/>
    <s v="High Value"/>
  </r>
  <r>
    <x v="944"/>
    <x v="944"/>
    <s v="Maria Singh"/>
    <x v="1"/>
    <s v="Canada"/>
    <s v="Bangalore"/>
    <x v="4"/>
    <s v="Earphones"/>
    <x v="915"/>
    <n v="5"/>
    <n v="71558"/>
    <n v="0.22"/>
    <n v="55815.24"/>
    <x v="942"/>
    <n v="0.15"/>
    <x v="941"/>
    <x v="0"/>
    <x v="0"/>
    <n v="7"/>
    <x v="1"/>
    <x v="1"/>
    <n v="10"/>
    <s v="2024-10"/>
    <n v="237214.77000000002"/>
    <s v="Standard"/>
    <s v="Profitable"/>
    <s v="High Value"/>
  </r>
  <r>
    <x v="945"/>
    <x v="945"/>
    <s v="Sara Khan"/>
    <x v="1"/>
    <s v="Canada"/>
    <s v="London"/>
    <x v="4"/>
    <s v="Laptop"/>
    <x v="916"/>
    <n v="9"/>
    <n v="32420"/>
    <n v="0.04"/>
    <n v="31123.200000000001"/>
    <x v="943"/>
    <n v="0.15"/>
    <x v="942"/>
    <x v="3"/>
    <x v="0"/>
    <n v="4"/>
    <x v="1"/>
    <x v="5"/>
    <n v="8"/>
    <s v="2024-08"/>
    <n v="238092.47999999998"/>
    <s v="Standard"/>
    <s v="Profitable"/>
    <s v="High Value"/>
  </r>
  <r>
    <x v="946"/>
    <x v="946"/>
    <s v="Sara Khan"/>
    <x v="0"/>
    <s v="Canada"/>
    <s v="Bangalore"/>
    <x v="4"/>
    <s v="Tablet"/>
    <x v="917"/>
    <n v="5"/>
    <n v="73878"/>
    <n v="0.24"/>
    <n v="56147.28"/>
    <x v="944"/>
    <n v="0.15"/>
    <x v="943"/>
    <x v="0"/>
    <x v="0"/>
    <n v="9"/>
    <x v="2"/>
    <x v="5"/>
    <n v="8"/>
    <s v="2025-08"/>
    <n v="238625.94000000003"/>
    <s v="Delayed"/>
    <s v="Profitable"/>
    <s v="High Value"/>
  </r>
  <r>
    <x v="947"/>
    <x v="947"/>
    <s v="John Smith"/>
    <x v="3"/>
    <s v="Usa"/>
    <s v="Bangalore"/>
    <x v="4"/>
    <s v="Tablet"/>
    <x v="918"/>
    <n v="7"/>
    <n v="48787"/>
    <n v="0.17"/>
    <n v="40493.21"/>
    <x v="945"/>
    <n v="0.15"/>
    <x v="944"/>
    <x v="1"/>
    <x v="0"/>
    <n v="6"/>
    <x v="2"/>
    <x v="3"/>
    <n v="1"/>
    <s v="2025-01"/>
    <n v="240934.59999999998"/>
    <s v="Standard"/>
    <s v="Profitable"/>
    <s v="High Value"/>
  </r>
  <r>
    <x v="948"/>
    <x v="948"/>
    <s v="Sara Khan"/>
    <x v="1"/>
    <s v="Uk"/>
    <s v="New York"/>
    <x v="4"/>
    <s v="Tablet"/>
    <x v="919"/>
    <n v="6"/>
    <n v="51424"/>
    <n v="0.08"/>
    <n v="47310.080000000002"/>
    <x v="946"/>
    <n v="0.15"/>
    <x v="945"/>
    <x v="1"/>
    <x v="0"/>
    <n v="1"/>
    <x v="1"/>
    <x v="5"/>
    <n v="8"/>
    <s v="2024-08"/>
    <n v="241281.40999999997"/>
    <s v="Fast"/>
    <s v="Profitable"/>
    <s v="High Value"/>
  </r>
  <r>
    <x v="949"/>
    <x v="949"/>
    <s v="Sara Khan"/>
    <x v="0"/>
    <s v="Uk"/>
    <s v="Bangalore"/>
    <x v="4"/>
    <s v="Tablet"/>
    <x v="920"/>
    <n v="6"/>
    <n v="50461"/>
    <n v="0.05"/>
    <n v="47937.95"/>
    <x v="947"/>
    <n v="0.15"/>
    <x v="946"/>
    <x v="1"/>
    <x v="1"/>
    <n v="8"/>
    <x v="1"/>
    <x v="6"/>
    <n v="4"/>
    <s v="2024-04"/>
    <n v="244483.54"/>
    <s v="Delayed"/>
    <s v="Profitable"/>
    <s v="High Value"/>
  </r>
  <r>
    <x v="950"/>
    <x v="950"/>
    <s v="Priya Mehta"/>
    <x v="1"/>
    <s v="India"/>
    <s v="Mumbai"/>
    <x v="4"/>
    <s v="Laptop"/>
    <x v="921"/>
    <n v="5"/>
    <n v="74641"/>
    <n v="0.21"/>
    <n v="58966.39"/>
    <x v="948"/>
    <n v="0.15"/>
    <x v="947"/>
    <x v="2"/>
    <x v="0"/>
    <n v="9"/>
    <x v="1"/>
    <x v="5"/>
    <n v="8"/>
    <s v="2024-08"/>
    <n v="250607.16"/>
    <s v="Delayed"/>
    <s v="Profitable"/>
    <s v="High Value"/>
  </r>
  <r>
    <x v="951"/>
    <x v="951"/>
    <s v="Priya Mehta"/>
    <x v="3"/>
    <s v="Canada"/>
    <s v="Mumbai"/>
    <x v="4"/>
    <s v="Laptop"/>
    <x v="922"/>
    <n v="7"/>
    <n v="45298"/>
    <n v="7.0000000000000007E-2"/>
    <n v="42127.14"/>
    <x v="949"/>
    <n v="0.15"/>
    <x v="948"/>
    <x v="1"/>
    <x v="0"/>
    <n v="2"/>
    <x v="1"/>
    <x v="10"/>
    <n v="5"/>
    <s v="2024-05"/>
    <n v="250656.47999999998"/>
    <s v="Fast"/>
    <s v="Profitable"/>
    <s v="High Value"/>
  </r>
  <r>
    <x v="952"/>
    <x v="952"/>
    <s v="Maria Singh"/>
    <x v="1"/>
    <s v="Usa"/>
    <s v="New York"/>
    <x v="4"/>
    <s v="Laptop"/>
    <x v="923"/>
    <n v="5"/>
    <n v="59104"/>
    <n v="0"/>
    <n v="59104"/>
    <x v="950"/>
    <n v="0.15"/>
    <x v="949"/>
    <x v="2"/>
    <x v="0"/>
    <n v="4"/>
    <x v="0"/>
    <x v="8"/>
    <n v="12"/>
    <s v="2023-12"/>
    <n v="251192"/>
    <s v="Standard"/>
    <s v="Profitable"/>
    <s v="High Value"/>
  </r>
  <r>
    <x v="953"/>
    <x v="953"/>
    <s v="Amit Verma"/>
    <x v="1"/>
    <s v="Uk"/>
    <s v="London"/>
    <x v="4"/>
    <s v="Mobile"/>
    <x v="924"/>
    <n v="7"/>
    <n v="52823"/>
    <n v="0.19"/>
    <n v="42786.63"/>
    <x v="951"/>
    <n v="0.15"/>
    <x v="950"/>
    <x v="0"/>
    <x v="1"/>
    <n v="4"/>
    <x v="0"/>
    <x v="9"/>
    <n v="7"/>
    <s v="2023-07"/>
    <n v="254580.44999999998"/>
    <s v="Standard"/>
    <s v="Profitable"/>
    <s v="High Value"/>
  </r>
  <r>
    <x v="954"/>
    <x v="954"/>
    <s v="John Smith"/>
    <x v="1"/>
    <s v="Canada"/>
    <s v="Bangalore"/>
    <x v="4"/>
    <s v="Tablet"/>
    <x v="925"/>
    <n v="8"/>
    <n v="45144"/>
    <n v="0.17"/>
    <n v="37469.519999999997"/>
    <x v="952"/>
    <n v="0.15"/>
    <x v="951"/>
    <x v="2"/>
    <x v="0"/>
    <n v="9"/>
    <x v="1"/>
    <x v="1"/>
    <n v="10"/>
    <s v="2024-10"/>
    <n v="254792.74"/>
    <s v="Delayed"/>
    <s v="Profitable"/>
    <s v="High Value"/>
  </r>
  <r>
    <x v="955"/>
    <x v="955"/>
    <s v="Priya Mehta"/>
    <x v="1"/>
    <s v="Usa"/>
    <s v="Mumbai"/>
    <x v="4"/>
    <s v="Earphones"/>
    <x v="926"/>
    <n v="9"/>
    <n v="41324"/>
    <n v="0.19"/>
    <n v="33472.44"/>
    <x v="953"/>
    <n v="0.15"/>
    <x v="952"/>
    <x v="0"/>
    <x v="2"/>
    <n v="9"/>
    <x v="0"/>
    <x v="5"/>
    <n v="8"/>
    <s v="2023-08"/>
    <n v="256064.17"/>
    <s v="Delayed"/>
    <s v="Profitable"/>
    <s v="High Value"/>
  </r>
  <r>
    <x v="956"/>
    <x v="956"/>
    <s v="David Lee"/>
    <x v="2"/>
    <s v="Canada"/>
    <s v="New York"/>
    <x v="4"/>
    <s v="Tablet"/>
    <x v="927"/>
    <n v="5"/>
    <n v="77649"/>
    <n v="0.22"/>
    <n v="60566.22"/>
    <x v="954"/>
    <n v="0.15"/>
    <x v="953"/>
    <x v="0"/>
    <x v="1"/>
    <n v="7"/>
    <x v="0"/>
    <x v="6"/>
    <n v="4"/>
    <s v="2023-04"/>
    <n v="257406.43999999997"/>
    <s v="Standard"/>
    <s v="Profitable"/>
    <s v="High Value"/>
  </r>
  <r>
    <x v="957"/>
    <x v="957"/>
    <s v="Maria Singh"/>
    <x v="2"/>
    <s v="Uk"/>
    <s v="Toronto"/>
    <x v="4"/>
    <s v="Laptop"/>
    <x v="928"/>
    <n v="4"/>
    <n v="79252"/>
    <n v="0.04"/>
    <n v="76081.919999999998"/>
    <x v="955"/>
    <n v="0.15"/>
    <x v="954"/>
    <x v="0"/>
    <x v="0"/>
    <n v="2"/>
    <x v="1"/>
    <x v="9"/>
    <n v="7"/>
    <s v="2024-07"/>
    <n v="258678.53"/>
    <s v="Fast"/>
    <s v="Profitable"/>
    <s v="High Value"/>
  </r>
  <r>
    <x v="958"/>
    <x v="958"/>
    <s v="David Lee"/>
    <x v="2"/>
    <s v="Canada"/>
    <s v="Delhi"/>
    <x v="4"/>
    <s v="Mobile"/>
    <x v="929"/>
    <n v="9"/>
    <n v="37208"/>
    <n v="0.06"/>
    <n v="34975.519999999997"/>
    <x v="956"/>
    <n v="0.15"/>
    <x v="955"/>
    <x v="1"/>
    <x v="0"/>
    <n v="5"/>
    <x v="0"/>
    <x v="5"/>
    <n v="8"/>
    <s v="2023-08"/>
    <n v="267562.73"/>
    <s v="Standard"/>
    <s v="Profitable"/>
    <s v="High Value"/>
  </r>
  <r>
    <x v="959"/>
    <x v="959"/>
    <s v="John Smith"/>
    <x v="1"/>
    <s v="Usa"/>
    <s v="London"/>
    <x v="4"/>
    <s v="Laptop"/>
    <x v="930"/>
    <n v="8"/>
    <n v="41174"/>
    <n v="0.03"/>
    <n v="39938.78"/>
    <x v="957"/>
    <n v="0.15"/>
    <x v="956"/>
    <x v="1"/>
    <x v="0"/>
    <n v="3"/>
    <x v="1"/>
    <x v="9"/>
    <n v="7"/>
    <s v="2024-07"/>
    <n v="271583.7"/>
    <s v="Fast"/>
    <s v="Profitable"/>
    <s v="High Value"/>
  </r>
  <r>
    <x v="960"/>
    <x v="960"/>
    <s v="David Lee"/>
    <x v="1"/>
    <s v="Usa"/>
    <s v="Mumbai"/>
    <x v="4"/>
    <s v="Earphones"/>
    <x v="931"/>
    <n v="8"/>
    <n v="52891"/>
    <n v="0.24"/>
    <n v="40197.160000000003"/>
    <x v="958"/>
    <n v="0.15"/>
    <x v="957"/>
    <x v="2"/>
    <x v="0"/>
    <n v="9"/>
    <x v="2"/>
    <x v="9"/>
    <n v="7"/>
    <s v="2025-07"/>
    <n v="273340.69000000006"/>
    <s v="Delayed"/>
    <s v="Profitable"/>
    <s v="High Value"/>
  </r>
  <r>
    <x v="961"/>
    <x v="961"/>
    <s v="Amit Verma"/>
    <x v="2"/>
    <s v="Usa"/>
    <s v="London"/>
    <x v="4"/>
    <s v="Mobile"/>
    <x v="932"/>
    <n v="9"/>
    <n v="39725"/>
    <n v="0.09"/>
    <n v="36149.75"/>
    <x v="959"/>
    <n v="0.15"/>
    <x v="958"/>
    <x v="3"/>
    <x v="0"/>
    <n v="4"/>
    <x v="1"/>
    <x v="8"/>
    <n v="12"/>
    <s v="2024-12"/>
    <n v="276545.58999999997"/>
    <s v="Standard"/>
    <s v="Profitable"/>
    <s v="High Value"/>
  </r>
  <r>
    <x v="962"/>
    <x v="962"/>
    <s v="Priya Mehta"/>
    <x v="3"/>
    <s v="Uk"/>
    <s v="Mumbai"/>
    <x v="4"/>
    <s v="Laptop"/>
    <x v="933"/>
    <n v="6"/>
    <n v="71627"/>
    <n v="0.23"/>
    <n v="55152.79"/>
    <x v="960"/>
    <n v="0.15"/>
    <x v="959"/>
    <x v="2"/>
    <x v="0"/>
    <n v="2"/>
    <x v="2"/>
    <x v="7"/>
    <n v="2"/>
    <s v="2025-02"/>
    <n v="281279.23"/>
    <s v="Fast"/>
    <s v="Profitable"/>
    <s v="High Value"/>
  </r>
  <r>
    <x v="963"/>
    <x v="963"/>
    <s v="Sara Khan"/>
    <x v="0"/>
    <s v="India"/>
    <s v="Bangalore"/>
    <x v="4"/>
    <s v="Tablet"/>
    <x v="934"/>
    <n v="8"/>
    <n v="55350"/>
    <n v="0.24"/>
    <n v="42066"/>
    <x v="961"/>
    <n v="0.15"/>
    <x v="960"/>
    <x v="1"/>
    <x v="0"/>
    <n v="4"/>
    <x v="0"/>
    <x v="2"/>
    <n v="3"/>
    <s v="2023-03"/>
    <n v="286048.8"/>
    <s v="Standard"/>
    <s v="Profitable"/>
    <s v="High Value"/>
  </r>
  <r>
    <x v="964"/>
    <x v="964"/>
    <s v="David Lee"/>
    <x v="2"/>
    <s v="Usa"/>
    <s v="Bangalore"/>
    <x v="4"/>
    <s v="Earphones"/>
    <x v="935"/>
    <n v="5"/>
    <n v="75428"/>
    <n v="0.1"/>
    <n v="67885.2"/>
    <x v="962"/>
    <n v="0.15"/>
    <x v="961"/>
    <x v="3"/>
    <x v="2"/>
    <n v="9"/>
    <x v="2"/>
    <x v="4"/>
    <n v="6"/>
    <s v="2025-06"/>
    <n v="288512.09999999998"/>
    <s v="Delayed"/>
    <s v="Profitable"/>
    <s v="High Value"/>
  </r>
  <r>
    <x v="965"/>
    <x v="965"/>
    <s v="John Smith"/>
    <x v="2"/>
    <s v="India"/>
    <s v="Toronto"/>
    <x v="4"/>
    <s v="Laptop"/>
    <x v="870"/>
    <n v="9"/>
    <n v="46378"/>
    <n v="0.17"/>
    <n v="38493.74"/>
    <x v="963"/>
    <n v="0.15"/>
    <x v="962"/>
    <x v="3"/>
    <x v="0"/>
    <n v="3"/>
    <x v="0"/>
    <x v="1"/>
    <n v="10"/>
    <s v="2023-10"/>
    <n v="294477.11"/>
    <s v="Fast"/>
    <s v="Profitable"/>
    <s v="High Value"/>
  </r>
  <r>
    <x v="966"/>
    <x v="966"/>
    <s v="John Smith"/>
    <x v="3"/>
    <s v="India"/>
    <s v="Delhi"/>
    <x v="4"/>
    <s v="Mobile"/>
    <x v="936"/>
    <n v="6"/>
    <n v="75429"/>
    <n v="0.23"/>
    <n v="58080.33"/>
    <x v="964"/>
    <n v="0.15"/>
    <x v="963"/>
    <x v="3"/>
    <x v="0"/>
    <n v="4"/>
    <x v="0"/>
    <x v="0"/>
    <n v="11"/>
    <s v="2023-11"/>
    <n v="296209.68"/>
    <s v="Standard"/>
    <s v="Profitable"/>
    <s v="High Value"/>
  </r>
  <r>
    <x v="967"/>
    <x v="967"/>
    <s v="Maria Singh"/>
    <x v="0"/>
    <s v="Canada"/>
    <s v="Toronto"/>
    <x v="4"/>
    <s v="Laptop"/>
    <x v="937"/>
    <n v="7"/>
    <n v="52652"/>
    <n v="0.05"/>
    <n v="50019.4"/>
    <x v="965"/>
    <n v="0.15"/>
    <x v="964"/>
    <x v="0"/>
    <x v="0"/>
    <n v="3"/>
    <x v="0"/>
    <x v="1"/>
    <n v="10"/>
    <s v="2023-10"/>
    <n v="297615.43"/>
    <s v="Fast"/>
    <s v="Profitable"/>
    <s v="High Value"/>
  </r>
  <r>
    <x v="968"/>
    <x v="968"/>
    <s v="John Smith"/>
    <x v="0"/>
    <s v="Usa"/>
    <s v="Mumbai"/>
    <x v="4"/>
    <s v="Mobile"/>
    <x v="938"/>
    <n v="6"/>
    <n v="65409"/>
    <n v="0.08"/>
    <n v="60176.28"/>
    <x v="966"/>
    <n v="0.15"/>
    <x v="965"/>
    <x v="2"/>
    <x v="0"/>
    <n v="4"/>
    <x v="0"/>
    <x v="9"/>
    <n v="7"/>
    <s v="2023-07"/>
    <n v="306899.02999999997"/>
    <s v="Standard"/>
    <s v="Profitable"/>
    <s v="High Value"/>
  </r>
  <r>
    <x v="969"/>
    <x v="969"/>
    <s v="David Lee"/>
    <x v="0"/>
    <s v="Canada"/>
    <s v="Delhi"/>
    <x v="4"/>
    <s v="Tablet"/>
    <x v="882"/>
    <n v="7"/>
    <n v="66446"/>
    <n v="0.22"/>
    <n v="51827.88"/>
    <x v="967"/>
    <n v="0.15"/>
    <x v="966"/>
    <x v="2"/>
    <x v="0"/>
    <n v="2"/>
    <x v="0"/>
    <x v="3"/>
    <n v="1"/>
    <s v="2023-01"/>
    <n v="308375.88999999996"/>
    <s v="Fast"/>
    <s v="Profitable"/>
    <s v="High Value"/>
  </r>
  <r>
    <x v="970"/>
    <x v="970"/>
    <s v="Priya Mehta"/>
    <x v="3"/>
    <s v="Canada"/>
    <s v="Bangalore"/>
    <x v="4"/>
    <s v="Laptop"/>
    <x v="939"/>
    <n v="6"/>
    <n v="67941"/>
    <n v="0.11"/>
    <n v="60467.49"/>
    <x v="968"/>
    <n v="0.15"/>
    <x v="967"/>
    <x v="3"/>
    <x v="0"/>
    <n v="9"/>
    <x v="1"/>
    <x v="8"/>
    <n v="12"/>
    <s v="2024-12"/>
    <n v="308384.2"/>
    <s v="Delayed"/>
    <s v="Profitable"/>
    <s v="High Value"/>
  </r>
  <r>
    <x v="971"/>
    <x v="971"/>
    <s v="Priya Mehta"/>
    <x v="2"/>
    <s v="Uk"/>
    <s v="Toronto"/>
    <x v="4"/>
    <s v="Laptop"/>
    <x v="940"/>
    <n v="6"/>
    <n v="79184"/>
    <n v="0.23"/>
    <n v="60971.68"/>
    <x v="969"/>
    <n v="0.15"/>
    <x v="968"/>
    <x v="3"/>
    <x v="0"/>
    <n v="1"/>
    <x v="2"/>
    <x v="9"/>
    <n v="7"/>
    <s v="2025-07"/>
    <n v="310955.57"/>
    <s v="Fast"/>
    <s v="Profitable"/>
    <s v="High Value"/>
  </r>
  <r>
    <x v="972"/>
    <x v="972"/>
    <s v="Maria Singh"/>
    <x v="1"/>
    <s v="Usa"/>
    <s v="Bangalore"/>
    <x v="4"/>
    <s v="Earphones"/>
    <x v="941"/>
    <n v="7"/>
    <n v="54139"/>
    <n v="0"/>
    <n v="54139"/>
    <x v="970"/>
    <n v="0.15"/>
    <x v="969"/>
    <x v="2"/>
    <x v="0"/>
    <n v="3"/>
    <x v="0"/>
    <x v="0"/>
    <n v="11"/>
    <s v="2023-11"/>
    <n v="322127.05"/>
    <s v="Fast"/>
    <s v="Profitable"/>
    <s v="High Value"/>
  </r>
  <r>
    <x v="973"/>
    <x v="973"/>
    <s v="Sara Khan"/>
    <x v="1"/>
    <s v="India"/>
    <s v="Mumbai"/>
    <x v="4"/>
    <s v="Tablet"/>
    <x v="942"/>
    <n v="7"/>
    <n v="58364"/>
    <n v="7.0000000000000007E-2"/>
    <n v="54278.52"/>
    <x v="971"/>
    <n v="0.15"/>
    <x v="970"/>
    <x v="2"/>
    <x v="0"/>
    <n v="9"/>
    <x v="0"/>
    <x v="2"/>
    <n v="3"/>
    <s v="2023-03"/>
    <n v="322957.19"/>
    <s v="Delayed"/>
    <s v="Profitable"/>
    <s v="High Value"/>
  </r>
  <r>
    <x v="974"/>
    <x v="974"/>
    <s v="Priya Mehta"/>
    <x v="0"/>
    <s v="Uk"/>
    <s v="Bangalore"/>
    <x v="4"/>
    <s v="Mobile"/>
    <x v="943"/>
    <n v="7"/>
    <n v="64823"/>
    <n v="0.16"/>
    <n v="54451.32"/>
    <x v="972"/>
    <n v="0.15"/>
    <x v="971"/>
    <x v="2"/>
    <x v="0"/>
    <n v="5"/>
    <x v="1"/>
    <x v="4"/>
    <n v="6"/>
    <s v="2024-06"/>
    <n v="323985.34999999998"/>
    <s v="Standard"/>
    <s v="Profitable"/>
    <s v="High Value"/>
  </r>
  <r>
    <x v="975"/>
    <x v="975"/>
    <s v="Sara Khan"/>
    <x v="1"/>
    <s v="Uk"/>
    <s v="Mumbai"/>
    <x v="4"/>
    <s v="Mobile"/>
    <x v="944"/>
    <n v="8"/>
    <n v="49030"/>
    <n v="0"/>
    <n v="49030"/>
    <x v="973"/>
    <n v="0.15"/>
    <x v="972"/>
    <x v="2"/>
    <x v="0"/>
    <n v="1"/>
    <x v="0"/>
    <x v="4"/>
    <n v="6"/>
    <s v="2023-06"/>
    <n v="333404"/>
    <s v="Fast"/>
    <s v="Profitable"/>
    <s v="High Value"/>
  </r>
  <r>
    <x v="976"/>
    <x v="976"/>
    <s v="Sara Khan"/>
    <x v="0"/>
    <s v="Usa"/>
    <s v="New York"/>
    <x v="4"/>
    <s v="Laptop"/>
    <x v="945"/>
    <n v="6"/>
    <n v="79350"/>
    <n v="0.17"/>
    <n v="65860.5"/>
    <x v="974"/>
    <n v="0.15"/>
    <x v="973"/>
    <x v="3"/>
    <x v="0"/>
    <n v="8"/>
    <x v="0"/>
    <x v="6"/>
    <n v="4"/>
    <s v="2023-04"/>
    <n v="335888.55"/>
    <s v="Delayed"/>
    <s v="Profitable"/>
    <s v="High Value"/>
  </r>
  <r>
    <x v="977"/>
    <x v="977"/>
    <s v="Maria Singh"/>
    <x v="3"/>
    <s v="Uk"/>
    <s v="New York"/>
    <x v="4"/>
    <s v="Laptop"/>
    <x v="585"/>
    <n v="9"/>
    <n v="58777"/>
    <n v="0.24"/>
    <n v="44670.52"/>
    <x v="975"/>
    <n v="0.15"/>
    <x v="974"/>
    <x v="2"/>
    <x v="0"/>
    <n v="1"/>
    <x v="2"/>
    <x v="5"/>
    <n v="8"/>
    <s v="2025-08"/>
    <n v="341729.48"/>
    <s v="Fast"/>
    <s v="Profitable"/>
    <s v="High Value"/>
  </r>
  <r>
    <x v="978"/>
    <x v="978"/>
    <s v="John Smith"/>
    <x v="3"/>
    <s v="Canada"/>
    <s v="Delhi"/>
    <x v="4"/>
    <s v="Mobile"/>
    <x v="946"/>
    <n v="6"/>
    <n v="71332"/>
    <n v="0.04"/>
    <n v="68478.720000000001"/>
    <x v="976"/>
    <n v="0.15"/>
    <x v="975"/>
    <x v="2"/>
    <x v="0"/>
    <n v="7"/>
    <x v="1"/>
    <x v="0"/>
    <n v="11"/>
    <s v="2024-11"/>
    <n v="349241.47000000003"/>
    <s v="Standard"/>
    <s v="Profitable"/>
    <s v="High Value"/>
  </r>
  <r>
    <x v="979"/>
    <x v="979"/>
    <s v="Amit Verma"/>
    <x v="3"/>
    <s v="India"/>
    <s v="Toronto"/>
    <x v="4"/>
    <s v="Laptop"/>
    <x v="947"/>
    <n v="6"/>
    <n v="73530"/>
    <n v="0.06"/>
    <n v="69118.2"/>
    <x v="977"/>
    <n v="0.15"/>
    <x v="976"/>
    <x v="3"/>
    <x v="0"/>
    <n v="9"/>
    <x v="1"/>
    <x v="11"/>
    <n v="9"/>
    <s v="2024-09"/>
    <n v="352502.82"/>
    <s v="Delayed"/>
    <s v="Profitable"/>
    <s v="High Value"/>
  </r>
  <r>
    <x v="980"/>
    <x v="980"/>
    <s v="Amit Verma"/>
    <x v="1"/>
    <s v="Canada"/>
    <s v="Toronto"/>
    <x v="4"/>
    <s v="Laptop"/>
    <x v="948"/>
    <n v="9"/>
    <n v="55379"/>
    <n v="0.16"/>
    <n v="46518.36"/>
    <x v="978"/>
    <n v="0.15"/>
    <x v="977"/>
    <x v="0"/>
    <x v="0"/>
    <n v="2"/>
    <x v="0"/>
    <x v="1"/>
    <n v="10"/>
    <s v="2023-10"/>
    <n v="355865.45"/>
    <s v="Fast"/>
    <s v="Profitable"/>
    <s v="High Value"/>
  </r>
  <r>
    <x v="981"/>
    <x v="981"/>
    <s v="Priya Mehta"/>
    <x v="3"/>
    <s v="India"/>
    <s v="Delhi"/>
    <x v="4"/>
    <s v="Laptop"/>
    <x v="949"/>
    <n v="8"/>
    <n v="62233"/>
    <n v="0.15"/>
    <n v="52898.05"/>
    <x v="979"/>
    <n v="0.15"/>
    <x v="978"/>
    <x v="3"/>
    <x v="0"/>
    <n v="3"/>
    <x v="0"/>
    <x v="6"/>
    <n v="4"/>
    <s v="2023-04"/>
    <n v="359706.74"/>
    <s v="Fast"/>
    <s v="Profitable"/>
    <s v="High Value"/>
  </r>
  <r>
    <x v="982"/>
    <x v="982"/>
    <s v="John Smith"/>
    <x v="3"/>
    <s v="India"/>
    <s v="Mumbai"/>
    <x v="4"/>
    <s v="Mobile"/>
    <x v="950"/>
    <n v="7"/>
    <n v="78011"/>
    <n v="0.21"/>
    <n v="61628.69"/>
    <x v="980"/>
    <n v="0.15"/>
    <x v="979"/>
    <x v="3"/>
    <x v="0"/>
    <n v="1"/>
    <x v="1"/>
    <x v="3"/>
    <n v="1"/>
    <s v="2024-01"/>
    <n v="366690.71"/>
    <s v="Fast"/>
    <s v="Profitable"/>
    <s v="High Value"/>
  </r>
  <r>
    <x v="983"/>
    <x v="983"/>
    <s v="John Smith"/>
    <x v="3"/>
    <s v="Canada"/>
    <s v="Bangalore"/>
    <x v="4"/>
    <s v="Mobile"/>
    <x v="951"/>
    <n v="7"/>
    <n v="63551"/>
    <n v="0.03"/>
    <n v="61644.47"/>
    <x v="981"/>
    <n v="0.15"/>
    <x v="980"/>
    <x v="2"/>
    <x v="0"/>
    <n v="5"/>
    <x v="0"/>
    <x v="11"/>
    <n v="9"/>
    <s v="2023-09"/>
    <n v="366784.6"/>
    <s v="Standard"/>
    <s v="Profitable"/>
    <s v="High Value"/>
  </r>
  <r>
    <x v="984"/>
    <x v="984"/>
    <s v="John Smith"/>
    <x v="3"/>
    <s v="Usa"/>
    <s v="New York"/>
    <x v="4"/>
    <s v="Earphones"/>
    <x v="952"/>
    <n v="7"/>
    <n v="65718"/>
    <n v="0.04"/>
    <n v="63089.279999999999"/>
    <x v="982"/>
    <n v="0.15"/>
    <x v="981"/>
    <x v="1"/>
    <x v="0"/>
    <n v="6"/>
    <x v="2"/>
    <x v="9"/>
    <n v="7"/>
    <s v="2025-07"/>
    <n v="375381.22000000003"/>
    <s v="Standard"/>
    <s v="Profitable"/>
    <s v="High Value"/>
  </r>
  <r>
    <x v="985"/>
    <x v="985"/>
    <s v="Amit Verma"/>
    <x v="1"/>
    <s v="Usa"/>
    <s v="Toronto"/>
    <x v="4"/>
    <s v="Tablet"/>
    <x v="953"/>
    <n v="9"/>
    <n v="52080"/>
    <n v="0.05"/>
    <n v="49476"/>
    <x v="983"/>
    <n v="0.15"/>
    <x v="982"/>
    <x v="1"/>
    <x v="0"/>
    <n v="6"/>
    <x v="1"/>
    <x v="11"/>
    <n v="9"/>
    <s v="2024-09"/>
    <n v="378491.4"/>
    <s v="Standard"/>
    <s v="Profitable"/>
    <s v="High Value"/>
  </r>
  <r>
    <x v="986"/>
    <x v="986"/>
    <s v="John Smith"/>
    <x v="3"/>
    <s v="Canada"/>
    <s v="New York"/>
    <x v="4"/>
    <s v="Tablet"/>
    <x v="954"/>
    <n v="7"/>
    <n v="67056"/>
    <n v="0.05"/>
    <n v="63703.199999999997"/>
    <x v="984"/>
    <n v="0.15"/>
    <x v="983"/>
    <x v="1"/>
    <x v="0"/>
    <n v="8"/>
    <x v="0"/>
    <x v="2"/>
    <n v="3"/>
    <s v="2023-03"/>
    <n v="379034.04000000004"/>
    <s v="Delayed"/>
    <s v="Profitable"/>
    <s v="High Value"/>
  </r>
  <r>
    <x v="987"/>
    <x v="987"/>
    <s v="Priya Mehta"/>
    <x v="1"/>
    <s v="Canada"/>
    <s v="New York"/>
    <x v="4"/>
    <s v="Mobile"/>
    <x v="955"/>
    <n v="9"/>
    <n v="60677"/>
    <n v="0.16"/>
    <n v="50968.68"/>
    <x v="985"/>
    <n v="0.15"/>
    <x v="984"/>
    <x v="1"/>
    <x v="2"/>
    <n v="1"/>
    <x v="0"/>
    <x v="6"/>
    <n v="4"/>
    <s v="2023-04"/>
    <n v="389910.4"/>
    <s v="Fast"/>
    <s v="Profitable"/>
    <s v="High Value"/>
  </r>
  <r>
    <x v="988"/>
    <x v="988"/>
    <s v="Priya Mehta"/>
    <x v="0"/>
    <s v="Uk"/>
    <s v="Bangalore"/>
    <x v="4"/>
    <s v="Earphones"/>
    <x v="956"/>
    <n v="8"/>
    <n v="62161"/>
    <n v="0.06"/>
    <n v="58431.34"/>
    <x v="986"/>
    <n v="0.15"/>
    <x v="985"/>
    <x v="1"/>
    <x v="0"/>
    <n v="5"/>
    <x v="1"/>
    <x v="1"/>
    <n v="10"/>
    <s v="2024-10"/>
    <n v="397333.11"/>
    <s v="Standard"/>
    <s v="Profitable"/>
    <s v="High Value"/>
  </r>
  <r>
    <x v="989"/>
    <x v="989"/>
    <s v="David Lee"/>
    <x v="1"/>
    <s v="India"/>
    <s v="Toronto"/>
    <x v="4"/>
    <s v="Earphones"/>
    <x v="957"/>
    <n v="7"/>
    <n v="70233"/>
    <n v="0.03"/>
    <n v="68126.009999999995"/>
    <x v="987"/>
    <n v="0.15"/>
    <x v="986"/>
    <x v="2"/>
    <x v="0"/>
    <n v="1"/>
    <x v="0"/>
    <x v="11"/>
    <n v="9"/>
    <s v="2023-09"/>
    <n v="405349.76"/>
    <s v="Fast"/>
    <s v="Profitable"/>
    <s v="High Value"/>
  </r>
  <r>
    <x v="990"/>
    <x v="990"/>
    <s v="Sara Khan"/>
    <x v="3"/>
    <s v="India"/>
    <s v="Mumbai"/>
    <x v="4"/>
    <s v="Laptop"/>
    <x v="958"/>
    <n v="9"/>
    <n v="66273"/>
    <n v="0.19"/>
    <n v="53681.13"/>
    <x v="988"/>
    <n v="0.15"/>
    <x v="987"/>
    <x v="2"/>
    <x v="0"/>
    <n v="9"/>
    <x v="1"/>
    <x v="2"/>
    <n v="3"/>
    <s v="2024-03"/>
    <n v="410660.64"/>
    <s v="Delayed"/>
    <s v="Profitable"/>
    <s v="High Value"/>
  </r>
  <r>
    <x v="991"/>
    <x v="991"/>
    <s v="John Smith"/>
    <x v="3"/>
    <s v="Canada"/>
    <s v="Delhi"/>
    <x v="4"/>
    <s v="Tablet"/>
    <x v="959"/>
    <n v="8"/>
    <n v="73740"/>
    <n v="0.17"/>
    <n v="61204.2"/>
    <x v="989"/>
    <n v="0.15"/>
    <x v="988"/>
    <x v="0"/>
    <x v="0"/>
    <n v="2"/>
    <x v="1"/>
    <x v="10"/>
    <n v="5"/>
    <s v="2024-05"/>
    <n v="416188.56"/>
    <s v="Fast"/>
    <s v="Profitable"/>
    <s v="High Value"/>
  </r>
  <r>
    <x v="992"/>
    <x v="992"/>
    <s v="Amit Verma"/>
    <x v="2"/>
    <s v="India"/>
    <s v="London"/>
    <x v="4"/>
    <s v="Earphones"/>
    <x v="960"/>
    <n v="9"/>
    <n v="58244"/>
    <n v="0.04"/>
    <n v="55914.239999999998"/>
    <x v="990"/>
    <n v="0.15"/>
    <x v="989"/>
    <x v="3"/>
    <x v="0"/>
    <n v="1"/>
    <x v="1"/>
    <x v="10"/>
    <n v="5"/>
    <s v="2024-05"/>
    <n v="427743.93999999994"/>
    <s v="Fast"/>
    <s v="Profitable"/>
    <s v="High Value"/>
  </r>
  <r>
    <x v="993"/>
    <x v="993"/>
    <s v="Sara Khan"/>
    <x v="1"/>
    <s v="India"/>
    <s v="London"/>
    <x v="4"/>
    <s v="Earphones"/>
    <x v="961"/>
    <n v="8"/>
    <n v="78099"/>
    <n v="0.17"/>
    <n v="64822.17"/>
    <x v="991"/>
    <n v="0.15"/>
    <x v="990"/>
    <x v="3"/>
    <x v="2"/>
    <n v="6"/>
    <x v="2"/>
    <x v="7"/>
    <n v="2"/>
    <s v="2025-02"/>
    <n v="440790.76"/>
    <s v="Standard"/>
    <s v="Profitable"/>
    <s v="High Value"/>
  </r>
  <r>
    <x v="994"/>
    <x v="994"/>
    <s v="David Lee"/>
    <x v="3"/>
    <s v="Usa"/>
    <s v="Toronto"/>
    <x v="4"/>
    <s v="Tablet"/>
    <x v="962"/>
    <n v="9"/>
    <n v="67714"/>
    <n v="0.14000000000000001"/>
    <n v="58234.04"/>
    <x v="992"/>
    <n v="0.15"/>
    <x v="991"/>
    <x v="3"/>
    <x v="0"/>
    <n v="9"/>
    <x v="2"/>
    <x v="9"/>
    <n v="7"/>
    <s v="2025-07"/>
    <n v="445490.41"/>
    <s v="Delayed"/>
    <s v="Profitable"/>
    <s v="High Value"/>
  </r>
  <r>
    <x v="995"/>
    <x v="995"/>
    <s v="Sara Khan"/>
    <x v="3"/>
    <s v="India"/>
    <s v="London"/>
    <x v="4"/>
    <s v="Tablet"/>
    <x v="963"/>
    <n v="9"/>
    <n v="71212"/>
    <n v="0.15"/>
    <n v="60530.2"/>
    <x v="993"/>
    <n v="0.15"/>
    <x v="992"/>
    <x v="0"/>
    <x v="0"/>
    <n v="5"/>
    <x v="0"/>
    <x v="4"/>
    <n v="6"/>
    <s v="2023-06"/>
    <n v="463056.03"/>
    <s v="Standard"/>
    <s v="Profitable"/>
    <s v="High Value"/>
  </r>
  <r>
    <x v="996"/>
    <x v="996"/>
    <s v="Sara Khan"/>
    <x v="1"/>
    <s v="Canada"/>
    <s v="Toronto"/>
    <x v="4"/>
    <s v="Mobile"/>
    <x v="964"/>
    <n v="8"/>
    <n v="75095"/>
    <n v="7.0000000000000007E-2"/>
    <n v="69838.350000000006"/>
    <x v="994"/>
    <n v="0.15"/>
    <x v="993"/>
    <x v="0"/>
    <x v="1"/>
    <n v="2"/>
    <x v="2"/>
    <x v="3"/>
    <n v="1"/>
    <s v="2025-01"/>
    <n v="474900.78"/>
    <s v="Fast"/>
    <s v="Profitable"/>
    <s v="High Value"/>
  </r>
  <r>
    <x v="997"/>
    <x v="997"/>
    <s v="Amit Verma"/>
    <x v="2"/>
    <s v="Uk"/>
    <s v="Delhi"/>
    <x v="4"/>
    <s v="Mobile"/>
    <x v="965"/>
    <n v="9"/>
    <n v="71330"/>
    <n v="0.09"/>
    <n v="64910.3"/>
    <x v="995"/>
    <n v="0.15"/>
    <x v="994"/>
    <x v="2"/>
    <x v="0"/>
    <n v="7"/>
    <x v="2"/>
    <x v="6"/>
    <n v="4"/>
    <s v="2025-04"/>
    <n v="496563.79999999993"/>
    <s v="Standard"/>
    <s v="Profitable"/>
    <s v="High Value"/>
  </r>
  <r>
    <x v="998"/>
    <x v="998"/>
    <s v="Amit Verma"/>
    <x v="3"/>
    <s v="Uk"/>
    <s v="New York"/>
    <x v="4"/>
    <s v="Mobile"/>
    <x v="966"/>
    <n v="9"/>
    <n v="69792"/>
    <n v="0.03"/>
    <n v="67698.240000000005"/>
    <x v="996"/>
    <n v="0.15"/>
    <x v="995"/>
    <x v="3"/>
    <x v="0"/>
    <n v="2"/>
    <x v="2"/>
    <x v="2"/>
    <n v="3"/>
    <s v="2025-03"/>
    <n v="517891.54000000004"/>
    <s v="Fast"/>
    <s v="Profitable"/>
    <s v="High Value"/>
  </r>
  <r>
    <x v="999"/>
    <x v="999"/>
    <s v="Sara Khan"/>
    <x v="1"/>
    <s v="India"/>
    <s v="London"/>
    <x v="4"/>
    <s v="Laptop"/>
    <x v="967"/>
    <n v="9"/>
    <n v="78008"/>
    <n v="0.13"/>
    <n v="67866.960000000006"/>
    <x v="997"/>
    <n v="0.15"/>
    <x v="996"/>
    <x v="2"/>
    <x v="0"/>
    <n v="5"/>
    <x v="1"/>
    <x v="3"/>
    <n v="1"/>
    <s v="2024-01"/>
    <n v="519182.24"/>
    <s v="Standard"/>
    <s v="Profitable"/>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3AAB7B-C48A-4EEF-A36F-0D00E06DEACB}" name="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30">
    <pivotField showAll="0"/>
    <pivotField numFmtId="15" showAll="0">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default"/>
      </items>
    </pivotField>
    <pivotField showAll="0"/>
    <pivotField showAll="0">
      <items count="5">
        <item x="1"/>
        <item x="0"/>
        <item x="3"/>
        <item x="2"/>
        <item t="default"/>
      </items>
    </pivotField>
    <pivotField showAll="0"/>
    <pivotField showAll="0"/>
    <pivotField showAll="0">
      <items count="6">
        <item x="0"/>
        <item x="3"/>
        <item x="4"/>
        <item x="2"/>
        <item x="1"/>
        <item t="default"/>
      </items>
    </pivotField>
    <pivotField showAll="0"/>
    <pivotField showAll="0"/>
    <pivotField showAll="0"/>
    <pivotField showAll="0"/>
    <pivotField showAll="0"/>
    <pivotField showAll="0"/>
    <pivotField dataField="1" showAll="0"/>
    <pivotField showAll="0"/>
    <pivotField showAll="0"/>
    <pivotField showAll="0">
      <items count="5">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_revenue" fld="13" baseField="0" baseItem="0" numFmtId="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4D8545-161E-493E-964C-5CF4F1468F0C}" name="total_product_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9:A10" firstHeaderRow="1" firstDataRow="1" firstDataCol="0"/>
  <pivotFields count="30">
    <pivotField showAll="0"/>
    <pivotField numFmtId="15" showAll="0">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default"/>
      </items>
    </pivotField>
    <pivotField showAll="0"/>
    <pivotField showAll="0">
      <items count="5">
        <item x="1"/>
        <item x="0"/>
        <item x="3"/>
        <item x="2"/>
        <item t="default"/>
      </items>
    </pivotField>
    <pivotField showAll="0"/>
    <pivotField showAll="0"/>
    <pivotField showAll="0">
      <items count="6">
        <item x="0"/>
        <item x="3"/>
        <item x="4"/>
        <item x="2"/>
        <item x="1"/>
        <item t="default"/>
      </items>
    </pivotField>
    <pivotField showAll="0"/>
    <pivotField showAll="0"/>
    <pivotField dataField="1" showAll="0"/>
    <pivotField showAll="0"/>
    <pivotField showAll="0"/>
    <pivotField showAll="0"/>
    <pivotField showAll="0"/>
    <pivotField showAll="0"/>
    <pivotField showAll="0"/>
    <pivotField showAll="0">
      <items count="5">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roduct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C3486D-DE41-462F-8A66-2667C8405DD8}" name="yearly_sales"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7">
  <location ref="E1:G7" firstHeaderRow="0" firstDataRow="1" firstDataCol="1"/>
  <pivotFields count="30">
    <pivotField showAll="0" countASubtotal="1">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countA"/>
      </items>
    </pivotField>
    <pivotField numFmtId="15" showAll="0">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default"/>
      </items>
    </pivotField>
    <pivotField showAll="0"/>
    <pivotField showAll="0">
      <items count="5">
        <item x="1"/>
        <item x="0"/>
        <item x="3"/>
        <item x="2"/>
        <item t="default"/>
      </items>
    </pivotField>
    <pivotField showAll="0"/>
    <pivotField showAll="0"/>
    <pivotField axis="axisRow" showAll="0">
      <items count="6">
        <item x="0"/>
        <item x="3"/>
        <item x="4"/>
        <item x="2"/>
        <item x="1"/>
        <item t="default"/>
      </items>
    </pivotField>
    <pivotField showAll="0"/>
    <pivotField showAll="0"/>
    <pivotField showAll="0"/>
    <pivotField showAll="0"/>
    <pivotField showAll="0"/>
    <pivotField showAll="0"/>
    <pivotField dataField="1" showAll="0">
      <items count="999">
        <item x="0"/>
        <item x="1"/>
        <item x="2"/>
        <item x="3"/>
        <item x="4"/>
        <item x="5"/>
        <item x="6"/>
        <item x="8"/>
        <item x="9"/>
        <item x="10"/>
        <item x="11"/>
        <item x="12"/>
        <item x="14"/>
        <item x="15"/>
        <item x="16"/>
        <item x="17"/>
        <item x="18"/>
        <item x="19"/>
        <item x="20"/>
        <item x="21"/>
        <item x="22"/>
        <item x="23"/>
        <item x="24"/>
        <item x="7"/>
        <item x="25"/>
        <item x="26"/>
        <item x="27"/>
        <item x="28"/>
        <item x="29"/>
        <item x="30"/>
        <item x="13"/>
        <item x="33"/>
        <item x="34"/>
        <item x="36"/>
        <item x="37"/>
        <item x="32"/>
        <item x="39"/>
        <item x="40"/>
        <item x="41"/>
        <item x="42"/>
        <item x="35"/>
        <item x="44"/>
        <item x="46"/>
        <item x="38"/>
        <item x="50"/>
        <item x="51"/>
        <item x="52"/>
        <item x="53"/>
        <item x="54"/>
        <item x="55"/>
        <item x="56"/>
        <item x="57"/>
        <item x="45"/>
        <item x="58"/>
        <item x="59"/>
        <item x="47"/>
        <item x="48"/>
        <item x="49"/>
        <item x="62"/>
        <item x="63"/>
        <item x="66"/>
        <item x="67"/>
        <item x="68"/>
        <item x="61"/>
        <item x="71"/>
        <item x="73"/>
        <item x="74"/>
        <item x="75"/>
        <item x="76"/>
        <item x="64"/>
        <item x="77"/>
        <item x="79"/>
        <item x="65"/>
        <item x="80"/>
        <item x="82"/>
        <item x="83"/>
        <item x="31"/>
        <item x="70"/>
        <item x="43"/>
        <item x="85"/>
        <item x="72"/>
        <item x="86"/>
        <item x="87"/>
        <item x="88"/>
        <item x="81"/>
        <item x="89"/>
        <item x="94"/>
        <item x="84"/>
        <item x="97"/>
        <item x="98"/>
        <item x="99"/>
        <item x="100"/>
        <item x="102"/>
        <item x="103"/>
        <item x="107"/>
        <item x="60"/>
        <item x="108"/>
        <item x="109"/>
        <item x="111"/>
        <item x="112"/>
        <item x="114"/>
        <item x="115"/>
        <item x="90"/>
        <item x="116"/>
        <item x="118"/>
        <item x="120"/>
        <item x="121"/>
        <item x="101"/>
        <item x="126"/>
        <item x="127"/>
        <item x="104"/>
        <item x="105"/>
        <item x="130"/>
        <item x="132"/>
        <item x="133"/>
        <item x="135"/>
        <item x="110"/>
        <item x="69"/>
        <item x="137"/>
        <item x="139"/>
        <item x="141"/>
        <item x="143"/>
        <item x="119"/>
        <item x="146"/>
        <item x="78"/>
        <item x="148"/>
        <item x="149"/>
        <item x="150"/>
        <item x="151"/>
        <item x="124"/>
        <item x="128"/>
        <item x="152"/>
        <item x="131"/>
        <item x="136"/>
        <item x="138"/>
        <item x="156"/>
        <item x="140"/>
        <item x="142"/>
        <item x="144"/>
        <item x="145"/>
        <item x="164"/>
        <item x="166"/>
        <item x="167"/>
        <item x="169"/>
        <item x="91"/>
        <item x="170"/>
        <item x="173"/>
        <item x="176"/>
        <item x="153"/>
        <item x="154"/>
        <item x="179"/>
        <item x="155"/>
        <item x="181"/>
        <item x="159"/>
        <item x="183"/>
        <item x="160"/>
        <item x="106"/>
        <item x="163"/>
        <item x="165"/>
        <item x="187"/>
        <item x="189"/>
        <item x="113"/>
        <item x="171"/>
        <item x="175"/>
        <item x="178"/>
        <item x="197"/>
        <item x="198"/>
        <item x="199"/>
        <item x="202"/>
        <item x="203"/>
        <item x="204"/>
        <item x="180"/>
        <item x="207"/>
        <item x="123"/>
        <item x="209"/>
        <item x="210"/>
        <item x="182"/>
        <item x="184"/>
        <item x="212"/>
        <item x="129"/>
        <item x="213"/>
        <item x="92"/>
        <item x="134"/>
        <item x="186"/>
        <item x="93"/>
        <item x="217"/>
        <item x="188"/>
        <item x="95"/>
        <item x="96"/>
        <item x="191"/>
        <item x="221"/>
        <item x="192"/>
        <item x="225"/>
        <item x="227"/>
        <item x="194"/>
        <item x="195"/>
        <item x="229"/>
        <item x="230"/>
        <item x="200"/>
        <item x="205"/>
        <item x="206"/>
        <item x="208"/>
        <item x="237"/>
        <item x="239"/>
        <item x="241"/>
        <item x="243"/>
        <item x="244"/>
        <item x="216"/>
        <item x="247"/>
        <item x="117"/>
        <item x="218"/>
        <item x="248"/>
        <item x="249"/>
        <item x="157"/>
        <item x="122"/>
        <item x="222"/>
        <item x="256"/>
        <item x="158"/>
        <item x="257"/>
        <item x="125"/>
        <item x="228"/>
        <item x="260"/>
        <item x="161"/>
        <item x="261"/>
        <item x="162"/>
        <item x="265"/>
        <item x="268"/>
        <item x="233"/>
        <item x="172"/>
        <item x="272"/>
        <item x="236"/>
        <item x="174"/>
        <item x="238"/>
        <item x="274"/>
        <item x="242"/>
        <item x="275"/>
        <item x="177"/>
        <item x="245"/>
        <item x="246"/>
        <item x="282"/>
        <item x="283"/>
        <item x="251"/>
        <item x="285"/>
        <item x="252"/>
        <item x="253"/>
        <item x="286"/>
        <item x="254"/>
        <item x="147"/>
        <item x="289"/>
        <item x="291"/>
        <item x="293"/>
        <item x="185"/>
        <item x="295"/>
        <item x="262"/>
        <item x="264"/>
        <item x="300"/>
        <item x="266"/>
        <item x="267"/>
        <item x="303"/>
        <item x="269"/>
        <item x="304"/>
        <item x="271"/>
        <item x="307"/>
        <item x="308"/>
        <item x="310"/>
        <item x="196"/>
        <item x="278"/>
        <item x="313"/>
        <item x="281"/>
        <item x="316"/>
        <item x="284"/>
        <item x="319"/>
        <item x="323"/>
        <item x="287"/>
        <item x="324"/>
        <item x="290"/>
        <item x="326"/>
        <item x="211"/>
        <item x="292"/>
        <item x="168"/>
        <item x="298"/>
        <item x="214"/>
        <item x="299"/>
        <item x="215"/>
        <item x="332"/>
        <item x="219"/>
        <item x="336"/>
        <item x="224"/>
        <item x="309"/>
        <item x="341"/>
        <item x="315"/>
        <item x="232"/>
        <item x="317"/>
        <item x="318"/>
        <item x="320"/>
        <item x="321"/>
        <item x="322"/>
        <item x="325"/>
        <item x="190"/>
        <item x="327"/>
        <item x="328"/>
        <item x="359"/>
        <item x="330"/>
        <item x="331"/>
        <item x="361"/>
        <item x="362"/>
        <item x="369"/>
        <item x="370"/>
        <item x="376"/>
        <item x="377"/>
        <item x="378"/>
        <item x="255"/>
        <item x="258"/>
        <item x="380"/>
        <item x="382"/>
        <item x="342"/>
        <item x="263"/>
        <item x="344"/>
        <item x="345"/>
        <item x="347"/>
        <item x="270"/>
        <item x="348"/>
        <item x="349"/>
        <item x="351"/>
        <item x="393"/>
        <item x="354"/>
        <item x="394"/>
        <item x="220"/>
        <item x="360"/>
        <item x="398"/>
        <item x="399"/>
        <item x="276"/>
        <item x="277"/>
        <item x="223"/>
        <item x="365"/>
        <item x="226"/>
        <item x="366"/>
        <item x="280"/>
        <item x="371"/>
        <item x="373"/>
        <item x="374"/>
        <item x="231"/>
        <item x="413"/>
        <item x="234"/>
        <item x="235"/>
        <item x="416"/>
        <item x="296"/>
        <item x="418"/>
        <item x="419"/>
        <item x="388"/>
        <item x="389"/>
        <item x="240"/>
        <item x="301"/>
        <item x="302"/>
        <item x="305"/>
        <item x="395"/>
        <item x="425"/>
        <item x="306"/>
        <item x="426"/>
        <item x="250"/>
        <item x="396"/>
        <item x="311"/>
        <item x="401"/>
        <item x="312"/>
        <item x="259"/>
        <item x="403"/>
        <item x="433"/>
        <item x="434"/>
        <item x="193"/>
        <item x="405"/>
        <item x="406"/>
        <item x="436"/>
        <item x="438"/>
        <item x="201"/>
        <item x="442"/>
        <item x="417"/>
        <item x="423"/>
        <item x="449"/>
        <item x="273"/>
        <item x="424"/>
        <item x="334"/>
        <item x="337"/>
        <item x="453"/>
        <item x="338"/>
        <item x="288"/>
        <item x="430"/>
        <item x="343"/>
        <item x="294"/>
        <item x="431"/>
        <item x="297"/>
        <item x="346"/>
        <item x="350"/>
        <item x="353"/>
        <item x="437"/>
        <item x="466"/>
        <item x="471"/>
        <item x="357"/>
        <item x="441"/>
        <item x="444"/>
        <item x="368"/>
        <item x="450"/>
        <item x="375"/>
        <item x="451"/>
        <item x="314"/>
        <item x="379"/>
        <item x="454"/>
        <item x="381"/>
        <item x="383"/>
        <item x="384"/>
        <item x="386"/>
        <item x="458"/>
        <item x="459"/>
        <item x="460"/>
        <item x="329"/>
        <item x="390"/>
        <item x="391"/>
        <item x="333"/>
        <item x="335"/>
        <item x="473"/>
        <item x="400"/>
        <item x="474"/>
        <item x="339"/>
        <item x="480"/>
        <item x="340"/>
        <item x="408"/>
        <item x="409"/>
        <item x="411"/>
        <item x="481"/>
        <item x="352"/>
        <item x="279"/>
        <item x="485"/>
        <item x="355"/>
        <item x="356"/>
        <item x="420"/>
        <item x="422"/>
        <item x="488"/>
        <item x="358"/>
        <item x="490"/>
        <item x="363"/>
        <item x="367"/>
        <item x="499"/>
        <item x="427"/>
        <item x="507"/>
        <item x="509"/>
        <item x="517"/>
        <item x="385"/>
        <item x="435"/>
        <item x="387"/>
        <item x="520"/>
        <item x="439"/>
        <item x="522"/>
        <item x="524"/>
        <item x="392"/>
        <item x="529"/>
        <item x="397"/>
        <item x="530"/>
        <item x="531"/>
        <item x="532"/>
        <item x="402"/>
        <item x="539"/>
        <item x="407"/>
        <item x="542"/>
        <item x="544"/>
        <item x="410"/>
        <item x="414"/>
        <item x="415"/>
        <item x="551"/>
        <item x="421"/>
        <item x="462"/>
        <item x="470"/>
        <item x="557"/>
        <item x="562"/>
        <item x="563"/>
        <item x="428"/>
        <item x="477"/>
        <item x="478"/>
        <item x="429"/>
        <item x="569"/>
        <item x="432"/>
        <item x="364"/>
        <item x="571"/>
        <item x="572"/>
        <item x="573"/>
        <item x="372"/>
        <item x="486"/>
        <item x="440"/>
        <item x="487"/>
        <item x="577"/>
        <item x="492"/>
        <item x="581"/>
        <item x="445"/>
        <item x="494"/>
        <item x="495"/>
        <item x="446"/>
        <item x="583"/>
        <item x="448"/>
        <item x="584"/>
        <item x="501"/>
        <item x="505"/>
        <item x="595"/>
        <item x="452"/>
        <item x="511"/>
        <item x="599"/>
        <item x="513"/>
        <item x="456"/>
        <item x="608"/>
        <item x="461"/>
        <item x="612"/>
        <item x="463"/>
        <item x="465"/>
        <item x="526"/>
        <item x="404"/>
        <item x="467"/>
        <item x="527"/>
        <item x="469"/>
        <item x="619"/>
        <item x="412"/>
        <item x="622"/>
        <item x="476"/>
        <item x="624"/>
        <item x="479"/>
        <item x="534"/>
        <item x="537"/>
        <item x="627"/>
        <item x="540"/>
        <item x="541"/>
        <item x="543"/>
        <item x="630"/>
        <item x="548"/>
        <item x="482"/>
        <item x="483"/>
        <item x="484"/>
        <item x="635"/>
        <item x="553"/>
        <item x="638"/>
        <item x="493"/>
        <item x="556"/>
        <item x="558"/>
        <item x="559"/>
        <item x="497"/>
        <item x="498"/>
        <item x="644"/>
        <item x="502"/>
        <item x="503"/>
        <item x="504"/>
        <item x="564"/>
        <item x="506"/>
        <item x="508"/>
        <item x="510"/>
        <item x="565"/>
        <item x="567"/>
        <item x="512"/>
        <item x="443"/>
        <item x="514"/>
        <item x="654"/>
        <item x="515"/>
        <item x="659"/>
        <item x="447"/>
        <item x="664"/>
        <item x="574"/>
        <item x="518"/>
        <item x="519"/>
        <item x="521"/>
        <item x="576"/>
        <item x="523"/>
        <item x="525"/>
        <item x="578"/>
        <item x="668"/>
        <item x="580"/>
        <item x="671"/>
        <item x="528"/>
        <item x="673"/>
        <item x="675"/>
        <item x="679"/>
        <item x="455"/>
        <item x="457"/>
        <item x="587"/>
        <item x="682"/>
        <item x="533"/>
        <item x="686"/>
        <item x="594"/>
        <item x="536"/>
        <item x="598"/>
        <item x="464"/>
        <item x="468"/>
        <item x="606"/>
        <item x="545"/>
        <item x="546"/>
        <item x="547"/>
        <item x="472"/>
        <item x="700"/>
        <item x="549"/>
        <item x="552"/>
        <item x="613"/>
        <item x="475"/>
        <item x="705"/>
        <item x="614"/>
        <item x="706"/>
        <item x="554"/>
        <item x="555"/>
        <item x="709"/>
        <item x="560"/>
        <item x="561"/>
        <item x="623"/>
        <item x="625"/>
        <item x="626"/>
        <item x="568"/>
        <item x="489"/>
        <item x="491"/>
        <item x="720"/>
        <item x="496"/>
        <item x="633"/>
        <item x="500"/>
        <item x="575"/>
        <item x="636"/>
        <item x="579"/>
        <item x="582"/>
        <item x="640"/>
        <item x="516"/>
        <item x="588"/>
        <item x="643"/>
        <item x="590"/>
        <item x="591"/>
        <item x="592"/>
        <item x="647"/>
        <item x="648"/>
        <item x="600"/>
        <item x="601"/>
        <item x="652"/>
        <item x="602"/>
        <item x="604"/>
        <item x="607"/>
        <item x="658"/>
        <item x="661"/>
        <item x="663"/>
        <item x="610"/>
        <item x="665"/>
        <item x="667"/>
        <item x="760"/>
        <item x="616"/>
        <item x="670"/>
        <item x="535"/>
        <item x="617"/>
        <item x="538"/>
        <item x="681"/>
        <item x="620"/>
        <item x="621"/>
        <item x="684"/>
        <item x="777"/>
        <item x="550"/>
        <item x="690"/>
        <item x="692"/>
        <item x="628"/>
        <item x="693"/>
        <item x="695"/>
        <item x="697"/>
        <item x="701"/>
        <item x="702"/>
        <item x="703"/>
        <item x="637"/>
        <item x="707"/>
        <item x="639"/>
        <item x="708"/>
        <item x="566"/>
        <item x="710"/>
        <item x="711"/>
        <item x="641"/>
        <item x="712"/>
        <item x="570"/>
        <item x="645"/>
        <item x="649"/>
        <item x="650"/>
        <item x="651"/>
        <item x="657"/>
        <item x="722"/>
        <item x="662"/>
        <item x="585"/>
        <item x="586"/>
        <item x="666"/>
        <item x="589"/>
        <item x="725"/>
        <item x="726"/>
        <item x="727"/>
        <item x="593"/>
        <item x="729"/>
        <item x="596"/>
        <item x="597"/>
        <item x="730"/>
        <item x="674"/>
        <item x="731"/>
        <item x="676"/>
        <item x="733"/>
        <item x="603"/>
        <item x="677"/>
        <item x="678"/>
        <item x="605"/>
        <item x="738"/>
        <item x="739"/>
        <item x="740"/>
        <item x="680"/>
        <item x="741"/>
        <item x="742"/>
        <item x="685"/>
        <item x="609"/>
        <item x="611"/>
        <item x="746"/>
        <item x="688"/>
        <item x="749"/>
        <item x="750"/>
        <item x="751"/>
        <item x="615"/>
        <item x="691"/>
        <item x="618"/>
        <item x="694"/>
        <item x="758"/>
        <item x="759"/>
        <item x="699"/>
        <item x="704"/>
        <item x="761"/>
        <item x="762"/>
        <item x="764"/>
        <item x="770"/>
        <item x="713"/>
        <item x="771"/>
        <item x="772"/>
        <item x="629"/>
        <item x="631"/>
        <item x="714"/>
        <item x="632"/>
        <item x="717"/>
        <item x="634"/>
        <item x="778"/>
        <item x="779"/>
        <item x="780"/>
        <item x="719"/>
        <item x="721"/>
        <item x="785"/>
        <item x="787"/>
        <item x="723"/>
        <item x="788"/>
        <item x="789"/>
        <item x="642"/>
        <item x="646"/>
        <item x="793"/>
        <item x="795"/>
        <item x="735"/>
        <item x="736"/>
        <item x="737"/>
        <item x="653"/>
        <item x="797"/>
        <item x="655"/>
        <item x="656"/>
        <item x="798"/>
        <item x="660"/>
        <item x="743"/>
        <item x="744"/>
        <item x="748"/>
        <item x="802"/>
        <item x="752"/>
        <item x="669"/>
        <item x="753"/>
        <item x="754"/>
        <item x="672"/>
        <item x="806"/>
        <item x="808"/>
        <item x="809"/>
        <item x="810"/>
        <item x="683"/>
        <item x="812"/>
        <item x="687"/>
        <item x="816"/>
        <item x="689"/>
        <item x="818"/>
        <item x="765"/>
        <item x="766"/>
        <item x="819"/>
        <item x="769"/>
        <item x="821"/>
        <item x="822"/>
        <item x="773"/>
        <item x="696"/>
        <item x="698"/>
        <item x="776"/>
        <item x="827"/>
        <item x="781"/>
        <item x="831"/>
        <item x="782"/>
        <item x="783"/>
        <item x="786"/>
        <item x="715"/>
        <item x="716"/>
        <item x="718"/>
        <item x="792"/>
        <item x="835"/>
        <item x="840"/>
        <item x="841"/>
        <item x="842"/>
        <item x="724"/>
        <item x="846"/>
        <item x="800"/>
        <item x="803"/>
        <item x="728"/>
        <item x="850"/>
        <item x="804"/>
        <item x="732"/>
        <item x="734"/>
        <item x="852"/>
        <item x="811"/>
        <item x="854"/>
        <item x="856"/>
        <item x="813"/>
        <item x="745"/>
        <item x="815"/>
        <item x="859"/>
        <item x="817"/>
        <item x="860"/>
        <item x="747"/>
        <item x="862"/>
        <item x="823"/>
        <item x="755"/>
        <item x="756"/>
        <item x="757"/>
        <item x="825"/>
        <item x="866"/>
        <item x="868"/>
        <item x="870"/>
        <item x="829"/>
        <item x="874"/>
        <item x="878"/>
        <item x="832"/>
        <item x="763"/>
        <item x="767"/>
        <item x="768"/>
        <item x="774"/>
        <item x="775"/>
        <item x="834"/>
        <item x="839"/>
        <item x="885"/>
        <item x="784"/>
        <item x="843"/>
        <item x="790"/>
        <item x="889"/>
        <item x="847"/>
        <item x="848"/>
        <item x="791"/>
        <item x="849"/>
        <item x="794"/>
        <item x="796"/>
        <item x="895"/>
        <item x="855"/>
        <item x="799"/>
        <item x="857"/>
        <item x="801"/>
        <item x="900"/>
        <item x="863"/>
        <item x="864"/>
        <item x="805"/>
        <item x="807"/>
        <item x="872"/>
        <item x="873"/>
        <item x="875"/>
        <item x="814"/>
        <item x="876"/>
        <item x="877"/>
        <item x="879"/>
        <item x="820"/>
        <item x="824"/>
        <item x="883"/>
        <item x="826"/>
        <item x="828"/>
        <item x="830"/>
        <item x="833"/>
        <item x="836"/>
        <item x="837"/>
        <item x="838"/>
        <item x="844"/>
        <item x="845"/>
        <item x="903"/>
        <item x="851"/>
        <item x="853"/>
        <item x="909"/>
        <item x="858"/>
        <item x="861"/>
        <item x="912"/>
        <item x="865"/>
        <item x="867"/>
        <item x="869"/>
        <item x="871"/>
        <item x="880"/>
        <item x="881"/>
        <item x="882"/>
        <item x="884"/>
        <item x="886"/>
        <item x="887"/>
        <item x="888"/>
        <item x="890"/>
        <item x="891"/>
        <item x="892"/>
        <item x="893"/>
        <item x="894"/>
        <item x="896"/>
        <item x="897"/>
        <item x="898"/>
        <item x="899"/>
        <item x="901"/>
        <item x="902"/>
        <item x="904"/>
        <item x="905"/>
        <item x="906"/>
        <item x="907"/>
        <item x="908"/>
        <item x="910"/>
        <item x="911"/>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pivotField dataField="1" showAll="0"/>
    <pivotField showAll="0">
      <items count="5">
        <item x="2"/>
        <item x="0"/>
        <item x="1"/>
        <item x="3"/>
        <item t="default"/>
      </items>
    </pivotField>
    <pivotField showAll="0">
      <items count="4">
        <item x="2"/>
        <item x="0"/>
        <item x="1"/>
        <item t="default"/>
      </items>
    </pivotField>
    <pivotField showAll="0"/>
    <pivotField showAll="0"/>
    <pivotField showAll="0">
      <items count="13">
        <item x="3"/>
        <item x="7"/>
        <item x="2"/>
        <item x="6"/>
        <item x="10"/>
        <item x="4"/>
        <item x="9"/>
        <item x="5"/>
        <item x="11"/>
        <item x="1"/>
        <item x="0"/>
        <item x="8"/>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6"/>
  </rowFields>
  <rowItems count="6">
    <i>
      <x/>
    </i>
    <i>
      <x v="1"/>
    </i>
    <i>
      <x v="2"/>
    </i>
    <i>
      <x v="3"/>
    </i>
    <i>
      <x v="4"/>
    </i>
    <i t="grand">
      <x/>
    </i>
  </rowItems>
  <colFields count="1">
    <field x="-2"/>
  </colFields>
  <colItems count="2">
    <i>
      <x/>
    </i>
    <i i="1">
      <x v="1"/>
    </i>
  </colItems>
  <dataFields count="2">
    <dataField name="Sum of Sales" fld="13" baseField="0" baseItem="0"/>
    <dataField name="Sum of Profit_Amount" fld="15" baseField="0" baseItem="0"/>
  </dataFields>
  <chartFormats count="2">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3D687D-A0ED-4366-97E8-DF404A94BBC7}" name="total_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30">
    <pivotField showAll="0"/>
    <pivotField numFmtId="15" showAll="0">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default"/>
      </items>
    </pivotField>
    <pivotField showAll="0"/>
    <pivotField showAll="0">
      <items count="5">
        <item x="1"/>
        <item x="0"/>
        <item x="3"/>
        <item x="2"/>
        <item t="default"/>
      </items>
    </pivotField>
    <pivotField showAll="0"/>
    <pivotField showAll="0"/>
    <pivotField showAll="0">
      <items count="6">
        <item x="0"/>
        <item x="3"/>
        <item x="4"/>
        <item x="2"/>
        <item x="1"/>
        <item t="default"/>
      </items>
    </pivotField>
    <pivotField showAll="0"/>
    <pivotField showAll="0"/>
    <pivotField showAll="0"/>
    <pivotField showAll="0"/>
    <pivotField showAll="0"/>
    <pivotField showAll="0"/>
    <pivotField showAll="0"/>
    <pivotField showAll="0"/>
    <pivotField dataField="1" showAll="0"/>
    <pivotField showAll="0">
      <items count="5">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rofit" fld="15" baseField="0" baseItem="0" numFmtId="8"/>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026D8B-091C-4833-B616-A07C3769FD32}" name="sales_per_product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T1:V5" firstHeaderRow="0" firstDataRow="1" firstDataCol="1"/>
  <pivotFields count="30">
    <pivotField showAll="0"/>
    <pivotField numFmtId="15" showAll="0">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default"/>
      </items>
    </pivotField>
    <pivotField showAll="0"/>
    <pivotField showAll="0">
      <items count="5">
        <item x="1"/>
        <item x="0"/>
        <item x="3"/>
        <item x="2"/>
        <item t="default"/>
      </items>
    </pivotField>
    <pivotField showAll="0"/>
    <pivotField showAll="0"/>
    <pivotField showAll="0">
      <items count="6">
        <item x="0"/>
        <item x="3"/>
        <item x="4"/>
        <item x="2"/>
        <item x="1"/>
        <item t="default"/>
      </items>
    </pivotField>
    <pivotField showAll="0"/>
    <pivotField showAll="0"/>
    <pivotField showAll="0"/>
    <pivotField showAll="0"/>
    <pivotField showAll="0"/>
    <pivotField showAll="0"/>
    <pivotField dataField="1" showAll="0"/>
    <pivotField showAll="0"/>
    <pivotField dataField="1" showAll="0">
      <items count="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t="default"/>
      </items>
    </pivotField>
    <pivotField showAll="0">
      <items count="5">
        <item x="2"/>
        <item x="0"/>
        <item x="1"/>
        <item x="3"/>
        <item t="default"/>
      </items>
    </pivotField>
    <pivotField showAll="0">
      <items count="4">
        <item x="2"/>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4">
    <i>
      <x/>
    </i>
    <i>
      <x v="1"/>
    </i>
    <i>
      <x v="2"/>
    </i>
    <i t="grand">
      <x/>
    </i>
  </rowItems>
  <colFields count="1">
    <field x="-2"/>
  </colFields>
  <colItems count="2">
    <i>
      <x/>
    </i>
    <i i="1">
      <x v="1"/>
    </i>
  </colItems>
  <dataFields count="2">
    <dataField name="Sum of Profit_Amount" fld="15" baseField="0" baseItem="0"/>
    <dataField name="Sum of Sales" fld="13" baseField="0" baseItem="0"/>
  </dataFields>
  <chartFormats count="2">
    <chartFormat chart="22" format="9"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D1FA4D-D119-420D-8AD5-87639930D849}" name="average_of_profit_margi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30">
    <pivotField showAll="0"/>
    <pivotField numFmtId="15" showAll="0">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default"/>
      </items>
    </pivotField>
    <pivotField showAll="0"/>
    <pivotField showAll="0">
      <items count="5">
        <item x="1"/>
        <item x="0"/>
        <item x="3"/>
        <item x="2"/>
        <item t="default"/>
      </items>
    </pivotField>
    <pivotField showAll="0"/>
    <pivotField showAll="0"/>
    <pivotField showAll="0">
      <items count="6">
        <item x="0"/>
        <item x="3"/>
        <item x="4"/>
        <item x="2"/>
        <item x="1"/>
        <item t="default"/>
      </items>
    </pivotField>
    <pivotField showAll="0"/>
    <pivotField showAll="0"/>
    <pivotField showAll="0"/>
    <pivotField showAll="0"/>
    <pivotField showAll="0"/>
    <pivotField showAll="0"/>
    <pivotField showAll="0"/>
    <pivotField dataField="1" showAll="0"/>
    <pivotField showAll="0"/>
    <pivotField showAll="0">
      <items count="5">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Profit_Margin" fld="14" subtotal="average" baseField="0" baseItem="0" numFmtId="9"/>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BF8657-DEA5-40B5-8B6E-207A6C925BC6}" name="revenue_per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N1:O6" firstHeaderRow="1" firstDataRow="1" firstDataCol="1"/>
  <pivotFields count="30">
    <pivotField showAll="0"/>
    <pivotField numFmtId="15" showAll="0">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default"/>
      </items>
    </pivotField>
    <pivotField showAll="0"/>
    <pivotField axis="axisRow" showAll="0">
      <items count="5">
        <item x="1"/>
        <item x="0"/>
        <item x="3"/>
        <item x="2"/>
        <item t="default"/>
      </items>
    </pivotField>
    <pivotField showAll="0"/>
    <pivotField showAll="0"/>
    <pivotField showAll="0">
      <items count="6">
        <item x="0"/>
        <item x="3"/>
        <item x="4"/>
        <item x="2"/>
        <item x="1"/>
        <item t="default"/>
      </items>
    </pivotField>
    <pivotField showAll="0"/>
    <pivotField showAll="0"/>
    <pivotField showAll="0"/>
    <pivotField showAll="0"/>
    <pivotField showAll="0"/>
    <pivotField showAll="0"/>
    <pivotField dataField="1" showAll="0"/>
    <pivotField showAll="0"/>
    <pivotField showAll="0"/>
    <pivotField showAll="0">
      <items count="5">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5">
    <i>
      <x/>
    </i>
    <i>
      <x v="1"/>
    </i>
    <i>
      <x v="2"/>
    </i>
    <i>
      <x v="3"/>
    </i>
    <i t="grand">
      <x/>
    </i>
  </rowItems>
  <colItems count="1">
    <i/>
  </colItems>
  <dataFields count="1">
    <dataField name="Sum of Sales" fld="13" baseField="0" baseItem="0"/>
  </dataFields>
  <chartFormats count="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3" count="1" selected="0">
            <x v="0"/>
          </reference>
        </references>
      </pivotArea>
    </chartFormat>
    <chartFormat chart="25" format="18">
      <pivotArea type="data" outline="0" fieldPosition="0">
        <references count="2">
          <reference field="4294967294" count="1" selected="0">
            <x v="0"/>
          </reference>
          <reference field="3" count="1" selected="0">
            <x v="1"/>
          </reference>
        </references>
      </pivotArea>
    </chartFormat>
    <chartFormat chart="25" format="19">
      <pivotArea type="data" outline="0" fieldPosition="0">
        <references count="2">
          <reference field="4294967294" count="1" selected="0">
            <x v="0"/>
          </reference>
          <reference field="3" count="1" selected="0">
            <x v="2"/>
          </reference>
        </references>
      </pivotArea>
    </chartFormat>
    <chartFormat chart="25" format="2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9BBE95-4577-49EB-9618-3FCE34CB2141}" name="total_orders_processe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30">
    <pivotField dataField="1" showAll="0"/>
    <pivotField numFmtId="15" showAll="0">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default"/>
      </items>
    </pivotField>
    <pivotField showAll="0"/>
    <pivotField showAll="0">
      <items count="5">
        <item x="1"/>
        <item x="0"/>
        <item x="3"/>
        <item x="2"/>
        <item t="default"/>
      </items>
    </pivotField>
    <pivotField showAll="0"/>
    <pivotField showAll="0"/>
    <pivotField showAll="0">
      <items count="6">
        <item x="0"/>
        <item x="3"/>
        <item x="4"/>
        <item x="2"/>
        <item x="1"/>
        <item t="default"/>
      </items>
    </pivotField>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Orders Process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7DBD59-E769-4720-BC45-6A3757724D2D}" name="revenue_per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K1:L12" firstHeaderRow="1" firstDataRow="1" firstDataCol="1"/>
  <pivotFields count="30">
    <pivotField showAll="0"/>
    <pivotField numFmtId="15" showAll="0">
      <items count="1001">
        <item x="799"/>
        <item x="38"/>
        <item x="347"/>
        <item x="115"/>
        <item x="63"/>
        <item x="481"/>
        <item x="324"/>
        <item x="367"/>
        <item x="206"/>
        <item x="276"/>
        <item x="774"/>
        <item x="156"/>
        <item x="53"/>
        <item x="817"/>
        <item x="837"/>
        <item x="430"/>
        <item x="740"/>
        <item x="100"/>
        <item x="939"/>
        <item x="197"/>
        <item x="169"/>
        <item x="89"/>
        <item x="772"/>
        <item x="498"/>
        <item x="969"/>
        <item x="597"/>
        <item x="419"/>
        <item x="469"/>
        <item x="692"/>
        <item x="424"/>
        <item x="397"/>
        <item x="753"/>
        <item x="649"/>
        <item x="890"/>
        <item x="71"/>
        <item x="74"/>
        <item x="573"/>
        <item x="86"/>
        <item x="588"/>
        <item x="678"/>
        <item x="472"/>
        <item x="894"/>
        <item x="216"/>
        <item x="556"/>
        <item x="570"/>
        <item x="662"/>
        <item x="664"/>
        <item x="421"/>
        <item x="523"/>
        <item x="829"/>
        <item x="782"/>
        <item x="862"/>
        <item x="386"/>
        <item x="395"/>
        <item x="82"/>
        <item x="899"/>
        <item x="868"/>
        <item x="191"/>
        <item x="173"/>
        <item x="228"/>
        <item x="358"/>
        <item x="413"/>
        <item x="363"/>
        <item x="581"/>
        <item x="236"/>
        <item x="797"/>
        <item x="423"/>
        <item x="612"/>
        <item x="70"/>
        <item x="558"/>
        <item x="918"/>
        <item x="9"/>
        <item x="231"/>
        <item x="505"/>
        <item x="57"/>
        <item x="590"/>
        <item x="963"/>
        <item x="887"/>
        <item x="856"/>
        <item x="355"/>
        <item x="149"/>
        <item x="898"/>
        <item x="21"/>
        <item x="451"/>
        <item x="973"/>
        <item x="986"/>
        <item x="777"/>
        <item x="801"/>
        <item x="876"/>
        <item x="564"/>
        <item x="247"/>
        <item x="907"/>
        <item x="196"/>
        <item x="192"/>
        <item x="846"/>
        <item x="526"/>
        <item x="239"/>
        <item x="148"/>
        <item x="484"/>
        <item x="987"/>
        <item x="645"/>
        <item x="749"/>
        <item x="303"/>
        <item x="252"/>
        <item x="976"/>
        <item x="306"/>
        <item x="283"/>
        <item x="858"/>
        <item x="626"/>
        <item x="362"/>
        <item x="956"/>
        <item x="425"/>
        <item x="54"/>
        <item x="322"/>
        <item x="691"/>
        <item x="8"/>
        <item x="841"/>
        <item x="670"/>
        <item x="981"/>
        <item x="754"/>
        <item x="365"/>
        <item x="221"/>
        <item x="343"/>
        <item x="286"/>
        <item x="726"/>
        <item x="569"/>
        <item x="19"/>
        <item x="761"/>
        <item x="188"/>
        <item x="243"/>
        <item x="585"/>
        <item x="215"/>
        <item x="810"/>
        <item x="210"/>
        <item x="461"/>
        <item x="632"/>
        <item x="625"/>
        <item x="750"/>
        <item x="431"/>
        <item x="140"/>
        <item x="671"/>
        <item x="309"/>
        <item x="61"/>
        <item x="393"/>
        <item x="313"/>
        <item x="642"/>
        <item x="752"/>
        <item x="161"/>
        <item x="911"/>
        <item x="861"/>
        <item x="474"/>
        <item x="826"/>
        <item x="975"/>
        <item x="374"/>
        <item x="762"/>
        <item x="920"/>
        <item x="733"/>
        <item x="384"/>
        <item x="933"/>
        <item x="39"/>
        <item x="195"/>
        <item x="631"/>
        <item x="177"/>
        <item x="908"/>
        <item x="456"/>
        <item x="337"/>
        <item x="282"/>
        <item x="50"/>
        <item x="572"/>
        <item x="665"/>
        <item x="995"/>
        <item x="896"/>
        <item x="517"/>
        <item x="480"/>
        <item x="135"/>
        <item x="434"/>
        <item x="646"/>
        <item x="540"/>
        <item x="212"/>
        <item x="942"/>
        <item x="734"/>
        <item x="501"/>
        <item x="796"/>
        <item x="527"/>
        <item x="618"/>
        <item x="714"/>
        <item x="415"/>
        <item x="839"/>
        <item x="644"/>
        <item x="426"/>
        <item x="651"/>
        <item x="428"/>
        <item x="650"/>
        <item x="696"/>
        <item x="669"/>
        <item x="553"/>
        <item x="509"/>
        <item x="968"/>
        <item x="184"/>
        <item x="731"/>
        <item x="261"/>
        <item x="224"/>
        <item x="809"/>
        <item x="953"/>
        <item x="694"/>
        <item x="137"/>
        <item x="436"/>
        <item x="624"/>
        <item x="781"/>
        <item x="848"/>
        <item x="522"/>
        <item x="880"/>
        <item x="268"/>
        <item x="118"/>
        <item x="273"/>
        <item x="350"/>
        <item x="464"/>
        <item x="345"/>
        <item x="958"/>
        <item x="658"/>
        <item x="471"/>
        <item x="938"/>
        <item x="432"/>
        <item x="392"/>
        <item x="934"/>
        <item x="685"/>
        <item x="516"/>
        <item x="94"/>
        <item x="46"/>
        <item x="823"/>
        <item x="755"/>
        <item x="202"/>
        <item x="383"/>
        <item x="697"/>
        <item x="943"/>
        <item x="123"/>
        <item x="909"/>
        <item x="902"/>
        <item x="326"/>
        <item x="108"/>
        <item x="255"/>
        <item x="502"/>
        <item x="955"/>
        <item x="65"/>
        <item x="711"/>
        <item x="269"/>
        <item x="608"/>
        <item x="922"/>
        <item x="821"/>
        <item x="675"/>
        <item x="989"/>
        <item x="578"/>
        <item x="124"/>
        <item x="661"/>
        <item x="720"/>
        <item x="684"/>
        <item x="832"/>
        <item x="258"/>
        <item x="316"/>
        <item x="448"/>
        <item x="495"/>
        <item x="176"/>
        <item x="455"/>
        <item x="983"/>
        <item x="843"/>
        <item x="477"/>
        <item x="686"/>
        <item x="793"/>
        <item x="88"/>
        <item x="441"/>
        <item x="244"/>
        <item x="493"/>
        <item x="919"/>
        <item x="479"/>
        <item x="289"/>
        <item x="48"/>
        <item x="223"/>
        <item x="235"/>
        <item x="185"/>
        <item x="73"/>
        <item x="478"/>
        <item x="372"/>
        <item x="816"/>
        <item x="260"/>
        <item x="980"/>
        <item x="77"/>
        <item x="92"/>
        <item x="42"/>
        <item x="189"/>
        <item x="704"/>
        <item x="332"/>
        <item x="965"/>
        <item x="967"/>
        <item x="497"/>
        <item x="705"/>
        <item x="147"/>
        <item x="305"/>
        <item x="33"/>
        <item x="654"/>
        <item x="892"/>
        <item x="67"/>
        <item x="60"/>
        <item x="449"/>
        <item x="101"/>
        <item x="398"/>
        <item x="163"/>
        <item x="972"/>
        <item x="773"/>
        <item x="249"/>
        <item x="0"/>
        <item x="769"/>
        <item x="511"/>
        <item x="885"/>
        <item x="840"/>
        <item x="701"/>
        <item x="725"/>
        <item x="462"/>
        <item x="417"/>
        <item x="465"/>
        <item x="266"/>
        <item x="851"/>
        <item x="850"/>
        <item x="756"/>
        <item x="966"/>
        <item x="648"/>
        <item x="835"/>
        <item x="183"/>
        <item x="435"/>
        <item x="609"/>
        <item x="859"/>
        <item x="637"/>
        <item x="602"/>
        <item x="882"/>
        <item x="17"/>
        <item x="712"/>
        <item x="881"/>
        <item x="657"/>
        <item x="709"/>
        <item x="43"/>
        <item x="729"/>
        <item x="927"/>
        <item x="496"/>
        <item x="673"/>
        <item x="234"/>
        <item x="32"/>
        <item x="463"/>
        <item x="376"/>
        <item x="822"/>
        <item x="706"/>
        <item x="51"/>
        <item x="387"/>
        <item x="836"/>
        <item x="952"/>
        <item x="790"/>
        <item x="454"/>
        <item x="433"/>
        <item x="864"/>
        <item x="297"/>
        <item x="552"/>
        <item x="232"/>
        <item x="279"/>
        <item x="429"/>
        <item x="695"/>
        <item x="310"/>
        <item x="402"/>
        <item x="81"/>
        <item x="600"/>
        <item x="320"/>
        <item x="217"/>
        <item x="18"/>
        <item x="739"/>
        <item x="748"/>
        <item x="538"/>
        <item x="327"/>
        <item x="895"/>
        <item x="317"/>
        <item x="787"/>
        <item x="630"/>
        <item x="693"/>
        <item x="72"/>
        <item x="875"/>
        <item x="6"/>
        <item x="757"/>
        <item x="13"/>
        <item x="246"/>
        <item x="932"/>
        <item x="690"/>
        <item x="512"/>
        <item x="999"/>
        <item x="412"/>
        <item x="853"/>
        <item x="295"/>
        <item x="165"/>
        <item x="982"/>
        <item x="31"/>
        <item x="27"/>
        <item x="84"/>
        <item x="253"/>
        <item x="314"/>
        <item x="606"/>
        <item x="490"/>
        <item x="190"/>
        <item x="915"/>
        <item x="219"/>
        <item x="257"/>
        <item x="438"/>
        <item x="700"/>
        <item x="507"/>
        <item x="245"/>
        <item x="352"/>
        <item x="242"/>
        <item x="603"/>
        <item x="11"/>
        <item x="385"/>
        <item x="940"/>
        <item x="274"/>
        <item x="805"/>
        <item x="682"/>
        <item x="110"/>
        <item x="589"/>
        <item x="222"/>
        <item x="566"/>
        <item x="290"/>
        <item x="126"/>
        <item x="405"/>
        <item x="562"/>
        <item x="770"/>
        <item x="35"/>
        <item x="127"/>
        <item x="359"/>
        <item x="788"/>
        <item x="900"/>
        <item x="683"/>
        <item x="629"/>
        <item x="854"/>
        <item x="713"/>
        <item x="416"/>
        <item x="179"/>
        <item x="743"/>
        <item x="990"/>
        <item x="689"/>
        <item x="40"/>
        <item x="155"/>
        <item x="390"/>
        <item x="136"/>
        <item x="764"/>
        <item x="601"/>
        <item x="786"/>
        <item x="730"/>
        <item x="360"/>
        <item x="610"/>
        <item x="515"/>
        <item x="378"/>
        <item x="205"/>
        <item x="503"/>
        <item x="96"/>
        <item x="52"/>
        <item x="141"/>
        <item x="604"/>
        <item x="85"/>
        <item x="936"/>
        <item x="778"/>
        <item x="58"/>
        <item x="676"/>
        <item x="619"/>
        <item x="225"/>
        <item x="275"/>
        <item x="111"/>
        <item x="466"/>
        <item x="175"/>
        <item x="506"/>
        <item x="198"/>
        <item x="768"/>
        <item x="23"/>
        <item x="476"/>
        <item x="379"/>
        <item x="536"/>
        <item x="949"/>
        <item x="47"/>
        <item x="55"/>
        <item x="889"/>
        <item x="596"/>
        <item x="369"/>
        <item x="182"/>
        <item x="828"/>
        <item x="300"/>
        <item x="991"/>
        <item x="722"/>
        <item x="545"/>
        <item x="409"/>
        <item x="717"/>
        <item x="420"/>
        <item x="158"/>
        <item x="884"/>
        <item x="325"/>
        <item x="951"/>
        <item x="311"/>
        <item x="445"/>
        <item x="913"/>
        <item x="992"/>
        <item x="411"/>
        <item x="414"/>
        <item x="157"/>
        <item x="677"/>
        <item x="702"/>
        <item x="923"/>
        <item x="870"/>
        <item x="186"/>
        <item x="204"/>
        <item x="867"/>
        <item x="218"/>
        <item x="844"/>
        <item x="888"/>
        <item x="891"/>
        <item x="307"/>
        <item x="482"/>
        <item x="584"/>
        <item x="117"/>
        <item x="214"/>
        <item x="280"/>
        <item x="381"/>
        <item x="893"/>
        <item x="576"/>
        <item x="91"/>
        <item x="444"/>
        <item x="336"/>
        <item x="364"/>
        <item x="617"/>
        <item x="284"/>
        <item x="4"/>
        <item x="499"/>
        <item x="641"/>
        <item x="535"/>
        <item x="133"/>
        <item x="403"/>
        <item x="382"/>
        <item x="230"/>
        <item x="301"/>
        <item x="857"/>
        <item x="370"/>
        <item x="974"/>
        <item x="643"/>
        <item x="442"/>
        <item x="44"/>
        <item x="591"/>
        <item x="473"/>
        <item x="259"/>
        <item x="237"/>
        <item x="613"/>
        <item x="485"/>
        <item x="368"/>
        <item x="914"/>
        <item x="831"/>
        <item x="293"/>
        <item x="15"/>
        <item x="241"/>
        <item x="519"/>
        <item x="229"/>
        <item x="959"/>
        <item x="791"/>
        <item x="957"/>
        <item x="924"/>
        <item x="109"/>
        <item x="272"/>
        <item x="744"/>
        <item x="672"/>
        <item x="541"/>
        <item x="270"/>
        <item x="615"/>
        <item x="583"/>
        <item x="785"/>
        <item x="341"/>
        <item x="375"/>
        <item x="271"/>
        <item x="25"/>
        <item x="174"/>
        <item x="500"/>
        <item x="820"/>
        <item x="389"/>
        <item x="529"/>
        <item x="162"/>
        <item x="75"/>
        <item x="611"/>
        <item x="948"/>
        <item x="139"/>
        <item x="200"/>
        <item x="703"/>
        <item x="491"/>
        <item x="667"/>
        <item x="945"/>
        <item x="910"/>
        <item x="765"/>
        <item x="302"/>
        <item x="716"/>
        <item x="348"/>
        <item x="103"/>
        <item x="334"/>
        <item x="152"/>
        <item x="142"/>
        <item x="24"/>
        <item x="220"/>
        <item x="304"/>
        <item x="20"/>
        <item x="7"/>
        <item x="533"/>
        <item x="294"/>
        <item x="542"/>
        <item x="950"/>
        <item x="342"/>
        <item x="698"/>
        <item x="281"/>
        <item x="985"/>
        <item x="401"/>
        <item x="187"/>
        <item x="901"/>
        <item x="571"/>
        <item x="635"/>
        <item x="659"/>
        <item x="339"/>
        <item x="852"/>
        <item x="30"/>
        <item x="738"/>
        <item x="800"/>
        <item x="811"/>
        <item x="794"/>
        <item x="508"/>
        <item x="488"/>
        <item x="521"/>
        <item x="550"/>
        <item x="114"/>
        <item x="45"/>
        <item x="979"/>
        <item x="560"/>
        <item x="708"/>
        <item x="655"/>
        <item x="792"/>
        <item x="599"/>
        <item x="251"/>
        <item x="812"/>
        <item x="277"/>
        <item x="555"/>
        <item x="291"/>
        <item x="134"/>
        <item x="62"/>
        <item x="227"/>
        <item x="802"/>
        <item x="483"/>
        <item x="203"/>
        <item x="776"/>
        <item x="819"/>
        <item x="296"/>
        <item x="679"/>
        <item x="579"/>
        <item x="113"/>
        <item x="250"/>
        <item x="954"/>
        <item x="988"/>
        <item x="825"/>
        <item x="903"/>
        <item x="181"/>
        <item x="37"/>
        <item x="806"/>
        <item x="944"/>
        <item x="688"/>
        <item x="193"/>
        <item x="941"/>
        <item x="1"/>
        <item x="830"/>
        <item x="577"/>
        <item x="718"/>
        <item x="614"/>
        <item x="518"/>
        <item x="168"/>
        <item x="567"/>
        <item x="759"/>
        <item x="267"/>
        <item x="287"/>
        <item x="240"/>
        <item x="263"/>
        <item x="68"/>
        <item x="144"/>
        <item x="34"/>
        <item x="668"/>
        <item x="394"/>
        <item x="656"/>
        <item x="459"/>
        <item x="361"/>
        <item x="633"/>
        <item x="978"/>
        <item x="544"/>
        <item x="122"/>
        <item x="468"/>
        <item x="107"/>
        <item x="930"/>
        <item x="568"/>
        <item x="639"/>
        <item x="742"/>
        <item x="93"/>
        <item x="767"/>
        <item x="827"/>
        <item x="160"/>
        <item x="344"/>
        <item x="548"/>
        <item x="751"/>
        <item x="970"/>
        <item x="795"/>
        <item x="98"/>
        <item x="475"/>
        <item x="598"/>
        <item x="912"/>
        <item x="315"/>
        <item x="150"/>
        <item x="877"/>
        <item x="145"/>
        <item x="492"/>
        <item x="780"/>
        <item x="467"/>
        <item x="592"/>
        <item x="849"/>
        <item x="594"/>
        <item x="105"/>
        <item x="443"/>
        <item x="504"/>
        <item x="872"/>
        <item x="860"/>
        <item x="747"/>
        <item x="298"/>
        <item x="878"/>
        <item x="351"/>
        <item x="961"/>
        <item x="12"/>
        <item x="90"/>
        <item x="539"/>
        <item x="554"/>
        <item x="996"/>
        <item x="905"/>
        <item x="947"/>
        <item x="804"/>
        <item x="663"/>
        <item x="167"/>
        <item x="450"/>
        <item x="170"/>
        <item x="623"/>
        <item x="3"/>
        <item x="333"/>
        <item x="707"/>
        <item x="565"/>
        <item x="330"/>
        <item x="929"/>
        <item x="524"/>
        <item x="561"/>
        <item x="628"/>
        <item x="366"/>
        <item x="146"/>
        <item x="408"/>
        <item x="353"/>
        <item x="380"/>
        <item x="510"/>
        <item x="440"/>
        <item x="865"/>
        <item x="102"/>
        <item x="36"/>
        <item x="16"/>
        <item x="328"/>
        <item x="593"/>
        <item x="340"/>
        <item x="866"/>
        <item x="400"/>
        <item x="104"/>
        <item x="470"/>
        <item x="83"/>
        <item x="634"/>
        <item x="308"/>
        <item x="746"/>
        <item x="563"/>
        <item x="962"/>
        <item x="357"/>
        <item x="285"/>
        <item x="254"/>
        <item x="803"/>
        <item x="771"/>
        <item x="993"/>
        <item x="537"/>
        <item x="164"/>
        <item x="26"/>
        <item x="871"/>
        <item x="719"/>
        <item x="699"/>
        <item x="807"/>
        <item x="873"/>
        <item x="640"/>
        <item x="76"/>
        <item x="388"/>
        <item x="520"/>
        <item x="582"/>
        <item x="815"/>
        <item x="116"/>
        <item x="783"/>
        <item x="292"/>
        <item x="125"/>
        <item x="264"/>
        <item x="439"/>
        <item x="159"/>
        <item x="2"/>
        <item x="404"/>
        <item x="551"/>
        <item x="323"/>
        <item x="143"/>
        <item x="935"/>
        <item x="338"/>
        <item x="437"/>
        <item x="721"/>
        <item x="457"/>
        <item x="925"/>
        <item x="233"/>
        <item x="728"/>
        <item x="904"/>
        <item x="736"/>
        <item x="318"/>
        <item x="741"/>
        <item x="998"/>
        <item x="766"/>
        <item x="299"/>
        <item x="256"/>
        <item x="863"/>
        <item x="427"/>
        <item x="525"/>
        <item x="543"/>
        <item x="845"/>
        <item x="906"/>
        <item x="808"/>
        <item x="532"/>
        <item x="834"/>
        <item x="607"/>
        <item x="29"/>
        <item x="727"/>
        <item x="775"/>
        <item x="784"/>
        <item x="531"/>
        <item x="349"/>
        <item x="78"/>
        <item x="28"/>
        <item x="997"/>
        <item x="931"/>
        <item x="41"/>
        <item x="87"/>
        <item x="732"/>
        <item x="391"/>
        <item x="595"/>
        <item x="154"/>
        <item x="329"/>
        <item x="56"/>
        <item x="833"/>
        <item x="335"/>
        <item x="422"/>
        <item x="513"/>
        <item x="453"/>
        <item x="760"/>
        <item x="406"/>
        <item x="487"/>
        <item x="605"/>
        <item x="447"/>
        <item x="132"/>
        <item x="652"/>
        <item x="201"/>
        <item x="121"/>
        <item x="789"/>
        <item x="396"/>
        <item x="745"/>
        <item x="226"/>
        <item x="66"/>
        <item x="710"/>
        <item x="758"/>
        <item x="818"/>
        <item x="855"/>
        <item x="638"/>
        <item x="587"/>
        <item x="514"/>
        <item x="199"/>
        <item x="166"/>
        <item x="130"/>
        <item x="128"/>
        <item x="407"/>
        <item x="586"/>
        <item x="838"/>
        <item x="723"/>
        <item x="399"/>
        <item x="171"/>
        <item x="622"/>
        <item x="494"/>
        <item x="549"/>
        <item x="69"/>
        <item x="557"/>
        <item x="528"/>
        <item x="883"/>
        <item x="151"/>
        <item x="674"/>
        <item x="937"/>
        <item x="916"/>
        <item x="207"/>
        <item x="209"/>
        <item x="964"/>
        <item x="10"/>
        <item x="377"/>
        <item x="897"/>
        <item x="687"/>
        <item x="59"/>
        <item x="248"/>
        <item x="928"/>
        <item x="530"/>
        <item x="616"/>
        <item x="346"/>
        <item x="172"/>
        <item x="994"/>
        <item x="213"/>
        <item x="321"/>
        <item x="574"/>
        <item x="960"/>
        <item x="119"/>
        <item x="735"/>
        <item x="238"/>
        <item x="138"/>
        <item x="418"/>
        <item x="208"/>
        <item x="373"/>
        <item x="534"/>
        <item x="458"/>
        <item x="763"/>
        <item x="847"/>
        <item x="64"/>
        <item x="813"/>
        <item x="984"/>
        <item x="737"/>
        <item x="575"/>
        <item x="112"/>
        <item x="917"/>
        <item x="886"/>
        <item x="971"/>
        <item x="921"/>
        <item x="798"/>
        <item x="680"/>
        <item x="22"/>
        <item x="681"/>
        <item x="106"/>
        <item x="621"/>
        <item x="356"/>
        <item x="653"/>
        <item x="842"/>
        <item x="80"/>
        <item x="977"/>
        <item x="278"/>
        <item x="319"/>
        <item x="824"/>
        <item x="262"/>
        <item x="926"/>
        <item x="946"/>
        <item x="131"/>
        <item x="153"/>
        <item x="452"/>
        <item x="620"/>
        <item x="814"/>
        <item x="486"/>
        <item x="715"/>
        <item x="5"/>
        <item x="559"/>
        <item x="874"/>
        <item x="194"/>
        <item x="211"/>
        <item x="580"/>
        <item x="95"/>
        <item x="489"/>
        <item x="288"/>
        <item x="312"/>
        <item x="14"/>
        <item x="79"/>
        <item x="724"/>
        <item x="180"/>
        <item x="647"/>
        <item x="49"/>
        <item x="546"/>
        <item x="446"/>
        <item x="178"/>
        <item x="660"/>
        <item x="879"/>
        <item x="460"/>
        <item x="129"/>
        <item x="371"/>
        <item x="627"/>
        <item x="779"/>
        <item x="97"/>
        <item x="331"/>
        <item x="666"/>
        <item x="265"/>
        <item x="354"/>
        <item x="99"/>
        <item x="547"/>
        <item x="636"/>
        <item x="869"/>
        <item x="410"/>
        <item x="120"/>
        <item t="default"/>
      </items>
    </pivotField>
    <pivotField showAll="0"/>
    <pivotField showAll="0">
      <items count="5">
        <item x="1"/>
        <item x="0"/>
        <item x="3"/>
        <item x="2"/>
        <item t="default"/>
      </items>
    </pivotField>
    <pivotField showAll="0"/>
    <pivotField showAll="0"/>
    <pivotField showAll="0">
      <items count="6">
        <item x="0"/>
        <item x="3"/>
        <item x="4"/>
        <item x="2"/>
        <item x="1"/>
        <item t="default"/>
      </items>
    </pivotField>
    <pivotField showAll="0"/>
    <pivotField axis="axisRow" showAll="0" measureFilter="1" sortType="ascending">
      <items count="969">
        <item x="203"/>
        <item x="37"/>
        <item x="212"/>
        <item x="281"/>
        <item x="62"/>
        <item x="178"/>
        <item x="409"/>
        <item x="375"/>
        <item x="198"/>
        <item x="305"/>
        <item x="264"/>
        <item x="103"/>
        <item x="467"/>
        <item x="127"/>
        <item x="197"/>
        <item x="2"/>
        <item x="121"/>
        <item x="10"/>
        <item x="56"/>
        <item x="3"/>
        <item x="434"/>
        <item x="137"/>
        <item x="42"/>
        <item x="50"/>
        <item x="373"/>
        <item x="89"/>
        <item x="206"/>
        <item x="34"/>
        <item x="68"/>
        <item x="248"/>
        <item x="22"/>
        <item x="333"/>
        <item x="146"/>
        <item x="449"/>
        <item x="55"/>
        <item x="118"/>
        <item x="148"/>
        <item x="289"/>
        <item x="462"/>
        <item x="114"/>
        <item x="52"/>
        <item x="94"/>
        <item x="1"/>
        <item x="196"/>
        <item x="4"/>
        <item x="13"/>
        <item x="26"/>
        <item x="366"/>
        <item x="24"/>
        <item x="108"/>
        <item x="503"/>
        <item x="590"/>
        <item x="757"/>
        <item x="581"/>
        <item x="479"/>
        <item x="122"/>
        <item x="792"/>
        <item x="516"/>
        <item x="651"/>
        <item x="599"/>
        <item x="817"/>
        <item x="520"/>
        <item x="540"/>
        <item x="406"/>
        <item x="736"/>
        <item x="336"/>
        <item x="678"/>
        <item x="249"/>
        <item x="125"/>
        <item x="735"/>
        <item x="507"/>
        <item x="636"/>
        <item x="459"/>
        <item x="403"/>
        <item x="705"/>
        <item x="750"/>
        <item x="638"/>
        <item x="167"/>
        <item x="147"/>
        <item x="398"/>
        <item x="803"/>
        <item x="662"/>
        <item x="883"/>
        <item x="790"/>
        <item x="518"/>
        <item x="675"/>
        <item x="566"/>
        <item x="546"/>
        <item x="541"/>
        <item x="448"/>
        <item x="697"/>
        <item x="624"/>
        <item x="754"/>
        <item x="707"/>
        <item x="330"/>
        <item x="801"/>
        <item x="643"/>
        <item x="360"/>
        <item x="424"/>
        <item x="683"/>
        <item x="530"/>
        <item x="615"/>
        <item x="607"/>
        <item x="417"/>
        <item x="292"/>
        <item x="782"/>
        <item x="849"/>
        <item x="703"/>
        <item x="648"/>
        <item x="839"/>
        <item x="734"/>
        <item x="474"/>
        <item x="628"/>
        <item x="92"/>
        <item x="608"/>
        <item x="352"/>
        <item x="510"/>
        <item x="626"/>
        <item x="577"/>
        <item x="807"/>
        <item x="664"/>
        <item x="701"/>
        <item x="337"/>
        <item x="428"/>
        <item x="886"/>
        <item x="411"/>
        <item x="834"/>
        <item x="442"/>
        <item x="388"/>
        <item x="463"/>
        <item x="501"/>
        <item x="637"/>
        <item x="332"/>
        <item x="632"/>
        <item x="821"/>
        <item x="225"/>
        <item x="230"/>
        <item x="314"/>
        <item x="58"/>
        <item x="120"/>
        <item x="97"/>
        <item x="27"/>
        <item x="8"/>
        <item x="25"/>
        <item x="430"/>
        <item x="301"/>
        <item x="229"/>
        <item x="378"/>
        <item x="80"/>
        <item x="155"/>
        <item x="291"/>
        <item x="244"/>
        <item x="151"/>
        <item x="139"/>
        <item x="36"/>
        <item x="202"/>
        <item x="51"/>
        <item x="287"/>
        <item x="86"/>
        <item x="109"/>
        <item x="115"/>
        <item x="323"/>
        <item x="311"/>
        <item x="376"/>
        <item x="53"/>
        <item x="302"/>
        <item x="271"/>
        <item x="210"/>
        <item x="172"/>
        <item x="126"/>
        <item x="99"/>
        <item x="241"/>
        <item x="180"/>
        <item x="83"/>
        <item x="57"/>
        <item x="82"/>
        <item x="273"/>
        <item x="54"/>
        <item x="389"/>
        <item x="100"/>
        <item x="28"/>
        <item x="293"/>
        <item x="243"/>
        <item x="59"/>
        <item x="227"/>
        <item x="275"/>
        <item x="765"/>
        <item x="160"/>
        <item x="644"/>
        <item x="740"/>
        <item x="841"/>
        <item x="845"/>
        <item x="743"/>
        <item x="365"/>
        <item x="552"/>
        <item x="500"/>
        <item x="380"/>
        <item x="350"/>
        <item x="12"/>
        <item x="785"/>
        <item x="874"/>
        <item x="377"/>
        <item x="343"/>
        <item x="156"/>
        <item x="334"/>
        <item x="709"/>
        <item x="791"/>
        <item x="623"/>
        <item x="219"/>
        <item x="309"/>
        <item x="214"/>
        <item x="805"/>
        <item x="674"/>
        <item x="679"/>
        <item x="819"/>
        <item x="416"/>
        <item x="824"/>
        <item x="487"/>
        <item x="211"/>
        <item x="587"/>
        <item x="576"/>
        <item x="157"/>
        <item x="741"/>
        <item x="537"/>
        <item x="767"/>
        <item x="60"/>
        <item x="760"/>
        <item x="717"/>
        <item x="613"/>
        <item x="565"/>
        <item x="176"/>
        <item x="382"/>
        <item x="694"/>
        <item x="558"/>
        <item x="300"/>
        <item x="602"/>
        <item x="43"/>
        <item x="724"/>
        <item x="299"/>
        <item x="665"/>
        <item x="324"/>
        <item x="494"/>
        <item x="61"/>
        <item x="266"/>
        <item x="556"/>
        <item x="307"/>
        <item x="469"/>
        <item x="317"/>
        <item x="251"/>
        <item x="138"/>
        <item x="564"/>
        <item x="567"/>
        <item x="246"/>
        <item x="252"/>
        <item x="670"/>
        <item x="446"/>
        <item x="524"/>
        <item x="545"/>
        <item x="38"/>
        <item x="550"/>
        <item x="420"/>
        <item x="142"/>
        <item x="342"/>
        <item x="290"/>
        <item x="480"/>
        <item x="319"/>
        <item x="282"/>
        <item x="344"/>
        <item x="297"/>
        <item x="666"/>
        <item x="162"/>
        <item x="470"/>
        <item x="261"/>
        <item x="339"/>
        <item x="426"/>
        <item x="204"/>
        <item x="704"/>
        <item x="270"/>
        <item x="742"/>
        <item x="455"/>
        <item x="207"/>
        <item x="177"/>
        <item x="561"/>
        <item x="238"/>
        <item x="563"/>
        <item x="145"/>
        <item x="401"/>
        <item x="315"/>
        <item x="313"/>
        <item x="447"/>
        <item x="476"/>
        <item x="622"/>
        <item x="35"/>
        <item x="562"/>
        <item x="860"/>
        <item x="829"/>
        <item x="961"/>
        <item x="915"/>
        <item x="484"/>
        <item x="786"/>
        <item x="544"/>
        <item x="831"/>
        <item x="619"/>
        <item x="718"/>
        <item x="822"/>
        <item x="814"/>
        <item x="739"/>
        <item x="898"/>
        <item x="931"/>
        <item x="891"/>
        <item x="935"/>
        <item x="708"/>
        <item x="957"/>
        <item x="858"/>
        <item x="902"/>
        <item x="844"/>
        <item x="780"/>
        <item x="657"/>
        <item x="641"/>
        <item x="192"/>
        <item x="200"/>
        <item x="700"/>
        <item x="926"/>
        <item x="880"/>
        <item x="861"/>
        <item x="890"/>
        <item x="633"/>
        <item x="804"/>
        <item x="960"/>
        <item x="903"/>
        <item x="871"/>
        <item x="952"/>
        <item x="912"/>
        <item x="702"/>
        <item x="603"/>
        <item x="600"/>
        <item x="941"/>
        <item x="815"/>
        <item x="905"/>
        <item x="956"/>
        <item x="412"/>
        <item x="260"/>
        <item x="71"/>
        <item x="0"/>
        <item x="169"/>
        <item x="79"/>
        <item x="41"/>
        <item x="394"/>
        <item x="66"/>
        <item x="374"/>
        <item x="221"/>
        <item x="168"/>
        <item x="14"/>
        <item x="17"/>
        <item x="111"/>
        <item x="88"/>
        <item x="107"/>
        <item x="23"/>
        <item x="143"/>
        <item x="217"/>
        <item x="239"/>
        <item x="429"/>
        <item x="188"/>
        <item x="20"/>
        <item x="359"/>
        <item x="445"/>
        <item x="438"/>
        <item x="259"/>
        <item x="356"/>
        <item x="283"/>
        <item x="432"/>
        <item x="16"/>
        <item x="182"/>
        <item x="201"/>
        <item x="274"/>
        <item x="306"/>
        <item x="175"/>
        <item x="237"/>
        <item x="298"/>
        <item x="73"/>
        <item x="267"/>
        <item x="247"/>
        <item x="19"/>
        <item x="395"/>
        <item x="284"/>
        <item x="46"/>
        <item x="149"/>
        <item x="67"/>
        <item x="9"/>
        <item x="133"/>
        <item x="583"/>
        <item x="195"/>
        <item x="686"/>
        <item x="472"/>
        <item x="832"/>
        <item x="820"/>
        <item x="254"/>
        <item x="496"/>
        <item x="728"/>
        <item x="134"/>
        <item x="639"/>
        <item x="490"/>
        <item x="6"/>
        <item x="813"/>
        <item x="706"/>
        <item x="777"/>
        <item x="418"/>
        <item x="215"/>
        <item x="836"/>
        <item x="568"/>
        <item x="224"/>
        <item x="722"/>
        <item x="753"/>
        <item x="534"/>
        <item x="106"/>
        <item x="788"/>
        <item x="781"/>
        <item x="843"/>
        <item x="789"/>
        <item x="435"/>
        <item x="620"/>
        <item x="787"/>
        <item x="528"/>
        <item x="396"/>
        <item x="634"/>
        <item x="800"/>
        <item x="547"/>
        <item x="713"/>
        <item x="610"/>
        <item x="751"/>
        <item x="123"/>
        <item x="687"/>
        <item x="570"/>
        <item x="612"/>
        <item x="797"/>
        <item x="692"/>
        <item x="405"/>
        <item x="340"/>
        <item x="404"/>
        <item x="752"/>
        <item x="837"/>
        <item x="522"/>
        <item x="173"/>
        <item x="268"/>
        <item x="402"/>
        <item x="65"/>
        <item x="49"/>
        <item x="328"/>
        <item x="296"/>
        <item x="368"/>
        <item x="526"/>
        <item x="515"/>
        <item x="475"/>
        <item x="104"/>
        <item x="656"/>
        <item x="181"/>
        <item x="517"/>
        <item x="346"/>
        <item x="573"/>
        <item x="536"/>
        <item x="110"/>
        <item x="45"/>
        <item x="660"/>
        <item x="194"/>
        <item x="222"/>
        <item x="199"/>
        <item x="433"/>
        <item x="385"/>
        <item x="631"/>
        <item x="179"/>
        <item x="318"/>
        <item x="645"/>
        <item x="316"/>
        <item x="419"/>
        <item x="158"/>
        <item x="228"/>
        <item x="159"/>
        <item x="105"/>
        <item x="81"/>
        <item x="101"/>
        <item x="242"/>
        <item x="84"/>
        <item x="183"/>
        <item x="191"/>
        <item x="483"/>
        <item x="658"/>
        <item x="653"/>
        <item x="164"/>
        <item x="48"/>
        <item x="413"/>
        <item x="136"/>
        <item x="689"/>
        <item x="588"/>
        <item x="124"/>
        <item x="363"/>
        <item x="456"/>
        <item x="533"/>
        <item x="263"/>
        <item x="601"/>
        <item x="285"/>
        <item x="187"/>
        <item x="233"/>
        <item x="391"/>
        <item x="351"/>
        <item x="614"/>
        <item x="512"/>
        <item x="64"/>
        <item x="357"/>
        <item x="485"/>
        <item x="370"/>
        <item x="288"/>
        <item x="119"/>
        <item x="170"/>
        <item x="236"/>
        <item x="218"/>
        <item x="90"/>
        <item x="341"/>
        <item x="152"/>
        <item x="625"/>
        <item x="758"/>
        <item x="384"/>
        <item x="348"/>
        <item x="371"/>
        <item x="684"/>
        <item x="555"/>
        <item x="193"/>
        <item x="392"/>
        <item x="663"/>
        <item x="427"/>
        <item x="693"/>
        <item x="253"/>
        <item x="892"/>
        <item x="948"/>
        <item x="439"/>
        <item x="856"/>
        <item x="586"/>
        <item x="910"/>
        <item x="899"/>
        <item x="574"/>
        <item x="748"/>
        <item x="532"/>
        <item x="712"/>
        <item x="947"/>
        <item x="875"/>
        <item x="443"/>
        <item x="598"/>
        <item x="879"/>
        <item x="921"/>
        <item x="738"/>
        <item x="771"/>
        <item x="928"/>
        <item x="967"/>
        <item x="949"/>
        <item x="840"/>
        <item x="939"/>
        <item x="865"/>
        <item x="916"/>
        <item x="642"/>
        <item x="823"/>
        <item x="716"/>
        <item x="923"/>
        <item x="884"/>
        <item x="460"/>
        <item x="930"/>
        <item x="889"/>
        <item x="699"/>
        <item x="887"/>
        <item x="749"/>
        <item x="896"/>
        <item x="606"/>
        <item x="582"/>
        <item x="770"/>
        <item x="846"/>
        <item x="808"/>
        <item x="897"/>
        <item x="958"/>
        <item x="361"/>
        <item x="937"/>
        <item x="872"/>
        <item x="727"/>
        <item x="933"/>
        <item x="911"/>
        <item x="907"/>
        <item x="585"/>
        <item x="945"/>
        <item x="646"/>
        <item x="940"/>
        <item x="755"/>
        <item x="870"/>
        <item x="922"/>
        <item x="894"/>
        <item x="867"/>
        <item x="924"/>
        <item x="893"/>
        <item x="864"/>
        <item x="369"/>
        <item x="932"/>
        <item x="592"/>
        <item x="914"/>
        <item x="900"/>
        <item x="885"/>
        <item x="838"/>
        <item x="578"/>
        <item x="464"/>
        <item x="854"/>
        <item x="951"/>
        <item x="881"/>
        <item x="966"/>
        <item x="629"/>
        <item x="756"/>
        <item x="950"/>
        <item x="944"/>
        <item x="908"/>
        <item x="529"/>
        <item x="511"/>
        <item x="906"/>
        <item x="965"/>
        <item x="929"/>
        <item x="936"/>
        <item x="895"/>
        <item x="855"/>
        <item x="745"/>
        <item x="964"/>
        <item x="775"/>
        <item x="408"/>
        <item x="793"/>
        <item x="784"/>
        <item x="955"/>
        <item x="453"/>
        <item x="943"/>
        <item x="811"/>
        <item x="486"/>
        <item x="946"/>
        <item x="680"/>
        <item x="737"/>
        <item x="621"/>
        <item x="778"/>
        <item x="816"/>
        <item x="835"/>
        <item x="468"/>
        <item x="901"/>
        <item x="938"/>
        <item x="77"/>
        <item x="130"/>
        <item x="63"/>
        <item x="256"/>
        <item x="208"/>
        <item x="415"/>
        <item x="213"/>
        <item x="414"/>
        <item x="39"/>
        <item x="5"/>
        <item x="102"/>
        <item x="308"/>
        <item x="321"/>
        <item x="421"/>
        <item x="320"/>
        <item x="358"/>
        <item x="76"/>
        <item x="85"/>
        <item x="21"/>
        <item x="209"/>
        <item x="338"/>
        <item x="18"/>
        <item x="165"/>
        <item x="132"/>
        <item x="15"/>
        <item x="112"/>
        <item x="11"/>
        <item x="163"/>
        <item x="75"/>
        <item x="186"/>
        <item x="30"/>
        <item x="33"/>
        <item x="98"/>
        <item x="87"/>
        <item x="329"/>
        <item x="116"/>
        <item x="7"/>
        <item x="255"/>
        <item x="44"/>
        <item x="141"/>
        <item x="74"/>
        <item x="150"/>
        <item x="422"/>
        <item x="390"/>
        <item x="135"/>
        <item x="367"/>
        <item x="29"/>
        <item x="40"/>
        <item x="166"/>
        <item x="461"/>
        <item x="543"/>
        <item x="762"/>
        <item x="383"/>
        <item x="93"/>
        <item x="497"/>
        <item x="312"/>
        <item x="95"/>
        <item x="471"/>
        <item x="355"/>
        <item x="31"/>
        <item x="589"/>
        <item x="258"/>
        <item x="688"/>
        <item x="569"/>
        <item x="523"/>
        <item x="763"/>
        <item x="853"/>
        <item x="726"/>
        <item x="579"/>
        <item x="719"/>
        <item x="436"/>
        <item x="720"/>
        <item x="857"/>
        <item x="847"/>
        <item x="659"/>
        <item x="364"/>
        <item x="465"/>
        <item x="672"/>
        <item x="441"/>
        <item x="593"/>
        <item x="499"/>
        <item x="96"/>
        <item x="877"/>
        <item x="596"/>
        <item x="572"/>
        <item x="779"/>
        <item x="661"/>
        <item x="810"/>
        <item x="794"/>
        <item x="548"/>
        <item x="850"/>
        <item x="492"/>
        <item x="698"/>
        <item x="514"/>
        <item x="223"/>
        <item x="117"/>
        <item x="498"/>
        <item x="772"/>
        <item x="226"/>
        <item x="220"/>
        <item x="477"/>
        <item x="189"/>
        <item x="783"/>
        <item x="747"/>
        <item x="539"/>
        <item x="730"/>
        <item x="457"/>
        <item x="349"/>
        <item x="353"/>
        <item x="286"/>
        <item x="527"/>
        <item x="410"/>
        <item x="591"/>
        <item x="604"/>
        <item x="766"/>
        <item x="554"/>
        <item x="825"/>
        <item x="234"/>
        <item x="851"/>
        <item x="478"/>
        <item x="272"/>
        <item x="580"/>
        <item x="231"/>
        <item x="761"/>
        <item x="553"/>
        <item x="505"/>
        <item x="721"/>
        <item x="295"/>
        <item x="488"/>
        <item x="493"/>
        <item x="381"/>
        <item x="240"/>
        <item x="605"/>
        <item x="425"/>
        <item x="669"/>
        <item x="826"/>
        <item x="393"/>
        <item x="235"/>
        <item x="513"/>
        <item x="509"/>
        <item x="827"/>
        <item x="326"/>
        <item x="812"/>
        <item x="444"/>
        <item x="452"/>
        <item x="927"/>
        <item x="942"/>
        <item x="640"/>
        <item x="954"/>
        <item x="278"/>
        <item x="575"/>
        <item x="934"/>
        <item x="495"/>
        <item x="953"/>
        <item x="882"/>
        <item x="866"/>
        <item x="913"/>
        <item x="616"/>
        <item x="806"/>
        <item x="963"/>
        <item x="962"/>
        <item x="925"/>
        <item x="729"/>
        <item x="868"/>
        <item x="959"/>
        <item x="909"/>
        <item x="920"/>
        <item x="917"/>
        <item x="618"/>
        <item x="654"/>
        <item x="876"/>
        <item x="491"/>
        <item x="594"/>
        <item x="918"/>
        <item x="559"/>
        <item x="773"/>
        <item x="667"/>
        <item x="888"/>
        <item x="904"/>
        <item x="802"/>
        <item x="798"/>
        <item x="764"/>
        <item x="400"/>
        <item x="873"/>
        <item x="878"/>
        <item x="671"/>
        <item x="451"/>
        <item x="842"/>
        <item x="862"/>
        <item x="919"/>
        <item x="682"/>
        <item x="673"/>
        <item x="549"/>
        <item x="732"/>
        <item x="635"/>
        <item x="262"/>
        <item x="691"/>
        <item x="655"/>
        <item x="69"/>
        <item x="335"/>
        <item x="799"/>
        <item x="746"/>
        <item x="560"/>
        <item x="677"/>
        <item x="489"/>
        <item x="795"/>
        <item x="710"/>
        <item x="354"/>
        <item x="769"/>
        <item x="279"/>
        <item x="294"/>
        <item x="184"/>
        <item x="161"/>
        <item x="744"/>
        <item x="774"/>
        <item x="676"/>
        <item x="818"/>
        <item x="129"/>
        <item x="723"/>
        <item x="379"/>
        <item x="113"/>
        <item x="303"/>
        <item x="171"/>
        <item x="714"/>
        <item x="276"/>
        <item x="386"/>
        <item x="830"/>
        <item x="627"/>
        <item x="506"/>
        <item x="685"/>
        <item x="715"/>
        <item x="521"/>
        <item x="828"/>
        <item x="508"/>
        <item x="431"/>
        <item x="668"/>
        <item x="531"/>
        <item x="696"/>
        <item x="407"/>
        <item x="649"/>
        <item x="584"/>
        <item x="70"/>
        <item x="277"/>
        <item x="280"/>
        <item x="611"/>
        <item x="72"/>
        <item x="250"/>
        <item x="571"/>
        <item x="265"/>
        <item x="504"/>
        <item x="322"/>
        <item x="185"/>
        <item x="617"/>
        <item x="450"/>
        <item x="362"/>
        <item x="174"/>
        <item x="154"/>
        <item x="128"/>
        <item x="216"/>
        <item x="502"/>
        <item x="32"/>
        <item x="454"/>
        <item x="140"/>
        <item x="609"/>
        <item x="440"/>
        <item x="327"/>
        <item x="153"/>
        <item x="397"/>
        <item x="345"/>
        <item x="205"/>
        <item x="597"/>
        <item x="437"/>
        <item x="131"/>
        <item x="538"/>
        <item x="47"/>
        <item x="399"/>
        <item x="325"/>
        <item x="144"/>
        <item x="690"/>
        <item x="525"/>
        <item x="245"/>
        <item x="519"/>
        <item x="190"/>
        <item x="630"/>
        <item x="269"/>
        <item x="347"/>
        <item x="681"/>
        <item x="731"/>
        <item x="257"/>
        <item x="535"/>
        <item x="473"/>
        <item x="796"/>
        <item x="387"/>
        <item x="725"/>
        <item x="833"/>
        <item x="650"/>
        <item x="481"/>
        <item x="557"/>
        <item x="711"/>
        <item x="78"/>
        <item x="776"/>
        <item x="331"/>
        <item x="759"/>
        <item x="551"/>
        <item x="809"/>
        <item x="652"/>
        <item x="852"/>
        <item x="859"/>
        <item x="647"/>
        <item x="304"/>
        <item x="863"/>
        <item x="458"/>
        <item x="542"/>
        <item x="372"/>
        <item x="310"/>
        <item x="768"/>
        <item x="848"/>
        <item x="232"/>
        <item x="695"/>
        <item x="423"/>
        <item x="869"/>
        <item x="733"/>
        <item x="482"/>
        <item x="466"/>
        <item x="91"/>
        <item x="595"/>
        <item t="default"/>
      </items>
    </pivotField>
    <pivotField showAll="0"/>
    <pivotField showAll="0"/>
    <pivotField showAll="0"/>
    <pivotField showAll="0"/>
    <pivotField dataField="1" showAll="0"/>
    <pivotField showAll="0"/>
    <pivotField showAll="0"/>
    <pivotField showAll="0">
      <items count="5">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11">
    <i>
      <x v="296"/>
    </i>
    <i>
      <x v="551"/>
    </i>
    <i>
      <x v="588"/>
    </i>
    <i>
      <x v="607"/>
    </i>
    <i>
      <x v="615"/>
    </i>
    <i>
      <x v="616"/>
    </i>
    <i>
      <x v="622"/>
    </i>
    <i>
      <x v="796"/>
    </i>
    <i>
      <x v="801"/>
    </i>
    <i>
      <x v="802"/>
    </i>
    <i t="grand">
      <x/>
    </i>
  </rowItems>
  <colItems count="1">
    <i/>
  </colItems>
  <dataFields count="1">
    <dataField name="Sum of Sales" fld="13" baseField="0" baseItem="0"/>
  </dataFields>
  <chartFormats count="1">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9EAE74-D3D8-4B3E-92BE-DEC663EAC8A6}" autoFormatId="16" applyNumberFormats="0" applyBorderFormats="0" applyFontFormats="0" applyPatternFormats="0" applyAlignmentFormats="0" applyWidthHeightFormats="0">
  <queryTableRefresh nextId="31" unboundColumnsRight="8">
    <queryTableFields count="27">
      <queryTableField id="1" name="OrderID" tableColumnId="1"/>
      <queryTableField id="2" name="Order_Date" tableColumnId="2"/>
      <queryTableField id="3" name="Customer_Name" tableColumnId="3"/>
      <queryTableField id="4" name="Region" tableColumnId="4"/>
      <queryTableField id="5" name="Country" tableColumnId="5"/>
      <queryTableField id="6" name="City" tableColumnId="6"/>
      <queryTableField id="7" name="Product_Category" tableColumnId="7"/>
      <queryTableField id="8" name="Sub_Category" tableColumnId="8"/>
      <queryTableField id="9" name="Product_Name" tableColumnId="9"/>
      <queryTableField id="10" name="Quantity" tableColumnId="10"/>
      <queryTableField id="11" name="Unit_Price" tableColumnId="11"/>
      <queryTableField id="12" name="Discount" tableColumnId="12"/>
      <queryTableField id="13" name="Discounted_Price" tableColumnId="13"/>
      <queryTableField id="14" name="Sales" tableColumnId="14"/>
      <queryTableField id="15" name="Profit_Margin" tableColumnId="15"/>
      <queryTableField id="16" name="Profit_Amount" tableColumnId="16"/>
      <queryTableField id="17" name="Payment_Mode" tableColumnId="17"/>
      <queryTableField id="18" name="Delivery_Status" tableColumnId="18"/>
      <queryTableField id="19" name="Delivery_Days" tableColumnId="19"/>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5989441-805F-45EF-8A16-15D2F9E0E6DA}" sourceName="Delivery_Status">
  <pivotTables>
    <pivotTable tabId="9" name="revenue_per_category"/>
    <pivotTable tabId="9" name="average_of_profit_margin"/>
    <pivotTable tabId="9" name="revenue_per_region"/>
    <pivotTable tabId="9" name="sales_per_product_category"/>
    <pivotTable tabId="9" name="total_orders_processed"/>
    <pivotTable tabId="9" name="total_product_sold"/>
    <pivotTable tabId="9" name="total_profit"/>
    <pivotTable tabId="9" name="total_revenue"/>
    <pivotTable tabId="9" name="yearly_sales"/>
  </pivotTables>
  <data>
    <tabular pivotCacheId="37844068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4E96592-0491-453B-985D-ED587AC36B5B}" sourceName="Product_Category">
  <pivotTables>
    <pivotTable tabId="9" name="yearly_sales"/>
    <pivotTable tabId="9" name="average_of_profit_margin"/>
    <pivotTable tabId="9" name="revenue_per_category"/>
    <pivotTable tabId="9" name="revenue_per_region"/>
    <pivotTable tabId="9" name="sales_per_product_category"/>
    <pivotTable tabId="9" name="total_orders_processed"/>
    <pivotTable tabId="9" name="total_product_sold"/>
    <pivotTable tabId="9" name="total_profit"/>
    <pivotTable tabId="9" name="total_revenue"/>
  </pivotTables>
  <data>
    <tabular pivotCacheId="378440683">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DD9EFD4-D5AA-41A4-9DFE-5A2DB64B5ADD}" sourceName="Payment_Mode">
  <pivotTables>
    <pivotTable tabId="9" name="revenue_per_region"/>
    <pivotTable tabId="9" name="average_of_profit_margin"/>
    <pivotTable tabId="9" name="revenue_per_category"/>
    <pivotTable tabId="9" name="sales_per_product_category"/>
    <pivotTable tabId="9" name="total_orders_processed"/>
    <pivotTable tabId="9" name="total_product_sold"/>
    <pivotTable tabId="9" name="total_profit"/>
    <pivotTable tabId="9" name="total_revenue"/>
    <pivotTable tabId="9" name="yearly_sales"/>
  </pivotTables>
  <data>
    <tabular pivotCacheId="378440683">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D61C43-0E37-4E69-A8C7-D16F11C5B656}" sourceName="Region">
  <pivotTables>
    <pivotTable tabId="9" name="revenue_per_region"/>
    <pivotTable tabId="9" name="average_of_profit_margin"/>
    <pivotTable tabId="9" name="revenue_per_category"/>
    <pivotTable tabId="9" name="sales_per_product_category"/>
    <pivotTable tabId="9" name="total_orders_processed"/>
    <pivotTable tabId="9" name="total_product_sold"/>
    <pivotTable tabId="9" name="total_profit"/>
    <pivotTable tabId="9" name="total_revenue"/>
    <pivotTable tabId="9" name="yearly_sales"/>
  </pivotTables>
  <data>
    <tabular pivotCacheId="378440683">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Status" xr10:uid="{CD416407-F016-470B-AC0F-FA0D35C036A6}" cache="Slicer_Delivery_Status" caption="Delivery_Status" style="Slicer Style 1" rowHeight="247650"/>
  <slicer name="Product_Category" xr10:uid="{C4136E3D-084D-4FDE-93BC-CA7ACC1D50AD}" cache="Slicer_Product_Category" caption="Product_Category" style="Slicer Style 1" rowHeight="144000"/>
  <slicer name="Payment_Mode" xr10:uid="{D308C4E5-6D85-4493-87EE-88BC88142FF6}" cache="Slicer_Payment_Mode" caption="Payment_Mode" style="Slicer Style 1" rowHeight="144000"/>
  <slicer name="Region" xr10:uid="{1E9FF60F-E352-4D74-AA7D-D4E7A6E28EF1}" cache="Slicer_Region" caption="Region"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CD7F95-EF6A-4B01-B9E8-451DDF4CBDD7}" name="Sales_Data_1" displayName="Sales_Data_1" ref="A1:AA1001" tableType="queryTable" totalsRowShown="0">
  <autoFilter ref="A1:AA1001" xr:uid="{8CCD7F95-EF6A-4B01-B9E8-451DDF4CBDD7}"/>
  <sortState xmlns:xlrd2="http://schemas.microsoft.com/office/spreadsheetml/2017/richdata2" ref="A2:AA1001">
    <sortCondition ref="P3:P1001"/>
  </sortState>
  <tableColumns count="27">
    <tableColumn id="1" xr3:uid="{28BCA995-5896-48FB-893D-CE05868F7F0B}" uniqueName="1" name="OrderID" queryTableFieldId="1" dataDxfId="22"/>
    <tableColumn id="2" xr3:uid="{03061FDE-9114-4182-AA6B-70CFA3773F0D}" uniqueName="2" name="Order_Date" queryTableFieldId="2" dataDxfId="21"/>
    <tableColumn id="3" xr3:uid="{3CD9FD7D-664C-4110-B678-3533E3E351FF}" uniqueName="3" name="Customer_Name" queryTableFieldId="3" dataDxfId="20"/>
    <tableColumn id="4" xr3:uid="{3375C7CD-10BE-4401-897C-06684501111E}" uniqueName="4" name="Region" queryTableFieldId="4" dataDxfId="19"/>
    <tableColumn id="5" xr3:uid="{347067F5-43DC-4F49-955D-31201E338214}" uniqueName="5" name="Country" queryTableFieldId="5" dataDxfId="18"/>
    <tableColumn id="6" xr3:uid="{70022579-772E-4E34-969D-4493FA2B13AD}" uniqueName="6" name="City" queryTableFieldId="6" dataDxfId="17"/>
    <tableColumn id="7" xr3:uid="{A978B880-B6A1-4B6F-95B9-DF674BC1BF2C}" uniqueName="7" name="Product_Category" queryTableFieldId="7" dataDxfId="16"/>
    <tableColumn id="8" xr3:uid="{3CFCF077-6B3E-4682-B479-41272AC4B10B}" uniqueName="8" name="Sub_Category" queryTableFieldId="8" dataDxfId="15"/>
    <tableColumn id="9" xr3:uid="{0E4D0B72-30D2-4768-ACB8-A37778298642}" uniqueName="9" name="Product_Name" queryTableFieldId="9" dataDxfId="14"/>
    <tableColumn id="10" xr3:uid="{BAADEEC2-4CBA-4CDE-8AB2-C7FC64DA88B1}" uniqueName="10" name="Quantity" queryTableFieldId="10"/>
    <tableColumn id="11" xr3:uid="{CD1F9D06-296E-4F1C-8533-0FDAEE4A0455}" uniqueName="11" name="Unit_Price" queryTableFieldId="11"/>
    <tableColumn id="12" xr3:uid="{A20CB86C-8560-4FEC-A552-4A632E15E14E}" uniqueName="12" name="Discount" queryTableFieldId="12"/>
    <tableColumn id="13" xr3:uid="{1339EE38-E5F2-4D59-A470-4CC1FF3C8DFA}" uniqueName="13" name="Discounted_Price" queryTableFieldId="13"/>
    <tableColumn id="14" xr3:uid="{2A37F615-CFF8-4DAB-BA93-6D0680B79066}" uniqueName="14" name="Sales" queryTableFieldId="14"/>
    <tableColumn id="15" xr3:uid="{2F3DDEAE-434C-48A0-B6D1-D9D84E8147B0}" uniqueName="15" name="Profit_Margin" queryTableFieldId="15"/>
    <tableColumn id="16" xr3:uid="{A18DAC8B-72AA-45A1-A23A-624F044DD23A}" uniqueName="16" name="Profit_Amount" queryTableFieldId="16"/>
    <tableColumn id="17" xr3:uid="{0B91242E-63F9-4E04-90AB-2DE959B4CB10}" uniqueName="17" name="Payment_Mode" queryTableFieldId="17" dataDxfId="13"/>
    <tableColumn id="18" xr3:uid="{28FCB44F-203D-4C3D-8958-C3FFA5DEA7D7}" uniqueName="18" name="Delivery_Status" queryTableFieldId="18" dataDxfId="12"/>
    <tableColumn id="19" xr3:uid="{F3B4C88E-CBE4-4793-8F68-8DCD801DAFD0}" uniqueName="19" name="Delivery_Days" queryTableFieldId="19"/>
    <tableColumn id="23" xr3:uid="{6C619702-DD8C-49B3-9DA5-4D5A4471066D}" uniqueName="23" name="Order_Year" queryTableFieldId="23" dataDxfId="11">
      <calculatedColumnFormula>YEAR(Sales_Data_1[[#This Row],[Order_Date]])</calculatedColumnFormula>
    </tableColumn>
    <tableColumn id="24" xr3:uid="{72DA156F-23AD-4C35-B96F-48C47308F51F}" uniqueName="24" name="Order_Month_Name" queryTableFieldId="24" dataDxfId="10">
      <calculatedColumnFormula>TEXT(Sales_Data_1[[#This Row],[Order_Date]], "mmm")</calculatedColumnFormula>
    </tableColumn>
    <tableColumn id="25" xr3:uid="{A4262D8B-20C1-4621-8D98-3170F1464FAD}" uniqueName="25" name="Order_Month_Number" queryTableFieldId="25" dataDxfId="9">
      <calculatedColumnFormula>MONTH(Sales_Data_1[[#This Row],[Order_Date]])</calculatedColumnFormula>
    </tableColumn>
    <tableColumn id="26" xr3:uid="{9B363183-4531-4995-B78E-9077B7F733F2}" uniqueName="26" name="Order_Year_Month" queryTableFieldId="26" dataDxfId="8">
      <calculatedColumnFormula>TEXT(Sales_Data_1[[#This Row],[Order_Date]], "yyyy-mm")</calculatedColumnFormula>
    </tableColumn>
    <tableColumn id="27" xr3:uid="{8D0B2DE6-3EC2-46C9-BF3B-89E57F8D389B}" uniqueName="27" name="Total_Cost" queryTableFieldId="27" dataDxfId="7">
      <calculatedColumnFormula>Sales_Data_1[[#This Row],[Sales]]-Sales_Data_1[[#This Row],[Profit_Amount]]</calculatedColumnFormula>
    </tableColumn>
    <tableColumn id="28" xr3:uid="{BE1B289C-BD32-455B-8FAD-5C0F16BF212C}" uniqueName="28" name="Delivery_Performance" queryTableFieldId="28" dataDxfId="6">
      <calculatedColumnFormula array="1">_xlfn.IFS(Sales_Data_1[[#This Row],[Delivery_Days]]&lt;=3, "Fast", Sales_Data_1[[#This Row],[Delivery_Days]]&lt;= 7, "Standard", TRUE, "Delayed")</calculatedColumnFormula>
    </tableColumn>
    <tableColumn id="29" xr3:uid="{BAA4B59C-B0E9-42C5-9242-B662C3618204}" uniqueName="29" name="Profitability_Status" queryTableFieldId="29" dataDxfId="5">
      <calculatedColumnFormula array="1">_xlfn.IFS(Sales_Data_1[[#This Row],[Profit_Amount]]&gt; 0, "Profitable", Sales_Data_1[[#This Row],[Profit_Amount]] = 0, "Break-Even", TRUE, "Loss")</calculatedColumnFormula>
    </tableColumn>
    <tableColumn id="30" xr3:uid="{B74A8F17-201F-4F39-B876-EDDC530DAEF3}" uniqueName="30" name="Order_Size_Tier" queryTableFieldId="30" dataDxfId="4">
      <calculatedColumnFormula array="1">_xlfn.IFS(Sales_Data_1[[#This Row],[Sales]]&gt;= 1000, "High Value", Sales_Data_1[[#This Row],[Sales]]&gt;= 300, "Mid Value", TRUE, "Low Value")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52AE4C-9839-4B95-8C81-ABE75DB44FB8}" name="Table1" displayName="Table1" ref="A1:AA605" totalsRowShown="0">
  <autoFilter ref="A1:AA605" xr:uid="{C052AE4C-9839-4B95-8C81-ABE75DB44FB8}"/>
  <tableColumns count="27">
    <tableColumn id="1" xr3:uid="{ED00DAD4-9D90-4D5E-B468-B3A9E52B4FE4}" name="OrderID"/>
    <tableColumn id="2" xr3:uid="{020D14EE-AE47-4A21-A12A-EC49A942E5AF}" name="Order_Date" dataDxfId="3"/>
    <tableColumn id="3" xr3:uid="{311A794F-4049-44BC-A3A1-BFC196FE7D95}" name="Customer_Name"/>
    <tableColumn id="4" xr3:uid="{4E066CC0-CD49-468C-9AF6-2951984E3B89}" name="Region"/>
    <tableColumn id="5" xr3:uid="{C3C5A189-DE1A-4A2F-BACD-D77C374F2791}" name="Country"/>
    <tableColumn id="6" xr3:uid="{E8ECADB8-784E-42FB-8DE2-5DC7C8A4A3F3}" name="City"/>
    <tableColumn id="7" xr3:uid="{DBE9C20D-2E3C-4DAA-9012-B27E978638BA}" name="Product_Category"/>
    <tableColumn id="8" xr3:uid="{34E3443E-9274-4C5C-84DA-41B9C3C72079}" name="Sub_Category"/>
    <tableColumn id="9" xr3:uid="{C22467F2-412A-410C-8AC6-5DF340FC1755}" name="Product_Name"/>
    <tableColumn id="10" xr3:uid="{E553FA90-5833-4A9F-BD81-DCC676D48CD5}" name="Quantity"/>
    <tableColumn id="11" xr3:uid="{E4FA9A1F-B6CA-4CE1-AE2E-E3A1861CEE7D}" name="Unit_Price"/>
    <tableColumn id="12" xr3:uid="{AEB24FAB-A245-4FBA-8D31-666E892550B3}" name="Discount"/>
    <tableColumn id="13" xr3:uid="{7188E9D8-118D-4D71-8F8B-A48C7C3725DB}" name="Discounted_Price"/>
    <tableColumn id="14" xr3:uid="{C5FC2E5D-C364-4924-BE6B-15CB5800A58F}" name="Sales"/>
    <tableColumn id="15" xr3:uid="{B0F73814-72DC-4CDC-BDE1-55EEF676D082}" name="Profit_Margin"/>
    <tableColumn id="16" xr3:uid="{B4C92CBF-B461-4E7E-A7E9-6EA4E0875361}" name="Profit_Amount"/>
    <tableColumn id="17" xr3:uid="{06160326-F16E-4FFB-8A9D-F041806BDBFA}" name="Payment_Mode"/>
    <tableColumn id="18" xr3:uid="{4D2B19D3-F724-4629-9484-A1A2CBD541B2}" name="Delivery_Status"/>
    <tableColumn id="19" xr3:uid="{23DC3FDA-6313-4325-AB29-D81B2FF6EF07}" name="Delivery_Days"/>
    <tableColumn id="20" xr3:uid="{D1839071-5526-4647-BB9C-D4FA7BEE4AC3}" name="Order_Year"/>
    <tableColumn id="21" xr3:uid="{62635D32-F91A-4B3A-BD50-340FC5D8405A}" name="Order_Month_Name"/>
    <tableColumn id="22" xr3:uid="{A27ABED8-8B98-4E34-8E98-CFF5DB25100C}" name="Order_Month_Number"/>
    <tableColumn id="23" xr3:uid="{3BD7ACF5-8344-4392-94A5-28EAFB5D6F6F}" name="Order_Year_Month"/>
    <tableColumn id="24" xr3:uid="{D4FD027B-6C36-45C8-97FD-DDF3D8585783}" name="Total_Cost"/>
    <tableColumn id="25" xr3:uid="{D1679D8E-7B03-4941-A76A-2BDE93CDF03F}" name="Delivery_Performance"/>
    <tableColumn id="26" xr3:uid="{7981F0E5-96B9-4139-8644-E564E2ECE701}" name="Profitability_Status"/>
    <tableColumn id="27" xr3:uid="{46D7E816-1CF6-47D8-9053-DDE032FC5782}" name="Order_Size_T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4FBCCC7-DDB5-48F4-8363-1345C12A5787}" sourceName="Order_Date">
  <pivotTables>
    <pivotTable tabId="9" name="revenue_per_category"/>
    <pivotTable tabId="9" name="average_of_profit_margin"/>
    <pivotTable tabId="9" name="revenue_per_region"/>
    <pivotTable tabId="9" name="sales_per_product_category"/>
    <pivotTable tabId="9" name="total_orders_processed"/>
    <pivotTable tabId="9" name="total_product_sold"/>
    <pivotTable tabId="9" name="total_profit"/>
    <pivotTable tabId="9" name="total_revenue"/>
    <pivotTable tabId="9" name="yearly_sales"/>
  </pivotTables>
  <state minimalRefreshVersion="6" lastRefreshVersion="6" pivotCacheId="37844068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B265DA7-C824-491D-84C1-8D8D9FE9CA85}" cache="NativeTimeline_Order_Date" caption="Order_Date" showHorizontalScrollbar="0" level="0" selectionLevel="0"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2CB4-D305-431F-91C0-B1F5E9A295B0}">
  <dimension ref="A1:S1001"/>
  <sheetViews>
    <sheetView workbookViewId="0">
      <selection activeCell="D11" sqref="D11"/>
    </sheetView>
  </sheetViews>
  <sheetFormatPr defaultRowHeight="14.4" x14ac:dyDescent="0.3"/>
  <cols>
    <col min="1" max="1" width="12" bestFit="1" customWidth="1"/>
    <col min="2" max="2" width="15.33203125" bestFit="1" customWidth="1"/>
    <col min="3" max="3" width="19.44140625" bestFit="1" customWidth="1"/>
    <col min="4" max="5" width="11" bestFit="1" customWidth="1"/>
    <col min="6" max="6" width="11.21875" customWidth="1"/>
    <col min="7" max="7" width="20.21875" bestFit="1" customWidth="1"/>
    <col min="8" max="8" width="16.77734375" bestFit="1" customWidth="1"/>
    <col min="9" max="9" width="17.88671875" bestFit="1" customWidth="1"/>
    <col min="10" max="10" width="12.5546875" bestFit="1" customWidth="1"/>
    <col min="11" max="11" width="14" bestFit="1" customWidth="1"/>
    <col min="12" max="12" width="12.77734375" bestFit="1" customWidth="1"/>
    <col min="13" max="13" width="20.109375" bestFit="1" customWidth="1"/>
    <col min="14" max="14" width="12" bestFit="1" customWidth="1"/>
    <col min="15" max="15" width="16.33203125" bestFit="1" customWidth="1"/>
    <col min="16" max="16" width="17.21875" bestFit="1" customWidth="1"/>
    <col min="17" max="17" width="18.21875" bestFit="1" customWidth="1"/>
    <col min="18" max="18" width="18.44140625" bestFit="1" customWidth="1"/>
    <col min="19" max="19" width="17"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v>44927</v>
      </c>
      <c r="C2" t="s">
        <v>20</v>
      </c>
      <c r="D2" t="s">
        <v>21</v>
      </c>
      <c r="E2" t="s">
        <v>22</v>
      </c>
      <c r="F2" t="s">
        <v>23</v>
      </c>
      <c r="G2" t="s">
        <v>24</v>
      </c>
      <c r="H2" t="s">
        <v>25</v>
      </c>
      <c r="I2" t="s">
        <v>26</v>
      </c>
      <c r="J2">
        <v>8</v>
      </c>
      <c r="K2">
        <v>10078</v>
      </c>
      <c r="L2">
        <v>0.18</v>
      </c>
      <c r="M2">
        <f>'Raw data'!$K2*(1- 'Raw data'!$L2)</f>
        <v>8263.9600000000009</v>
      </c>
      <c r="N2">
        <v>66111.679999999993</v>
      </c>
      <c r="O2">
        <v>0.25</v>
      </c>
      <c r="P2">
        <v>16527.919999999998</v>
      </c>
      <c r="Q2" t="s">
        <v>27</v>
      </c>
      <c r="R2" t="s">
        <v>28</v>
      </c>
      <c r="S2">
        <v>9</v>
      </c>
    </row>
    <row r="3" spans="1:19" x14ac:dyDescent="0.3">
      <c r="A3" t="s">
        <v>29</v>
      </c>
      <c r="B3">
        <v>44928</v>
      </c>
      <c r="C3" t="s">
        <v>30</v>
      </c>
      <c r="D3" t="s">
        <v>31</v>
      </c>
      <c r="E3" t="s">
        <v>32</v>
      </c>
      <c r="F3" t="s">
        <v>33</v>
      </c>
      <c r="G3" t="s">
        <v>34</v>
      </c>
      <c r="H3" t="s">
        <v>35</v>
      </c>
      <c r="I3" t="s">
        <v>36</v>
      </c>
      <c r="J3">
        <v>2</v>
      </c>
      <c r="K3">
        <v>627</v>
      </c>
      <c r="L3">
        <v>0.18</v>
      </c>
      <c r="M3">
        <f>'Raw data'!$K3*(1- 'Raw data'!$L3)</f>
        <v>514.14</v>
      </c>
      <c r="N3">
        <v>1028.28</v>
      </c>
      <c r="O3">
        <v>0.4</v>
      </c>
      <c r="P3">
        <v>411.31</v>
      </c>
      <c r="Q3" t="s">
        <v>37</v>
      </c>
      <c r="R3" t="s">
        <v>38</v>
      </c>
      <c r="S3">
        <v>5</v>
      </c>
    </row>
    <row r="4" spans="1:19" x14ac:dyDescent="0.3">
      <c r="A4" t="s">
        <v>39</v>
      </c>
      <c r="B4">
        <v>44929</v>
      </c>
      <c r="C4" t="s">
        <v>40</v>
      </c>
      <c r="D4" t="s">
        <v>41</v>
      </c>
      <c r="E4" t="s">
        <v>42</v>
      </c>
      <c r="F4" t="s">
        <v>43</v>
      </c>
      <c r="G4" t="s">
        <v>44</v>
      </c>
      <c r="H4" t="s">
        <v>45</v>
      </c>
      <c r="I4" t="s">
        <v>46</v>
      </c>
      <c r="J4">
        <v>4</v>
      </c>
      <c r="K4">
        <v>2395</v>
      </c>
      <c r="L4">
        <v>0.14000000000000001</v>
      </c>
      <c r="M4">
        <f>'Raw data'!$K4*(1- 'Raw data'!$L4)</f>
        <v>2059.6999999999998</v>
      </c>
      <c r="N4">
        <v>8238.7999999999993</v>
      </c>
      <c r="O4">
        <v>0.35</v>
      </c>
      <c r="P4">
        <v>2883.58</v>
      </c>
      <c r="Q4" t="s">
        <v>47</v>
      </c>
      <c r="R4" t="s">
        <v>48</v>
      </c>
      <c r="S4">
        <v>6</v>
      </c>
    </row>
    <row r="5" spans="1:19" x14ac:dyDescent="0.3">
      <c r="A5" t="s">
        <v>49</v>
      </c>
      <c r="B5">
        <v>44930</v>
      </c>
      <c r="C5" t="s">
        <v>20</v>
      </c>
      <c r="D5" t="s">
        <v>41</v>
      </c>
      <c r="E5" t="s">
        <v>22</v>
      </c>
      <c r="F5" t="s">
        <v>43</v>
      </c>
      <c r="G5" t="s">
        <v>34</v>
      </c>
      <c r="H5" t="s">
        <v>35</v>
      </c>
      <c r="I5" t="s">
        <v>50</v>
      </c>
      <c r="J5">
        <v>6</v>
      </c>
      <c r="K5">
        <v>516</v>
      </c>
      <c r="L5">
        <v>0.24</v>
      </c>
      <c r="M5">
        <f>'Raw data'!$K5*(1- 'Raw data'!$L5)</f>
        <v>392.16</v>
      </c>
      <c r="N5">
        <v>2352.96</v>
      </c>
      <c r="O5">
        <v>0.4</v>
      </c>
      <c r="P5">
        <v>941.18</v>
      </c>
      <c r="Q5" t="s">
        <v>51</v>
      </c>
      <c r="R5" t="s">
        <v>38</v>
      </c>
      <c r="S5">
        <v>9</v>
      </c>
    </row>
    <row r="6" spans="1:19" x14ac:dyDescent="0.3">
      <c r="A6" t="s">
        <v>52</v>
      </c>
      <c r="B6">
        <v>44931</v>
      </c>
      <c r="C6" t="s">
        <v>20</v>
      </c>
      <c r="D6" t="s">
        <v>21</v>
      </c>
      <c r="E6" t="s">
        <v>32</v>
      </c>
      <c r="F6" t="s">
        <v>23</v>
      </c>
      <c r="G6" t="s">
        <v>34</v>
      </c>
      <c r="H6" t="s">
        <v>35</v>
      </c>
      <c r="I6" t="s">
        <v>53</v>
      </c>
      <c r="J6">
        <v>2</v>
      </c>
      <c r="K6">
        <v>834</v>
      </c>
      <c r="L6">
        <v>0.12</v>
      </c>
      <c r="M6">
        <f>'Raw data'!$K6*(1- 'Raw data'!$L6)</f>
        <v>733.92</v>
      </c>
      <c r="N6">
        <v>1467.84</v>
      </c>
      <c r="O6">
        <v>0.4</v>
      </c>
      <c r="P6">
        <v>587.14</v>
      </c>
      <c r="Q6" t="s">
        <v>37</v>
      </c>
      <c r="R6" t="s">
        <v>48</v>
      </c>
      <c r="S6">
        <v>9</v>
      </c>
    </row>
    <row r="7" spans="1:19" x14ac:dyDescent="0.3">
      <c r="A7" t="s">
        <v>54</v>
      </c>
      <c r="B7">
        <v>44932</v>
      </c>
      <c r="C7" t="s">
        <v>55</v>
      </c>
      <c r="D7" t="s">
        <v>56</v>
      </c>
      <c r="E7" t="s">
        <v>42</v>
      </c>
      <c r="F7" t="s">
        <v>33</v>
      </c>
      <c r="G7" t="s">
        <v>57</v>
      </c>
      <c r="H7" t="s">
        <v>58</v>
      </c>
      <c r="I7" t="s">
        <v>59</v>
      </c>
      <c r="J7">
        <v>7</v>
      </c>
      <c r="K7">
        <v>3925</v>
      </c>
      <c r="L7">
        <v>0.1</v>
      </c>
      <c r="M7">
        <f>'Raw data'!$K7*(1- 'Raw data'!$L7)</f>
        <v>3532.5</v>
      </c>
      <c r="N7">
        <v>24727.5</v>
      </c>
      <c r="O7">
        <v>0.2</v>
      </c>
      <c r="P7">
        <v>4945.5</v>
      </c>
      <c r="Q7" t="s">
        <v>27</v>
      </c>
      <c r="R7" t="s">
        <v>48</v>
      </c>
      <c r="S7">
        <v>8</v>
      </c>
    </row>
    <row r="8" spans="1:19" x14ac:dyDescent="0.3">
      <c r="A8" t="s">
        <v>60</v>
      </c>
      <c r="B8">
        <v>44933</v>
      </c>
      <c r="C8" t="s">
        <v>20</v>
      </c>
      <c r="D8" t="s">
        <v>21</v>
      </c>
      <c r="E8" t="s">
        <v>42</v>
      </c>
      <c r="F8" t="s">
        <v>23</v>
      </c>
      <c r="G8" t="s">
        <v>44</v>
      </c>
      <c r="H8" t="s">
        <v>45</v>
      </c>
      <c r="I8" t="s">
        <v>61</v>
      </c>
      <c r="J8">
        <v>3</v>
      </c>
      <c r="K8">
        <v>2556</v>
      </c>
      <c r="L8">
        <v>0.04</v>
      </c>
      <c r="M8">
        <f>'Raw data'!$K8*(1- 'Raw data'!$L8)</f>
        <v>2453.7599999999998</v>
      </c>
      <c r="N8">
        <v>7361.28</v>
      </c>
      <c r="O8">
        <v>0.35</v>
      </c>
      <c r="P8">
        <v>2576.4499999999998</v>
      </c>
      <c r="Q8" t="s">
        <v>37</v>
      </c>
      <c r="R8" t="s">
        <v>48</v>
      </c>
      <c r="S8">
        <v>9</v>
      </c>
    </row>
    <row r="9" spans="1:19" x14ac:dyDescent="0.3">
      <c r="A9" t="s">
        <v>62</v>
      </c>
      <c r="B9">
        <v>44934</v>
      </c>
      <c r="C9" t="s">
        <v>63</v>
      </c>
      <c r="D9" t="s">
        <v>41</v>
      </c>
      <c r="E9" t="s">
        <v>22</v>
      </c>
      <c r="F9" t="s">
        <v>33</v>
      </c>
      <c r="G9" t="s">
        <v>44</v>
      </c>
      <c r="H9" t="s">
        <v>64</v>
      </c>
      <c r="I9" t="s">
        <v>65</v>
      </c>
      <c r="J9">
        <v>3</v>
      </c>
      <c r="K9">
        <v>3644</v>
      </c>
      <c r="L9">
        <v>0.2</v>
      </c>
      <c r="M9">
        <f>'Raw data'!$K9*(1- 'Raw data'!$L9)</f>
        <v>2915.2000000000003</v>
      </c>
      <c r="N9">
        <v>8745.6</v>
      </c>
      <c r="O9">
        <v>0.35</v>
      </c>
      <c r="P9">
        <v>3060.96</v>
      </c>
      <c r="Q9" t="s">
        <v>27</v>
      </c>
      <c r="R9" t="s">
        <v>38</v>
      </c>
      <c r="S9">
        <v>4</v>
      </c>
    </row>
    <row r="10" spans="1:19" x14ac:dyDescent="0.3">
      <c r="A10" t="s">
        <v>66</v>
      </c>
      <c r="B10">
        <v>44935</v>
      </c>
      <c r="C10" t="s">
        <v>40</v>
      </c>
      <c r="D10" t="s">
        <v>21</v>
      </c>
      <c r="E10" t="s">
        <v>67</v>
      </c>
      <c r="F10" t="s">
        <v>68</v>
      </c>
      <c r="G10" t="s">
        <v>44</v>
      </c>
      <c r="H10" t="s">
        <v>45</v>
      </c>
      <c r="I10" t="s">
        <v>69</v>
      </c>
      <c r="J10">
        <v>2</v>
      </c>
      <c r="K10">
        <v>2770</v>
      </c>
      <c r="L10">
        <v>0.18</v>
      </c>
      <c r="M10">
        <f>'Raw data'!$K10*(1- 'Raw data'!$L10)</f>
        <v>2271.4</v>
      </c>
      <c r="N10">
        <v>4542.8</v>
      </c>
      <c r="O10">
        <v>0.35</v>
      </c>
      <c r="P10">
        <v>1589.98</v>
      </c>
      <c r="Q10" t="s">
        <v>47</v>
      </c>
      <c r="R10" t="s">
        <v>48</v>
      </c>
      <c r="S10">
        <v>6</v>
      </c>
    </row>
    <row r="11" spans="1:19" x14ac:dyDescent="0.3">
      <c r="A11" t="s">
        <v>70</v>
      </c>
      <c r="B11">
        <v>44936</v>
      </c>
      <c r="C11" t="s">
        <v>40</v>
      </c>
      <c r="D11" t="s">
        <v>31</v>
      </c>
      <c r="E11" t="s">
        <v>67</v>
      </c>
      <c r="F11" t="s">
        <v>23</v>
      </c>
      <c r="G11" t="s">
        <v>34</v>
      </c>
      <c r="H11" t="s">
        <v>71</v>
      </c>
      <c r="I11" t="s">
        <v>72</v>
      </c>
      <c r="J11">
        <v>8</v>
      </c>
      <c r="K11">
        <v>752</v>
      </c>
      <c r="L11">
        <v>0.1</v>
      </c>
      <c r="M11">
        <f>'Raw data'!$K11*(1- 'Raw data'!$L11)</f>
        <v>676.80000000000007</v>
      </c>
      <c r="N11">
        <v>5414.4</v>
      </c>
      <c r="O11">
        <v>0.4</v>
      </c>
      <c r="P11">
        <v>2165.7600000000002</v>
      </c>
      <c r="Q11" t="s">
        <v>37</v>
      </c>
      <c r="R11" t="s">
        <v>48</v>
      </c>
      <c r="S11">
        <v>5</v>
      </c>
    </row>
    <row r="12" spans="1:19" x14ac:dyDescent="0.3">
      <c r="A12" t="s">
        <v>73</v>
      </c>
      <c r="B12">
        <v>44937</v>
      </c>
      <c r="C12" t="s">
        <v>30</v>
      </c>
      <c r="D12" t="s">
        <v>56</v>
      </c>
      <c r="E12" t="s">
        <v>22</v>
      </c>
      <c r="F12" t="s">
        <v>33</v>
      </c>
      <c r="G12" t="s">
        <v>24</v>
      </c>
      <c r="H12" t="s">
        <v>74</v>
      </c>
      <c r="I12" t="s">
        <v>75</v>
      </c>
      <c r="J12">
        <v>6</v>
      </c>
      <c r="K12">
        <v>9907</v>
      </c>
      <c r="L12">
        <v>0.01</v>
      </c>
      <c r="M12">
        <f>'Raw data'!$K12*(1- 'Raw data'!$L12)</f>
        <v>9807.93</v>
      </c>
      <c r="N12">
        <v>58847.58</v>
      </c>
      <c r="O12">
        <v>0.25</v>
      </c>
      <c r="P12">
        <v>14711.9</v>
      </c>
      <c r="Q12" t="s">
        <v>47</v>
      </c>
      <c r="R12" t="s">
        <v>48</v>
      </c>
      <c r="S12">
        <v>5</v>
      </c>
    </row>
    <row r="13" spans="1:19" x14ac:dyDescent="0.3">
      <c r="A13" t="s">
        <v>76</v>
      </c>
      <c r="B13">
        <v>44938</v>
      </c>
      <c r="C13" t="s">
        <v>30</v>
      </c>
      <c r="D13" t="s">
        <v>21</v>
      </c>
      <c r="E13" t="s">
        <v>42</v>
      </c>
      <c r="F13" t="s">
        <v>43</v>
      </c>
      <c r="G13" t="s">
        <v>44</v>
      </c>
      <c r="H13" t="s">
        <v>64</v>
      </c>
      <c r="I13" t="s">
        <v>77</v>
      </c>
      <c r="J13">
        <v>1</v>
      </c>
      <c r="K13">
        <v>4411</v>
      </c>
      <c r="L13">
        <v>0.21</v>
      </c>
      <c r="M13">
        <f>'Raw data'!$K13*(1- 'Raw data'!$L13)</f>
        <v>3484.69</v>
      </c>
      <c r="N13">
        <v>3484.69</v>
      </c>
      <c r="O13">
        <v>0.35</v>
      </c>
      <c r="P13">
        <v>1219.6400000000001</v>
      </c>
      <c r="Q13" t="s">
        <v>51</v>
      </c>
      <c r="R13" t="s">
        <v>48</v>
      </c>
      <c r="S13">
        <v>4</v>
      </c>
    </row>
    <row r="14" spans="1:19" x14ac:dyDescent="0.3">
      <c r="A14" t="s">
        <v>78</v>
      </c>
      <c r="B14">
        <v>44939</v>
      </c>
      <c r="C14" t="s">
        <v>30</v>
      </c>
      <c r="D14" t="s">
        <v>31</v>
      </c>
      <c r="E14" t="s">
        <v>22</v>
      </c>
      <c r="F14" t="s">
        <v>33</v>
      </c>
      <c r="G14" t="s">
        <v>34</v>
      </c>
      <c r="H14" t="s">
        <v>35</v>
      </c>
      <c r="I14" t="s">
        <v>79</v>
      </c>
      <c r="J14">
        <v>1</v>
      </c>
      <c r="K14">
        <v>1307</v>
      </c>
      <c r="L14">
        <v>0</v>
      </c>
      <c r="M14">
        <f>'Raw data'!$K14*(1- 'Raw data'!$L14)</f>
        <v>1307</v>
      </c>
      <c r="N14">
        <v>1307</v>
      </c>
      <c r="O14">
        <v>0.4</v>
      </c>
      <c r="P14">
        <v>522.79999999999995</v>
      </c>
      <c r="Q14" t="s">
        <v>27</v>
      </c>
      <c r="R14" t="s">
        <v>48</v>
      </c>
      <c r="S14">
        <v>2</v>
      </c>
    </row>
    <row r="15" spans="1:19" x14ac:dyDescent="0.3">
      <c r="A15" t="s">
        <v>80</v>
      </c>
      <c r="B15">
        <v>44940</v>
      </c>
      <c r="C15" t="s">
        <v>63</v>
      </c>
      <c r="D15" t="s">
        <v>41</v>
      </c>
      <c r="E15" t="s">
        <v>32</v>
      </c>
      <c r="F15" t="s">
        <v>33</v>
      </c>
      <c r="G15" t="s">
        <v>57</v>
      </c>
      <c r="H15" t="s">
        <v>81</v>
      </c>
      <c r="I15" t="s">
        <v>82</v>
      </c>
      <c r="J15">
        <v>7</v>
      </c>
      <c r="K15">
        <v>15629</v>
      </c>
      <c r="L15">
        <v>0.18</v>
      </c>
      <c r="M15">
        <f>'Raw data'!$K15*(1- 'Raw data'!$L15)</f>
        <v>12815.78</v>
      </c>
      <c r="N15">
        <v>89710.46</v>
      </c>
      <c r="O15">
        <v>0.2</v>
      </c>
      <c r="P15">
        <v>17942.09</v>
      </c>
      <c r="Q15" t="s">
        <v>27</v>
      </c>
      <c r="R15" t="s">
        <v>38</v>
      </c>
      <c r="S15">
        <v>6</v>
      </c>
    </row>
    <row r="16" spans="1:19" x14ac:dyDescent="0.3">
      <c r="A16" t="s">
        <v>83</v>
      </c>
      <c r="B16">
        <v>44941</v>
      </c>
      <c r="C16" t="s">
        <v>20</v>
      </c>
      <c r="D16" t="s">
        <v>21</v>
      </c>
      <c r="E16" t="s">
        <v>67</v>
      </c>
      <c r="F16" t="s">
        <v>23</v>
      </c>
      <c r="G16" t="s">
        <v>24</v>
      </c>
      <c r="H16" t="s">
        <v>74</v>
      </c>
      <c r="I16" t="s">
        <v>84</v>
      </c>
      <c r="J16">
        <v>8</v>
      </c>
      <c r="K16">
        <v>13398</v>
      </c>
      <c r="L16">
        <v>0.24</v>
      </c>
      <c r="M16">
        <f>'Raw data'!$K16*(1- 'Raw data'!$L16)</f>
        <v>10182.48</v>
      </c>
      <c r="N16">
        <v>81459.839999999997</v>
      </c>
      <c r="O16">
        <v>0.25</v>
      </c>
      <c r="P16">
        <v>20364.96</v>
      </c>
      <c r="Q16" t="s">
        <v>47</v>
      </c>
      <c r="R16" t="s">
        <v>48</v>
      </c>
      <c r="S16">
        <v>9</v>
      </c>
    </row>
    <row r="17" spans="1:19" x14ac:dyDescent="0.3">
      <c r="A17" t="s">
        <v>85</v>
      </c>
      <c r="B17">
        <v>44942</v>
      </c>
      <c r="C17" t="s">
        <v>20</v>
      </c>
      <c r="D17" t="s">
        <v>41</v>
      </c>
      <c r="E17" t="s">
        <v>32</v>
      </c>
      <c r="F17" t="s">
        <v>68</v>
      </c>
      <c r="G17" t="s">
        <v>57</v>
      </c>
      <c r="H17" t="s">
        <v>58</v>
      </c>
      <c r="I17" t="s">
        <v>86</v>
      </c>
      <c r="J17">
        <v>5</v>
      </c>
      <c r="K17">
        <v>4430</v>
      </c>
      <c r="L17">
        <v>0.11</v>
      </c>
      <c r="M17">
        <f>'Raw data'!$K17*(1- 'Raw data'!$L17)</f>
        <v>3942.7000000000003</v>
      </c>
      <c r="N17">
        <v>19713.5</v>
      </c>
      <c r="O17">
        <v>0.2</v>
      </c>
      <c r="P17">
        <v>3942.7</v>
      </c>
      <c r="Q17" t="s">
        <v>47</v>
      </c>
      <c r="R17" t="s">
        <v>48</v>
      </c>
      <c r="S17">
        <v>1</v>
      </c>
    </row>
    <row r="18" spans="1:19" x14ac:dyDescent="0.3">
      <c r="A18" t="s">
        <v>87</v>
      </c>
      <c r="B18">
        <v>44943</v>
      </c>
      <c r="C18" t="s">
        <v>55</v>
      </c>
      <c r="D18" t="s">
        <v>31</v>
      </c>
      <c r="E18" t="s">
        <v>22</v>
      </c>
      <c r="F18" t="s">
        <v>68</v>
      </c>
      <c r="G18" t="s">
        <v>24</v>
      </c>
      <c r="H18" t="s">
        <v>74</v>
      </c>
      <c r="I18" t="s">
        <v>88</v>
      </c>
      <c r="J18">
        <v>5</v>
      </c>
      <c r="K18">
        <v>11246</v>
      </c>
      <c r="L18">
        <v>0.06</v>
      </c>
      <c r="M18">
        <f>'Raw data'!$K18*(1- 'Raw data'!$L18)</f>
        <v>10571.24</v>
      </c>
      <c r="N18">
        <v>52856.2</v>
      </c>
      <c r="O18">
        <v>0.25</v>
      </c>
      <c r="P18">
        <v>13214.05</v>
      </c>
      <c r="Q18" t="s">
        <v>51</v>
      </c>
      <c r="R18" t="s">
        <v>48</v>
      </c>
      <c r="S18">
        <v>7</v>
      </c>
    </row>
    <row r="19" spans="1:19" x14ac:dyDescent="0.3">
      <c r="A19" t="s">
        <v>89</v>
      </c>
      <c r="B19">
        <v>44944</v>
      </c>
      <c r="C19" t="s">
        <v>63</v>
      </c>
      <c r="D19" t="s">
        <v>41</v>
      </c>
      <c r="E19" t="s">
        <v>22</v>
      </c>
      <c r="F19" t="s">
        <v>68</v>
      </c>
      <c r="G19" t="s">
        <v>34</v>
      </c>
      <c r="H19" t="s">
        <v>71</v>
      </c>
      <c r="I19" t="s">
        <v>90</v>
      </c>
      <c r="J19">
        <v>4</v>
      </c>
      <c r="K19">
        <v>658</v>
      </c>
      <c r="L19">
        <v>0.18</v>
      </c>
      <c r="M19">
        <f>'Raw data'!$K19*(1- 'Raw data'!$L19)</f>
        <v>539.56000000000006</v>
      </c>
      <c r="N19">
        <v>2158.2399999999998</v>
      </c>
      <c r="O19">
        <v>0.4</v>
      </c>
      <c r="P19">
        <v>863.3</v>
      </c>
      <c r="Q19" t="s">
        <v>37</v>
      </c>
      <c r="R19" t="s">
        <v>48</v>
      </c>
      <c r="S19">
        <v>6</v>
      </c>
    </row>
    <row r="20" spans="1:19" x14ac:dyDescent="0.3">
      <c r="A20" t="s">
        <v>91</v>
      </c>
      <c r="B20">
        <v>44945</v>
      </c>
      <c r="C20" t="s">
        <v>30</v>
      </c>
      <c r="D20" t="s">
        <v>31</v>
      </c>
      <c r="E20" t="s">
        <v>42</v>
      </c>
      <c r="F20" t="s">
        <v>68</v>
      </c>
      <c r="G20" t="s">
        <v>92</v>
      </c>
      <c r="H20" t="s">
        <v>93</v>
      </c>
      <c r="I20" t="s">
        <v>94</v>
      </c>
      <c r="J20">
        <v>6</v>
      </c>
      <c r="K20">
        <v>56163</v>
      </c>
      <c r="L20">
        <v>0.2</v>
      </c>
      <c r="M20">
        <f>'Raw data'!$K20*(1- 'Raw data'!$L20)</f>
        <v>44930.400000000001</v>
      </c>
      <c r="N20">
        <v>269582.40000000002</v>
      </c>
      <c r="O20">
        <v>0.15</v>
      </c>
      <c r="P20">
        <v>40437.360000000001</v>
      </c>
      <c r="Q20" t="s">
        <v>27</v>
      </c>
      <c r="R20" t="s">
        <v>48</v>
      </c>
      <c r="S20">
        <v>3</v>
      </c>
    </row>
    <row r="21" spans="1:19" x14ac:dyDescent="0.3">
      <c r="A21" t="s">
        <v>95</v>
      </c>
      <c r="B21">
        <v>44946</v>
      </c>
      <c r="C21" t="s">
        <v>96</v>
      </c>
      <c r="D21" t="s">
        <v>31</v>
      </c>
      <c r="E21" t="s">
        <v>42</v>
      </c>
      <c r="F21" t="s">
        <v>97</v>
      </c>
      <c r="G21" t="s">
        <v>24</v>
      </c>
      <c r="H21" t="s">
        <v>74</v>
      </c>
      <c r="I21" t="s">
        <v>98</v>
      </c>
      <c r="J21">
        <v>6</v>
      </c>
      <c r="K21">
        <v>1207</v>
      </c>
      <c r="L21">
        <v>0.14000000000000001</v>
      </c>
      <c r="M21">
        <f>'Raw data'!$K21*(1- 'Raw data'!$L21)</f>
        <v>1038.02</v>
      </c>
      <c r="N21">
        <v>6228.12</v>
      </c>
      <c r="O21">
        <v>0.25</v>
      </c>
      <c r="P21">
        <v>1557.03</v>
      </c>
      <c r="Q21" t="s">
        <v>27</v>
      </c>
      <c r="R21" t="s">
        <v>48</v>
      </c>
      <c r="S21">
        <v>1</v>
      </c>
    </row>
    <row r="22" spans="1:19" x14ac:dyDescent="0.3">
      <c r="A22" t="s">
        <v>99</v>
      </c>
      <c r="B22">
        <v>44947</v>
      </c>
      <c r="C22" t="s">
        <v>55</v>
      </c>
      <c r="D22" t="s">
        <v>31</v>
      </c>
      <c r="E22" t="s">
        <v>42</v>
      </c>
      <c r="F22" t="s">
        <v>23</v>
      </c>
      <c r="G22" t="s">
        <v>57</v>
      </c>
      <c r="H22" t="s">
        <v>100</v>
      </c>
      <c r="I22" t="s">
        <v>101</v>
      </c>
      <c r="J22">
        <v>3</v>
      </c>
      <c r="K22">
        <v>2899</v>
      </c>
      <c r="L22">
        <v>0.24</v>
      </c>
      <c r="M22">
        <f>'Raw data'!$K22*(1- 'Raw data'!$L22)</f>
        <v>2203.2400000000002</v>
      </c>
      <c r="N22">
        <v>6609.72</v>
      </c>
      <c r="O22">
        <v>0.2</v>
      </c>
      <c r="P22">
        <v>1321.94</v>
      </c>
      <c r="Q22" t="s">
        <v>51</v>
      </c>
      <c r="R22" t="s">
        <v>48</v>
      </c>
      <c r="S22">
        <v>4</v>
      </c>
    </row>
    <row r="23" spans="1:19" x14ac:dyDescent="0.3">
      <c r="A23" t="s">
        <v>102</v>
      </c>
      <c r="B23">
        <v>44948</v>
      </c>
      <c r="C23" t="s">
        <v>96</v>
      </c>
      <c r="D23" t="s">
        <v>21</v>
      </c>
      <c r="E23" t="s">
        <v>32</v>
      </c>
      <c r="F23" t="s">
        <v>103</v>
      </c>
      <c r="G23" t="s">
        <v>34</v>
      </c>
      <c r="H23" t="s">
        <v>104</v>
      </c>
      <c r="I23" t="s">
        <v>105</v>
      </c>
      <c r="J23">
        <v>9</v>
      </c>
      <c r="K23">
        <v>221</v>
      </c>
      <c r="L23">
        <v>0.01</v>
      </c>
      <c r="M23">
        <f>'Raw data'!$K23*(1- 'Raw data'!$L23)</f>
        <v>218.79</v>
      </c>
      <c r="N23">
        <v>1969.11</v>
      </c>
      <c r="O23">
        <v>0.4</v>
      </c>
      <c r="P23">
        <v>787.64</v>
      </c>
      <c r="Q23" t="s">
        <v>51</v>
      </c>
      <c r="R23" t="s">
        <v>48</v>
      </c>
      <c r="S23">
        <v>9</v>
      </c>
    </row>
    <row r="24" spans="1:19" x14ac:dyDescent="0.3">
      <c r="A24" t="s">
        <v>106</v>
      </c>
      <c r="B24">
        <v>44949</v>
      </c>
      <c r="C24" t="s">
        <v>20</v>
      </c>
      <c r="D24" t="s">
        <v>41</v>
      </c>
      <c r="E24" t="s">
        <v>42</v>
      </c>
      <c r="F24" t="s">
        <v>23</v>
      </c>
      <c r="G24" t="s">
        <v>24</v>
      </c>
      <c r="H24" t="s">
        <v>74</v>
      </c>
      <c r="I24" t="s">
        <v>107</v>
      </c>
      <c r="J24">
        <v>7</v>
      </c>
      <c r="K24">
        <v>9601</v>
      </c>
      <c r="L24">
        <v>0.13</v>
      </c>
      <c r="M24">
        <f>'Raw data'!$K24*(1- 'Raw data'!$L24)</f>
        <v>8352.8700000000008</v>
      </c>
      <c r="N24">
        <v>58470.09</v>
      </c>
      <c r="O24">
        <v>0.25</v>
      </c>
      <c r="P24">
        <v>14617.52</v>
      </c>
      <c r="Q24" t="s">
        <v>47</v>
      </c>
      <c r="R24" t="s">
        <v>48</v>
      </c>
      <c r="S24">
        <v>2</v>
      </c>
    </row>
    <row r="25" spans="1:19" x14ac:dyDescent="0.3">
      <c r="A25" t="s">
        <v>108</v>
      </c>
      <c r="B25">
        <v>44950</v>
      </c>
      <c r="C25" t="s">
        <v>55</v>
      </c>
      <c r="D25" t="s">
        <v>41</v>
      </c>
      <c r="E25" t="s">
        <v>22</v>
      </c>
      <c r="F25" t="s">
        <v>97</v>
      </c>
      <c r="G25" t="s">
        <v>92</v>
      </c>
      <c r="H25" t="s">
        <v>109</v>
      </c>
      <c r="I25" t="s">
        <v>110</v>
      </c>
      <c r="J25">
        <v>1</v>
      </c>
      <c r="K25">
        <v>43662</v>
      </c>
      <c r="L25">
        <v>0.18</v>
      </c>
      <c r="M25">
        <f>'Raw data'!$K25*(1- 'Raw data'!$L25)</f>
        <v>35802.840000000004</v>
      </c>
      <c r="N25">
        <v>35802.839999999997</v>
      </c>
      <c r="O25">
        <v>0.15</v>
      </c>
      <c r="P25">
        <v>5370.43</v>
      </c>
      <c r="Q25" t="s">
        <v>47</v>
      </c>
      <c r="R25" t="s">
        <v>48</v>
      </c>
      <c r="S25">
        <v>3</v>
      </c>
    </row>
    <row r="26" spans="1:19" x14ac:dyDescent="0.3">
      <c r="A26" t="s">
        <v>111</v>
      </c>
      <c r="B26">
        <v>44951</v>
      </c>
      <c r="C26" t="s">
        <v>55</v>
      </c>
      <c r="D26" t="s">
        <v>56</v>
      </c>
      <c r="E26" t="s">
        <v>42</v>
      </c>
      <c r="F26" t="s">
        <v>68</v>
      </c>
      <c r="G26" t="s">
        <v>92</v>
      </c>
      <c r="H26" t="s">
        <v>109</v>
      </c>
      <c r="I26" t="s">
        <v>112</v>
      </c>
      <c r="J26">
        <v>7</v>
      </c>
      <c r="K26">
        <v>66446</v>
      </c>
      <c r="L26">
        <v>0.22</v>
      </c>
      <c r="M26">
        <f>'Raw data'!$K26*(1- 'Raw data'!$L26)</f>
        <v>51827.880000000005</v>
      </c>
      <c r="N26">
        <v>362795.16</v>
      </c>
      <c r="O26">
        <v>0.15</v>
      </c>
      <c r="P26">
        <v>54419.27</v>
      </c>
      <c r="Q26" t="s">
        <v>37</v>
      </c>
      <c r="R26" t="s">
        <v>48</v>
      </c>
      <c r="S26">
        <v>2</v>
      </c>
    </row>
    <row r="27" spans="1:19" x14ac:dyDescent="0.3">
      <c r="A27" t="s">
        <v>113</v>
      </c>
      <c r="B27">
        <v>44952</v>
      </c>
      <c r="C27" t="s">
        <v>40</v>
      </c>
      <c r="D27" t="s">
        <v>56</v>
      </c>
      <c r="E27" t="s">
        <v>67</v>
      </c>
      <c r="F27" t="s">
        <v>97</v>
      </c>
      <c r="G27" t="s">
        <v>44</v>
      </c>
      <c r="H27" t="s">
        <v>64</v>
      </c>
      <c r="I27" t="s">
        <v>114</v>
      </c>
      <c r="J27">
        <v>5</v>
      </c>
      <c r="K27">
        <v>4609</v>
      </c>
      <c r="L27">
        <v>0.04</v>
      </c>
      <c r="M27">
        <f>'Raw data'!$K27*(1- 'Raw data'!$L27)</f>
        <v>4424.6399999999994</v>
      </c>
      <c r="N27">
        <v>22123.200000000001</v>
      </c>
      <c r="O27">
        <v>0.35</v>
      </c>
      <c r="P27">
        <v>7743.12</v>
      </c>
      <c r="Q27" t="s">
        <v>51</v>
      </c>
      <c r="R27" t="s">
        <v>48</v>
      </c>
      <c r="S27">
        <v>2</v>
      </c>
    </row>
    <row r="28" spans="1:19" x14ac:dyDescent="0.3">
      <c r="A28" t="s">
        <v>115</v>
      </c>
      <c r="B28">
        <v>44953</v>
      </c>
      <c r="C28" t="s">
        <v>20</v>
      </c>
      <c r="D28" t="s">
        <v>56</v>
      </c>
      <c r="E28" t="s">
        <v>42</v>
      </c>
      <c r="F28" t="s">
        <v>43</v>
      </c>
      <c r="G28" t="s">
        <v>44</v>
      </c>
      <c r="H28" t="s">
        <v>116</v>
      </c>
      <c r="I28" t="s">
        <v>117</v>
      </c>
      <c r="J28">
        <v>5</v>
      </c>
      <c r="K28">
        <v>2634</v>
      </c>
      <c r="L28">
        <v>0.2</v>
      </c>
      <c r="M28">
        <f>'Raw data'!$K28*(1- 'Raw data'!$L28)</f>
        <v>2107.2000000000003</v>
      </c>
      <c r="N28">
        <v>10536</v>
      </c>
      <c r="O28">
        <v>0.35</v>
      </c>
      <c r="P28">
        <v>3687.6</v>
      </c>
      <c r="Q28" t="s">
        <v>37</v>
      </c>
      <c r="R28" t="s">
        <v>28</v>
      </c>
      <c r="S28">
        <v>8</v>
      </c>
    </row>
    <row r="29" spans="1:19" x14ac:dyDescent="0.3">
      <c r="A29" t="s">
        <v>118</v>
      </c>
      <c r="B29">
        <v>44954</v>
      </c>
      <c r="C29" t="s">
        <v>20</v>
      </c>
      <c r="D29" t="s">
        <v>56</v>
      </c>
      <c r="E29" t="s">
        <v>32</v>
      </c>
      <c r="F29" t="s">
        <v>43</v>
      </c>
      <c r="G29" t="s">
        <v>57</v>
      </c>
      <c r="H29" t="s">
        <v>58</v>
      </c>
      <c r="I29" t="s">
        <v>119</v>
      </c>
      <c r="J29">
        <v>2</v>
      </c>
      <c r="K29">
        <v>13787</v>
      </c>
      <c r="L29">
        <v>0.14000000000000001</v>
      </c>
      <c r="M29">
        <f>'Raw data'!$K29*(1- 'Raw data'!$L29)</f>
        <v>11856.82</v>
      </c>
      <c r="N29">
        <v>23713.64</v>
      </c>
      <c r="O29">
        <v>0.2</v>
      </c>
      <c r="P29">
        <v>4742.7299999999996</v>
      </c>
      <c r="Q29" t="s">
        <v>51</v>
      </c>
      <c r="R29" t="s">
        <v>48</v>
      </c>
      <c r="S29">
        <v>3</v>
      </c>
    </row>
    <row r="30" spans="1:19" x14ac:dyDescent="0.3">
      <c r="A30" t="s">
        <v>120</v>
      </c>
      <c r="B30">
        <v>44955</v>
      </c>
      <c r="C30" t="s">
        <v>63</v>
      </c>
      <c r="D30" t="s">
        <v>41</v>
      </c>
      <c r="E30" t="s">
        <v>67</v>
      </c>
      <c r="F30" t="s">
        <v>23</v>
      </c>
      <c r="G30" t="s">
        <v>24</v>
      </c>
      <c r="H30" t="s">
        <v>121</v>
      </c>
      <c r="I30" t="s">
        <v>122</v>
      </c>
      <c r="J30">
        <v>4</v>
      </c>
      <c r="K30">
        <v>12148</v>
      </c>
      <c r="L30">
        <v>0.1</v>
      </c>
      <c r="M30">
        <f>'Raw data'!$K30*(1- 'Raw data'!$L30)</f>
        <v>10933.2</v>
      </c>
      <c r="N30">
        <v>43732.800000000003</v>
      </c>
      <c r="O30">
        <v>0.25</v>
      </c>
      <c r="P30">
        <v>10933.2</v>
      </c>
      <c r="Q30" t="s">
        <v>27</v>
      </c>
      <c r="R30" t="s">
        <v>48</v>
      </c>
      <c r="S30">
        <v>7</v>
      </c>
    </row>
    <row r="31" spans="1:19" x14ac:dyDescent="0.3">
      <c r="A31" t="s">
        <v>123</v>
      </c>
      <c r="B31">
        <v>44956</v>
      </c>
      <c r="C31" t="s">
        <v>55</v>
      </c>
      <c r="D31" t="s">
        <v>31</v>
      </c>
      <c r="E31" t="s">
        <v>67</v>
      </c>
      <c r="F31" t="s">
        <v>23</v>
      </c>
      <c r="G31" t="s">
        <v>24</v>
      </c>
      <c r="H31" t="s">
        <v>74</v>
      </c>
      <c r="I31" t="s">
        <v>124</v>
      </c>
      <c r="J31">
        <v>6</v>
      </c>
      <c r="K31">
        <v>2560</v>
      </c>
      <c r="L31">
        <v>0.03</v>
      </c>
      <c r="M31">
        <f>'Raw data'!$K31*(1- 'Raw data'!$L31)</f>
        <v>2483.1999999999998</v>
      </c>
      <c r="N31">
        <v>14899.2</v>
      </c>
      <c r="O31">
        <v>0.25</v>
      </c>
      <c r="P31">
        <v>3724.8</v>
      </c>
      <c r="Q31" t="s">
        <v>51</v>
      </c>
      <c r="R31" t="s">
        <v>48</v>
      </c>
      <c r="S31">
        <v>8</v>
      </c>
    </row>
    <row r="32" spans="1:19" x14ac:dyDescent="0.3">
      <c r="A32" t="s">
        <v>125</v>
      </c>
      <c r="B32">
        <v>44957</v>
      </c>
      <c r="C32" t="s">
        <v>20</v>
      </c>
      <c r="D32" t="s">
        <v>31</v>
      </c>
      <c r="E32" t="s">
        <v>67</v>
      </c>
      <c r="F32" t="s">
        <v>103</v>
      </c>
      <c r="G32" t="s">
        <v>44</v>
      </c>
      <c r="H32" t="s">
        <v>116</v>
      </c>
      <c r="I32" t="s">
        <v>126</v>
      </c>
      <c r="J32">
        <v>7</v>
      </c>
      <c r="K32">
        <v>1766</v>
      </c>
      <c r="L32">
        <v>0.22</v>
      </c>
      <c r="M32">
        <f>'Raw data'!$K32*(1- 'Raw data'!$L32)</f>
        <v>1377.48</v>
      </c>
      <c r="N32">
        <v>9642.36</v>
      </c>
      <c r="O32">
        <v>0.35</v>
      </c>
      <c r="P32">
        <v>3374.83</v>
      </c>
      <c r="Q32" t="s">
        <v>51</v>
      </c>
      <c r="R32" t="s">
        <v>48</v>
      </c>
      <c r="S32">
        <v>3</v>
      </c>
    </row>
    <row r="33" spans="1:19" x14ac:dyDescent="0.3">
      <c r="A33" t="s">
        <v>127</v>
      </c>
      <c r="B33">
        <v>44958</v>
      </c>
      <c r="C33" t="s">
        <v>55</v>
      </c>
      <c r="D33" t="s">
        <v>21</v>
      </c>
      <c r="E33" t="s">
        <v>32</v>
      </c>
      <c r="F33" t="s">
        <v>103</v>
      </c>
      <c r="G33" t="s">
        <v>24</v>
      </c>
      <c r="H33" t="s">
        <v>25</v>
      </c>
      <c r="I33" t="s">
        <v>128</v>
      </c>
      <c r="J33">
        <v>5</v>
      </c>
      <c r="K33">
        <v>11361</v>
      </c>
      <c r="L33">
        <v>0.04</v>
      </c>
      <c r="M33">
        <f>'Raw data'!$K33*(1- 'Raw data'!$L33)</f>
        <v>10906.56</v>
      </c>
      <c r="N33">
        <v>54532.800000000003</v>
      </c>
      <c r="O33">
        <v>0.25</v>
      </c>
      <c r="P33">
        <v>13633.2</v>
      </c>
      <c r="Q33" t="s">
        <v>27</v>
      </c>
      <c r="R33" t="s">
        <v>28</v>
      </c>
      <c r="S33">
        <v>2</v>
      </c>
    </row>
    <row r="34" spans="1:19" x14ac:dyDescent="0.3">
      <c r="A34" t="s">
        <v>129</v>
      </c>
      <c r="B34">
        <v>44959</v>
      </c>
      <c r="C34" t="s">
        <v>63</v>
      </c>
      <c r="D34" t="s">
        <v>31</v>
      </c>
      <c r="E34" t="s">
        <v>22</v>
      </c>
      <c r="F34" t="s">
        <v>43</v>
      </c>
      <c r="G34" t="s">
        <v>24</v>
      </c>
      <c r="H34" t="s">
        <v>74</v>
      </c>
      <c r="I34" t="s">
        <v>130</v>
      </c>
      <c r="J34">
        <v>9</v>
      </c>
      <c r="K34">
        <v>4638</v>
      </c>
      <c r="L34">
        <v>0.08</v>
      </c>
      <c r="M34">
        <f>'Raw data'!$K34*(1- 'Raw data'!$L34)</f>
        <v>4266.96</v>
      </c>
      <c r="N34">
        <v>38402.639999999999</v>
      </c>
      <c r="O34">
        <v>0.25</v>
      </c>
      <c r="P34">
        <v>9600.66</v>
      </c>
      <c r="Q34" t="s">
        <v>51</v>
      </c>
      <c r="R34" t="s">
        <v>48</v>
      </c>
      <c r="S34">
        <v>8</v>
      </c>
    </row>
    <row r="35" spans="1:19" x14ac:dyDescent="0.3">
      <c r="A35" t="s">
        <v>131</v>
      </c>
      <c r="B35">
        <v>44960</v>
      </c>
      <c r="C35" t="s">
        <v>63</v>
      </c>
      <c r="D35" t="s">
        <v>41</v>
      </c>
      <c r="E35" t="s">
        <v>42</v>
      </c>
      <c r="F35" t="s">
        <v>68</v>
      </c>
      <c r="G35" t="s">
        <v>92</v>
      </c>
      <c r="H35" t="s">
        <v>109</v>
      </c>
      <c r="I35" t="s">
        <v>132</v>
      </c>
      <c r="J35">
        <v>3</v>
      </c>
      <c r="K35">
        <v>62579</v>
      </c>
      <c r="L35">
        <v>7.0000000000000007E-2</v>
      </c>
      <c r="M35">
        <f>'Raw data'!$K35*(1- 'Raw data'!$L35)</f>
        <v>58198.469999999994</v>
      </c>
      <c r="N35">
        <v>174595.41</v>
      </c>
      <c r="O35">
        <v>0.15</v>
      </c>
      <c r="P35">
        <v>26189.31</v>
      </c>
      <c r="Q35" t="s">
        <v>37</v>
      </c>
      <c r="R35" t="s">
        <v>48</v>
      </c>
      <c r="S35">
        <v>3</v>
      </c>
    </row>
    <row r="36" spans="1:19" x14ac:dyDescent="0.3">
      <c r="A36" t="s">
        <v>133</v>
      </c>
      <c r="B36">
        <v>44961</v>
      </c>
      <c r="C36" t="s">
        <v>40</v>
      </c>
      <c r="D36" t="s">
        <v>41</v>
      </c>
      <c r="E36" t="s">
        <v>67</v>
      </c>
      <c r="F36" t="s">
        <v>97</v>
      </c>
      <c r="G36" t="s">
        <v>44</v>
      </c>
      <c r="H36" t="s">
        <v>64</v>
      </c>
      <c r="I36" t="s">
        <v>134</v>
      </c>
      <c r="J36">
        <v>1</v>
      </c>
      <c r="K36">
        <v>2427</v>
      </c>
      <c r="L36">
        <v>0.22</v>
      </c>
      <c r="M36">
        <f>'Raw data'!$K36*(1- 'Raw data'!$L36)</f>
        <v>1893.0600000000002</v>
      </c>
      <c r="N36">
        <v>1893.06</v>
      </c>
      <c r="O36">
        <v>0.35</v>
      </c>
      <c r="P36">
        <v>662.57</v>
      </c>
      <c r="Q36" t="s">
        <v>47</v>
      </c>
      <c r="R36" t="s">
        <v>48</v>
      </c>
      <c r="S36">
        <v>7</v>
      </c>
    </row>
    <row r="37" spans="1:19" x14ac:dyDescent="0.3">
      <c r="A37" t="s">
        <v>135</v>
      </c>
      <c r="B37">
        <v>44962</v>
      </c>
      <c r="C37" t="s">
        <v>55</v>
      </c>
      <c r="D37" t="s">
        <v>41</v>
      </c>
      <c r="E37" t="s">
        <v>67</v>
      </c>
      <c r="F37" t="s">
        <v>103</v>
      </c>
      <c r="G37" t="s">
        <v>34</v>
      </c>
      <c r="H37" t="s">
        <v>104</v>
      </c>
      <c r="I37" t="s">
        <v>136</v>
      </c>
      <c r="J37">
        <v>4</v>
      </c>
      <c r="K37">
        <v>508</v>
      </c>
      <c r="L37">
        <v>0.17</v>
      </c>
      <c r="M37">
        <f>'Raw data'!$K37*(1- 'Raw data'!$L37)</f>
        <v>421.64</v>
      </c>
      <c r="N37">
        <v>1686.56</v>
      </c>
      <c r="O37">
        <v>0.4</v>
      </c>
      <c r="P37">
        <v>674.62</v>
      </c>
      <c r="Q37" t="s">
        <v>47</v>
      </c>
      <c r="R37" t="s">
        <v>48</v>
      </c>
      <c r="S37">
        <v>1</v>
      </c>
    </row>
    <row r="38" spans="1:19" x14ac:dyDescent="0.3">
      <c r="A38" t="s">
        <v>137</v>
      </c>
      <c r="B38">
        <v>44963</v>
      </c>
      <c r="C38" t="s">
        <v>20</v>
      </c>
      <c r="D38" t="s">
        <v>21</v>
      </c>
      <c r="E38" t="s">
        <v>67</v>
      </c>
      <c r="F38" t="s">
        <v>33</v>
      </c>
      <c r="G38" t="s">
        <v>44</v>
      </c>
      <c r="H38" t="s">
        <v>138</v>
      </c>
      <c r="I38" t="s">
        <v>139</v>
      </c>
      <c r="J38">
        <v>9</v>
      </c>
      <c r="K38">
        <v>2835</v>
      </c>
      <c r="L38">
        <v>0.2</v>
      </c>
      <c r="M38">
        <f>'Raw data'!$K38*(1- 'Raw data'!$L38)</f>
        <v>2268</v>
      </c>
      <c r="N38">
        <v>20412</v>
      </c>
      <c r="O38">
        <v>0.35</v>
      </c>
      <c r="P38">
        <v>7144.2</v>
      </c>
      <c r="Q38" t="s">
        <v>37</v>
      </c>
      <c r="R38" t="s">
        <v>38</v>
      </c>
      <c r="S38">
        <v>6</v>
      </c>
    </row>
    <row r="39" spans="1:19" x14ac:dyDescent="0.3">
      <c r="A39" t="s">
        <v>140</v>
      </c>
      <c r="B39">
        <v>44964</v>
      </c>
      <c r="C39" t="s">
        <v>20</v>
      </c>
      <c r="D39" t="s">
        <v>56</v>
      </c>
      <c r="E39" t="s">
        <v>22</v>
      </c>
      <c r="F39" t="s">
        <v>103</v>
      </c>
      <c r="G39" t="s">
        <v>34</v>
      </c>
      <c r="H39" t="s">
        <v>141</v>
      </c>
      <c r="I39" t="s">
        <v>142</v>
      </c>
      <c r="J39">
        <v>4</v>
      </c>
      <c r="K39">
        <v>506</v>
      </c>
      <c r="L39">
        <v>0.06</v>
      </c>
      <c r="M39">
        <f>'Raw data'!$K39*(1- 'Raw data'!$L39)</f>
        <v>475.64</v>
      </c>
      <c r="N39">
        <v>1902.56</v>
      </c>
      <c r="O39">
        <v>0.4</v>
      </c>
      <c r="P39">
        <v>761.02</v>
      </c>
      <c r="Q39" t="s">
        <v>27</v>
      </c>
      <c r="R39" t="s">
        <v>48</v>
      </c>
      <c r="S39">
        <v>9</v>
      </c>
    </row>
    <row r="40" spans="1:19" x14ac:dyDescent="0.3">
      <c r="A40" t="s">
        <v>143</v>
      </c>
      <c r="B40">
        <v>44965</v>
      </c>
      <c r="C40" t="s">
        <v>55</v>
      </c>
      <c r="D40" t="s">
        <v>31</v>
      </c>
      <c r="E40" t="s">
        <v>22</v>
      </c>
      <c r="F40" t="s">
        <v>68</v>
      </c>
      <c r="G40" t="s">
        <v>92</v>
      </c>
      <c r="H40" t="s">
        <v>109</v>
      </c>
      <c r="I40" t="s">
        <v>144</v>
      </c>
      <c r="J40">
        <v>2</v>
      </c>
      <c r="K40">
        <v>30049</v>
      </c>
      <c r="L40">
        <v>0.16</v>
      </c>
      <c r="M40">
        <f>'Raw data'!$K40*(1- 'Raw data'!$L40)</f>
        <v>25241.16</v>
      </c>
      <c r="N40">
        <v>50482.32</v>
      </c>
      <c r="O40">
        <v>0.15</v>
      </c>
      <c r="P40">
        <v>7572.35</v>
      </c>
      <c r="Q40" t="s">
        <v>51</v>
      </c>
      <c r="R40" t="s">
        <v>48</v>
      </c>
      <c r="S40">
        <v>3</v>
      </c>
    </row>
    <row r="41" spans="1:19" x14ac:dyDescent="0.3">
      <c r="A41" t="s">
        <v>145</v>
      </c>
      <c r="B41">
        <v>44966</v>
      </c>
      <c r="C41" t="s">
        <v>55</v>
      </c>
      <c r="D41" t="s">
        <v>41</v>
      </c>
      <c r="E41" t="s">
        <v>32</v>
      </c>
      <c r="F41" t="s">
        <v>68</v>
      </c>
      <c r="G41" t="s">
        <v>57</v>
      </c>
      <c r="H41" t="s">
        <v>81</v>
      </c>
      <c r="I41" t="s">
        <v>146</v>
      </c>
      <c r="J41">
        <v>5</v>
      </c>
      <c r="K41">
        <v>12181</v>
      </c>
      <c r="L41">
        <v>0.14000000000000001</v>
      </c>
      <c r="M41">
        <f>'Raw data'!$K41*(1- 'Raw data'!$L41)</f>
        <v>10475.66</v>
      </c>
      <c r="N41">
        <v>52378.3</v>
      </c>
      <c r="O41">
        <v>0.2</v>
      </c>
      <c r="P41">
        <v>10475.66</v>
      </c>
      <c r="Q41" t="s">
        <v>37</v>
      </c>
      <c r="R41" t="s">
        <v>48</v>
      </c>
      <c r="S41">
        <v>7</v>
      </c>
    </row>
    <row r="42" spans="1:19" x14ac:dyDescent="0.3">
      <c r="A42" t="s">
        <v>147</v>
      </c>
      <c r="B42">
        <v>44967</v>
      </c>
      <c r="C42" t="s">
        <v>55</v>
      </c>
      <c r="D42" t="s">
        <v>41</v>
      </c>
      <c r="E42" t="s">
        <v>22</v>
      </c>
      <c r="F42" t="s">
        <v>23</v>
      </c>
      <c r="G42" t="s">
        <v>24</v>
      </c>
      <c r="H42" t="s">
        <v>25</v>
      </c>
      <c r="I42" t="s">
        <v>148</v>
      </c>
      <c r="J42">
        <v>3</v>
      </c>
      <c r="K42">
        <v>8057</v>
      </c>
      <c r="L42">
        <v>0.21</v>
      </c>
      <c r="M42">
        <f>'Raw data'!$K42*(1- 'Raw data'!$L42)</f>
        <v>6365.0300000000007</v>
      </c>
      <c r="N42">
        <v>19095.09</v>
      </c>
      <c r="O42">
        <v>0.25</v>
      </c>
      <c r="P42">
        <v>4773.7700000000004</v>
      </c>
      <c r="Q42" t="s">
        <v>47</v>
      </c>
      <c r="R42" t="s">
        <v>48</v>
      </c>
      <c r="S42">
        <v>6</v>
      </c>
    </row>
    <row r="43" spans="1:19" x14ac:dyDescent="0.3">
      <c r="A43" t="s">
        <v>149</v>
      </c>
      <c r="B43">
        <v>44968</v>
      </c>
      <c r="C43" t="s">
        <v>30</v>
      </c>
      <c r="D43" t="s">
        <v>56</v>
      </c>
      <c r="E43" t="s">
        <v>42</v>
      </c>
      <c r="F43" t="s">
        <v>97</v>
      </c>
      <c r="G43" t="s">
        <v>92</v>
      </c>
      <c r="H43" t="s">
        <v>109</v>
      </c>
      <c r="I43" t="s">
        <v>150</v>
      </c>
      <c r="J43">
        <v>9</v>
      </c>
      <c r="K43">
        <v>26082</v>
      </c>
      <c r="L43">
        <v>0.23</v>
      </c>
      <c r="M43">
        <f>'Raw data'!$K43*(1- 'Raw data'!$L43)</f>
        <v>20083.14</v>
      </c>
      <c r="N43">
        <v>180748.26</v>
      </c>
      <c r="O43">
        <v>0.15</v>
      </c>
      <c r="P43">
        <v>27112.240000000002</v>
      </c>
      <c r="Q43" t="s">
        <v>47</v>
      </c>
      <c r="R43" t="s">
        <v>38</v>
      </c>
      <c r="S43">
        <v>8</v>
      </c>
    </row>
    <row r="44" spans="1:19" x14ac:dyDescent="0.3">
      <c r="A44" t="s">
        <v>151</v>
      </c>
      <c r="B44">
        <v>44969</v>
      </c>
      <c r="C44" t="s">
        <v>20</v>
      </c>
      <c r="D44" t="s">
        <v>41</v>
      </c>
      <c r="E44" t="s">
        <v>32</v>
      </c>
      <c r="F44" t="s">
        <v>68</v>
      </c>
      <c r="G44" t="s">
        <v>24</v>
      </c>
      <c r="H44" t="s">
        <v>121</v>
      </c>
      <c r="I44" t="s">
        <v>152</v>
      </c>
      <c r="J44">
        <v>4</v>
      </c>
      <c r="K44">
        <v>1661</v>
      </c>
      <c r="L44">
        <v>0</v>
      </c>
      <c r="M44">
        <f>'Raw data'!$K44*(1- 'Raw data'!$L44)</f>
        <v>1661</v>
      </c>
      <c r="N44">
        <v>6644</v>
      </c>
      <c r="O44">
        <v>0.25</v>
      </c>
      <c r="P44">
        <v>1661</v>
      </c>
      <c r="Q44" t="s">
        <v>37</v>
      </c>
      <c r="R44" t="s">
        <v>48</v>
      </c>
      <c r="S44">
        <v>3</v>
      </c>
    </row>
    <row r="45" spans="1:19" x14ac:dyDescent="0.3">
      <c r="A45" t="s">
        <v>153</v>
      </c>
      <c r="B45">
        <v>44970</v>
      </c>
      <c r="C45" t="s">
        <v>63</v>
      </c>
      <c r="D45" t="s">
        <v>31</v>
      </c>
      <c r="E45" t="s">
        <v>32</v>
      </c>
      <c r="F45" t="s">
        <v>103</v>
      </c>
      <c r="G45" t="s">
        <v>57</v>
      </c>
      <c r="H45" t="s">
        <v>81</v>
      </c>
      <c r="I45" t="s">
        <v>154</v>
      </c>
      <c r="J45">
        <v>6</v>
      </c>
      <c r="K45">
        <v>6644</v>
      </c>
      <c r="L45">
        <v>0.17</v>
      </c>
      <c r="M45">
        <f>'Raw data'!$K45*(1- 'Raw data'!$L45)</f>
        <v>5514.5199999999995</v>
      </c>
      <c r="N45">
        <v>33087.120000000003</v>
      </c>
      <c r="O45">
        <v>0.2</v>
      </c>
      <c r="P45">
        <v>6617.42</v>
      </c>
      <c r="Q45" t="s">
        <v>47</v>
      </c>
      <c r="R45" t="s">
        <v>48</v>
      </c>
      <c r="S45">
        <v>3</v>
      </c>
    </row>
    <row r="46" spans="1:19" x14ac:dyDescent="0.3">
      <c r="A46" t="s">
        <v>155</v>
      </c>
      <c r="B46">
        <v>44971</v>
      </c>
      <c r="C46" t="s">
        <v>20</v>
      </c>
      <c r="D46" t="s">
        <v>21</v>
      </c>
      <c r="E46" t="s">
        <v>42</v>
      </c>
      <c r="F46" t="s">
        <v>103</v>
      </c>
      <c r="G46" t="s">
        <v>57</v>
      </c>
      <c r="H46" t="s">
        <v>58</v>
      </c>
      <c r="I46" t="s">
        <v>156</v>
      </c>
      <c r="J46">
        <v>2</v>
      </c>
      <c r="K46">
        <v>17711</v>
      </c>
      <c r="L46">
        <v>0.01</v>
      </c>
      <c r="M46">
        <f>'Raw data'!$K46*(1- 'Raw data'!$L46)</f>
        <v>17533.89</v>
      </c>
      <c r="N46">
        <v>35067.78</v>
      </c>
      <c r="O46">
        <v>0.2</v>
      </c>
      <c r="P46">
        <v>7013.56</v>
      </c>
      <c r="Q46" t="s">
        <v>37</v>
      </c>
      <c r="R46" t="s">
        <v>48</v>
      </c>
      <c r="S46">
        <v>4</v>
      </c>
    </row>
    <row r="47" spans="1:19" x14ac:dyDescent="0.3">
      <c r="A47" t="s">
        <v>157</v>
      </c>
      <c r="B47">
        <v>44972</v>
      </c>
      <c r="C47" t="s">
        <v>30</v>
      </c>
      <c r="D47" t="s">
        <v>41</v>
      </c>
      <c r="E47" t="s">
        <v>42</v>
      </c>
      <c r="F47" t="s">
        <v>43</v>
      </c>
      <c r="G47" t="s">
        <v>92</v>
      </c>
      <c r="H47" t="s">
        <v>93</v>
      </c>
      <c r="I47" t="s">
        <v>158</v>
      </c>
      <c r="J47">
        <v>6</v>
      </c>
      <c r="K47">
        <v>12920</v>
      </c>
      <c r="L47">
        <v>0.14000000000000001</v>
      </c>
      <c r="M47">
        <f>'Raw data'!$K47*(1- 'Raw data'!$L47)</f>
        <v>11111.2</v>
      </c>
      <c r="N47">
        <v>66667.199999999997</v>
      </c>
      <c r="O47">
        <v>0.15</v>
      </c>
      <c r="P47">
        <v>10000.08</v>
      </c>
      <c r="Q47" t="s">
        <v>47</v>
      </c>
      <c r="R47" t="s">
        <v>48</v>
      </c>
      <c r="S47">
        <v>3</v>
      </c>
    </row>
    <row r="48" spans="1:19" x14ac:dyDescent="0.3">
      <c r="A48" t="s">
        <v>159</v>
      </c>
      <c r="B48">
        <v>44973</v>
      </c>
      <c r="C48" t="s">
        <v>55</v>
      </c>
      <c r="D48" t="s">
        <v>31</v>
      </c>
      <c r="E48" t="s">
        <v>42</v>
      </c>
      <c r="F48" t="s">
        <v>68</v>
      </c>
      <c r="G48" t="s">
        <v>57</v>
      </c>
      <c r="H48" t="s">
        <v>58</v>
      </c>
      <c r="I48" t="s">
        <v>160</v>
      </c>
      <c r="J48">
        <v>3</v>
      </c>
      <c r="K48">
        <v>18002</v>
      </c>
      <c r="L48">
        <v>7.0000000000000007E-2</v>
      </c>
      <c r="M48">
        <f>'Raw data'!$K48*(1- 'Raw data'!$L48)</f>
        <v>16741.86</v>
      </c>
      <c r="N48">
        <v>50225.58</v>
      </c>
      <c r="O48">
        <v>0.2</v>
      </c>
      <c r="P48">
        <v>10045.120000000001</v>
      </c>
      <c r="Q48" t="s">
        <v>37</v>
      </c>
      <c r="R48" t="s">
        <v>48</v>
      </c>
      <c r="S48">
        <v>9</v>
      </c>
    </row>
    <row r="49" spans="1:19" x14ac:dyDescent="0.3">
      <c r="A49" t="s">
        <v>161</v>
      </c>
      <c r="B49">
        <v>44974</v>
      </c>
      <c r="C49" t="s">
        <v>40</v>
      </c>
      <c r="D49" t="s">
        <v>41</v>
      </c>
      <c r="E49" t="s">
        <v>32</v>
      </c>
      <c r="F49" t="s">
        <v>33</v>
      </c>
      <c r="G49" t="s">
        <v>34</v>
      </c>
      <c r="H49" t="s">
        <v>141</v>
      </c>
      <c r="I49" t="s">
        <v>162</v>
      </c>
      <c r="J49">
        <v>9</v>
      </c>
      <c r="K49">
        <v>1123</v>
      </c>
      <c r="L49">
        <v>0.08</v>
      </c>
      <c r="M49">
        <f>'Raw data'!$K49*(1- 'Raw data'!$L49)</f>
        <v>1033.1600000000001</v>
      </c>
      <c r="N49">
        <v>9298.44</v>
      </c>
      <c r="O49">
        <v>0.4</v>
      </c>
      <c r="P49">
        <v>3719.38</v>
      </c>
      <c r="Q49" t="s">
        <v>51</v>
      </c>
      <c r="R49" t="s">
        <v>48</v>
      </c>
      <c r="S49">
        <v>4</v>
      </c>
    </row>
    <row r="50" spans="1:19" x14ac:dyDescent="0.3">
      <c r="A50" t="s">
        <v>163</v>
      </c>
      <c r="B50">
        <v>44975</v>
      </c>
      <c r="C50" t="s">
        <v>55</v>
      </c>
      <c r="D50" t="s">
        <v>56</v>
      </c>
      <c r="E50" t="s">
        <v>32</v>
      </c>
      <c r="F50" t="s">
        <v>23</v>
      </c>
      <c r="G50" t="s">
        <v>57</v>
      </c>
      <c r="H50" t="s">
        <v>100</v>
      </c>
      <c r="I50" t="s">
        <v>164</v>
      </c>
      <c r="J50">
        <v>2</v>
      </c>
      <c r="K50">
        <v>16025</v>
      </c>
      <c r="L50">
        <v>0.09</v>
      </c>
      <c r="M50">
        <f>'Raw data'!$K50*(1- 'Raw data'!$L50)</f>
        <v>14582.75</v>
      </c>
      <c r="N50">
        <v>29165.5</v>
      </c>
      <c r="O50">
        <v>0.2</v>
      </c>
      <c r="P50">
        <v>5833.1</v>
      </c>
      <c r="Q50" t="s">
        <v>51</v>
      </c>
      <c r="R50" t="s">
        <v>48</v>
      </c>
      <c r="S50">
        <v>6</v>
      </c>
    </row>
    <row r="51" spans="1:19" x14ac:dyDescent="0.3">
      <c r="A51" t="s">
        <v>165</v>
      </c>
      <c r="B51">
        <v>44976</v>
      </c>
      <c r="C51" t="s">
        <v>55</v>
      </c>
      <c r="D51" t="s">
        <v>41</v>
      </c>
      <c r="E51" t="s">
        <v>32</v>
      </c>
      <c r="F51" t="s">
        <v>97</v>
      </c>
      <c r="G51" t="s">
        <v>24</v>
      </c>
      <c r="H51" t="s">
        <v>121</v>
      </c>
      <c r="I51" t="s">
        <v>166</v>
      </c>
      <c r="J51">
        <v>9</v>
      </c>
      <c r="K51">
        <v>9946</v>
      </c>
      <c r="L51">
        <v>0.16</v>
      </c>
      <c r="M51">
        <f>'Raw data'!$K51*(1- 'Raw data'!$L51)</f>
        <v>8354.64</v>
      </c>
      <c r="N51">
        <v>75191.759999999995</v>
      </c>
      <c r="O51">
        <v>0.25</v>
      </c>
      <c r="P51">
        <v>18797.939999999999</v>
      </c>
      <c r="Q51" t="s">
        <v>51</v>
      </c>
      <c r="R51" t="s">
        <v>48</v>
      </c>
      <c r="S51">
        <v>8</v>
      </c>
    </row>
    <row r="52" spans="1:19" x14ac:dyDescent="0.3">
      <c r="A52" t="s">
        <v>167</v>
      </c>
      <c r="B52">
        <v>44977</v>
      </c>
      <c r="C52" t="s">
        <v>30</v>
      </c>
      <c r="D52" t="s">
        <v>41</v>
      </c>
      <c r="E52" t="s">
        <v>42</v>
      </c>
      <c r="F52" t="s">
        <v>33</v>
      </c>
      <c r="G52" t="s">
        <v>24</v>
      </c>
      <c r="H52" t="s">
        <v>121</v>
      </c>
      <c r="I52" t="s">
        <v>168</v>
      </c>
      <c r="J52">
        <v>5</v>
      </c>
      <c r="K52">
        <v>13322</v>
      </c>
      <c r="L52">
        <v>0.08</v>
      </c>
      <c r="M52">
        <f>'Raw data'!$K52*(1- 'Raw data'!$L52)</f>
        <v>12256.24</v>
      </c>
      <c r="N52">
        <v>61281.2</v>
      </c>
      <c r="O52">
        <v>0.25</v>
      </c>
      <c r="P52">
        <v>15320.3</v>
      </c>
      <c r="Q52" t="s">
        <v>51</v>
      </c>
      <c r="R52" t="s">
        <v>48</v>
      </c>
      <c r="S52">
        <v>8</v>
      </c>
    </row>
    <row r="53" spans="1:19" x14ac:dyDescent="0.3">
      <c r="A53" t="s">
        <v>169</v>
      </c>
      <c r="B53">
        <v>44978</v>
      </c>
      <c r="C53" t="s">
        <v>20</v>
      </c>
      <c r="D53" t="s">
        <v>21</v>
      </c>
      <c r="E53" t="s">
        <v>42</v>
      </c>
      <c r="F53" t="s">
        <v>23</v>
      </c>
      <c r="G53" t="s">
        <v>24</v>
      </c>
      <c r="H53" t="s">
        <v>74</v>
      </c>
      <c r="I53" t="s">
        <v>170</v>
      </c>
      <c r="J53">
        <v>8</v>
      </c>
      <c r="K53">
        <v>13732</v>
      </c>
      <c r="L53">
        <v>0.18</v>
      </c>
      <c r="M53">
        <f>'Raw data'!$K53*(1- 'Raw data'!$L53)</f>
        <v>11260.240000000002</v>
      </c>
      <c r="N53">
        <v>90081.919999999998</v>
      </c>
      <c r="O53">
        <v>0.25</v>
      </c>
      <c r="P53">
        <v>22520.48</v>
      </c>
      <c r="Q53" t="s">
        <v>47</v>
      </c>
      <c r="R53" t="s">
        <v>28</v>
      </c>
      <c r="S53">
        <v>5</v>
      </c>
    </row>
    <row r="54" spans="1:19" x14ac:dyDescent="0.3">
      <c r="A54" t="s">
        <v>171</v>
      </c>
      <c r="B54">
        <v>44979</v>
      </c>
      <c r="C54" t="s">
        <v>55</v>
      </c>
      <c r="D54" t="s">
        <v>56</v>
      </c>
      <c r="E54" t="s">
        <v>67</v>
      </c>
      <c r="F54" t="s">
        <v>103</v>
      </c>
      <c r="G54" t="s">
        <v>24</v>
      </c>
      <c r="H54" t="s">
        <v>121</v>
      </c>
      <c r="I54" t="s">
        <v>172</v>
      </c>
      <c r="J54">
        <v>2</v>
      </c>
      <c r="K54">
        <v>7236</v>
      </c>
      <c r="L54">
        <v>0.1</v>
      </c>
      <c r="M54">
        <f>'Raw data'!$K54*(1- 'Raw data'!$L54)</f>
        <v>6512.4000000000005</v>
      </c>
      <c r="N54">
        <v>13024.8</v>
      </c>
      <c r="O54">
        <v>0.25</v>
      </c>
      <c r="P54">
        <v>3256.2</v>
      </c>
      <c r="Q54" t="s">
        <v>27</v>
      </c>
      <c r="R54" t="s">
        <v>48</v>
      </c>
      <c r="S54">
        <v>5</v>
      </c>
    </row>
    <row r="55" spans="1:19" x14ac:dyDescent="0.3">
      <c r="A55" t="s">
        <v>173</v>
      </c>
      <c r="B55">
        <v>44980</v>
      </c>
      <c r="C55" t="s">
        <v>20</v>
      </c>
      <c r="D55" t="s">
        <v>56</v>
      </c>
      <c r="E55" t="s">
        <v>22</v>
      </c>
      <c r="F55" t="s">
        <v>33</v>
      </c>
      <c r="G55" t="s">
        <v>34</v>
      </c>
      <c r="H55" t="s">
        <v>71</v>
      </c>
      <c r="I55" t="s">
        <v>174</v>
      </c>
      <c r="J55">
        <v>6</v>
      </c>
      <c r="K55">
        <v>1430</v>
      </c>
      <c r="L55">
        <v>0.02</v>
      </c>
      <c r="M55">
        <f>'Raw data'!$K55*(1- 'Raw data'!$L55)</f>
        <v>1401.3999999999999</v>
      </c>
      <c r="N55">
        <v>8408.4</v>
      </c>
      <c r="O55">
        <v>0.4</v>
      </c>
      <c r="P55">
        <v>3363.36</v>
      </c>
      <c r="Q55" t="s">
        <v>37</v>
      </c>
      <c r="R55" t="s">
        <v>48</v>
      </c>
      <c r="S55">
        <v>6</v>
      </c>
    </row>
    <row r="56" spans="1:19" x14ac:dyDescent="0.3">
      <c r="A56" t="s">
        <v>175</v>
      </c>
      <c r="B56">
        <v>44981</v>
      </c>
      <c r="C56" t="s">
        <v>96</v>
      </c>
      <c r="D56" t="s">
        <v>21</v>
      </c>
      <c r="E56" t="s">
        <v>67</v>
      </c>
      <c r="F56" t="s">
        <v>23</v>
      </c>
      <c r="G56" t="s">
        <v>44</v>
      </c>
      <c r="H56" t="s">
        <v>138</v>
      </c>
      <c r="I56" t="s">
        <v>176</v>
      </c>
      <c r="J56">
        <v>3</v>
      </c>
      <c r="K56">
        <v>852</v>
      </c>
      <c r="L56">
        <v>0.2</v>
      </c>
      <c r="M56">
        <f>'Raw data'!$K56*(1- 'Raw data'!$L56)</f>
        <v>681.6</v>
      </c>
      <c r="N56">
        <v>2044.8</v>
      </c>
      <c r="O56">
        <v>0.35</v>
      </c>
      <c r="P56">
        <v>715.68</v>
      </c>
      <c r="Q56" t="s">
        <v>27</v>
      </c>
      <c r="R56" t="s">
        <v>48</v>
      </c>
      <c r="S56">
        <v>7</v>
      </c>
    </row>
    <row r="57" spans="1:19" x14ac:dyDescent="0.3">
      <c r="A57" t="s">
        <v>177</v>
      </c>
      <c r="B57">
        <v>44982</v>
      </c>
      <c r="C57" t="s">
        <v>63</v>
      </c>
      <c r="D57" t="s">
        <v>41</v>
      </c>
      <c r="E57" t="s">
        <v>42</v>
      </c>
      <c r="F57" t="s">
        <v>103</v>
      </c>
      <c r="G57" t="s">
        <v>92</v>
      </c>
      <c r="H57" t="s">
        <v>178</v>
      </c>
      <c r="I57" t="s">
        <v>179</v>
      </c>
      <c r="J57">
        <v>5</v>
      </c>
      <c r="K57">
        <v>40027</v>
      </c>
      <c r="L57">
        <v>7.0000000000000007E-2</v>
      </c>
      <c r="M57">
        <f>'Raw data'!$K57*(1- 'Raw data'!$L57)</f>
        <v>37225.11</v>
      </c>
      <c r="N57">
        <v>186125.55</v>
      </c>
      <c r="O57">
        <v>0.15</v>
      </c>
      <c r="P57">
        <v>27918.83</v>
      </c>
      <c r="Q57" t="s">
        <v>47</v>
      </c>
      <c r="R57" t="s">
        <v>48</v>
      </c>
      <c r="S57">
        <v>7</v>
      </c>
    </row>
    <row r="58" spans="1:19" x14ac:dyDescent="0.3">
      <c r="A58" t="s">
        <v>180</v>
      </c>
      <c r="B58">
        <v>44983</v>
      </c>
      <c r="C58" t="s">
        <v>20</v>
      </c>
      <c r="D58" t="s">
        <v>31</v>
      </c>
      <c r="E58" t="s">
        <v>32</v>
      </c>
      <c r="F58" t="s">
        <v>103</v>
      </c>
      <c r="G58" t="s">
        <v>24</v>
      </c>
      <c r="H58" t="s">
        <v>121</v>
      </c>
      <c r="I58" t="s">
        <v>181</v>
      </c>
      <c r="J58">
        <v>8</v>
      </c>
      <c r="K58">
        <v>13080</v>
      </c>
      <c r="L58">
        <v>0.11</v>
      </c>
      <c r="M58">
        <f>'Raw data'!$K58*(1- 'Raw data'!$L58)</f>
        <v>11641.2</v>
      </c>
      <c r="N58">
        <v>93129.600000000006</v>
      </c>
      <c r="O58">
        <v>0.25</v>
      </c>
      <c r="P58">
        <v>23282.400000000001</v>
      </c>
      <c r="Q58" t="s">
        <v>47</v>
      </c>
      <c r="R58" t="s">
        <v>48</v>
      </c>
      <c r="S58">
        <v>4</v>
      </c>
    </row>
    <row r="59" spans="1:19" x14ac:dyDescent="0.3">
      <c r="A59" t="s">
        <v>182</v>
      </c>
      <c r="B59">
        <v>44984</v>
      </c>
      <c r="C59" t="s">
        <v>40</v>
      </c>
      <c r="D59" t="s">
        <v>56</v>
      </c>
      <c r="E59" t="s">
        <v>42</v>
      </c>
      <c r="F59" t="s">
        <v>103</v>
      </c>
      <c r="G59" t="s">
        <v>57</v>
      </c>
      <c r="H59" t="s">
        <v>183</v>
      </c>
      <c r="I59" t="s">
        <v>184</v>
      </c>
      <c r="J59">
        <v>1</v>
      </c>
      <c r="K59">
        <v>9005</v>
      </c>
      <c r="L59">
        <v>0.17</v>
      </c>
      <c r="M59">
        <f>'Raw data'!$K59*(1- 'Raw data'!$L59)</f>
        <v>7474.15</v>
      </c>
      <c r="N59">
        <v>7474.15</v>
      </c>
      <c r="O59">
        <v>0.2</v>
      </c>
      <c r="P59">
        <v>1494.83</v>
      </c>
      <c r="Q59" t="s">
        <v>27</v>
      </c>
      <c r="R59" t="s">
        <v>38</v>
      </c>
      <c r="S59">
        <v>6</v>
      </c>
    </row>
    <row r="60" spans="1:19" x14ac:dyDescent="0.3">
      <c r="A60" t="s">
        <v>185</v>
      </c>
      <c r="B60">
        <v>44985</v>
      </c>
      <c r="C60" t="s">
        <v>63</v>
      </c>
      <c r="D60" t="s">
        <v>56</v>
      </c>
      <c r="E60" t="s">
        <v>22</v>
      </c>
      <c r="F60" t="s">
        <v>103</v>
      </c>
      <c r="G60" t="s">
        <v>24</v>
      </c>
      <c r="H60" t="s">
        <v>186</v>
      </c>
      <c r="I60" t="s">
        <v>187</v>
      </c>
      <c r="J60">
        <v>5</v>
      </c>
      <c r="K60">
        <v>1158</v>
      </c>
      <c r="L60">
        <v>0.08</v>
      </c>
      <c r="M60">
        <f>'Raw data'!$K60*(1- 'Raw data'!$L60)</f>
        <v>1065.3600000000001</v>
      </c>
      <c r="N60">
        <v>5326.8</v>
      </c>
      <c r="O60">
        <v>0.25</v>
      </c>
      <c r="P60">
        <v>1331.7</v>
      </c>
      <c r="Q60" t="s">
        <v>27</v>
      </c>
      <c r="R60" t="s">
        <v>48</v>
      </c>
      <c r="S60">
        <v>7</v>
      </c>
    </row>
    <row r="61" spans="1:19" x14ac:dyDescent="0.3">
      <c r="A61" t="s">
        <v>188</v>
      </c>
      <c r="B61">
        <v>44986</v>
      </c>
      <c r="C61" t="s">
        <v>40</v>
      </c>
      <c r="D61" t="s">
        <v>41</v>
      </c>
      <c r="E61" t="s">
        <v>67</v>
      </c>
      <c r="F61" t="s">
        <v>103</v>
      </c>
      <c r="G61" t="s">
        <v>57</v>
      </c>
      <c r="H61" t="s">
        <v>183</v>
      </c>
      <c r="I61" t="s">
        <v>189</v>
      </c>
      <c r="J61">
        <v>3</v>
      </c>
      <c r="K61">
        <v>2956</v>
      </c>
      <c r="L61">
        <v>0.01</v>
      </c>
      <c r="M61">
        <f>'Raw data'!$K61*(1- 'Raw data'!$L61)</f>
        <v>2926.44</v>
      </c>
      <c r="N61">
        <v>8779.32</v>
      </c>
      <c r="O61">
        <v>0.2</v>
      </c>
      <c r="P61">
        <v>1755.86</v>
      </c>
      <c r="Q61" t="s">
        <v>47</v>
      </c>
      <c r="R61" t="s">
        <v>48</v>
      </c>
      <c r="S61">
        <v>5</v>
      </c>
    </row>
    <row r="62" spans="1:19" x14ac:dyDescent="0.3">
      <c r="A62" t="s">
        <v>190</v>
      </c>
      <c r="B62">
        <v>44987</v>
      </c>
      <c r="C62" t="s">
        <v>55</v>
      </c>
      <c r="D62" t="s">
        <v>41</v>
      </c>
      <c r="E62" t="s">
        <v>67</v>
      </c>
      <c r="F62" t="s">
        <v>43</v>
      </c>
      <c r="G62" t="s">
        <v>57</v>
      </c>
      <c r="H62" t="s">
        <v>183</v>
      </c>
      <c r="I62" t="s">
        <v>191</v>
      </c>
      <c r="J62">
        <v>4</v>
      </c>
      <c r="K62">
        <v>4071</v>
      </c>
      <c r="L62">
        <v>0.09</v>
      </c>
      <c r="M62">
        <f>'Raw data'!$K62*(1- 'Raw data'!$L62)</f>
        <v>3704.61</v>
      </c>
      <c r="N62">
        <v>14818.44</v>
      </c>
      <c r="O62">
        <v>0.2</v>
      </c>
      <c r="P62">
        <v>2963.69</v>
      </c>
      <c r="Q62" t="s">
        <v>47</v>
      </c>
      <c r="R62" t="s">
        <v>48</v>
      </c>
      <c r="S62">
        <v>5</v>
      </c>
    </row>
    <row r="63" spans="1:19" x14ac:dyDescent="0.3">
      <c r="A63" t="s">
        <v>192</v>
      </c>
      <c r="B63">
        <v>44988</v>
      </c>
      <c r="C63" t="s">
        <v>63</v>
      </c>
      <c r="D63" t="s">
        <v>56</v>
      </c>
      <c r="E63" t="s">
        <v>32</v>
      </c>
      <c r="F63" t="s">
        <v>33</v>
      </c>
      <c r="G63" t="s">
        <v>24</v>
      </c>
      <c r="H63" t="s">
        <v>186</v>
      </c>
      <c r="I63" t="s">
        <v>193</v>
      </c>
      <c r="J63">
        <v>2</v>
      </c>
      <c r="K63">
        <v>9595</v>
      </c>
      <c r="L63">
        <v>0.24</v>
      </c>
      <c r="M63">
        <f>'Raw data'!$K63*(1- 'Raw data'!$L63)</f>
        <v>7292.2</v>
      </c>
      <c r="N63">
        <v>14584.4</v>
      </c>
      <c r="O63">
        <v>0.25</v>
      </c>
      <c r="P63">
        <v>3646.1</v>
      </c>
      <c r="Q63" t="s">
        <v>37</v>
      </c>
      <c r="R63" t="s">
        <v>48</v>
      </c>
      <c r="S63">
        <v>2</v>
      </c>
    </row>
    <row r="64" spans="1:19" x14ac:dyDescent="0.3">
      <c r="A64" t="s">
        <v>194</v>
      </c>
      <c r="B64">
        <v>44989</v>
      </c>
      <c r="C64" t="s">
        <v>20</v>
      </c>
      <c r="D64" t="s">
        <v>41</v>
      </c>
      <c r="E64" t="s">
        <v>67</v>
      </c>
      <c r="F64" t="s">
        <v>23</v>
      </c>
      <c r="G64" t="s">
        <v>34</v>
      </c>
      <c r="H64" t="s">
        <v>141</v>
      </c>
      <c r="I64" t="s">
        <v>195</v>
      </c>
      <c r="J64">
        <v>9</v>
      </c>
      <c r="K64">
        <v>1004</v>
      </c>
      <c r="L64">
        <v>0.16</v>
      </c>
      <c r="M64">
        <f>'Raw data'!$K64*(1- 'Raw data'!$L64)</f>
        <v>843.36</v>
      </c>
      <c r="N64">
        <v>7590.24</v>
      </c>
      <c r="O64">
        <v>0.4</v>
      </c>
      <c r="P64">
        <v>3036.1</v>
      </c>
      <c r="Q64" t="s">
        <v>51</v>
      </c>
      <c r="R64" t="s">
        <v>48</v>
      </c>
      <c r="S64">
        <v>7</v>
      </c>
    </row>
    <row r="65" spans="1:19" x14ac:dyDescent="0.3">
      <c r="A65" t="s">
        <v>196</v>
      </c>
      <c r="B65">
        <v>44990</v>
      </c>
      <c r="C65" t="s">
        <v>63</v>
      </c>
      <c r="D65" t="s">
        <v>31</v>
      </c>
      <c r="E65" t="s">
        <v>67</v>
      </c>
      <c r="F65" t="s">
        <v>43</v>
      </c>
      <c r="G65" t="s">
        <v>57</v>
      </c>
      <c r="H65" t="s">
        <v>81</v>
      </c>
      <c r="I65" t="s">
        <v>197</v>
      </c>
      <c r="J65">
        <v>3</v>
      </c>
      <c r="K65">
        <v>14803</v>
      </c>
      <c r="L65">
        <v>0.17</v>
      </c>
      <c r="M65">
        <f>'Raw data'!$K65*(1- 'Raw data'!$L65)</f>
        <v>12286.49</v>
      </c>
      <c r="N65">
        <v>36859.47</v>
      </c>
      <c r="O65">
        <v>0.2</v>
      </c>
      <c r="P65">
        <v>7371.89</v>
      </c>
      <c r="Q65" t="s">
        <v>51</v>
      </c>
      <c r="R65" t="s">
        <v>48</v>
      </c>
      <c r="S65">
        <v>6</v>
      </c>
    </row>
    <row r="66" spans="1:19" x14ac:dyDescent="0.3">
      <c r="A66" t="s">
        <v>198</v>
      </c>
      <c r="B66">
        <v>44991</v>
      </c>
      <c r="C66" t="s">
        <v>55</v>
      </c>
      <c r="D66" t="s">
        <v>56</v>
      </c>
      <c r="E66" t="s">
        <v>42</v>
      </c>
      <c r="F66" t="s">
        <v>43</v>
      </c>
      <c r="G66" t="s">
        <v>57</v>
      </c>
      <c r="H66" t="s">
        <v>183</v>
      </c>
      <c r="I66" t="s">
        <v>199</v>
      </c>
      <c r="J66">
        <v>2</v>
      </c>
      <c r="K66">
        <v>5453</v>
      </c>
      <c r="L66">
        <v>0.16</v>
      </c>
      <c r="M66">
        <f>'Raw data'!$K66*(1- 'Raw data'!$L66)</f>
        <v>4580.5199999999995</v>
      </c>
      <c r="N66">
        <v>9161.0400000000009</v>
      </c>
      <c r="O66">
        <v>0.2</v>
      </c>
      <c r="P66">
        <v>1832.21</v>
      </c>
      <c r="Q66" t="s">
        <v>37</v>
      </c>
      <c r="R66" t="s">
        <v>48</v>
      </c>
      <c r="S66">
        <v>1</v>
      </c>
    </row>
    <row r="67" spans="1:19" x14ac:dyDescent="0.3">
      <c r="A67" t="s">
        <v>200</v>
      </c>
      <c r="B67">
        <v>44992</v>
      </c>
      <c r="C67" t="s">
        <v>30</v>
      </c>
      <c r="D67" t="s">
        <v>31</v>
      </c>
      <c r="E67" t="s">
        <v>67</v>
      </c>
      <c r="F67" t="s">
        <v>68</v>
      </c>
      <c r="G67" t="s">
        <v>24</v>
      </c>
      <c r="H67" t="s">
        <v>186</v>
      </c>
      <c r="I67" t="s">
        <v>201</v>
      </c>
      <c r="J67">
        <v>9</v>
      </c>
      <c r="K67">
        <v>7675</v>
      </c>
      <c r="L67">
        <v>0.05</v>
      </c>
      <c r="M67">
        <f>'Raw data'!$K67*(1- 'Raw data'!$L67)</f>
        <v>7291.25</v>
      </c>
      <c r="N67">
        <v>65621.25</v>
      </c>
      <c r="O67">
        <v>0.25</v>
      </c>
      <c r="P67">
        <v>16405.310000000001</v>
      </c>
      <c r="Q67" t="s">
        <v>27</v>
      </c>
      <c r="R67" t="s">
        <v>48</v>
      </c>
      <c r="S67">
        <v>4</v>
      </c>
    </row>
    <row r="68" spans="1:19" x14ac:dyDescent="0.3">
      <c r="A68" t="s">
        <v>202</v>
      </c>
      <c r="B68">
        <v>44993</v>
      </c>
      <c r="C68" t="s">
        <v>40</v>
      </c>
      <c r="D68" t="s">
        <v>31</v>
      </c>
      <c r="E68" t="s">
        <v>67</v>
      </c>
      <c r="F68" t="s">
        <v>68</v>
      </c>
      <c r="G68" t="s">
        <v>57</v>
      </c>
      <c r="H68" t="s">
        <v>58</v>
      </c>
      <c r="I68" t="s">
        <v>203</v>
      </c>
      <c r="J68">
        <v>7</v>
      </c>
      <c r="K68">
        <v>2955</v>
      </c>
      <c r="L68">
        <v>0.1</v>
      </c>
      <c r="M68">
        <f>'Raw data'!$K68*(1- 'Raw data'!$L68)</f>
        <v>2659.5</v>
      </c>
      <c r="N68">
        <v>18616.5</v>
      </c>
      <c r="O68">
        <v>0.2</v>
      </c>
      <c r="P68">
        <v>3723.3</v>
      </c>
      <c r="Q68" t="s">
        <v>47</v>
      </c>
      <c r="R68" t="s">
        <v>48</v>
      </c>
      <c r="S68">
        <v>3</v>
      </c>
    </row>
    <row r="69" spans="1:19" x14ac:dyDescent="0.3">
      <c r="A69" t="s">
        <v>204</v>
      </c>
      <c r="B69">
        <v>44994</v>
      </c>
      <c r="C69" t="s">
        <v>55</v>
      </c>
      <c r="D69" t="s">
        <v>41</v>
      </c>
      <c r="E69" t="s">
        <v>67</v>
      </c>
      <c r="F69" t="s">
        <v>68</v>
      </c>
      <c r="G69" t="s">
        <v>57</v>
      </c>
      <c r="H69" t="s">
        <v>100</v>
      </c>
      <c r="I69" t="s">
        <v>205</v>
      </c>
      <c r="J69">
        <v>6</v>
      </c>
      <c r="K69">
        <v>8295</v>
      </c>
      <c r="L69">
        <v>0.19</v>
      </c>
      <c r="M69">
        <f>'Raw data'!$K69*(1- 'Raw data'!$L69)</f>
        <v>6718.9500000000007</v>
      </c>
      <c r="N69">
        <v>40313.699999999997</v>
      </c>
      <c r="O69">
        <v>0.2</v>
      </c>
      <c r="P69">
        <v>8062.74</v>
      </c>
      <c r="Q69" t="s">
        <v>27</v>
      </c>
      <c r="R69" t="s">
        <v>48</v>
      </c>
      <c r="S69">
        <v>3</v>
      </c>
    </row>
    <row r="70" spans="1:19" x14ac:dyDescent="0.3">
      <c r="A70" t="s">
        <v>206</v>
      </c>
      <c r="B70">
        <v>44995</v>
      </c>
      <c r="C70" t="s">
        <v>30</v>
      </c>
      <c r="D70" t="s">
        <v>31</v>
      </c>
      <c r="E70" t="s">
        <v>32</v>
      </c>
      <c r="F70" t="s">
        <v>97</v>
      </c>
      <c r="G70" t="s">
        <v>24</v>
      </c>
      <c r="H70" t="s">
        <v>186</v>
      </c>
      <c r="I70" t="s">
        <v>207</v>
      </c>
      <c r="J70">
        <v>1</v>
      </c>
      <c r="K70">
        <v>2712</v>
      </c>
      <c r="L70">
        <v>0.03</v>
      </c>
      <c r="M70">
        <f>'Raw data'!$K70*(1- 'Raw data'!$L70)</f>
        <v>2630.64</v>
      </c>
      <c r="N70">
        <v>2630.64</v>
      </c>
      <c r="O70">
        <v>0.25</v>
      </c>
      <c r="P70">
        <v>657.66</v>
      </c>
      <c r="Q70" t="s">
        <v>51</v>
      </c>
      <c r="R70" t="s">
        <v>48</v>
      </c>
      <c r="S70">
        <v>7</v>
      </c>
    </row>
    <row r="71" spans="1:19" x14ac:dyDescent="0.3">
      <c r="A71" t="s">
        <v>208</v>
      </c>
      <c r="B71">
        <v>44996</v>
      </c>
      <c r="C71" t="s">
        <v>63</v>
      </c>
      <c r="D71" t="s">
        <v>41</v>
      </c>
      <c r="E71" t="s">
        <v>32</v>
      </c>
      <c r="F71" t="s">
        <v>68</v>
      </c>
      <c r="G71" t="s">
        <v>24</v>
      </c>
      <c r="H71" t="s">
        <v>186</v>
      </c>
      <c r="I71" t="s">
        <v>209</v>
      </c>
      <c r="J71">
        <v>5</v>
      </c>
      <c r="K71">
        <v>5703</v>
      </c>
      <c r="L71">
        <v>7.0000000000000007E-2</v>
      </c>
      <c r="M71">
        <f>'Raw data'!$K71*(1- 'Raw data'!$L71)</f>
        <v>5303.79</v>
      </c>
      <c r="N71">
        <v>26518.95</v>
      </c>
      <c r="O71">
        <v>0.25</v>
      </c>
      <c r="P71">
        <v>6629.74</v>
      </c>
      <c r="Q71" t="s">
        <v>51</v>
      </c>
      <c r="R71" t="s">
        <v>48</v>
      </c>
      <c r="S71">
        <v>4</v>
      </c>
    </row>
    <row r="72" spans="1:19" x14ac:dyDescent="0.3">
      <c r="A72" t="s">
        <v>210</v>
      </c>
      <c r="B72">
        <v>44997</v>
      </c>
      <c r="C72" t="s">
        <v>63</v>
      </c>
      <c r="D72" t="s">
        <v>21</v>
      </c>
      <c r="E72" t="s">
        <v>42</v>
      </c>
      <c r="F72" t="s">
        <v>23</v>
      </c>
      <c r="G72" t="s">
        <v>92</v>
      </c>
      <c r="H72" t="s">
        <v>178</v>
      </c>
      <c r="I72" t="s">
        <v>211</v>
      </c>
      <c r="J72">
        <v>3</v>
      </c>
      <c r="K72">
        <v>75128</v>
      </c>
      <c r="L72">
        <v>7.0000000000000007E-2</v>
      </c>
      <c r="M72">
        <f>'Raw data'!$K72*(1- 'Raw data'!$L72)</f>
        <v>69869.039999999994</v>
      </c>
      <c r="N72">
        <v>209607.12</v>
      </c>
      <c r="O72">
        <v>0.15</v>
      </c>
      <c r="P72">
        <v>31441.07</v>
      </c>
      <c r="Q72" t="s">
        <v>27</v>
      </c>
      <c r="R72" t="s">
        <v>48</v>
      </c>
      <c r="S72">
        <v>8</v>
      </c>
    </row>
    <row r="73" spans="1:19" x14ac:dyDescent="0.3">
      <c r="A73" t="s">
        <v>212</v>
      </c>
      <c r="B73">
        <v>44998</v>
      </c>
      <c r="C73" t="s">
        <v>55</v>
      </c>
      <c r="D73" t="s">
        <v>41</v>
      </c>
      <c r="E73" t="s">
        <v>67</v>
      </c>
      <c r="F73" t="s">
        <v>43</v>
      </c>
      <c r="G73" t="s">
        <v>34</v>
      </c>
      <c r="H73" t="s">
        <v>71</v>
      </c>
      <c r="I73" t="s">
        <v>213</v>
      </c>
      <c r="J73">
        <v>1</v>
      </c>
      <c r="K73">
        <v>619</v>
      </c>
      <c r="L73">
        <v>0.11</v>
      </c>
      <c r="M73">
        <f>'Raw data'!$K73*(1- 'Raw data'!$L73)</f>
        <v>550.91</v>
      </c>
      <c r="N73">
        <v>550.91</v>
      </c>
      <c r="O73">
        <v>0.4</v>
      </c>
      <c r="P73">
        <v>220.36</v>
      </c>
      <c r="Q73" t="s">
        <v>51</v>
      </c>
      <c r="R73" t="s">
        <v>48</v>
      </c>
      <c r="S73">
        <v>9</v>
      </c>
    </row>
    <row r="74" spans="1:19" x14ac:dyDescent="0.3">
      <c r="A74" t="s">
        <v>214</v>
      </c>
      <c r="B74">
        <v>44999</v>
      </c>
      <c r="C74" t="s">
        <v>20</v>
      </c>
      <c r="D74" t="s">
        <v>31</v>
      </c>
      <c r="E74" t="s">
        <v>32</v>
      </c>
      <c r="F74" t="s">
        <v>23</v>
      </c>
      <c r="G74" t="s">
        <v>34</v>
      </c>
      <c r="H74" t="s">
        <v>71</v>
      </c>
      <c r="I74" t="s">
        <v>215</v>
      </c>
      <c r="J74">
        <v>4</v>
      </c>
      <c r="K74">
        <v>1473</v>
      </c>
      <c r="L74">
        <v>0.25</v>
      </c>
      <c r="M74">
        <f>'Raw data'!$K74*(1- 'Raw data'!$L74)</f>
        <v>1104.75</v>
      </c>
      <c r="N74">
        <v>4419</v>
      </c>
      <c r="O74">
        <v>0.4</v>
      </c>
      <c r="P74">
        <v>1767.6</v>
      </c>
      <c r="Q74" t="s">
        <v>47</v>
      </c>
      <c r="R74" t="s">
        <v>48</v>
      </c>
      <c r="S74">
        <v>3</v>
      </c>
    </row>
    <row r="75" spans="1:19" x14ac:dyDescent="0.3">
      <c r="A75" t="s">
        <v>216</v>
      </c>
      <c r="B75">
        <v>45000</v>
      </c>
      <c r="C75" t="s">
        <v>63</v>
      </c>
      <c r="D75" t="s">
        <v>21</v>
      </c>
      <c r="E75" t="s">
        <v>32</v>
      </c>
      <c r="F75" t="s">
        <v>33</v>
      </c>
      <c r="G75" t="s">
        <v>57</v>
      </c>
      <c r="H75" t="s">
        <v>183</v>
      </c>
      <c r="I75" t="s">
        <v>217</v>
      </c>
      <c r="J75">
        <v>2</v>
      </c>
      <c r="K75">
        <v>14003</v>
      </c>
      <c r="L75">
        <v>0.02</v>
      </c>
      <c r="M75">
        <f>'Raw data'!$K75*(1- 'Raw data'!$L75)</f>
        <v>13722.94</v>
      </c>
      <c r="N75">
        <v>27445.88</v>
      </c>
      <c r="O75">
        <v>0.2</v>
      </c>
      <c r="P75">
        <v>5489.18</v>
      </c>
      <c r="Q75" t="s">
        <v>37</v>
      </c>
      <c r="R75" t="s">
        <v>48</v>
      </c>
      <c r="S75">
        <v>5</v>
      </c>
    </row>
    <row r="76" spans="1:19" x14ac:dyDescent="0.3">
      <c r="A76" t="s">
        <v>218</v>
      </c>
      <c r="B76">
        <v>45001</v>
      </c>
      <c r="C76" t="s">
        <v>20</v>
      </c>
      <c r="D76" t="s">
        <v>41</v>
      </c>
      <c r="E76" t="s">
        <v>42</v>
      </c>
      <c r="F76" t="s">
        <v>68</v>
      </c>
      <c r="G76" t="s">
        <v>34</v>
      </c>
      <c r="H76" t="s">
        <v>35</v>
      </c>
      <c r="I76" t="s">
        <v>219</v>
      </c>
      <c r="J76">
        <v>2</v>
      </c>
      <c r="K76">
        <v>777</v>
      </c>
      <c r="L76">
        <v>0.13</v>
      </c>
      <c r="M76">
        <f>'Raw data'!$K76*(1- 'Raw data'!$L76)</f>
        <v>675.99</v>
      </c>
      <c r="N76">
        <v>1351.98</v>
      </c>
      <c r="O76">
        <v>0.4</v>
      </c>
      <c r="P76">
        <v>540.79</v>
      </c>
      <c r="Q76" t="s">
        <v>27</v>
      </c>
      <c r="R76" t="s">
        <v>48</v>
      </c>
      <c r="S76">
        <v>4</v>
      </c>
    </row>
    <row r="77" spans="1:19" x14ac:dyDescent="0.3">
      <c r="A77" t="s">
        <v>220</v>
      </c>
      <c r="B77">
        <v>45002</v>
      </c>
      <c r="C77" t="s">
        <v>20</v>
      </c>
      <c r="D77" t="s">
        <v>31</v>
      </c>
      <c r="E77" t="s">
        <v>22</v>
      </c>
      <c r="F77" t="s">
        <v>97</v>
      </c>
      <c r="G77" t="s">
        <v>57</v>
      </c>
      <c r="H77" t="s">
        <v>58</v>
      </c>
      <c r="I77" t="s">
        <v>221</v>
      </c>
      <c r="J77">
        <v>3</v>
      </c>
      <c r="K77">
        <v>13171</v>
      </c>
      <c r="L77">
        <v>0.04</v>
      </c>
      <c r="M77">
        <f>'Raw data'!$K77*(1- 'Raw data'!$L77)</f>
        <v>12644.16</v>
      </c>
      <c r="N77">
        <v>37932.480000000003</v>
      </c>
      <c r="O77">
        <v>0.2</v>
      </c>
      <c r="P77">
        <v>7586.5</v>
      </c>
      <c r="Q77" t="s">
        <v>47</v>
      </c>
      <c r="R77" t="s">
        <v>48</v>
      </c>
      <c r="S77">
        <v>6</v>
      </c>
    </row>
    <row r="78" spans="1:19" x14ac:dyDescent="0.3">
      <c r="A78" t="s">
        <v>222</v>
      </c>
      <c r="B78">
        <v>45003</v>
      </c>
      <c r="C78" t="s">
        <v>20</v>
      </c>
      <c r="D78" t="s">
        <v>56</v>
      </c>
      <c r="E78" t="s">
        <v>67</v>
      </c>
      <c r="F78" t="s">
        <v>33</v>
      </c>
      <c r="G78" t="s">
        <v>92</v>
      </c>
      <c r="H78" t="s">
        <v>109</v>
      </c>
      <c r="I78" t="s">
        <v>223</v>
      </c>
      <c r="J78">
        <v>8</v>
      </c>
      <c r="K78">
        <v>55350</v>
      </c>
      <c r="L78">
        <v>0.24</v>
      </c>
      <c r="M78">
        <f>'Raw data'!$K78*(1- 'Raw data'!$L78)</f>
        <v>42066</v>
      </c>
      <c r="N78">
        <v>336528</v>
      </c>
      <c r="O78">
        <v>0.15</v>
      </c>
      <c r="P78">
        <v>50479.199999999997</v>
      </c>
      <c r="Q78" t="s">
        <v>47</v>
      </c>
      <c r="R78" t="s">
        <v>48</v>
      </c>
      <c r="S78">
        <v>4</v>
      </c>
    </row>
    <row r="79" spans="1:19" x14ac:dyDescent="0.3">
      <c r="A79" t="s">
        <v>224</v>
      </c>
      <c r="B79">
        <v>45004</v>
      </c>
      <c r="C79" t="s">
        <v>96</v>
      </c>
      <c r="D79" t="s">
        <v>56</v>
      </c>
      <c r="E79" t="s">
        <v>32</v>
      </c>
      <c r="F79" t="s">
        <v>97</v>
      </c>
      <c r="G79" t="s">
        <v>24</v>
      </c>
      <c r="H79" t="s">
        <v>25</v>
      </c>
      <c r="I79" t="s">
        <v>225</v>
      </c>
      <c r="J79">
        <v>8</v>
      </c>
      <c r="K79">
        <v>13201</v>
      </c>
      <c r="L79">
        <v>0.03</v>
      </c>
      <c r="M79">
        <f>'Raw data'!$K79*(1- 'Raw data'!$L79)</f>
        <v>12804.97</v>
      </c>
      <c r="N79">
        <v>102439.76</v>
      </c>
      <c r="O79">
        <v>0.25</v>
      </c>
      <c r="P79">
        <v>25609.94</v>
      </c>
      <c r="Q79" t="s">
        <v>51</v>
      </c>
      <c r="R79" t="s">
        <v>48</v>
      </c>
      <c r="S79">
        <v>8</v>
      </c>
    </row>
    <row r="80" spans="1:19" x14ac:dyDescent="0.3">
      <c r="A80" t="s">
        <v>226</v>
      </c>
      <c r="B80">
        <v>45005</v>
      </c>
      <c r="C80" t="s">
        <v>30</v>
      </c>
      <c r="D80" t="s">
        <v>41</v>
      </c>
      <c r="E80" t="s">
        <v>42</v>
      </c>
      <c r="F80" t="s">
        <v>33</v>
      </c>
      <c r="G80" t="s">
        <v>24</v>
      </c>
      <c r="H80" t="s">
        <v>74</v>
      </c>
      <c r="I80" t="s">
        <v>227</v>
      </c>
      <c r="J80">
        <v>7</v>
      </c>
      <c r="K80">
        <v>14042</v>
      </c>
      <c r="L80">
        <v>0.1</v>
      </c>
      <c r="M80">
        <f>'Raw data'!$K80*(1- 'Raw data'!$L80)</f>
        <v>12637.800000000001</v>
      </c>
      <c r="N80">
        <v>88464.6</v>
      </c>
      <c r="O80">
        <v>0.25</v>
      </c>
      <c r="P80">
        <v>22116.15</v>
      </c>
      <c r="Q80" t="s">
        <v>47</v>
      </c>
      <c r="R80" t="s">
        <v>48</v>
      </c>
      <c r="S80">
        <v>3</v>
      </c>
    </row>
    <row r="81" spans="1:19" x14ac:dyDescent="0.3">
      <c r="A81" t="s">
        <v>228</v>
      </c>
      <c r="B81">
        <v>45006</v>
      </c>
      <c r="C81" t="s">
        <v>30</v>
      </c>
      <c r="D81" t="s">
        <v>41</v>
      </c>
      <c r="E81" t="s">
        <v>42</v>
      </c>
      <c r="F81" t="s">
        <v>43</v>
      </c>
      <c r="G81" t="s">
        <v>24</v>
      </c>
      <c r="H81" t="s">
        <v>121</v>
      </c>
      <c r="I81" t="s">
        <v>229</v>
      </c>
      <c r="J81">
        <v>6</v>
      </c>
      <c r="K81">
        <v>2394</v>
      </c>
      <c r="L81">
        <v>0.18</v>
      </c>
      <c r="M81">
        <f>'Raw data'!$K81*(1- 'Raw data'!$L81)</f>
        <v>1963.0800000000002</v>
      </c>
      <c r="N81">
        <v>11778.48</v>
      </c>
      <c r="O81">
        <v>0.25</v>
      </c>
      <c r="P81">
        <v>2944.62</v>
      </c>
      <c r="Q81" t="s">
        <v>27</v>
      </c>
      <c r="R81" t="s">
        <v>38</v>
      </c>
      <c r="S81">
        <v>5</v>
      </c>
    </row>
    <row r="82" spans="1:19" x14ac:dyDescent="0.3">
      <c r="A82" t="s">
        <v>230</v>
      </c>
      <c r="B82">
        <v>45007</v>
      </c>
      <c r="C82" t="s">
        <v>63</v>
      </c>
      <c r="D82" t="s">
        <v>56</v>
      </c>
      <c r="E82" t="s">
        <v>42</v>
      </c>
      <c r="F82" t="s">
        <v>23</v>
      </c>
      <c r="G82" t="s">
        <v>34</v>
      </c>
      <c r="H82" t="s">
        <v>35</v>
      </c>
      <c r="I82" t="s">
        <v>231</v>
      </c>
      <c r="J82">
        <v>9</v>
      </c>
      <c r="K82">
        <v>385</v>
      </c>
      <c r="L82">
        <v>0.18</v>
      </c>
      <c r="M82">
        <f>'Raw data'!$K82*(1- 'Raw data'!$L82)</f>
        <v>315.70000000000005</v>
      </c>
      <c r="N82">
        <v>2841.3</v>
      </c>
      <c r="O82">
        <v>0.4</v>
      </c>
      <c r="P82">
        <v>1136.52</v>
      </c>
      <c r="Q82" t="s">
        <v>47</v>
      </c>
      <c r="R82" t="s">
        <v>48</v>
      </c>
      <c r="S82">
        <v>1</v>
      </c>
    </row>
    <row r="83" spans="1:19" x14ac:dyDescent="0.3">
      <c r="A83" t="s">
        <v>232</v>
      </c>
      <c r="B83">
        <v>45008</v>
      </c>
      <c r="C83" t="s">
        <v>63</v>
      </c>
      <c r="D83" t="s">
        <v>31</v>
      </c>
      <c r="E83" t="s">
        <v>32</v>
      </c>
      <c r="F83" t="s">
        <v>103</v>
      </c>
      <c r="G83" t="s">
        <v>92</v>
      </c>
      <c r="H83" t="s">
        <v>93</v>
      </c>
      <c r="I83" t="s">
        <v>233</v>
      </c>
      <c r="J83">
        <v>4</v>
      </c>
      <c r="K83">
        <v>52229</v>
      </c>
      <c r="L83">
        <v>0.11</v>
      </c>
      <c r="M83">
        <f>'Raw data'!$K83*(1- 'Raw data'!$L83)</f>
        <v>46483.81</v>
      </c>
      <c r="N83">
        <v>185935.24</v>
      </c>
      <c r="O83">
        <v>0.15</v>
      </c>
      <c r="P83">
        <v>27890.29</v>
      </c>
      <c r="Q83" t="s">
        <v>37</v>
      </c>
      <c r="R83" t="s">
        <v>48</v>
      </c>
      <c r="S83">
        <v>6</v>
      </c>
    </row>
    <row r="84" spans="1:19" x14ac:dyDescent="0.3">
      <c r="A84" t="s">
        <v>234</v>
      </c>
      <c r="B84">
        <v>45009</v>
      </c>
      <c r="C84" t="s">
        <v>20</v>
      </c>
      <c r="D84" t="s">
        <v>31</v>
      </c>
      <c r="E84" t="s">
        <v>67</v>
      </c>
      <c r="F84" t="s">
        <v>23</v>
      </c>
      <c r="G84" t="s">
        <v>34</v>
      </c>
      <c r="H84" t="s">
        <v>104</v>
      </c>
      <c r="I84" t="s">
        <v>235</v>
      </c>
      <c r="J84">
        <v>1</v>
      </c>
      <c r="K84">
        <v>836</v>
      </c>
      <c r="L84">
        <v>0.09</v>
      </c>
      <c r="M84">
        <f>'Raw data'!$K84*(1- 'Raw data'!$L84)</f>
        <v>760.76</v>
      </c>
      <c r="N84">
        <v>760.76</v>
      </c>
      <c r="O84">
        <v>0.4</v>
      </c>
      <c r="P84">
        <v>304.3</v>
      </c>
      <c r="Q84" t="s">
        <v>47</v>
      </c>
      <c r="R84" t="s">
        <v>48</v>
      </c>
      <c r="S84">
        <v>5</v>
      </c>
    </row>
    <row r="85" spans="1:19" x14ac:dyDescent="0.3">
      <c r="A85" t="s">
        <v>236</v>
      </c>
      <c r="B85">
        <v>45010</v>
      </c>
      <c r="C85" t="s">
        <v>96</v>
      </c>
      <c r="D85" t="s">
        <v>31</v>
      </c>
      <c r="E85" t="s">
        <v>22</v>
      </c>
      <c r="F85" t="s">
        <v>68</v>
      </c>
      <c r="G85" t="s">
        <v>34</v>
      </c>
      <c r="H85" t="s">
        <v>104</v>
      </c>
      <c r="I85" t="s">
        <v>237</v>
      </c>
      <c r="J85">
        <v>8</v>
      </c>
      <c r="K85">
        <v>1491</v>
      </c>
      <c r="L85">
        <v>0.1</v>
      </c>
      <c r="M85">
        <f>'Raw data'!$K85*(1- 'Raw data'!$L85)</f>
        <v>1341.9</v>
      </c>
      <c r="N85">
        <v>10735.2</v>
      </c>
      <c r="O85">
        <v>0.4</v>
      </c>
      <c r="P85">
        <v>4294.08</v>
      </c>
      <c r="Q85" t="s">
        <v>47</v>
      </c>
      <c r="R85" t="s">
        <v>48</v>
      </c>
      <c r="S85">
        <v>8</v>
      </c>
    </row>
    <row r="86" spans="1:19" x14ac:dyDescent="0.3">
      <c r="A86" t="s">
        <v>238</v>
      </c>
      <c r="B86">
        <v>45011</v>
      </c>
      <c r="C86" t="s">
        <v>20</v>
      </c>
      <c r="D86" t="s">
        <v>41</v>
      </c>
      <c r="E86" t="s">
        <v>67</v>
      </c>
      <c r="F86" t="s">
        <v>103</v>
      </c>
      <c r="G86" t="s">
        <v>92</v>
      </c>
      <c r="H86" t="s">
        <v>109</v>
      </c>
      <c r="I86" t="s">
        <v>239</v>
      </c>
      <c r="J86">
        <v>7</v>
      </c>
      <c r="K86">
        <v>58364</v>
      </c>
      <c r="L86">
        <v>7.0000000000000007E-2</v>
      </c>
      <c r="M86">
        <f>'Raw data'!$K86*(1- 'Raw data'!$L86)</f>
        <v>54278.52</v>
      </c>
      <c r="N86">
        <v>379949.64</v>
      </c>
      <c r="O86">
        <v>0.15</v>
      </c>
      <c r="P86">
        <v>56992.45</v>
      </c>
      <c r="Q86" t="s">
        <v>37</v>
      </c>
      <c r="R86" t="s">
        <v>48</v>
      </c>
      <c r="S86">
        <v>9</v>
      </c>
    </row>
    <row r="87" spans="1:19" x14ac:dyDescent="0.3">
      <c r="A87" t="s">
        <v>240</v>
      </c>
      <c r="B87">
        <v>45012</v>
      </c>
      <c r="C87" t="s">
        <v>96</v>
      </c>
      <c r="D87" t="s">
        <v>21</v>
      </c>
      <c r="E87" t="s">
        <v>42</v>
      </c>
      <c r="F87" t="s">
        <v>97</v>
      </c>
      <c r="G87" t="s">
        <v>92</v>
      </c>
      <c r="H87" t="s">
        <v>109</v>
      </c>
      <c r="I87" t="s">
        <v>241</v>
      </c>
      <c r="J87">
        <v>7</v>
      </c>
      <c r="K87">
        <v>67056</v>
      </c>
      <c r="L87">
        <v>0.05</v>
      </c>
      <c r="M87">
        <f>'Raw data'!$K87*(1- 'Raw data'!$L87)</f>
        <v>63703.199999999997</v>
      </c>
      <c r="N87">
        <v>445922.4</v>
      </c>
      <c r="O87">
        <v>0.15</v>
      </c>
      <c r="P87">
        <v>66888.36</v>
      </c>
      <c r="Q87" t="s">
        <v>47</v>
      </c>
      <c r="R87" t="s">
        <v>48</v>
      </c>
      <c r="S87">
        <v>8</v>
      </c>
    </row>
    <row r="88" spans="1:19" x14ac:dyDescent="0.3">
      <c r="A88" t="s">
        <v>242</v>
      </c>
      <c r="B88">
        <v>45013</v>
      </c>
      <c r="C88" t="s">
        <v>20</v>
      </c>
      <c r="D88" t="s">
        <v>21</v>
      </c>
      <c r="E88" t="s">
        <v>42</v>
      </c>
      <c r="F88" t="s">
        <v>43</v>
      </c>
      <c r="G88" t="s">
        <v>92</v>
      </c>
      <c r="H88" t="s">
        <v>243</v>
      </c>
      <c r="I88" t="s">
        <v>244</v>
      </c>
      <c r="J88">
        <v>3</v>
      </c>
      <c r="K88">
        <v>37490</v>
      </c>
      <c r="L88">
        <v>0.12</v>
      </c>
      <c r="M88">
        <f>'Raw data'!$K88*(1- 'Raw data'!$L88)</f>
        <v>32991.199999999997</v>
      </c>
      <c r="N88">
        <v>98973.6</v>
      </c>
      <c r="O88">
        <v>0.15</v>
      </c>
      <c r="P88">
        <v>14846.04</v>
      </c>
      <c r="Q88" t="s">
        <v>47</v>
      </c>
      <c r="R88" t="s">
        <v>48</v>
      </c>
      <c r="S88">
        <v>8</v>
      </c>
    </row>
    <row r="89" spans="1:19" x14ac:dyDescent="0.3">
      <c r="A89" t="s">
        <v>245</v>
      </c>
      <c r="B89">
        <v>45014</v>
      </c>
      <c r="C89" t="s">
        <v>40</v>
      </c>
      <c r="D89" t="s">
        <v>21</v>
      </c>
      <c r="E89" t="s">
        <v>22</v>
      </c>
      <c r="F89" t="s">
        <v>43</v>
      </c>
      <c r="G89" t="s">
        <v>92</v>
      </c>
      <c r="H89" t="s">
        <v>243</v>
      </c>
      <c r="I89" t="s">
        <v>246</v>
      </c>
      <c r="J89">
        <v>4</v>
      </c>
      <c r="K89">
        <v>29975</v>
      </c>
      <c r="L89">
        <v>7.0000000000000007E-2</v>
      </c>
      <c r="M89">
        <f>'Raw data'!$K89*(1- 'Raw data'!$L89)</f>
        <v>27876.749999999996</v>
      </c>
      <c r="N89">
        <v>111507</v>
      </c>
      <c r="O89">
        <v>0.15</v>
      </c>
      <c r="P89">
        <v>16726.05</v>
      </c>
      <c r="Q89" t="s">
        <v>51</v>
      </c>
      <c r="R89" t="s">
        <v>48</v>
      </c>
      <c r="S89">
        <v>3</v>
      </c>
    </row>
    <row r="90" spans="1:19" x14ac:dyDescent="0.3">
      <c r="A90" t="s">
        <v>247</v>
      </c>
      <c r="B90">
        <v>45015</v>
      </c>
      <c r="C90" t="s">
        <v>40</v>
      </c>
      <c r="D90" t="s">
        <v>21</v>
      </c>
      <c r="E90" t="s">
        <v>67</v>
      </c>
      <c r="F90" t="s">
        <v>97</v>
      </c>
      <c r="G90" t="s">
        <v>24</v>
      </c>
      <c r="H90" t="s">
        <v>25</v>
      </c>
      <c r="I90" t="s">
        <v>248</v>
      </c>
      <c r="J90">
        <v>9</v>
      </c>
      <c r="K90">
        <v>11339</v>
      </c>
      <c r="L90">
        <v>7.0000000000000007E-2</v>
      </c>
      <c r="M90">
        <f>'Raw data'!$K90*(1- 'Raw data'!$L90)</f>
        <v>10545.269999999999</v>
      </c>
      <c r="N90">
        <v>94907.43</v>
      </c>
      <c r="O90">
        <v>0.25</v>
      </c>
      <c r="P90">
        <v>23726.86</v>
      </c>
      <c r="Q90" t="s">
        <v>27</v>
      </c>
      <c r="R90" t="s">
        <v>48</v>
      </c>
      <c r="S90">
        <v>4</v>
      </c>
    </row>
    <row r="91" spans="1:19" x14ac:dyDescent="0.3">
      <c r="A91" t="s">
        <v>249</v>
      </c>
      <c r="B91">
        <v>45016</v>
      </c>
      <c r="C91" t="s">
        <v>55</v>
      </c>
      <c r="D91" t="s">
        <v>21</v>
      </c>
      <c r="E91" t="s">
        <v>42</v>
      </c>
      <c r="F91" t="s">
        <v>68</v>
      </c>
      <c r="G91" t="s">
        <v>44</v>
      </c>
      <c r="H91" t="s">
        <v>116</v>
      </c>
      <c r="I91" t="s">
        <v>250</v>
      </c>
      <c r="J91">
        <v>6</v>
      </c>
      <c r="K91">
        <v>3869</v>
      </c>
      <c r="L91">
        <v>0.16</v>
      </c>
      <c r="M91">
        <f>'Raw data'!$K91*(1- 'Raw data'!$L91)</f>
        <v>3249.96</v>
      </c>
      <c r="N91">
        <v>19499.759999999998</v>
      </c>
      <c r="O91">
        <v>0.35</v>
      </c>
      <c r="P91">
        <v>6824.92</v>
      </c>
      <c r="Q91" t="s">
        <v>51</v>
      </c>
      <c r="R91" t="s">
        <v>48</v>
      </c>
      <c r="S91">
        <v>4</v>
      </c>
    </row>
    <row r="92" spans="1:19" x14ac:dyDescent="0.3">
      <c r="A92" t="s">
        <v>251</v>
      </c>
      <c r="B92">
        <v>45017</v>
      </c>
      <c r="C92" t="s">
        <v>20</v>
      </c>
      <c r="D92" t="s">
        <v>41</v>
      </c>
      <c r="E92" t="s">
        <v>42</v>
      </c>
      <c r="F92" t="s">
        <v>97</v>
      </c>
      <c r="G92" t="s">
        <v>44</v>
      </c>
      <c r="H92" t="s">
        <v>64</v>
      </c>
      <c r="I92" t="s">
        <v>252</v>
      </c>
      <c r="J92">
        <v>5</v>
      </c>
      <c r="K92">
        <v>1439</v>
      </c>
      <c r="L92">
        <v>0.24</v>
      </c>
      <c r="M92">
        <f>'Raw data'!$K92*(1- 'Raw data'!$L92)</f>
        <v>1093.6400000000001</v>
      </c>
      <c r="N92">
        <v>5468.2</v>
      </c>
      <c r="O92">
        <v>0.35</v>
      </c>
      <c r="P92">
        <v>1913.87</v>
      </c>
      <c r="Q92" t="s">
        <v>27</v>
      </c>
      <c r="R92" t="s">
        <v>48</v>
      </c>
      <c r="S92">
        <v>5</v>
      </c>
    </row>
    <row r="93" spans="1:19" x14ac:dyDescent="0.3">
      <c r="A93" t="s">
        <v>253</v>
      </c>
      <c r="B93">
        <v>45018</v>
      </c>
      <c r="C93" t="s">
        <v>63</v>
      </c>
      <c r="D93" t="s">
        <v>41</v>
      </c>
      <c r="E93" t="s">
        <v>67</v>
      </c>
      <c r="F93" t="s">
        <v>33</v>
      </c>
      <c r="G93" t="s">
        <v>92</v>
      </c>
      <c r="H93" t="s">
        <v>93</v>
      </c>
      <c r="I93" t="s">
        <v>254</v>
      </c>
      <c r="J93">
        <v>3</v>
      </c>
      <c r="K93">
        <v>76061</v>
      </c>
      <c r="L93">
        <v>0.15</v>
      </c>
      <c r="M93">
        <f>'Raw data'!$K93*(1- 'Raw data'!$L93)</f>
        <v>64651.85</v>
      </c>
      <c r="N93">
        <v>193955.55</v>
      </c>
      <c r="O93">
        <v>0.15</v>
      </c>
      <c r="P93">
        <v>29093.33</v>
      </c>
      <c r="Q93" t="s">
        <v>37</v>
      </c>
      <c r="R93" t="s">
        <v>48</v>
      </c>
      <c r="S93">
        <v>9</v>
      </c>
    </row>
    <row r="94" spans="1:19" x14ac:dyDescent="0.3">
      <c r="A94" t="s">
        <v>255</v>
      </c>
      <c r="B94">
        <v>45019</v>
      </c>
      <c r="C94" t="s">
        <v>30</v>
      </c>
      <c r="D94" t="s">
        <v>21</v>
      </c>
      <c r="E94" t="s">
        <v>42</v>
      </c>
      <c r="F94" t="s">
        <v>68</v>
      </c>
      <c r="G94" t="s">
        <v>44</v>
      </c>
      <c r="H94" t="s">
        <v>138</v>
      </c>
      <c r="I94" t="s">
        <v>256</v>
      </c>
      <c r="J94">
        <v>9</v>
      </c>
      <c r="K94">
        <v>501</v>
      </c>
      <c r="L94">
        <v>0.02</v>
      </c>
      <c r="M94">
        <f>'Raw data'!$K94*(1- 'Raw data'!$L94)</f>
        <v>490.98</v>
      </c>
      <c r="N94">
        <v>4418.82</v>
      </c>
      <c r="O94">
        <v>0.35</v>
      </c>
      <c r="P94">
        <v>1546.59</v>
      </c>
      <c r="Q94" t="s">
        <v>37</v>
      </c>
      <c r="R94" t="s">
        <v>48</v>
      </c>
      <c r="S94">
        <v>9</v>
      </c>
    </row>
    <row r="95" spans="1:19" x14ac:dyDescent="0.3">
      <c r="A95" t="s">
        <v>257</v>
      </c>
      <c r="B95">
        <v>45020</v>
      </c>
      <c r="C95" t="s">
        <v>55</v>
      </c>
      <c r="D95" t="s">
        <v>41</v>
      </c>
      <c r="E95" t="s">
        <v>67</v>
      </c>
      <c r="F95" t="s">
        <v>103</v>
      </c>
      <c r="G95" t="s">
        <v>44</v>
      </c>
      <c r="H95" t="s">
        <v>64</v>
      </c>
      <c r="I95" t="s">
        <v>258</v>
      </c>
      <c r="J95">
        <v>5</v>
      </c>
      <c r="K95">
        <v>874</v>
      </c>
      <c r="L95">
        <v>0.02</v>
      </c>
      <c r="M95">
        <f>'Raw data'!$K95*(1- 'Raw data'!$L95)</f>
        <v>856.52</v>
      </c>
      <c r="N95">
        <v>4282.6000000000004</v>
      </c>
      <c r="O95">
        <v>0.35</v>
      </c>
      <c r="P95">
        <v>1498.91</v>
      </c>
      <c r="Q95" t="s">
        <v>37</v>
      </c>
      <c r="R95" t="s">
        <v>48</v>
      </c>
      <c r="S95">
        <v>1</v>
      </c>
    </row>
    <row r="96" spans="1:19" x14ac:dyDescent="0.3">
      <c r="A96" t="s">
        <v>259</v>
      </c>
      <c r="B96">
        <v>45021</v>
      </c>
      <c r="C96" t="s">
        <v>63</v>
      </c>
      <c r="D96" t="s">
        <v>41</v>
      </c>
      <c r="E96" t="s">
        <v>42</v>
      </c>
      <c r="F96" t="s">
        <v>97</v>
      </c>
      <c r="G96" t="s">
        <v>92</v>
      </c>
      <c r="H96" t="s">
        <v>178</v>
      </c>
      <c r="I96" t="s">
        <v>260</v>
      </c>
      <c r="J96">
        <v>5</v>
      </c>
      <c r="K96">
        <v>36916</v>
      </c>
      <c r="L96">
        <v>0.24</v>
      </c>
      <c r="M96">
        <f>'Raw data'!$K96*(1- 'Raw data'!$L96)</f>
        <v>28056.16</v>
      </c>
      <c r="N96">
        <v>140280.79999999999</v>
      </c>
      <c r="O96">
        <v>0.15</v>
      </c>
      <c r="P96">
        <v>21042.12</v>
      </c>
      <c r="Q96" t="s">
        <v>27</v>
      </c>
      <c r="R96" t="s">
        <v>48</v>
      </c>
      <c r="S96">
        <v>8</v>
      </c>
    </row>
    <row r="97" spans="1:19" x14ac:dyDescent="0.3">
      <c r="A97" t="s">
        <v>261</v>
      </c>
      <c r="B97">
        <v>45022</v>
      </c>
      <c r="C97" t="s">
        <v>40</v>
      </c>
      <c r="D97" t="s">
        <v>21</v>
      </c>
      <c r="E97" t="s">
        <v>67</v>
      </c>
      <c r="F97" t="s">
        <v>68</v>
      </c>
      <c r="G97" t="s">
        <v>44</v>
      </c>
      <c r="H97" t="s">
        <v>64</v>
      </c>
      <c r="I97" t="s">
        <v>262</v>
      </c>
      <c r="J97">
        <v>4</v>
      </c>
      <c r="K97">
        <v>4505</v>
      </c>
      <c r="L97">
        <v>7.0000000000000007E-2</v>
      </c>
      <c r="M97">
        <f>'Raw data'!$K97*(1- 'Raw data'!$L97)</f>
        <v>4189.6499999999996</v>
      </c>
      <c r="N97">
        <v>16758.599999999999</v>
      </c>
      <c r="O97">
        <v>0.35</v>
      </c>
      <c r="P97">
        <v>5865.51</v>
      </c>
      <c r="Q97" t="s">
        <v>27</v>
      </c>
      <c r="R97" t="s">
        <v>48</v>
      </c>
      <c r="S97">
        <v>1</v>
      </c>
    </row>
    <row r="98" spans="1:19" x14ac:dyDescent="0.3">
      <c r="A98" t="s">
        <v>263</v>
      </c>
      <c r="B98">
        <v>45023</v>
      </c>
      <c r="C98" t="s">
        <v>20</v>
      </c>
      <c r="D98" t="s">
        <v>31</v>
      </c>
      <c r="E98" t="s">
        <v>22</v>
      </c>
      <c r="F98" t="s">
        <v>103</v>
      </c>
      <c r="G98" t="s">
        <v>34</v>
      </c>
      <c r="H98" t="s">
        <v>104</v>
      </c>
      <c r="I98" t="s">
        <v>264</v>
      </c>
      <c r="J98">
        <v>4</v>
      </c>
      <c r="K98">
        <v>1204</v>
      </c>
      <c r="L98">
        <v>0.02</v>
      </c>
      <c r="M98">
        <f>'Raw data'!$K98*(1- 'Raw data'!$L98)</f>
        <v>1179.92</v>
      </c>
      <c r="N98">
        <v>4719.68</v>
      </c>
      <c r="O98">
        <v>0.4</v>
      </c>
      <c r="P98">
        <v>1887.87</v>
      </c>
      <c r="Q98" t="s">
        <v>27</v>
      </c>
      <c r="R98" t="s">
        <v>48</v>
      </c>
      <c r="S98">
        <v>2</v>
      </c>
    </row>
    <row r="99" spans="1:19" x14ac:dyDescent="0.3">
      <c r="A99" t="s">
        <v>265</v>
      </c>
      <c r="B99">
        <v>45024</v>
      </c>
      <c r="C99" t="s">
        <v>55</v>
      </c>
      <c r="D99" t="s">
        <v>41</v>
      </c>
      <c r="E99" t="s">
        <v>42</v>
      </c>
      <c r="F99" t="s">
        <v>97</v>
      </c>
      <c r="G99" t="s">
        <v>57</v>
      </c>
      <c r="H99" t="s">
        <v>100</v>
      </c>
      <c r="I99" t="s">
        <v>266</v>
      </c>
      <c r="J99">
        <v>1</v>
      </c>
      <c r="K99">
        <v>6648</v>
      </c>
      <c r="L99">
        <v>0.15</v>
      </c>
      <c r="M99">
        <f>'Raw data'!$K99*(1- 'Raw data'!$L99)</f>
        <v>5650.8</v>
      </c>
      <c r="N99">
        <v>5650.8</v>
      </c>
      <c r="O99">
        <v>0.2</v>
      </c>
      <c r="P99">
        <v>1130.1600000000001</v>
      </c>
      <c r="Q99" t="s">
        <v>37</v>
      </c>
      <c r="R99" t="s">
        <v>48</v>
      </c>
      <c r="S99">
        <v>7</v>
      </c>
    </row>
    <row r="100" spans="1:19" x14ac:dyDescent="0.3">
      <c r="A100" t="s">
        <v>267</v>
      </c>
      <c r="B100">
        <v>45025</v>
      </c>
      <c r="C100" t="s">
        <v>20</v>
      </c>
      <c r="D100" t="s">
        <v>31</v>
      </c>
      <c r="E100" t="s">
        <v>22</v>
      </c>
      <c r="F100" t="s">
        <v>43</v>
      </c>
      <c r="G100" t="s">
        <v>57</v>
      </c>
      <c r="H100" t="s">
        <v>183</v>
      </c>
      <c r="I100" t="s">
        <v>268</v>
      </c>
      <c r="J100">
        <v>7</v>
      </c>
      <c r="K100">
        <v>4365</v>
      </c>
      <c r="L100">
        <v>0.16</v>
      </c>
      <c r="M100">
        <f>'Raw data'!$K100*(1- 'Raw data'!$L100)</f>
        <v>3666.6</v>
      </c>
      <c r="N100">
        <v>25666.2</v>
      </c>
      <c r="O100">
        <v>0.2</v>
      </c>
      <c r="P100">
        <v>5133.24</v>
      </c>
      <c r="Q100" t="s">
        <v>27</v>
      </c>
      <c r="R100" t="s">
        <v>38</v>
      </c>
      <c r="S100">
        <v>8</v>
      </c>
    </row>
    <row r="101" spans="1:19" x14ac:dyDescent="0.3">
      <c r="A101" t="s">
        <v>269</v>
      </c>
      <c r="B101">
        <v>45026</v>
      </c>
      <c r="C101" t="s">
        <v>40</v>
      </c>
      <c r="D101" t="s">
        <v>41</v>
      </c>
      <c r="E101" t="s">
        <v>42</v>
      </c>
      <c r="F101" t="s">
        <v>97</v>
      </c>
      <c r="G101" t="s">
        <v>92</v>
      </c>
      <c r="H101" t="s">
        <v>243</v>
      </c>
      <c r="I101" t="s">
        <v>270</v>
      </c>
      <c r="J101">
        <v>9</v>
      </c>
      <c r="K101">
        <v>60677</v>
      </c>
      <c r="L101">
        <v>0.16</v>
      </c>
      <c r="M101">
        <f>'Raw data'!$K101*(1- 'Raw data'!$L101)</f>
        <v>50968.68</v>
      </c>
      <c r="N101">
        <v>458718.12</v>
      </c>
      <c r="O101">
        <v>0.15</v>
      </c>
      <c r="P101">
        <v>68807.72</v>
      </c>
      <c r="Q101" t="s">
        <v>47</v>
      </c>
      <c r="R101" t="s">
        <v>28</v>
      </c>
      <c r="S101">
        <v>1</v>
      </c>
    </row>
    <row r="102" spans="1:19" x14ac:dyDescent="0.3">
      <c r="A102" t="s">
        <v>271</v>
      </c>
      <c r="B102">
        <v>45027</v>
      </c>
      <c r="C102" t="s">
        <v>55</v>
      </c>
      <c r="D102" t="s">
        <v>41</v>
      </c>
      <c r="E102" t="s">
        <v>42</v>
      </c>
      <c r="F102" t="s">
        <v>23</v>
      </c>
      <c r="G102" t="s">
        <v>24</v>
      </c>
      <c r="H102" t="s">
        <v>25</v>
      </c>
      <c r="I102" t="s">
        <v>272</v>
      </c>
      <c r="J102">
        <v>3</v>
      </c>
      <c r="K102">
        <v>13668</v>
      </c>
      <c r="L102">
        <v>7.0000000000000007E-2</v>
      </c>
      <c r="M102">
        <f>'Raw data'!$K102*(1- 'Raw data'!$L102)</f>
        <v>12711.24</v>
      </c>
      <c r="N102">
        <v>38133.72</v>
      </c>
      <c r="O102">
        <v>0.25</v>
      </c>
      <c r="P102">
        <v>9533.43</v>
      </c>
      <c r="Q102" t="s">
        <v>51</v>
      </c>
      <c r="R102" t="s">
        <v>48</v>
      </c>
      <c r="S102">
        <v>3</v>
      </c>
    </row>
    <row r="103" spans="1:19" x14ac:dyDescent="0.3">
      <c r="A103" t="s">
        <v>273</v>
      </c>
      <c r="B103">
        <v>45028</v>
      </c>
      <c r="C103" t="s">
        <v>40</v>
      </c>
      <c r="D103" t="s">
        <v>21</v>
      </c>
      <c r="E103" t="s">
        <v>32</v>
      </c>
      <c r="F103" t="s">
        <v>97</v>
      </c>
      <c r="G103" t="s">
        <v>92</v>
      </c>
      <c r="H103" t="s">
        <v>109</v>
      </c>
      <c r="I103" t="s">
        <v>274</v>
      </c>
      <c r="J103">
        <v>2</v>
      </c>
      <c r="K103">
        <v>45046</v>
      </c>
      <c r="L103">
        <v>0</v>
      </c>
      <c r="M103">
        <f>'Raw data'!$K103*(1- 'Raw data'!$L103)</f>
        <v>45046</v>
      </c>
      <c r="N103">
        <v>90092</v>
      </c>
      <c r="O103">
        <v>0.15</v>
      </c>
      <c r="P103">
        <v>13513.8</v>
      </c>
      <c r="Q103" t="s">
        <v>37</v>
      </c>
      <c r="R103" t="s">
        <v>48</v>
      </c>
      <c r="S103">
        <v>7</v>
      </c>
    </row>
    <row r="104" spans="1:19" x14ac:dyDescent="0.3">
      <c r="A104" t="s">
        <v>275</v>
      </c>
      <c r="B104">
        <v>45029</v>
      </c>
      <c r="C104" t="s">
        <v>96</v>
      </c>
      <c r="D104" t="s">
        <v>41</v>
      </c>
      <c r="E104" t="s">
        <v>67</v>
      </c>
      <c r="F104" t="s">
        <v>23</v>
      </c>
      <c r="G104" t="s">
        <v>24</v>
      </c>
      <c r="H104" t="s">
        <v>121</v>
      </c>
      <c r="I104" t="s">
        <v>276</v>
      </c>
      <c r="J104">
        <v>3</v>
      </c>
      <c r="K104">
        <v>4155</v>
      </c>
      <c r="L104">
        <v>0.24</v>
      </c>
      <c r="M104">
        <f>'Raw data'!$K104*(1- 'Raw data'!$L104)</f>
        <v>3157.8</v>
      </c>
      <c r="N104">
        <v>9473.4</v>
      </c>
      <c r="O104">
        <v>0.25</v>
      </c>
      <c r="P104">
        <v>2368.35</v>
      </c>
      <c r="Q104" t="s">
        <v>51</v>
      </c>
      <c r="R104" t="s">
        <v>48</v>
      </c>
      <c r="S104">
        <v>9</v>
      </c>
    </row>
    <row r="105" spans="1:19" x14ac:dyDescent="0.3">
      <c r="A105" t="s">
        <v>277</v>
      </c>
      <c r="B105">
        <v>45030</v>
      </c>
      <c r="C105" t="s">
        <v>40</v>
      </c>
      <c r="D105" t="s">
        <v>56</v>
      </c>
      <c r="E105" t="s">
        <v>22</v>
      </c>
      <c r="F105" t="s">
        <v>103</v>
      </c>
      <c r="G105" t="s">
        <v>57</v>
      </c>
      <c r="H105" t="s">
        <v>100</v>
      </c>
      <c r="I105" t="s">
        <v>278</v>
      </c>
      <c r="J105">
        <v>1</v>
      </c>
      <c r="K105">
        <v>10321</v>
      </c>
      <c r="L105">
        <v>0.06</v>
      </c>
      <c r="M105">
        <f>'Raw data'!$K105*(1- 'Raw data'!$L105)</f>
        <v>9701.74</v>
      </c>
      <c r="N105">
        <v>9701.74</v>
      </c>
      <c r="O105">
        <v>0.2</v>
      </c>
      <c r="P105">
        <v>1940.35</v>
      </c>
      <c r="Q105" t="s">
        <v>47</v>
      </c>
      <c r="R105" t="s">
        <v>48</v>
      </c>
      <c r="S105">
        <v>8</v>
      </c>
    </row>
    <row r="106" spans="1:19" x14ac:dyDescent="0.3">
      <c r="A106" t="s">
        <v>279</v>
      </c>
      <c r="B106">
        <v>45031</v>
      </c>
      <c r="C106" t="s">
        <v>20</v>
      </c>
      <c r="D106" t="s">
        <v>56</v>
      </c>
      <c r="E106" t="s">
        <v>22</v>
      </c>
      <c r="F106" t="s">
        <v>97</v>
      </c>
      <c r="G106" t="s">
        <v>92</v>
      </c>
      <c r="H106" t="s">
        <v>93</v>
      </c>
      <c r="I106" t="s">
        <v>280</v>
      </c>
      <c r="J106">
        <v>6</v>
      </c>
      <c r="K106">
        <v>79350</v>
      </c>
      <c r="L106">
        <v>0.17</v>
      </c>
      <c r="M106">
        <f>'Raw data'!$K106*(1- 'Raw data'!$L106)</f>
        <v>65860.5</v>
      </c>
      <c r="N106">
        <v>395163</v>
      </c>
      <c r="O106">
        <v>0.15</v>
      </c>
      <c r="P106">
        <v>59274.45</v>
      </c>
      <c r="Q106" t="s">
        <v>27</v>
      </c>
      <c r="R106" t="s">
        <v>48</v>
      </c>
      <c r="S106">
        <v>8</v>
      </c>
    </row>
    <row r="107" spans="1:19" x14ac:dyDescent="0.3">
      <c r="A107" t="s">
        <v>281</v>
      </c>
      <c r="B107">
        <v>45032</v>
      </c>
      <c r="C107" t="s">
        <v>30</v>
      </c>
      <c r="D107" t="s">
        <v>21</v>
      </c>
      <c r="E107" t="s">
        <v>22</v>
      </c>
      <c r="F107" t="s">
        <v>103</v>
      </c>
      <c r="G107" t="s">
        <v>34</v>
      </c>
      <c r="H107" t="s">
        <v>71</v>
      </c>
      <c r="I107" t="s">
        <v>282</v>
      </c>
      <c r="J107">
        <v>7</v>
      </c>
      <c r="K107">
        <v>1037</v>
      </c>
      <c r="L107">
        <v>0.18</v>
      </c>
      <c r="M107">
        <f>'Raw data'!$K107*(1- 'Raw data'!$L107)</f>
        <v>850.34</v>
      </c>
      <c r="N107">
        <v>5952.38</v>
      </c>
      <c r="O107">
        <v>0.4</v>
      </c>
      <c r="P107">
        <v>2380.9499999999998</v>
      </c>
      <c r="Q107" t="s">
        <v>51</v>
      </c>
      <c r="R107" t="s">
        <v>48</v>
      </c>
      <c r="S107">
        <v>9</v>
      </c>
    </row>
    <row r="108" spans="1:19" x14ac:dyDescent="0.3">
      <c r="A108" t="s">
        <v>283</v>
      </c>
      <c r="B108">
        <v>45033</v>
      </c>
      <c r="C108" t="s">
        <v>40</v>
      </c>
      <c r="D108" t="s">
        <v>31</v>
      </c>
      <c r="E108" t="s">
        <v>67</v>
      </c>
      <c r="F108" t="s">
        <v>103</v>
      </c>
      <c r="G108" t="s">
        <v>44</v>
      </c>
      <c r="H108" t="s">
        <v>64</v>
      </c>
      <c r="I108" t="s">
        <v>284</v>
      </c>
      <c r="J108">
        <v>2</v>
      </c>
      <c r="K108">
        <v>3716</v>
      </c>
      <c r="L108">
        <v>0.15</v>
      </c>
      <c r="M108">
        <f>'Raw data'!$K108*(1- 'Raw data'!$L108)</f>
        <v>3158.6</v>
      </c>
      <c r="N108">
        <v>6317.2</v>
      </c>
      <c r="O108">
        <v>0.35</v>
      </c>
      <c r="P108">
        <v>2211.02</v>
      </c>
      <c r="Q108" t="s">
        <v>47</v>
      </c>
      <c r="R108" t="s">
        <v>38</v>
      </c>
      <c r="S108">
        <v>3</v>
      </c>
    </row>
    <row r="109" spans="1:19" x14ac:dyDescent="0.3">
      <c r="A109" t="s">
        <v>285</v>
      </c>
      <c r="B109">
        <v>45034</v>
      </c>
      <c r="C109" t="s">
        <v>63</v>
      </c>
      <c r="D109" t="s">
        <v>31</v>
      </c>
      <c r="E109" t="s">
        <v>32</v>
      </c>
      <c r="F109" t="s">
        <v>68</v>
      </c>
      <c r="G109" t="s">
        <v>24</v>
      </c>
      <c r="H109" t="s">
        <v>25</v>
      </c>
      <c r="I109" t="s">
        <v>286</v>
      </c>
      <c r="J109">
        <v>8</v>
      </c>
      <c r="K109">
        <v>12130</v>
      </c>
      <c r="L109">
        <v>0.08</v>
      </c>
      <c r="M109">
        <f>'Raw data'!$K109*(1- 'Raw data'!$L109)</f>
        <v>11159.6</v>
      </c>
      <c r="N109">
        <v>89276.800000000003</v>
      </c>
      <c r="O109">
        <v>0.25</v>
      </c>
      <c r="P109">
        <v>22319.200000000001</v>
      </c>
      <c r="Q109" t="s">
        <v>47</v>
      </c>
      <c r="R109" t="s">
        <v>48</v>
      </c>
      <c r="S109">
        <v>8</v>
      </c>
    </row>
    <row r="110" spans="1:19" x14ac:dyDescent="0.3">
      <c r="A110" t="s">
        <v>287</v>
      </c>
      <c r="B110">
        <v>45035</v>
      </c>
      <c r="C110" t="s">
        <v>30</v>
      </c>
      <c r="D110" t="s">
        <v>31</v>
      </c>
      <c r="E110" t="s">
        <v>22</v>
      </c>
      <c r="F110" t="s">
        <v>103</v>
      </c>
      <c r="G110" t="s">
        <v>44</v>
      </c>
      <c r="H110" t="s">
        <v>64</v>
      </c>
      <c r="I110" t="s">
        <v>288</v>
      </c>
      <c r="J110">
        <v>6</v>
      </c>
      <c r="K110">
        <v>4428</v>
      </c>
      <c r="L110">
        <v>7.0000000000000007E-2</v>
      </c>
      <c r="M110">
        <f>'Raw data'!$K110*(1- 'Raw data'!$L110)</f>
        <v>4118.04</v>
      </c>
      <c r="N110">
        <v>24708.240000000002</v>
      </c>
      <c r="O110">
        <v>0.35</v>
      </c>
      <c r="P110">
        <v>8647.8799999999992</v>
      </c>
      <c r="Q110" t="s">
        <v>51</v>
      </c>
      <c r="R110" t="s">
        <v>48</v>
      </c>
      <c r="S110">
        <v>1</v>
      </c>
    </row>
    <row r="111" spans="1:19" x14ac:dyDescent="0.3">
      <c r="A111" t="s">
        <v>289</v>
      </c>
      <c r="B111">
        <v>45036</v>
      </c>
      <c r="C111" t="s">
        <v>96</v>
      </c>
      <c r="D111" t="s">
        <v>56</v>
      </c>
      <c r="E111" t="s">
        <v>67</v>
      </c>
      <c r="F111" t="s">
        <v>103</v>
      </c>
      <c r="G111" t="s">
        <v>44</v>
      </c>
      <c r="H111" t="s">
        <v>116</v>
      </c>
      <c r="I111" t="s">
        <v>290</v>
      </c>
      <c r="J111">
        <v>4</v>
      </c>
      <c r="K111">
        <v>2540</v>
      </c>
      <c r="L111">
        <v>0.15</v>
      </c>
      <c r="M111">
        <f>'Raw data'!$K111*(1- 'Raw data'!$L111)</f>
        <v>2159</v>
      </c>
      <c r="N111">
        <v>8636</v>
      </c>
      <c r="O111">
        <v>0.35</v>
      </c>
      <c r="P111">
        <v>3022.6</v>
      </c>
      <c r="Q111" t="s">
        <v>37</v>
      </c>
      <c r="R111" t="s">
        <v>48</v>
      </c>
      <c r="S111">
        <v>8</v>
      </c>
    </row>
    <row r="112" spans="1:19" x14ac:dyDescent="0.3">
      <c r="A112" t="s">
        <v>291</v>
      </c>
      <c r="B112">
        <v>45037</v>
      </c>
      <c r="C112" t="s">
        <v>55</v>
      </c>
      <c r="D112" t="s">
        <v>31</v>
      </c>
      <c r="E112" t="s">
        <v>42</v>
      </c>
      <c r="F112" t="s">
        <v>97</v>
      </c>
      <c r="G112" t="s">
        <v>92</v>
      </c>
      <c r="H112" t="s">
        <v>109</v>
      </c>
      <c r="I112" t="s">
        <v>292</v>
      </c>
      <c r="J112">
        <v>5</v>
      </c>
      <c r="K112">
        <v>77649</v>
      </c>
      <c r="L112">
        <v>0.22</v>
      </c>
      <c r="M112">
        <f>'Raw data'!$K112*(1- 'Raw data'!$L112)</f>
        <v>60566.22</v>
      </c>
      <c r="N112">
        <v>302831.09999999998</v>
      </c>
      <c r="O112">
        <v>0.15</v>
      </c>
      <c r="P112">
        <v>45424.66</v>
      </c>
      <c r="Q112" t="s">
        <v>51</v>
      </c>
      <c r="R112" t="s">
        <v>38</v>
      </c>
      <c r="S112">
        <v>7</v>
      </c>
    </row>
    <row r="113" spans="1:19" x14ac:dyDescent="0.3">
      <c r="A113" t="s">
        <v>293</v>
      </c>
      <c r="B113">
        <v>45038</v>
      </c>
      <c r="C113" t="s">
        <v>55</v>
      </c>
      <c r="D113" t="s">
        <v>31</v>
      </c>
      <c r="E113" t="s">
        <v>22</v>
      </c>
      <c r="F113" t="s">
        <v>97</v>
      </c>
      <c r="G113" t="s">
        <v>44</v>
      </c>
      <c r="H113" t="s">
        <v>138</v>
      </c>
      <c r="I113" t="s">
        <v>294</v>
      </c>
      <c r="J113">
        <v>8</v>
      </c>
      <c r="K113">
        <v>1752</v>
      </c>
      <c r="L113">
        <v>0.24</v>
      </c>
      <c r="M113">
        <f>'Raw data'!$K113*(1- 'Raw data'!$L113)</f>
        <v>1331.52</v>
      </c>
      <c r="N113">
        <v>10652.16</v>
      </c>
      <c r="O113">
        <v>0.35</v>
      </c>
      <c r="P113">
        <v>3728.26</v>
      </c>
      <c r="Q113" t="s">
        <v>37</v>
      </c>
      <c r="R113" t="s">
        <v>48</v>
      </c>
      <c r="S113">
        <v>8</v>
      </c>
    </row>
    <row r="114" spans="1:19" x14ac:dyDescent="0.3">
      <c r="A114" t="s">
        <v>295</v>
      </c>
      <c r="B114">
        <v>45039</v>
      </c>
      <c r="C114" t="s">
        <v>30</v>
      </c>
      <c r="D114" t="s">
        <v>21</v>
      </c>
      <c r="E114" t="s">
        <v>22</v>
      </c>
      <c r="F114" t="s">
        <v>43</v>
      </c>
      <c r="G114" t="s">
        <v>34</v>
      </c>
      <c r="H114" t="s">
        <v>71</v>
      </c>
      <c r="I114" t="s">
        <v>296</v>
      </c>
      <c r="J114">
        <v>3</v>
      </c>
      <c r="K114">
        <v>460</v>
      </c>
      <c r="L114">
        <v>0.03</v>
      </c>
      <c r="M114">
        <f>'Raw data'!$K114*(1- 'Raw data'!$L114)</f>
        <v>446.2</v>
      </c>
      <c r="N114">
        <v>1338.6</v>
      </c>
      <c r="O114">
        <v>0.4</v>
      </c>
      <c r="P114">
        <v>535.44000000000005</v>
      </c>
      <c r="Q114" t="s">
        <v>27</v>
      </c>
      <c r="R114" t="s">
        <v>48</v>
      </c>
      <c r="S114">
        <v>1</v>
      </c>
    </row>
    <row r="115" spans="1:19" x14ac:dyDescent="0.3">
      <c r="A115" t="s">
        <v>297</v>
      </c>
      <c r="B115">
        <v>45040</v>
      </c>
      <c r="C115" t="s">
        <v>55</v>
      </c>
      <c r="D115" t="s">
        <v>31</v>
      </c>
      <c r="E115" t="s">
        <v>32</v>
      </c>
      <c r="F115" t="s">
        <v>68</v>
      </c>
      <c r="G115" t="s">
        <v>44</v>
      </c>
      <c r="H115" t="s">
        <v>45</v>
      </c>
      <c r="I115" t="s">
        <v>298</v>
      </c>
      <c r="J115">
        <v>3</v>
      </c>
      <c r="K115">
        <v>2546</v>
      </c>
      <c r="L115">
        <v>0.04</v>
      </c>
      <c r="M115">
        <f>'Raw data'!$K115*(1- 'Raw data'!$L115)</f>
        <v>2444.16</v>
      </c>
      <c r="N115">
        <v>7332.48</v>
      </c>
      <c r="O115">
        <v>0.35</v>
      </c>
      <c r="P115">
        <v>2566.37</v>
      </c>
      <c r="Q115" t="s">
        <v>37</v>
      </c>
      <c r="R115" t="s">
        <v>48</v>
      </c>
      <c r="S115">
        <v>6</v>
      </c>
    </row>
    <row r="116" spans="1:19" x14ac:dyDescent="0.3">
      <c r="A116" t="s">
        <v>299</v>
      </c>
      <c r="B116">
        <v>45041</v>
      </c>
      <c r="C116" t="s">
        <v>40</v>
      </c>
      <c r="D116" t="s">
        <v>56</v>
      </c>
      <c r="E116" t="s">
        <v>22</v>
      </c>
      <c r="F116" t="s">
        <v>103</v>
      </c>
      <c r="G116" t="s">
        <v>92</v>
      </c>
      <c r="H116" t="s">
        <v>109</v>
      </c>
      <c r="I116" t="s">
        <v>300</v>
      </c>
      <c r="J116">
        <v>4</v>
      </c>
      <c r="K116">
        <v>23760</v>
      </c>
      <c r="L116">
        <v>0.24</v>
      </c>
      <c r="M116">
        <f>'Raw data'!$K116*(1- 'Raw data'!$L116)</f>
        <v>18057.599999999999</v>
      </c>
      <c r="N116">
        <v>72230.399999999994</v>
      </c>
      <c r="O116">
        <v>0.15</v>
      </c>
      <c r="P116">
        <v>10834.56</v>
      </c>
      <c r="Q116" t="s">
        <v>27</v>
      </c>
      <c r="R116" t="s">
        <v>38</v>
      </c>
      <c r="S116">
        <v>7</v>
      </c>
    </row>
    <row r="117" spans="1:19" x14ac:dyDescent="0.3">
      <c r="A117" t="s">
        <v>301</v>
      </c>
      <c r="B117">
        <v>45042</v>
      </c>
      <c r="C117" t="s">
        <v>30</v>
      </c>
      <c r="D117" t="s">
        <v>56</v>
      </c>
      <c r="E117" t="s">
        <v>22</v>
      </c>
      <c r="F117" t="s">
        <v>68</v>
      </c>
      <c r="G117" t="s">
        <v>34</v>
      </c>
      <c r="H117" t="s">
        <v>141</v>
      </c>
      <c r="I117" t="s">
        <v>302</v>
      </c>
      <c r="J117">
        <v>1</v>
      </c>
      <c r="K117">
        <v>659</v>
      </c>
      <c r="L117">
        <v>0.18</v>
      </c>
      <c r="M117">
        <f>'Raw data'!$K117*(1- 'Raw data'!$L117)</f>
        <v>540.38</v>
      </c>
      <c r="N117">
        <v>540.38</v>
      </c>
      <c r="O117">
        <v>0.4</v>
      </c>
      <c r="P117">
        <v>216.15</v>
      </c>
      <c r="Q117" t="s">
        <v>51</v>
      </c>
      <c r="R117" t="s">
        <v>48</v>
      </c>
      <c r="S117">
        <v>5</v>
      </c>
    </row>
    <row r="118" spans="1:19" x14ac:dyDescent="0.3">
      <c r="A118" t="s">
        <v>303</v>
      </c>
      <c r="B118">
        <v>45043</v>
      </c>
      <c r="C118" t="s">
        <v>20</v>
      </c>
      <c r="D118" t="s">
        <v>56</v>
      </c>
      <c r="E118" t="s">
        <v>42</v>
      </c>
      <c r="F118" t="s">
        <v>23</v>
      </c>
      <c r="G118" t="s">
        <v>57</v>
      </c>
      <c r="H118" t="s">
        <v>100</v>
      </c>
      <c r="I118" t="s">
        <v>304</v>
      </c>
      <c r="J118">
        <v>9</v>
      </c>
      <c r="K118">
        <v>14588</v>
      </c>
      <c r="L118">
        <v>0.22</v>
      </c>
      <c r="M118">
        <f>'Raw data'!$K118*(1- 'Raw data'!$L118)</f>
        <v>11378.640000000001</v>
      </c>
      <c r="N118">
        <v>102407.76</v>
      </c>
      <c r="O118">
        <v>0.2</v>
      </c>
      <c r="P118">
        <v>20481.55</v>
      </c>
      <c r="Q118" t="s">
        <v>27</v>
      </c>
      <c r="R118" t="s">
        <v>38</v>
      </c>
      <c r="S118">
        <v>5</v>
      </c>
    </row>
    <row r="119" spans="1:19" x14ac:dyDescent="0.3">
      <c r="A119" t="s">
        <v>305</v>
      </c>
      <c r="B119">
        <v>45044</v>
      </c>
      <c r="C119" t="s">
        <v>40</v>
      </c>
      <c r="D119" t="s">
        <v>21</v>
      </c>
      <c r="E119" t="s">
        <v>67</v>
      </c>
      <c r="F119" t="s">
        <v>103</v>
      </c>
      <c r="G119" t="s">
        <v>44</v>
      </c>
      <c r="H119" t="s">
        <v>116</v>
      </c>
      <c r="I119" t="s">
        <v>306</v>
      </c>
      <c r="J119">
        <v>8</v>
      </c>
      <c r="K119">
        <v>3874</v>
      </c>
      <c r="L119">
        <v>0.05</v>
      </c>
      <c r="M119">
        <f>'Raw data'!$K119*(1- 'Raw data'!$L119)</f>
        <v>3680.2999999999997</v>
      </c>
      <c r="N119">
        <v>29442.400000000001</v>
      </c>
      <c r="O119">
        <v>0.35</v>
      </c>
      <c r="P119">
        <v>10304.84</v>
      </c>
      <c r="Q119" t="s">
        <v>47</v>
      </c>
      <c r="R119" t="s">
        <v>48</v>
      </c>
      <c r="S119">
        <v>7</v>
      </c>
    </row>
    <row r="120" spans="1:19" x14ac:dyDescent="0.3">
      <c r="A120" t="s">
        <v>307</v>
      </c>
      <c r="B120">
        <v>45045</v>
      </c>
      <c r="C120" t="s">
        <v>40</v>
      </c>
      <c r="D120" t="s">
        <v>21</v>
      </c>
      <c r="E120" t="s">
        <v>67</v>
      </c>
      <c r="F120" t="s">
        <v>68</v>
      </c>
      <c r="G120" t="s">
        <v>92</v>
      </c>
      <c r="H120" t="s">
        <v>93</v>
      </c>
      <c r="I120" t="s">
        <v>308</v>
      </c>
      <c r="J120">
        <v>8</v>
      </c>
      <c r="K120">
        <v>62233</v>
      </c>
      <c r="L120">
        <v>0.15</v>
      </c>
      <c r="M120">
        <f>'Raw data'!$K120*(1- 'Raw data'!$L120)</f>
        <v>52898.049999999996</v>
      </c>
      <c r="N120">
        <v>423184.4</v>
      </c>
      <c r="O120">
        <v>0.15</v>
      </c>
      <c r="P120">
        <v>63477.66</v>
      </c>
      <c r="Q120" t="s">
        <v>27</v>
      </c>
      <c r="R120" t="s">
        <v>48</v>
      </c>
      <c r="S120">
        <v>3</v>
      </c>
    </row>
    <row r="121" spans="1:19" x14ac:dyDescent="0.3">
      <c r="A121" t="s">
        <v>309</v>
      </c>
      <c r="B121">
        <v>45046</v>
      </c>
      <c r="C121" t="s">
        <v>40</v>
      </c>
      <c r="D121" t="s">
        <v>41</v>
      </c>
      <c r="E121" t="s">
        <v>32</v>
      </c>
      <c r="F121" t="s">
        <v>43</v>
      </c>
      <c r="G121" t="s">
        <v>57</v>
      </c>
      <c r="H121" t="s">
        <v>58</v>
      </c>
      <c r="I121" t="s">
        <v>310</v>
      </c>
      <c r="J121">
        <v>6</v>
      </c>
      <c r="K121">
        <v>13970</v>
      </c>
      <c r="L121">
        <v>0.18</v>
      </c>
      <c r="M121">
        <f>'Raw data'!$K121*(1- 'Raw data'!$L121)</f>
        <v>11455.400000000001</v>
      </c>
      <c r="N121">
        <v>68732.399999999994</v>
      </c>
      <c r="O121">
        <v>0.2</v>
      </c>
      <c r="P121">
        <v>13746.48</v>
      </c>
      <c r="Q121" t="s">
        <v>37</v>
      </c>
      <c r="R121" t="s">
        <v>48</v>
      </c>
      <c r="S121">
        <v>6</v>
      </c>
    </row>
    <row r="122" spans="1:19" x14ac:dyDescent="0.3">
      <c r="A122" t="s">
        <v>311</v>
      </c>
      <c r="B122">
        <v>45047</v>
      </c>
      <c r="C122" t="s">
        <v>20</v>
      </c>
      <c r="D122" t="s">
        <v>31</v>
      </c>
      <c r="E122" t="s">
        <v>42</v>
      </c>
      <c r="F122" t="s">
        <v>43</v>
      </c>
      <c r="G122" t="s">
        <v>57</v>
      </c>
      <c r="H122" t="s">
        <v>58</v>
      </c>
      <c r="I122" t="s">
        <v>312</v>
      </c>
      <c r="J122">
        <v>7</v>
      </c>
      <c r="K122">
        <v>2629</v>
      </c>
      <c r="L122">
        <v>0.17</v>
      </c>
      <c r="M122">
        <f>'Raw data'!$K122*(1- 'Raw data'!$L122)</f>
        <v>2182.0699999999997</v>
      </c>
      <c r="N122">
        <v>15274.49</v>
      </c>
      <c r="O122">
        <v>0.2</v>
      </c>
      <c r="P122">
        <v>3054.9</v>
      </c>
      <c r="Q122" t="s">
        <v>37</v>
      </c>
      <c r="R122" t="s">
        <v>48</v>
      </c>
      <c r="S122">
        <v>7</v>
      </c>
    </row>
    <row r="123" spans="1:19" x14ac:dyDescent="0.3">
      <c r="A123" t="s">
        <v>313</v>
      </c>
      <c r="B123">
        <v>45048</v>
      </c>
      <c r="C123" t="s">
        <v>96</v>
      </c>
      <c r="D123" t="s">
        <v>21</v>
      </c>
      <c r="E123" t="s">
        <v>67</v>
      </c>
      <c r="F123" t="s">
        <v>103</v>
      </c>
      <c r="G123" t="s">
        <v>24</v>
      </c>
      <c r="H123" t="s">
        <v>121</v>
      </c>
      <c r="I123" t="s">
        <v>314</v>
      </c>
      <c r="J123">
        <v>6</v>
      </c>
      <c r="K123">
        <v>1269</v>
      </c>
      <c r="L123">
        <v>0.1</v>
      </c>
      <c r="M123">
        <f>'Raw data'!$K123*(1- 'Raw data'!$L123)</f>
        <v>1142.1000000000001</v>
      </c>
      <c r="N123">
        <v>6852.6</v>
      </c>
      <c r="O123">
        <v>0.25</v>
      </c>
      <c r="P123">
        <v>1713.15</v>
      </c>
      <c r="Q123" t="s">
        <v>37</v>
      </c>
      <c r="R123" t="s">
        <v>48</v>
      </c>
      <c r="S123">
        <v>1</v>
      </c>
    </row>
    <row r="124" spans="1:19" x14ac:dyDescent="0.3">
      <c r="A124" t="s">
        <v>315</v>
      </c>
      <c r="B124">
        <v>45049</v>
      </c>
      <c r="C124" t="s">
        <v>63</v>
      </c>
      <c r="D124" t="s">
        <v>56</v>
      </c>
      <c r="E124" t="s">
        <v>42</v>
      </c>
      <c r="F124" t="s">
        <v>23</v>
      </c>
      <c r="G124" t="s">
        <v>34</v>
      </c>
      <c r="H124" t="s">
        <v>141</v>
      </c>
      <c r="I124" t="s">
        <v>316</v>
      </c>
      <c r="J124">
        <v>9</v>
      </c>
      <c r="K124">
        <v>791</v>
      </c>
      <c r="L124">
        <v>0</v>
      </c>
      <c r="M124">
        <f>'Raw data'!$K124*(1- 'Raw data'!$L124)</f>
        <v>791</v>
      </c>
      <c r="N124">
        <v>7119</v>
      </c>
      <c r="O124">
        <v>0.4</v>
      </c>
      <c r="P124">
        <v>2847.6</v>
      </c>
      <c r="Q124" t="s">
        <v>27</v>
      </c>
      <c r="R124" t="s">
        <v>38</v>
      </c>
      <c r="S124">
        <v>2</v>
      </c>
    </row>
    <row r="125" spans="1:19" x14ac:dyDescent="0.3">
      <c r="A125" t="s">
        <v>317</v>
      </c>
      <c r="B125">
        <v>45050</v>
      </c>
      <c r="C125" t="s">
        <v>55</v>
      </c>
      <c r="D125" t="s">
        <v>56</v>
      </c>
      <c r="E125" t="s">
        <v>67</v>
      </c>
      <c r="F125" t="s">
        <v>43</v>
      </c>
      <c r="G125" t="s">
        <v>44</v>
      </c>
      <c r="H125" t="s">
        <v>45</v>
      </c>
      <c r="I125" t="s">
        <v>318</v>
      </c>
      <c r="J125">
        <v>3</v>
      </c>
      <c r="K125">
        <v>2493</v>
      </c>
      <c r="L125">
        <v>0.15</v>
      </c>
      <c r="M125">
        <f>'Raw data'!$K125*(1- 'Raw data'!$L125)</f>
        <v>2119.0499999999997</v>
      </c>
      <c r="N125">
        <v>6357.15</v>
      </c>
      <c r="O125">
        <v>0.35</v>
      </c>
      <c r="P125">
        <v>2225</v>
      </c>
      <c r="Q125" t="s">
        <v>37</v>
      </c>
      <c r="R125" t="s">
        <v>48</v>
      </c>
      <c r="S125">
        <v>4</v>
      </c>
    </row>
    <row r="126" spans="1:19" x14ac:dyDescent="0.3">
      <c r="A126" t="s">
        <v>319</v>
      </c>
      <c r="B126">
        <v>45051</v>
      </c>
      <c r="C126" t="s">
        <v>30</v>
      </c>
      <c r="D126" t="s">
        <v>21</v>
      </c>
      <c r="E126" t="s">
        <v>42</v>
      </c>
      <c r="F126" t="s">
        <v>43</v>
      </c>
      <c r="G126" t="s">
        <v>92</v>
      </c>
      <c r="H126" t="s">
        <v>178</v>
      </c>
      <c r="I126" t="s">
        <v>320</v>
      </c>
      <c r="J126">
        <v>3</v>
      </c>
      <c r="K126">
        <v>29816</v>
      </c>
      <c r="L126">
        <v>0.06</v>
      </c>
      <c r="M126">
        <f>'Raw data'!$K126*(1- 'Raw data'!$L126)</f>
        <v>28027.039999999997</v>
      </c>
      <c r="N126">
        <v>84081.12</v>
      </c>
      <c r="O126">
        <v>0.15</v>
      </c>
      <c r="P126">
        <v>12612.17</v>
      </c>
      <c r="Q126" t="s">
        <v>37</v>
      </c>
      <c r="R126" t="s">
        <v>48</v>
      </c>
      <c r="S126">
        <v>8</v>
      </c>
    </row>
    <row r="127" spans="1:19" x14ac:dyDescent="0.3">
      <c r="A127" t="s">
        <v>321</v>
      </c>
      <c r="B127">
        <v>45052</v>
      </c>
      <c r="C127" t="s">
        <v>96</v>
      </c>
      <c r="D127" t="s">
        <v>21</v>
      </c>
      <c r="E127" t="s">
        <v>32</v>
      </c>
      <c r="F127" t="s">
        <v>23</v>
      </c>
      <c r="G127" t="s">
        <v>24</v>
      </c>
      <c r="H127" t="s">
        <v>186</v>
      </c>
      <c r="I127" t="s">
        <v>322</v>
      </c>
      <c r="J127">
        <v>3</v>
      </c>
      <c r="K127">
        <v>10472</v>
      </c>
      <c r="L127">
        <v>0.11</v>
      </c>
      <c r="M127">
        <f>'Raw data'!$K127*(1- 'Raw data'!$L127)</f>
        <v>9320.08</v>
      </c>
      <c r="N127">
        <v>27960.240000000002</v>
      </c>
      <c r="O127">
        <v>0.25</v>
      </c>
      <c r="P127">
        <v>6990.06</v>
      </c>
      <c r="Q127" t="s">
        <v>47</v>
      </c>
      <c r="R127" t="s">
        <v>48</v>
      </c>
      <c r="S127">
        <v>6</v>
      </c>
    </row>
    <row r="128" spans="1:19" x14ac:dyDescent="0.3">
      <c r="A128" t="s">
        <v>323</v>
      </c>
      <c r="B128">
        <v>45053</v>
      </c>
      <c r="C128" t="s">
        <v>30</v>
      </c>
      <c r="D128" t="s">
        <v>21</v>
      </c>
      <c r="E128" t="s">
        <v>22</v>
      </c>
      <c r="F128" t="s">
        <v>68</v>
      </c>
      <c r="G128" t="s">
        <v>34</v>
      </c>
      <c r="H128" t="s">
        <v>141</v>
      </c>
      <c r="I128" t="s">
        <v>324</v>
      </c>
      <c r="J128">
        <v>3</v>
      </c>
      <c r="K128">
        <v>332</v>
      </c>
      <c r="L128">
        <v>0.24</v>
      </c>
      <c r="M128">
        <f>'Raw data'!$K128*(1- 'Raw data'!$L128)</f>
        <v>252.32</v>
      </c>
      <c r="N128">
        <v>756.96</v>
      </c>
      <c r="O128">
        <v>0.4</v>
      </c>
      <c r="P128">
        <v>302.77999999999997</v>
      </c>
      <c r="Q128" t="s">
        <v>27</v>
      </c>
      <c r="R128" t="s">
        <v>48</v>
      </c>
      <c r="S128">
        <v>1</v>
      </c>
    </row>
    <row r="129" spans="1:19" x14ac:dyDescent="0.3">
      <c r="A129" t="s">
        <v>325</v>
      </c>
      <c r="B129">
        <v>45054</v>
      </c>
      <c r="C129" t="s">
        <v>55</v>
      </c>
      <c r="D129" t="s">
        <v>41</v>
      </c>
      <c r="E129" t="s">
        <v>32</v>
      </c>
      <c r="F129" t="s">
        <v>43</v>
      </c>
      <c r="G129" t="s">
        <v>24</v>
      </c>
      <c r="H129" t="s">
        <v>121</v>
      </c>
      <c r="I129" t="s">
        <v>326</v>
      </c>
      <c r="J129">
        <v>9</v>
      </c>
      <c r="K129">
        <v>6895</v>
      </c>
      <c r="L129">
        <v>0.1</v>
      </c>
      <c r="M129">
        <f>'Raw data'!$K129*(1- 'Raw data'!$L129)</f>
        <v>6205.5</v>
      </c>
      <c r="N129">
        <v>55849.5</v>
      </c>
      <c r="O129">
        <v>0.25</v>
      </c>
      <c r="P129">
        <v>13962.38</v>
      </c>
      <c r="Q129" t="s">
        <v>47</v>
      </c>
      <c r="R129" t="s">
        <v>48</v>
      </c>
      <c r="S129">
        <v>5</v>
      </c>
    </row>
    <row r="130" spans="1:19" x14ac:dyDescent="0.3">
      <c r="A130" t="s">
        <v>327</v>
      </c>
      <c r="B130">
        <v>45055</v>
      </c>
      <c r="C130" t="s">
        <v>20</v>
      </c>
      <c r="D130" t="s">
        <v>56</v>
      </c>
      <c r="E130" t="s">
        <v>67</v>
      </c>
      <c r="F130" t="s">
        <v>97</v>
      </c>
      <c r="G130" t="s">
        <v>34</v>
      </c>
      <c r="H130" t="s">
        <v>141</v>
      </c>
      <c r="I130" t="s">
        <v>328</v>
      </c>
      <c r="J130">
        <v>4</v>
      </c>
      <c r="K130">
        <v>1171</v>
      </c>
      <c r="L130">
        <v>0.21</v>
      </c>
      <c r="M130">
        <f>'Raw data'!$K130*(1- 'Raw data'!$L130)</f>
        <v>925.09</v>
      </c>
      <c r="N130">
        <v>3700.36</v>
      </c>
      <c r="O130">
        <v>0.4</v>
      </c>
      <c r="P130">
        <v>1480.14</v>
      </c>
      <c r="Q130" t="s">
        <v>37</v>
      </c>
      <c r="R130" t="s">
        <v>48</v>
      </c>
      <c r="S130">
        <v>7</v>
      </c>
    </row>
    <row r="131" spans="1:19" x14ac:dyDescent="0.3">
      <c r="A131" t="s">
        <v>329</v>
      </c>
      <c r="B131">
        <v>45056</v>
      </c>
      <c r="C131" t="s">
        <v>40</v>
      </c>
      <c r="D131" t="s">
        <v>41</v>
      </c>
      <c r="E131" t="s">
        <v>32</v>
      </c>
      <c r="F131" t="s">
        <v>33</v>
      </c>
      <c r="G131" t="s">
        <v>34</v>
      </c>
      <c r="H131" t="s">
        <v>71</v>
      </c>
      <c r="I131" t="s">
        <v>330</v>
      </c>
      <c r="J131">
        <v>7</v>
      </c>
      <c r="K131">
        <v>712</v>
      </c>
      <c r="L131">
        <v>0.05</v>
      </c>
      <c r="M131">
        <f>'Raw data'!$K131*(1- 'Raw data'!$L131)</f>
        <v>676.4</v>
      </c>
      <c r="N131">
        <v>4734.8</v>
      </c>
      <c r="O131">
        <v>0.4</v>
      </c>
      <c r="P131">
        <v>1893.92</v>
      </c>
      <c r="Q131" t="s">
        <v>37</v>
      </c>
      <c r="R131" t="s">
        <v>48</v>
      </c>
      <c r="S131">
        <v>6</v>
      </c>
    </row>
    <row r="132" spans="1:19" x14ac:dyDescent="0.3">
      <c r="A132" t="s">
        <v>331</v>
      </c>
      <c r="B132">
        <v>45057</v>
      </c>
      <c r="C132" t="s">
        <v>40</v>
      </c>
      <c r="D132" t="s">
        <v>41</v>
      </c>
      <c r="E132" t="s">
        <v>22</v>
      </c>
      <c r="F132" t="s">
        <v>33</v>
      </c>
      <c r="G132" t="s">
        <v>44</v>
      </c>
      <c r="H132" t="s">
        <v>138</v>
      </c>
      <c r="I132" t="s">
        <v>332</v>
      </c>
      <c r="J132">
        <v>9</v>
      </c>
      <c r="K132">
        <v>2860</v>
      </c>
      <c r="L132">
        <v>0.17</v>
      </c>
      <c r="M132">
        <f>'Raw data'!$K132*(1- 'Raw data'!$L132)</f>
        <v>2373.7999999999997</v>
      </c>
      <c r="N132">
        <v>21364.2</v>
      </c>
      <c r="O132">
        <v>0.35</v>
      </c>
      <c r="P132">
        <v>7477.47</v>
      </c>
      <c r="Q132" t="s">
        <v>37</v>
      </c>
      <c r="R132" t="s">
        <v>48</v>
      </c>
      <c r="S132">
        <v>9</v>
      </c>
    </row>
    <row r="133" spans="1:19" x14ac:dyDescent="0.3">
      <c r="A133" t="s">
        <v>333</v>
      </c>
      <c r="B133">
        <v>45058</v>
      </c>
      <c r="C133" t="s">
        <v>20</v>
      </c>
      <c r="D133" t="s">
        <v>31</v>
      </c>
      <c r="E133" t="s">
        <v>32</v>
      </c>
      <c r="F133" t="s">
        <v>43</v>
      </c>
      <c r="G133" t="s">
        <v>34</v>
      </c>
      <c r="H133" t="s">
        <v>141</v>
      </c>
      <c r="I133" t="s">
        <v>334</v>
      </c>
      <c r="J133">
        <v>7</v>
      </c>
      <c r="K133">
        <v>775</v>
      </c>
      <c r="L133">
        <v>0.24</v>
      </c>
      <c r="M133">
        <f>'Raw data'!$K133*(1- 'Raw data'!$L133)</f>
        <v>589</v>
      </c>
      <c r="N133">
        <v>4123</v>
      </c>
      <c r="O133">
        <v>0.4</v>
      </c>
      <c r="P133">
        <v>1649.2</v>
      </c>
      <c r="Q133" t="s">
        <v>27</v>
      </c>
      <c r="R133" t="s">
        <v>28</v>
      </c>
      <c r="S133">
        <v>8</v>
      </c>
    </row>
    <row r="134" spans="1:19" x14ac:dyDescent="0.3">
      <c r="A134" t="s">
        <v>335</v>
      </c>
      <c r="B134">
        <v>45059</v>
      </c>
      <c r="C134" t="s">
        <v>96</v>
      </c>
      <c r="D134" t="s">
        <v>56</v>
      </c>
      <c r="E134" t="s">
        <v>67</v>
      </c>
      <c r="F134" t="s">
        <v>68</v>
      </c>
      <c r="G134" t="s">
        <v>24</v>
      </c>
      <c r="H134" t="s">
        <v>74</v>
      </c>
      <c r="I134" t="s">
        <v>336</v>
      </c>
      <c r="J134">
        <v>9</v>
      </c>
      <c r="K134">
        <v>8029</v>
      </c>
      <c r="L134">
        <v>0.03</v>
      </c>
      <c r="M134">
        <f>'Raw data'!$K134*(1- 'Raw data'!$L134)</f>
        <v>7788.13</v>
      </c>
      <c r="N134">
        <v>70093.17</v>
      </c>
      <c r="O134">
        <v>0.25</v>
      </c>
      <c r="P134">
        <v>17523.29</v>
      </c>
      <c r="Q134" t="s">
        <v>51</v>
      </c>
      <c r="R134" t="s">
        <v>48</v>
      </c>
      <c r="S134">
        <v>4</v>
      </c>
    </row>
    <row r="135" spans="1:19" x14ac:dyDescent="0.3">
      <c r="A135" t="s">
        <v>337</v>
      </c>
      <c r="B135">
        <v>45060</v>
      </c>
      <c r="C135" t="s">
        <v>96</v>
      </c>
      <c r="D135" t="s">
        <v>56</v>
      </c>
      <c r="E135" t="s">
        <v>67</v>
      </c>
      <c r="F135" t="s">
        <v>68</v>
      </c>
      <c r="G135" t="s">
        <v>34</v>
      </c>
      <c r="H135" t="s">
        <v>141</v>
      </c>
      <c r="I135" t="s">
        <v>338</v>
      </c>
      <c r="J135">
        <v>3</v>
      </c>
      <c r="K135">
        <v>1344</v>
      </c>
      <c r="L135">
        <v>0</v>
      </c>
      <c r="M135">
        <f>'Raw data'!$K135*(1- 'Raw data'!$L135)</f>
        <v>1344</v>
      </c>
      <c r="N135">
        <v>4032</v>
      </c>
      <c r="O135">
        <v>0.4</v>
      </c>
      <c r="P135">
        <v>1612.8</v>
      </c>
      <c r="Q135" t="s">
        <v>37</v>
      </c>
      <c r="R135" t="s">
        <v>38</v>
      </c>
      <c r="S135">
        <v>5</v>
      </c>
    </row>
    <row r="136" spans="1:19" x14ac:dyDescent="0.3">
      <c r="A136" t="s">
        <v>339</v>
      </c>
      <c r="B136">
        <v>45061</v>
      </c>
      <c r="C136" t="s">
        <v>30</v>
      </c>
      <c r="D136" t="s">
        <v>21</v>
      </c>
      <c r="E136" t="s">
        <v>32</v>
      </c>
      <c r="F136" t="s">
        <v>103</v>
      </c>
      <c r="G136" t="s">
        <v>44</v>
      </c>
      <c r="H136" t="s">
        <v>45</v>
      </c>
      <c r="I136" t="s">
        <v>340</v>
      </c>
      <c r="J136">
        <v>4</v>
      </c>
      <c r="K136">
        <v>3678</v>
      </c>
      <c r="L136">
        <v>0.11</v>
      </c>
      <c r="M136">
        <f>'Raw data'!$K136*(1- 'Raw data'!$L136)</f>
        <v>3273.42</v>
      </c>
      <c r="N136">
        <v>13093.68</v>
      </c>
      <c r="O136">
        <v>0.35</v>
      </c>
      <c r="P136">
        <v>4582.79</v>
      </c>
      <c r="Q136" t="s">
        <v>37</v>
      </c>
      <c r="R136" t="s">
        <v>48</v>
      </c>
      <c r="S136">
        <v>7</v>
      </c>
    </row>
    <row r="137" spans="1:19" x14ac:dyDescent="0.3">
      <c r="A137" t="s">
        <v>341</v>
      </c>
      <c r="B137">
        <v>45062</v>
      </c>
      <c r="C137" t="s">
        <v>20</v>
      </c>
      <c r="D137" t="s">
        <v>21</v>
      </c>
      <c r="E137" t="s">
        <v>22</v>
      </c>
      <c r="F137" t="s">
        <v>97</v>
      </c>
      <c r="G137" t="s">
        <v>44</v>
      </c>
      <c r="H137" t="s">
        <v>64</v>
      </c>
      <c r="I137" t="s">
        <v>342</v>
      </c>
      <c r="J137">
        <v>8</v>
      </c>
      <c r="K137">
        <v>3234</v>
      </c>
      <c r="L137">
        <v>0.02</v>
      </c>
      <c r="M137">
        <f>'Raw data'!$K137*(1- 'Raw data'!$L137)</f>
        <v>3169.32</v>
      </c>
      <c r="N137">
        <v>25354.560000000001</v>
      </c>
      <c r="O137">
        <v>0.35</v>
      </c>
      <c r="P137">
        <v>8874.1</v>
      </c>
      <c r="Q137" t="s">
        <v>37</v>
      </c>
      <c r="R137" t="s">
        <v>48</v>
      </c>
      <c r="S137">
        <v>8</v>
      </c>
    </row>
    <row r="138" spans="1:19" x14ac:dyDescent="0.3">
      <c r="A138" t="s">
        <v>343</v>
      </c>
      <c r="B138">
        <v>45063</v>
      </c>
      <c r="C138" t="s">
        <v>96</v>
      </c>
      <c r="D138" t="s">
        <v>31</v>
      </c>
      <c r="E138" t="s">
        <v>32</v>
      </c>
      <c r="F138" t="s">
        <v>68</v>
      </c>
      <c r="G138" t="s">
        <v>24</v>
      </c>
      <c r="H138" t="s">
        <v>74</v>
      </c>
      <c r="I138" t="s">
        <v>344</v>
      </c>
      <c r="J138">
        <v>6</v>
      </c>
      <c r="K138">
        <v>7116</v>
      </c>
      <c r="L138">
        <v>0.19</v>
      </c>
      <c r="M138">
        <f>'Raw data'!$K138*(1- 'Raw data'!$L138)</f>
        <v>5763.96</v>
      </c>
      <c r="N138">
        <v>34583.760000000002</v>
      </c>
      <c r="O138">
        <v>0.25</v>
      </c>
      <c r="P138">
        <v>8645.94</v>
      </c>
      <c r="Q138" t="s">
        <v>37</v>
      </c>
      <c r="R138" t="s">
        <v>48</v>
      </c>
      <c r="S138">
        <v>5</v>
      </c>
    </row>
    <row r="139" spans="1:19" x14ac:dyDescent="0.3">
      <c r="A139" t="s">
        <v>345</v>
      </c>
      <c r="B139">
        <v>45064</v>
      </c>
      <c r="C139" t="s">
        <v>20</v>
      </c>
      <c r="D139" t="s">
        <v>41</v>
      </c>
      <c r="E139" t="s">
        <v>22</v>
      </c>
      <c r="F139" t="s">
        <v>23</v>
      </c>
      <c r="G139" t="s">
        <v>57</v>
      </c>
      <c r="H139" t="s">
        <v>183</v>
      </c>
      <c r="I139" t="s">
        <v>346</v>
      </c>
      <c r="J139">
        <v>5</v>
      </c>
      <c r="K139">
        <v>17563</v>
      </c>
      <c r="L139">
        <v>0.23</v>
      </c>
      <c r="M139">
        <f>'Raw data'!$K139*(1- 'Raw data'!$L139)</f>
        <v>13523.51</v>
      </c>
      <c r="N139">
        <v>67617.55</v>
      </c>
      <c r="O139">
        <v>0.2</v>
      </c>
      <c r="P139">
        <v>13523.51</v>
      </c>
      <c r="Q139" t="s">
        <v>27</v>
      </c>
      <c r="R139" t="s">
        <v>48</v>
      </c>
      <c r="S139">
        <v>9</v>
      </c>
    </row>
    <row r="140" spans="1:19" x14ac:dyDescent="0.3">
      <c r="A140" t="s">
        <v>347</v>
      </c>
      <c r="B140">
        <v>45065</v>
      </c>
      <c r="C140" t="s">
        <v>55</v>
      </c>
      <c r="D140" t="s">
        <v>21</v>
      </c>
      <c r="E140" t="s">
        <v>42</v>
      </c>
      <c r="F140" t="s">
        <v>97</v>
      </c>
      <c r="G140" t="s">
        <v>57</v>
      </c>
      <c r="H140" t="s">
        <v>183</v>
      </c>
      <c r="I140" t="s">
        <v>348</v>
      </c>
      <c r="J140">
        <v>4</v>
      </c>
      <c r="K140">
        <v>5568</v>
      </c>
      <c r="L140">
        <v>0.11</v>
      </c>
      <c r="M140">
        <f>'Raw data'!$K140*(1- 'Raw data'!$L140)</f>
        <v>4955.5200000000004</v>
      </c>
      <c r="N140">
        <v>19822.080000000002</v>
      </c>
      <c r="O140">
        <v>0.2</v>
      </c>
      <c r="P140">
        <v>3964.42</v>
      </c>
      <c r="Q140" t="s">
        <v>51</v>
      </c>
      <c r="R140" t="s">
        <v>38</v>
      </c>
      <c r="S140">
        <v>4</v>
      </c>
    </row>
    <row r="141" spans="1:19" x14ac:dyDescent="0.3">
      <c r="A141" t="s">
        <v>349</v>
      </c>
      <c r="B141">
        <v>45066</v>
      </c>
      <c r="C141" t="s">
        <v>40</v>
      </c>
      <c r="D141" t="s">
        <v>21</v>
      </c>
      <c r="E141" t="s">
        <v>22</v>
      </c>
      <c r="F141" t="s">
        <v>33</v>
      </c>
      <c r="G141" t="s">
        <v>34</v>
      </c>
      <c r="H141" t="s">
        <v>71</v>
      </c>
      <c r="I141" t="s">
        <v>350</v>
      </c>
      <c r="J141">
        <v>8</v>
      </c>
      <c r="K141">
        <v>355</v>
      </c>
      <c r="L141">
        <v>0.06</v>
      </c>
      <c r="M141">
        <f>'Raw data'!$K141*(1- 'Raw data'!$L141)</f>
        <v>333.7</v>
      </c>
      <c r="N141">
        <v>2669.6</v>
      </c>
      <c r="O141">
        <v>0.4</v>
      </c>
      <c r="P141">
        <v>1067.8399999999999</v>
      </c>
      <c r="Q141" t="s">
        <v>51</v>
      </c>
      <c r="R141" t="s">
        <v>48</v>
      </c>
      <c r="S141">
        <v>4</v>
      </c>
    </row>
    <row r="142" spans="1:19" x14ac:dyDescent="0.3">
      <c r="A142" t="s">
        <v>351</v>
      </c>
      <c r="B142">
        <v>45067</v>
      </c>
      <c r="C142" t="s">
        <v>40</v>
      </c>
      <c r="D142" t="s">
        <v>56</v>
      </c>
      <c r="E142" t="s">
        <v>42</v>
      </c>
      <c r="F142" t="s">
        <v>97</v>
      </c>
      <c r="G142" t="s">
        <v>92</v>
      </c>
      <c r="H142" t="s">
        <v>109</v>
      </c>
      <c r="I142" t="s">
        <v>352</v>
      </c>
      <c r="J142">
        <v>1</v>
      </c>
      <c r="K142">
        <v>77278</v>
      </c>
      <c r="L142">
        <v>0.11</v>
      </c>
      <c r="M142">
        <f>'Raw data'!$K142*(1- 'Raw data'!$L142)</f>
        <v>68777.42</v>
      </c>
      <c r="N142">
        <v>68777.42</v>
      </c>
      <c r="O142">
        <v>0.15</v>
      </c>
      <c r="P142">
        <v>10316.61</v>
      </c>
      <c r="Q142" t="s">
        <v>51</v>
      </c>
      <c r="R142" t="s">
        <v>48</v>
      </c>
      <c r="S142">
        <v>8</v>
      </c>
    </row>
    <row r="143" spans="1:19" x14ac:dyDescent="0.3">
      <c r="A143" t="s">
        <v>353</v>
      </c>
      <c r="B143">
        <v>45068</v>
      </c>
      <c r="C143" t="s">
        <v>40</v>
      </c>
      <c r="D143" t="s">
        <v>56</v>
      </c>
      <c r="E143" t="s">
        <v>32</v>
      </c>
      <c r="F143" t="s">
        <v>23</v>
      </c>
      <c r="G143" t="s">
        <v>34</v>
      </c>
      <c r="H143" t="s">
        <v>35</v>
      </c>
      <c r="I143" t="s">
        <v>354</v>
      </c>
      <c r="J143">
        <v>9</v>
      </c>
      <c r="K143">
        <v>819</v>
      </c>
      <c r="L143">
        <v>0.18</v>
      </c>
      <c r="M143">
        <f>'Raw data'!$K143*(1- 'Raw data'!$L143)</f>
        <v>671.58</v>
      </c>
      <c r="N143">
        <v>6044.22</v>
      </c>
      <c r="O143">
        <v>0.4</v>
      </c>
      <c r="P143">
        <v>2417.69</v>
      </c>
      <c r="Q143" t="s">
        <v>37</v>
      </c>
      <c r="R143" t="s">
        <v>38</v>
      </c>
      <c r="S143">
        <v>1</v>
      </c>
    </row>
    <row r="144" spans="1:19" x14ac:dyDescent="0.3">
      <c r="A144" t="s">
        <v>355</v>
      </c>
      <c r="B144">
        <v>45069</v>
      </c>
      <c r="C144" t="s">
        <v>20</v>
      </c>
      <c r="D144" t="s">
        <v>21</v>
      </c>
      <c r="E144" t="s">
        <v>22</v>
      </c>
      <c r="F144" t="s">
        <v>43</v>
      </c>
      <c r="G144" t="s">
        <v>24</v>
      </c>
      <c r="H144" t="s">
        <v>121</v>
      </c>
      <c r="I144" t="s">
        <v>356</v>
      </c>
      <c r="J144">
        <v>1</v>
      </c>
      <c r="K144">
        <v>2274</v>
      </c>
      <c r="L144">
        <v>0</v>
      </c>
      <c r="M144">
        <f>'Raw data'!$K144*(1- 'Raw data'!$L144)</f>
        <v>2274</v>
      </c>
      <c r="N144">
        <v>2274</v>
      </c>
      <c r="O144">
        <v>0.25</v>
      </c>
      <c r="P144">
        <v>568.5</v>
      </c>
      <c r="Q144" t="s">
        <v>37</v>
      </c>
      <c r="R144" t="s">
        <v>48</v>
      </c>
      <c r="S144">
        <v>8</v>
      </c>
    </row>
    <row r="145" spans="1:19" x14ac:dyDescent="0.3">
      <c r="A145" t="s">
        <v>357</v>
      </c>
      <c r="B145">
        <v>45070</v>
      </c>
      <c r="C145" t="s">
        <v>20</v>
      </c>
      <c r="D145" t="s">
        <v>56</v>
      </c>
      <c r="E145" t="s">
        <v>42</v>
      </c>
      <c r="F145" t="s">
        <v>23</v>
      </c>
      <c r="G145" t="s">
        <v>24</v>
      </c>
      <c r="H145" t="s">
        <v>25</v>
      </c>
      <c r="I145" t="s">
        <v>358</v>
      </c>
      <c r="J145">
        <v>8</v>
      </c>
      <c r="K145">
        <v>1956</v>
      </c>
      <c r="L145">
        <v>0.15</v>
      </c>
      <c r="M145">
        <f>'Raw data'!$K145*(1- 'Raw data'!$L145)</f>
        <v>1662.6</v>
      </c>
      <c r="N145">
        <v>13300.8</v>
      </c>
      <c r="O145">
        <v>0.25</v>
      </c>
      <c r="P145">
        <v>3325.2</v>
      </c>
      <c r="Q145" t="s">
        <v>51</v>
      </c>
      <c r="R145" t="s">
        <v>48</v>
      </c>
      <c r="S145">
        <v>5</v>
      </c>
    </row>
    <row r="146" spans="1:19" x14ac:dyDescent="0.3">
      <c r="A146" t="s">
        <v>359</v>
      </c>
      <c r="B146">
        <v>45071</v>
      </c>
      <c r="C146" t="s">
        <v>30</v>
      </c>
      <c r="D146" t="s">
        <v>31</v>
      </c>
      <c r="E146" t="s">
        <v>42</v>
      </c>
      <c r="F146" t="s">
        <v>23</v>
      </c>
      <c r="G146" t="s">
        <v>24</v>
      </c>
      <c r="H146" t="s">
        <v>121</v>
      </c>
      <c r="I146" t="s">
        <v>360</v>
      </c>
      <c r="J146">
        <v>4</v>
      </c>
      <c r="K146">
        <v>2939</v>
      </c>
      <c r="L146">
        <v>0.15</v>
      </c>
      <c r="M146">
        <f>'Raw data'!$K146*(1- 'Raw data'!$L146)</f>
        <v>2498.15</v>
      </c>
      <c r="N146">
        <v>9992.6</v>
      </c>
      <c r="O146">
        <v>0.25</v>
      </c>
      <c r="P146">
        <v>2498.15</v>
      </c>
      <c r="Q146" t="s">
        <v>51</v>
      </c>
      <c r="R146" t="s">
        <v>48</v>
      </c>
      <c r="S146">
        <v>1</v>
      </c>
    </row>
    <row r="147" spans="1:19" x14ac:dyDescent="0.3">
      <c r="A147" t="s">
        <v>361</v>
      </c>
      <c r="B147">
        <v>45072</v>
      </c>
      <c r="C147" t="s">
        <v>40</v>
      </c>
      <c r="D147" t="s">
        <v>21</v>
      </c>
      <c r="E147" t="s">
        <v>42</v>
      </c>
      <c r="F147" t="s">
        <v>43</v>
      </c>
      <c r="G147" t="s">
        <v>24</v>
      </c>
      <c r="H147" t="s">
        <v>186</v>
      </c>
      <c r="I147" t="s">
        <v>362</v>
      </c>
      <c r="J147">
        <v>9</v>
      </c>
      <c r="K147">
        <v>4953</v>
      </c>
      <c r="L147">
        <v>0.16</v>
      </c>
      <c r="M147">
        <f>'Raw data'!$K147*(1- 'Raw data'!$L147)</f>
        <v>4160.5199999999995</v>
      </c>
      <c r="N147">
        <v>37444.68</v>
      </c>
      <c r="O147">
        <v>0.25</v>
      </c>
      <c r="P147">
        <v>9361.17</v>
      </c>
      <c r="Q147" t="s">
        <v>37</v>
      </c>
      <c r="R147" t="s">
        <v>38</v>
      </c>
      <c r="S147">
        <v>4</v>
      </c>
    </row>
    <row r="148" spans="1:19" x14ac:dyDescent="0.3">
      <c r="A148" t="s">
        <v>363</v>
      </c>
      <c r="B148">
        <v>45073</v>
      </c>
      <c r="C148" t="s">
        <v>30</v>
      </c>
      <c r="D148" t="s">
        <v>56</v>
      </c>
      <c r="E148" t="s">
        <v>67</v>
      </c>
      <c r="F148" t="s">
        <v>43</v>
      </c>
      <c r="G148" t="s">
        <v>24</v>
      </c>
      <c r="H148" t="s">
        <v>186</v>
      </c>
      <c r="I148" t="s">
        <v>364</v>
      </c>
      <c r="J148">
        <v>5</v>
      </c>
      <c r="K148">
        <v>11573</v>
      </c>
      <c r="L148">
        <v>0.06</v>
      </c>
      <c r="M148">
        <f>'Raw data'!$K148*(1- 'Raw data'!$L148)</f>
        <v>10878.619999999999</v>
      </c>
      <c r="N148">
        <v>54393.1</v>
      </c>
      <c r="O148">
        <v>0.25</v>
      </c>
      <c r="P148">
        <v>13598.28</v>
      </c>
      <c r="Q148" t="s">
        <v>37</v>
      </c>
      <c r="R148" t="s">
        <v>48</v>
      </c>
      <c r="S148">
        <v>2</v>
      </c>
    </row>
    <row r="149" spans="1:19" x14ac:dyDescent="0.3">
      <c r="A149" t="s">
        <v>365</v>
      </c>
      <c r="B149">
        <v>45074</v>
      </c>
      <c r="C149" t="s">
        <v>40</v>
      </c>
      <c r="D149" t="s">
        <v>31</v>
      </c>
      <c r="E149" t="s">
        <v>32</v>
      </c>
      <c r="F149" t="s">
        <v>43</v>
      </c>
      <c r="G149" t="s">
        <v>44</v>
      </c>
      <c r="H149" t="s">
        <v>138</v>
      </c>
      <c r="I149" t="s">
        <v>366</v>
      </c>
      <c r="J149">
        <v>3</v>
      </c>
      <c r="K149">
        <v>1468</v>
      </c>
      <c r="L149">
        <v>0.18</v>
      </c>
      <c r="M149">
        <f>'Raw data'!$K149*(1- 'Raw data'!$L149)</f>
        <v>1203.76</v>
      </c>
      <c r="N149">
        <v>3611.28</v>
      </c>
      <c r="O149">
        <v>0.35</v>
      </c>
      <c r="P149">
        <v>1263.95</v>
      </c>
      <c r="Q149" t="s">
        <v>47</v>
      </c>
      <c r="R149" t="s">
        <v>48</v>
      </c>
      <c r="S149">
        <v>4</v>
      </c>
    </row>
    <row r="150" spans="1:19" x14ac:dyDescent="0.3">
      <c r="A150" t="s">
        <v>367</v>
      </c>
      <c r="B150">
        <v>45075</v>
      </c>
      <c r="C150" t="s">
        <v>30</v>
      </c>
      <c r="D150" t="s">
        <v>56</v>
      </c>
      <c r="E150" t="s">
        <v>42</v>
      </c>
      <c r="F150" t="s">
        <v>43</v>
      </c>
      <c r="G150" t="s">
        <v>57</v>
      </c>
      <c r="H150" t="s">
        <v>100</v>
      </c>
      <c r="I150" t="s">
        <v>368</v>
      </c>
      <c r="J150">
        <v>9</v>
      </c>
      <c r="K150">
        <v>16846</v>
      </c>
      <c r="L150">
        <v>0.02</v>
      </c>
      <c r="M150">
        <f>'Raw data'!$K150*(1- 'Raw data'!$L150)</f>
        <v>16509.079999999998</v>
      </c>
      <c r="N150">
        <v>148581.72</v>
      </c>
      <c r="O150">
        <v>0.2</v>
      </c>
      <c r="P150">
        <v>29716.34</v>
      </c>
      <c r="Q150" t="s">
        <v>47</v>
      </c>
      <c r="R150" t="s">
        <v>48</v>
      </c>
      <c r="S150">
        <v>8</v>
      </c>
    </row>
    <row r="151" spans="1:19" x14ac:dyDescent="0.3">
      <c r="A151" t="s">
        <v>369</v>
      </c>
      <c r="B151">
        <v>45076</v>
      </c>
      <c r="C151" t="s">
        <v>30</v>
      </c>
      <c r="D151" t="s">
        <v>56</v>
      </c>
      <c r="E151" t="s">
        <v>22</v>
      </c>
      <c r="F151" t="s">
        <v>43</v>
      </c>
      <c r="G151" t="s">
        <v>24</v>
      </c>
      <c r="H151" t="s">
        <v>74</v>
      </c>
      <c r="I151" t="s">
        <v>370</v>
      </c>
      <c r="J151">
        <v>9</v>
      </c>
      <c r="K151">
        <v>10508</v>
      </c>
      <c r="L151">
        <v>0.05</v>
      </c>
      <c r="M151">
        <f>'Raw data'!$K151*(1- 'Raw data'!$L151)</f>
        <v>9982.6</v>
      </c>
      <c r="N151">
        <v>89843.4</v>
      </c>
      <c r="O151">
        <v>0.25</v>
      </c>
      <c r="P151">
        <v>22460.85</v>
      </c>
      <c r="Q151" t="s">
        <v>47</v>
      </c>
      <c r="R151" t="s">
        <v>38</v>
      </c>
      <c r="S151">
        <v>5</v>
      </c>
    </row>
    <row r="152" spans="1:19" x14ac:dyDescent="0.3">
      <c r="A152" t="s">
        <v>371</v>
      </c>
      <c r="B152">
        <v>45077</v>
      </c>
      <c r="C152" t="s">
        <v>55</v>
      </c>
      <c r="D152" t="s">
        <v>56</v>
      </c>
      <c r="E152" t="s">
        <v>42</v>
      </c>
      <c r="F152" t="s">
        <v>23</v>
      </c>
      <c r="G152" t="s">
        <v>92</v>
      </c>
      <c r="H152" t="s">
        <v>243</v>
      </c>
      <c r="I152" t="s">
        <v>372</v>
      </c>
      <c r="J152">
        <v>4</v>
      </c>
      <c r="K152">
        <v>10281</v>
      </c>
      <c r="L152">
        <v>0.22</v>
      </c>
      <c r="M152">
        <f>'Raw data'!$K152*(1- 'Raw data'!$L152)</f>
        <v>8019.18</v>
      </c>
      <c r="N152">
        <v>32076.720000000001</v>
      </c>
      <c r="O152">
        <v>0.15</v>
      </c>
      <c r="P152">
        <v>4811.51</v>
      </c>
      <c r="Q152" t="s">
        <v>51</v>
      </c>
      <c r="R152" t="s">
        <v>48</v>
      </c>
      <c r="S152">
        <v>1</v>
      </c>
    </row>
    <row r="153" spans="1:19" x14ac:dyDescent="0.3">
      <c r="A153" t="s">
        <v>373</v>
      </c>
      <c r="B153">
        <v>45078</v>
      </c>
      <c r="C153" t="s">
        <v>30</v>
      </c>
      <c r="D153" t="s">
        <v>21</v>
      </c>
      <c r="E153" t="s">
        <v>67</v>
      </c>
      <c r="F153" t="s">
        <v>103</v>
      </c>
      <c r="G153" t="s">
        <v>92</v>
      </c>
      <c r="H153" t="s">
        <v>109</v>
      </c>
      <c r="I153" t="s">
        <v>374</v>
      </c>
      <c r="J153">
        <v>4</v>
      </c>
      <c r="K153">
        <v>37420</v>
      </c>
      <c r="L153">
        <v>0.18</v>
      </c>
      <c r="M153">
        <f>'Raw data'!$K153*(1- 'Raw data'!$L153)</f>
        <v>30684.400000000001</v>
      </c>
      <c r="N153">
        <v>122737.60000000001</v>
      </c>
      <c r="O153">
        <v>0.15</v>
      </c>
      <c r="P153">
        <v>18410.64</v>
      </c>
      <c r="Q153" t="s">
        <v>27</v>
      </c>
      <c r="R153" t="s">
        <v>48</v>
      </c>
      <c r="S153">
        <v>7</v>
      </c>
    </row>
    <row r="154" spans="1:19" x14ac:dyDescent="0.3">
      <c r="A154" t="s">
        <v>375</v>
      </c>
      <c r="B154">
        <v>45079</v>
      </c>
      <c r="C154" t="s">
        <v>20</v>
      </c>
      <c r="D154" t="s">
        <v>41</v>
      </c>
      <c r="E154" t="s">
        <v>32</v>
      </c>
      <c r="F154" t="s">
        <v>103</v>
      </c>
      <c r="G154" t="s">
        <v>92</v>
      </c>
      <c r="H154" t="s">
        <v>243</v>
      </c>
      <c r="I154" t="s">
        <v>376</v>
      </c>
      <c r="J154">
        <v>8</v>
      </c>
      <c r="K154">
        <v>49030</v>
      </c>
      <c r="L154">
        <v>0</v>
      </c>
      <c r="M154">
        <f>'Raw data'!$K154*(1- 'Raw data'!$L154)</f>
        <v>49030</v>
      </c>
      <c r="N154">
        <v>392240</v>
      </c>
      <c r="O154">
        <v>0.15</v>
      </c>
      <c r="P154">
        <v>58836</v>
      </c>
      <c r="Q154" t="s">
        <v>37</v>
      </c>
      <c r="R154" t="s">
        <v>48</v>
      </c>
      <c r="S154">
        <v>1</v>
      </c>
    </row>
    <row r="155" spans="1:19" x14ac:dyDescent="0.3">
      <c r="A155" t="s">
        <v>377</v>
      </c>
      <c r="B155">
        <v>45080</v>
      </c>
      <c r="C155" t="s">
        <v>30</v>
      </c>
      <c r="D155" t="s">
        <v>56</v>
      </c>
      <c r="E155" t="s">
        <v>67</v>
      </c>
      <c r="F155" t="s">
        <v>68</v>
      </c>
      <c r="G155" t="s">
        <v>92</v>
      </c>
      <c r="H155" t="s">
        <v>243</v>
      </c>
      <c r="I155" t="s">
        <v>378</v>
      </c>
      <c r="J155">
        <v>2</v>
      </c>
      <c r="K155">
        <v>11058</v>
      </c>
      <c r="L155">
        <v>0.06</v>
      </c>
      <c r="M155">
        <f>'Raw data'!$K155*(1- 'Raw data'!$L155)</f>
        <v>10394.519999999999</v>
      </c>
      <c r="N155">
        <v>20789.04</v>
      </c>
      <c r="O155">
        <v>0.15</v>
      </c>
      <c r="P155">
        <v>3118.36</v>
      </c>
      <c r="Q155" t="s">
        <v>47</v>
      </c>
      <c r="R155" t="s">
        <v>38</v>
      </c>
      <c r="S155">
        <v>9</v>
      </c>
    </row>
    <row r="156" spans="1:19" x14ac:dyDescent="0.3">
      <c r="A156" t="s">
        <v>379</v>
      </c>
      <c r="B156">
        <v>45081</v>
      </c>
      <c r="C156" t="s">
        <v>40</v>
      </c>
      <c r="D156" t="s">
        <v>31</v>
      </c>
      <c r="E156" t="s">
        <v>67</v>
      </c>
      <c r="F156" t="s">
        <v>103</v>
      </c>
      <c r="G156" t="s">
        <v>44</v>
      </c>
      <c r="H156" t="s">
        <v>45</v>
      </c>
      <c r="I156" t="s">
        <v>380</v>
      </c>
      <c r="J156">
        <v>9</v>
      </c>
      <c r="K156">
        <v>4793</v>
      </c>
      <c r="L156">
        <v>0.05</v>
      </c>
      <c r="M156">
        <f>'Raw data'!$K156*(1- 'Raw data'!$L156)</f>
        <v>4553.3499999999995</v>
      </c>
      <c r="N156">
        <v>40980.15</v>
      </c>
      <c r="O156">
        <v>0.35</v>
      </c>
      <c r="P156">
        <v>14343.05</v>
      </c>
      <c r="Q156" t="s">
        <v>27</v>
      </c>
      <c r="R156" t="s">
        <v>38</v>
      </c>
      <c r="S156">
        <v>3</v>
      </c>
    </row>
    <row r="157" spans="1:19" x14ac:dyDescent="0.3">
      <c r="A157" t="s">
        <v>381</v>
      </c>
      <c r="B157">
        <v>45082</v>
      </c>
      <c r="C157" t="s">
        <v>30</v>
      </c>
      <c r="D157" t="s">
        <v>21</v>
      </c>
      <c r="E157" t="s">
        <v>67</v>
      </c>
      <c r="F157" t="s">
        <v>33</v>
      </c>
      <c r="G157" t="s">
        <v>92</v>
      </c>
      <c r="H157" t="s">
        <v>93</v>
      </c>
      <c r="I157" t="s">
        <v>382</v>
      </c>
      <c r="J157">
        <v>6</v>
      </c>
      <c r="K157">
        <v>38404</v>
      </c>
      <c r="L157">
        <v>7.0000000000000007E-2</v>
      </c>
      <c r="M157">
        <f>'Raw data'!$K157*(1- 'Raw data'!$L157)</f>
        <v>35715.72</v>
      </c>
      <c r="N157">
        <v>214294.32</v>
      </c>
      <c r="O157">
        <v>0.15</v>
      </c>
      <c r="P157">
        <v>32144.15</v>
      </c>
      <c r="Q157" t="s">
        <v>37</v>
      </c>
      <c r="R157" t="s">
        <v>28</v>
      </c>
      <c r="S157">
        <v>3</v>
      </c>
    </row>
    <row r="158" spans="1:19" x14ac:dyDescent="0.3">
      <c r="A158" t="s">
        <v>383</v>
      </c>
      <c r="B158">
        <v>45083</v>
      </c>
      <c r="C158" t="s">
        <v>96</v>
      </c>
      <c r="D158" t="s">
        <v>21</v>
      </c>
      <c r="E158" t="s">
        <v>22</v>
      </c>
      <c r="F158" t="s">
        <v>103</v>
      </c>
      <c r="G158" t="s">
        <v>24</v>
      </c>
      <c r="H158" t="s">
        <v>186</v>
      </c>
      <c r="I158" t="s">
        <v>384</v>
      </c>
      <c r="J158">
        <v>9</v>
      </c>
      <c r="K158">
        <v>6178</v>
      </c>
      <c r="L158">
        <v>0.06</v>
      </c>
      <c r="M158">
        <f>'Raw data'!$K158*(1- 'Raw data'!$L158)</f>
        <v>5807.32</v>
      </c>
      <c r="N158">
        <v>52265.88</v>
      </c>
      <c r="O158">
        <v>0.25</v>
      </c>
      <c r="P158">
        <v>13066.47</v>
      </c>
      <c r="Q158" t="s">
        <v>27</v>
      </c>
      <c r="R158" t="s">
        <v>48</v>
      </c>
      <c r="S158">
        <v>6</v>
      </c>
    </row>
    <row r="159" spans="1:19" x14ac:dyDescent="0.3">
      <c r="A159" t="s">
        <v>385</v>
      </c>
      <c r="B159">
        <v>45084</v>
      </c>
      <c r="C159" t="s">
        <v>63</v>
      </c>
      <c r="D159" t="s">
        <v>31</v>
      </c>
      <c r="E159" t="s">
        <v>32</v>
      </c>
      <c r="F159" t="s">
        <v>23</v>
      </c>
      <c r="G159" t="s">
        <v>34</v>
      </c>
      <c r="H159" t="s">
        <v>71</v>
      </c>
      <c r="I159" t="s">
        <v>386</v>
      </c>
      <c r="J159">
        <v>8</v>
      </c>
      <c r="K159">
        <v>1036</v>
      </c>
      <c r="L159">
        <v>0.02</v>
      </c>
      <c r="M159">
        <f>'Raw data'!$K159*(1- 'Raw data'!$L159)</f>
        <v>1015.28</v>
      </c>
      <c r="N159">
        <v>8122.24</v>
      </c>
      <c r="O159">
        <v>0.4</v>
      </c>
      <c r="P159">
        <v>3248.9</v>
      </c>
      <c r="Q159" t="s">
        <v>51</v>
      </c>
      <c r="R159" t="s">
        <v>48</v>
      </c>
      <c r="S159">
        <v>6</v>
      </c>
    </row>
    <row r="160" spans="1:19" x14ac:dyDescent="0.3">
      <c r="A160" t="s">
        <v>387</v>
      </c>
      <c r="B160">
        <v>45085</v>
      </c>
      <c r="C160" t="s">
        <v>40</v>
      </c>
      <c r="D160" t="s">
        <v>56</v>
      </c>
      <c r="E160" t="s">
        <v>32</v>
      </c>
      <c r="F160" t="s">
        <v>43</v>
      </c>
      <c r="G160" t="s">
        <v>92</v>
      </c>
      <c r="H160" t="s">
        <v>178</v>
      </c>
      <c r="I160" t="s">
        <v>388</v>
      </c>
      <c r="J160">
        <v>7</v>
      </c>
      <c r="K160">
        <v>39856</v>
      </c>
      <c r="L160">
        <v>0.11</v>
      </c>
      <c r="M160">
        <f>'Raw data'!$K160*(1- 'Raw data'!$L160)</f>
        <v>35471.840000000004</v>
      </c>
      <c r="N160">
        <v>248302.88</v>
      </c>
      <c r="O160">
        <v>0.15</v>
      </c>
      <c r="P160">
        <v>37245.43</v>
      </c>
      <c r="Q160" t="s">
        <v>51</v>
      </c>
      <c r="R160" t="s">
        <v>48</v>
      </c>
      <c r="S160">
        <v>6</v>
      </c>
    </row>
    <row r="161" spans="1:19" x14ac:dyDescent="0.3">
      <c r="A161" t="s">
        <v>389</v>
      </c>
      <c r="B161">
        <v>45086</v>
      </c>
      <c r="C161" t="s">
        <v>96</v>
      </c>
      <c r="D161" t="s">
        <v>41</v>
      </c>
      <c r="E161" t="s">
        <v>22</v>
      </c>
      <c r="F161" t="s">
        <v>43</v>
      </c>
      <c r="G161" t="s">
        <v>44</v>
      </c>
      <c r="H161" t="s">
        <v>45</v>
      </c>
      <c r="I161" t="s">
        <v>390</v>
      </c>
      <c r="J161">
        <v>1</v>
      </c>
      <c r="K161">
        <v>1508</v>
      </c>
      <c r="L161">
        <v>0.18</v>
      </c>
      <c r="M161">
        <f>'Raw data'!$K161*(1- 'Raw data'!$L161)</f>
        <v>1236.5600000000002</v>
      </c>
      <c r="N161">
        <v>1236.56</v>
      </c>
      <c r="O161">
        <v>0.35</v>
      </c>
      <c r="P161">
        <v>432.8</v>
      </c>
      <c r="Q161" t="s">
        <v>51</v>
      </c>
      <c r="R161" t="s">
        <v>38</v>
      </c>
      <c r="S161">
        <v>1</v>
      </c>
    </row>
    <row r="162" spans="1:19" x14ac:dyDescent="0.3">
      <c r="A162" t="s">
        <v>391</v>
      </c>
      <c r="B162">
        <v>45087</v>
      </c>
      <c r="C162" t="s">
        <v>40</v>
      </c>
      <c r="D162" t="s">
        <v>56</v>
      </c>
      <c r="E162" t="s">
        <v>32</v>
      </c>
      <c r="F162" t="s">
        <v>23</v>
      </c>
      <c r="G162" t="s">
        <v>44</v>
      </c>
      <c r="H162" t="s">
        <v>116</v>
      </c>
      <c r="I162" t="s">
        <v>392</v>
      </c>
      <c r="J162">
        <v>3</v>
      </c>
      <c r="K162">
        <v>1729</v>
      </c>
      <c r="L162">
        <v>0.15</v>
      </c>
      <c r="M162">
        <f>'Raw data'!$K162*(1- 'Raw data'!$L162)</f>
        <v>1469.6499999999999</v>
      </c>
      <c r="N162">
        <v>4408.95</v>
      </c>
      <c r="O162">
        <v>0.35</v>
      </c>
      <c r="P162">
        <v>1543.13</v>
      </c>
      <c r="Q162" t="s">
        <v>47</v>
      </c>
      <c r="R162" t="s">
        <v>48</v>
      </c>
      <c r="S162">
        <v>5</v>
      </c>
    </row>
    <row r="163" spans="1:19" x14ac:dyDescent="0.3">
      <c r="A163" t="s">
        <v>393</v>
      </c>
      <c r="B163">
        <v>45088</v>
      </c>
      <c r="C163" t="s">
        <v>20</v>
      </c>
      <c r="D163" t="s">
        <v>31</v>
      </c>
      <c r="E163" t="s">
        <v>67</v>
      </c>
      <c r="F163" t="s">
        <v>33</v>
      </c>
      <c r="G163" t="s">
        <v>92</v>
      </c>
      <c r="H163" t="s">
        <v>109</v>
      </c>
      <c r="I163" t="s">
        <v>394</v>
      </c>
      <c r="J163">
        <v>2</v>
      </c>
      <c r="K163">
        <v>35611</v>
      </c>
      <c r="L163">
        <v>0.17</v>
      </c>
      <c r="M163">
        <f>'Raw data'!$K163*(1- 'Raw data'!$L163)</f>
        <v>29557.129999999997</v>
      </c>
      <c r="N163">
        <v>59114.26</v>
      </c>
      <c r="O163">
        <v>0.15</v>
      </c>
      <c r="P163">
        <v>8867.14</v>
      </c>
      <c r="Q163" t="s">
        <v>37</v>
      </c>
      <c r="R163" t="s">
        <v>48</v>
      </c>
      <c r="S163">
        <v>6</v>
      </c>
    </row>
    <row r="164" spans="1:19" x14ac:dyDescent="0.3">
      <c r="A164" t="s">
        <v>395</v>
      </c>
      <c r="B164">
        <v>45089</v>
      </c>
      <c r="C164" t="s">
        <v>63</v>
      </c>
      <c r="D164" t="s">
        <v>21</v>
      </c>
      <c r="E164" t="s">
        <v>32</v>
      </c>
      <c r="F164" t="s">
        <v>103</v>
      </c>
      <c r="G164" t="s">
        <v>34</v>
      </c>
      <c r="H164" t="s">
        <v>104</v>
      </c>
      <c r="I164" t="s">
        <v>396</v>
      </c>
      <c r="J164">
        <v>5</v>
      </c>
      <c r="K164">
        <v>689</v>
      </c>
      <c r="L164">
        <v>0.02</v>
      </c>
      <c r="M164">
        <f>'Raw data'!$K164*(1- 'Raw data'!$L164)</f>
        <v>675.22</v>
      </c>
      <c r="N164">
        <v>3376.1</v>
      </c>
      <c r="O164">
        <v>0.4</v>
      </c>
      <c r="P164">
        <v>1350.44</v>
      </c>
      <c r="Q164" t="s">
        <v>51</v>
      </c>
      <c r="R164" t="s">
        <v>48</v>
      </c>
      <c r="S164">
        <v>8</v>
      </c>
    </row>
    <row r="165" spans="1:19" x14ac:dyDescent="0.3">
      <c r="A165" t="s">
        <v>397</v>
      </c>
      <c r="B165">
        <v>45090</v>
      </c>
      <c r="C165" t="s">
        <v>63</v>
      </c>
      <c r="D165" t="s">
        <v>41</v>
      </c>
      <c r="E165" t="s">
        <v>22</v>
      </c>
      <c r="F165" t="s">
        <v>23</v>
      </c>
      <c r="G165" t="s">
        <v>92</v>
      </c>
      <c r="H165" t="s">
        <v>178</v>
      </c>
      <c r="I165" t="s">
        <v>398</v>
      </c>
      <c r="J165">
        <v>5</v>
      </c>
      <c r="K165">
        <v>51235</v>
      </c>
      <c r="L165">
        <v>0.24</v>
      </c>
      <c r="M165">
        <f>'Raw data'!$K165*(1- 'Raw data'!$L165)</f>
        <v>38938.6</v>
      </c>
      <c r="N165">
        <v>194693</v>
      </c>
      <c r="O165">
        <v>0.15</v>
      </c>
      <c r="P165">
        <v>29203.95</v>
      </c>
      <c r="Q165" t="s">
        <v>47</v>
      </c>
      <c r="R165" t="s">
        <v>48</v>
      </c>
      <c r="S165">
        <v>1</v>
      </c>
    </row>
    <row r="166" spans="1:19" x14ac:dyDescent="0.3">
      <c r="A166" t="s">
        <v>399</v>
      </c>
      <c r="B166">
        <v>45091</v>
      </c>
      <c r="C166" t="s">
        <v>20</v>
      </c>
      <c r="D166" t="s">
        <v>21</v>
      </c>
      <c r="E166" t="s">
        <v>67</v>
      </c>
      <c r="F166" t="s">
        <v>68</v>
      </c>
      <c r="G166" t="s">
        <v>44</v>
      </c>
      <c r="H166" t="s">
        <v>64</v>
      </c>
      <c r="I166" t="s">
        <v>400</v>
      </c>
      <c r="J166">
        <v>5</v>
      </c>
      <c r="K166">
        <v>3240</v>
      </c>
      <c r="L166">
        <v>0.21</v>
      </c>
      <c r="M166">
        <f>'Raw data'!$K166*(1- 'Raw data'!$L166)</f>
        <v>2559.6</v>
      </c>
      <c r="N166">
        <v>12798</v>
      </c>
      <c r="O166">
        <v>0.35</v>
      </c>
      <c r="P166">
        <v>4479.3</v>
      </c>
      <c r="Q166" t="s">
        <v>47</v>
      </c>
      <c r="R166" t="s">
        <v>48</v>
      </c>
      <c r="S166">
        <v>5</v>
      </c>
    </row>
    <row r="167" spans="1:19" x14ac:dyDescent="0.3">
      <c r="A167" t="s">
        <v>401</v>
      </c>
      <c r="B167">
        <v>45092</v>
      </c>
      <c r="C167" t="s">
        <v>63</v>
      </c>
      <c r="D167" t="s">
        <v>31</v>
      </c>
      <c r="E167" t="s">
        <v>22</v>
      </c>
      <c r="F167" t="s">
        <v>43</v>
      </c>
      <c r="G167" t="s">
        <v>57</v>
      </c>
      <c r="H167" t="s">
        <v>58</v>
      </c>
      <c r="I167" t="s">
        <v>402</v>
      </c>
      <c r="J167">
        <v>4</v>
      </c>
      <c r="K167">
        <v>4289</v>
      </c>
      <c r="L167">
        <v>0.2</v>
      </c>
      <c r="M167">
        <f>'Raw data'!$K167*(1- 'Raw data'!$L167)</f>
        <v>3431.2000000000003</v>
      </c>
      <c r="N167">
        <v>13724.8</v>
      </c>
      <c r="O167">
        <v>0.2</v>
      </c>
      <c r="P167">
        <v>2744.96</v>
      </c>
      <c r="Q167" t="s">
        <v>47</v>
      </c>
      <c r="R167" t="s">
        <v>48</v>
      </c>
      <c r="S167">
        <v>3</v>
      </c>
    </row>
    <row r="168" spans="1:19" x14ac:dyDescent="0.3">
      <c r="A168" t="s">
        <v>403</v>
      </c>
      <c r="B168">
        <v>45093</v>
      </c>
      <c r="C168" t="s">
        <v>20</v>
      </c>
      <c r="D168" t="s">
        <v>56</v>
      </c>
      <c r="E168" t="s">
        <v>42</v>
      </c>
      <c r="F168" t="s">
        <v>97</v>
      </c>
      <c r="G168" t="s">
        <v>24</v>
      </c>
      <c r="H168" t="s">
        <v>186</v>
      </c>
      <c r="I168" t="s">
        <v>404</v>
      </c>
      <c r="J168">
        <v>5</v>
      </c>
      <c r="K168">
        <v>2239</v>
      </c>
      <c r="L168">
        <v>0.21</v>
      </c>
      <c r="M168">
        <f>'Raw data'!$K168*(1- 'Raw data'!$L168)</f>
        <v>1768.8100000000002</v>
      </c>
      <c r="N168">
        <v>8844.0499999999993</v>
      </c>
      <c r="O168">
        <v>0.25</v>
      </c>
      <c r="P168">
        <v>2211.0100000000002</v>
      </c>
      <c r="Q168" t="s">
        <v>47</v>
      </c>
      <c r="R168" t="s">
        <v>48</v>
      </c>
      <c r="S168">
        <v>2</v>
      </c>
    </row>
    <row r="169" spans="1:19" x14ac:dyDescent="0.3">
      <c r="A169" t="s">
        <v>405</v>
      </c>
      <c r="B169">
        <v>45094</v>
      </c>
      <c r="C169" t="s">
        <v>96</v>
      </c>
      <c r="D169" t="s">
        <v>41</v>
      </c>
      <c r="E169" t="s">
        <v>67</v>
      </c>
      <c r="F169" t="s">
        <v>68</v>
      </c>
      <c r="G169" t="s">
        <v>44</v>
      </c>
      <c r="H169" t="s">
        <v>138</v>
      </c>
      <c r="I169" t="s">
        <v>406</v>
      </c>
      <c r="J169">
        <v>3</v>
      </c>
      <c r="K169">
        <v>625</v>
      </c>
      <c r="L169">
        <v>0.23</v>
      </c>
      <c r="M169">
        <f>'Raw data'!$K169*(1- 'Raw data'!$L169)</f>
        <v>481.25</v>
      </c>
      <c r="N169">
        <v>1443.75</v>
      </c>
      <c r="O169">
        <v>0.35</v>
      </c>
      <c r="P169">
        <v>505.31</v>
      </c>
      <c r="Q169" t="s">
        <v>51</v>
      </c>
      <c r="R169" t="s">
        <v>48</v>
      </c>
      <c r="S169">
        <v>8</v>
      </c>
    </row>
    <row r="170" spans="1:19" x14ac:dyDescent="0.3">
      <c r="A170" t="s">
        <v>407</v>
      </c>
      <c r="B170">
        <v>45095</v>
      </c>
      <c r="C170" t="s">
        <v>55</v>
      </c>
      <c r="D170" t="s">
        <v>21</v>
      </c>
      <c r="E170" t="s">
        <v>67</v>
      </c>
      <c r="F170" t="s">
        <v>33</v>
      </c>
      <c r="G170" t="s">
        <v>92</v>
      </c>
      <c r="H170" t="s">
        <v>178</v>
      </c>
      <c r="I170" t="s">
        <v>408</v>
      </c>
      <c r="J170">
        <v>1</v>
      </c>
      <c r="K170">
        <v>55272</v>
      </c>
      <c r="L170">
        <v>0.14000000000000001</v>
      </c>
      <c r="M170">
        <f>'Raw data'!$K170*(1- 'Raw data'!$L170)</f>
        <v>47533.919999999998</v>
      </c>
      <c r="N170">
        <v>47533.919999999998</v>
      </c>
      <c r="O170">
        <v>0.15</v>
      </c>
      <c r="P170">
        <v>7130.09</v>
      </c>
      <c r="Q170" t="s">
        <v>47</v>
      </c>
      <c r="R170" t="s">
        <v>48</v>
      </c>
      <c r="S170">
        <v>7</v>
      </c>
    </row>
    <row r="171" spans="1:19" x14ac:dyDescent="0.3">
      <c r="A171" t="s">
        <v>409</v>
      </c>
      <c r="B171">
        <v>45096</v>
      </c>
      <c r="C171" t="s">
        <v>40</v>
      </c>
      <c r="D171" t="s">
        <v>21</v>
      </c>
      <c r="E171" t="s">
        <v>32</v>
      </c>
      <c r="F171" t="s">
        <v>68</v>
      </c>
      <c r="G171" t="s">
        <v>24</v>
      </c>
      <c r="H171" t="s">
        <v>186</v>
      </c>
      <c r="I171" t="s">
        <v>410</v>
      </c>
      <c r="J171">
        <v>5</v>
      </c>
      <c r="K171">
        <v>8473</v>
      </c>
      <c r="L171">
        <v>0.05</v>
      </c>
      <c r="M171">
        <f>'Raw data'!$K171*(1- 'Raw data'!$L171)</f>
        <v>8049.3499999999995</v>
      </c>
      <c r="N171">
        <v>40246.75</v>
      </c>
      <c r="O171">
        <v>0.25</v>
      </c>
      <c r="P171">
        <v>10061.69</v>
      </c>
      <c r="Q171" t="s">
        <v>51</v>
      </c>
      <c r="R171" t="s">
        <v>48</v>
      </c>
      <c r="S171">
        <v>7</v>
      </c>
    </row>
    <row r="172" spans="1:19" x14ac:dyDescent="0.3">
      <c r="A172" t="s">
        <v>411</v>
      </c>
      <c r="B172">
        <v>45097</v>
      </c>
      <c r="C172" t="s">
        <v>20</v>
      </c>
      <c r="D172" t="s">
        <v>21</v>
      </c>
      <c r="E172" t="s">
        <v>67</v>
      </c>
      <c r="F172" t="s">
        <v>23</v>
      </c>
      <c r="G172" t="s">
        <v>92</v>
      </c>
      <c r="H172" t="s">
        <v>109</v>
      </c>
      <c r="I172" t="s">
        <v>412</v>
      </c>
      <c r="J172">
        <v>9</v>
      </c>
      <c r="K172">
        <v>71212</v>
      </c>
      <c r="L172">
        <v>0.15</v>
      </c>
      <c r="M172">
        <f>'Raw data'!$K172*(1- 'Raw data'!$L172)</f>
        <v>60530.2</v>
      </c>
      <c r="N172">
        <v>544771.80000000005</v>
      </c>
      <c r="O172">
        <v>0.15</v>
      </c>
      <c r="P172">
        <v>81715.77</v>
      </c>
      <c r="Q172" t="s">
        <v>51</v>
      </c>
      <c r="R172" t="s">
        <v>48</v>
      </c>
      <c r="S172">
        <v>5</v>
      </c>
    </row>
    <row r="173" spans="1:19" x14ac:dyDescent="0.3">
      <c r="A173" t="s">
        <v>413</v>
      </c>
      <c r="B173">
        <v>45098</v>
      </c>
      <c r="C173" t="s">
        <v>40</v>
      </c>
      <c r="D173" t="s">
        <v>56</v>
      </c>
      <c r="E173" t="s">
        <v>22</v>
      </c>
      <c r="F173" t="s">
        <v>103</v>
      </c>
      <c r="G173" t="s">
        <v>92</v>
      </c>
      <c r="H173" t="s">
        <v>109</v>
      </c>
      <c r="I173" t="s">
        <v>414</v>
      </c>
      <c r="J173">
        <v>9</v>
      </c>
      <c r="K173">
        <v>25398</v>
      </c>
      <c r="L173">
        <v>0.19</v>
      </c>
      <c r="M173">
        <f>'Raw data'!$K173*(1- 'Raw data'!$L173)</f>
        <v>20572.38</v>
      </c>
      <c r="N173">
        <v>185151.42</v>
      </c>
      <c r="O173">
        <v>0.15</v>
      </c>
      <c r="P173">
        <v>27772.71</v>
      </c>
      <c r="Q173" t="s">
        <v>47</v>
      </c>
      <c r="R173" t="s">
        <v>48</v>
      </c>
      <c r="S173">
        <v>9</v>
      </c>
    </row>
    <row r="174" spans="1:19" x14ac:dyDescent="0.3">
      <c r="A174" t="s">
        <v>415</v>
      </c>
      <c r="B174">
        <v>45099</v>
      </c>
      <c r="C174" t="s">
        <v>96</v>
      </c>
      <c r="D174" t="s">
        <v>41</v>
      </c>
      <c r="E174" t="s">
        <v>32</v>
      </c>
      <c r="F174" t="s">
        <v>43</v>
      </c>
      <c r="G174" t="s">
        <v>57</v>
      </c>
      <c r="H174" t="s">
        <v>58</v>
      </c>
      <c r="I174" t="s">
        <v>416</v>
      </c>
      <c r="J174">
        <v>4</v>
      </c>
      <c r="K174">
        <v>8638</v>
      </c>
      <c r="L174">
        <v>0.18</v>
      </c>
      <c r="M174">
        <f>'Raw data'!$K174*(1- 'Raw data'!$L174)</f>
        <v>7083.1600000000008</v>
      </c>
      <c r="N174">
        <v>28332.639999999999</v>
      </c>
      <c r="O174">
        <v>0.2</v>
      </c>
      <c r="P174">
        <v>5666.53</v>
      </c>
      <c r="Q174" t="s">
        <v>51</v>
      </c>
      <c r="R174" t="s">
        <v>48</v>
      </c>
      <c r="S174">
        <v>5</v>
      </c>
    </row>
    <row r="175" spans="1:19" x14ac:dyDescent="0.3">
      <c r="A175" t="s">
        <v>417</v>
      </c>
      <c r="B175">
        <v>45100</v>
      </c>
      <c r="C175" t="s">
        <v>55</v>
      </c>
      <c r="D175" t="s">
        <v>56</v>
      </c>
      <c r="E175" t="s">
        <v>42</v>
      </c>
      <c r="F175" t="s">
        <v>33</v>
      </c>
      <c r="G175" t="s">
        <v>24</v>
      </c>
      <c r="H175" t="s">
        <v>25</v>
      </c>
      <c r="I175" t="s">
        <v>418</v>
      </c>
      <c r="J175">
        <v>3</v>
      </c>
      <c r="K175">
        <v>7570</v>
      </c>
      <c r="L175">
        <v>0.13</v>
      </c>
      <c r="M175">
        <f>'Raw data'!$K175*(1- 'Raw data'!$L175)</f>
        <v>6585.9</v>
      </c>
      <c r="N175">
        <v>19757.7</v>
      </c>
      <c r="O175">
        <v>0.25</v>
      </c>
      <c r="P175">
        <v>4939.42</v>
      </c>
      <c r="Q175" t="s">
        <v>37</v>
      </c>
      <c r="R175" t="s">
        <v>48</v>
      </c>
      <c r="S175">
        <v>2</v>
      </c>
    </row>
    <row r="176" spans="1:19" x14ac:dyDescent="0.3">
      <c r="A176" t="s">
        <v>419</v>
      </c>
      <c r="B176">
        <v>45101</v>
      </c>
      <c r="C176" t="s">
        <v>96</v>
      </c>
      <c r="D176" t="s">
        <v>56</v>
      </c>
      <c r="E176" t="s">
        <v>22</v>
      </c>
      <c r="F176" t="s">
        <v>33</v>
      </c>
      <c r="G176" t="s">
        <v>24</v>
      </c>
      <c r="H176" t="s">
        <v>74</v>
      </c>
      <c r="I176" t="s">
        <v>420</v>
      </c>
      <c r="J176">
        <v>1</v>
      </c>
      <c r="K176">
        <v>4249</v>
      </c>
      <c r="L176">
        <v>0.02</v>
      </c>
      <c r="M176">
        <f>'Raw data'!$K176*(1- 'Raw data'!$L176)</f>
        <v>4164.0199999999995</v>
      </c>
      <c r="N176">
        <v>4164.0200000000004</v>
      </c>
      <c r="O176">
        <v>0.25</v>
      </c>
      <c r="P176">
        <v>1041.01</v>
      </c>
      <c r="Q176" t="s">
        <v>37</v>
      </c>
      <c r="R176" t="s">
        <v>48</v>
      </c>
      <c r="S176">
        <v>3</v>
      </c>
    </row>
    <row r="177" spans="1:19" x14ac:dyDescent="0.3">
      <c r="A177" t="s">
        <v>421</v>
      </c>
      <c r="B177">
        <v>45102</v>
      </c>
      <c r="C177" t="s">
        <v>63</v>
      </c>
      <c r="D177" t="s">
        <v>56</v>
      </c>
      <c r="E177" t="s">
        <v>42</v>
      </c>
      <c r="F177" t="s">
        <v>97</v>
      </c>
      <c r="G177" t="s">
        <v>57</v>
      </c>
      <c r="H177" t="s">
        <v>58</v>
      </c>
      <c r="I177" t="s">
        <v>422</v>
      </c>
      <c r="J177">
        <v>2</v>
      </c>
      <c r="K177">
        <v>11110</v>
      </c>
      <c r="L177">
        <v>0.09</v>
      </c>
      <c r="M177">
        <f>'Raw data'!$K177*(1- 'Raw data'!$L177)</f>
        <v>10110.1</v>
      </c>
      <c r="N177">
        <v>20220.2</v>
      </c>
      <c r="O177">
        <v>0.2</v>
      </c>
      <c r="P177">
        <v>4044.04</v>
      </c>
      <c r="Q177" t="s">
        <v>27</v>
      </c>
      <c r="R177" t="s">
        <v>48</v>
      </c>
      <c r="S177">
        <v>4</v>
      </c>
    </row>
    <row r="178" spans="1:19" x14ac:dyDescent="0.3">
      <c r="A178" t="s">
        <v>423</v>
      </c>
      <c r="B178">
        <v>45103</v>
      </c>
      <c r="C178" t="s">
        <v>40</v>
      </c>
      <c r="D178" t="s">
        <v>31</v>
      </c>
      <c r="E178" t="s">
        <v>42</v>
      </c>
      <c r="F178" t="s">
        <v>68</v>
      </c>
      <c r="G178" t="s">
        <v>44</v>
      </c>
      <c r="H178" t="s">
        <v>138</v>
      </c>
      <c r="I178" t="s">
        <v>424</v>
      </c>
      <c r="J178">
        <v>8</v>
      </c>
      <c r="K178">
        <v>4423</v>
      </c>
      <c r="L178">
        <v>0.23</v>
      </c>
      <c r="M178">
        <f>'Raw data'!$K178*(1- 'Raw data'!$L178)</f>
        <v>3405.71</v>
      </c>
      <c r="N178">
        <v>27245.68</v>
      </c>
      <c r="O178">
        <v>0.35</v>
      </c>
      <c r="P178">
        <v>9535.99</v>
      </c>
      <c r="Q178" t="s">
        <v>37</v>
      </c>
      <c r="R178" t="s">
        <v>48</v>
      </c>
      <c r="S178">
        <v>5</v>
      </c>
    </row>
    <row r="179" spans="1:19" x14ac:dyDescent="0.3">
      <c r="A179" t="s">
        <v>425</v>
      </c>
      <c r="B179">
        <v>45104</v>
      </c>
      <c r="C179" t="s">
        <v>55</v>
      </c>
      <c r="D179" t="s">
        <v>31</v>
      </c>
      <c r="E179" t="s">
        <v>42</v>
      </c>
      <c r="F179" t="s">
        <v>97</v>
      </c>
      <c r="G179" t="s">
        <v>92</v>
      </c>
      <c r="H179" t="s">
        <v>93</v>
      </c>
      <c r="I179" t="s">
        <v>426</v>
      </c>
      <c r="J179">
        <v>1</v>
      </c>
      <c r="K179">
        <v>49062</v>
      </c>
      <c r="L179">
        <v>0.15</v>
      </c>
      <c r="M179">
        <f>'Raw data'!$K179*(1- 'Raw data'!$L179)</f>
        <v>41702.699999999997</v>
      </c>
      <c r="N179">
        <v>41702.699999999997</v>
      </c>
      <c r="O179">
        <v>0.15</v>
      </c>
      <c r="P179">
        <v>6255.4</v>
      </c>
      <c r="Q179" t="s">
        <v>51</v>
      </c>
      <c r="R179" t="s">
        <v>48</v>
      </c>
      <c r="S179">
        <v>3</v>
      </c>
    </row>
    <row r="180" spans="1:19" x14ac:dyDescent="0.3">
      <c r="A180" t="s">
        <v>427</v>
      </c>
      <c r="B180">
        <v>45105</v>
      </c>
      <c r="C180" t="s">
        <v>63</v>
      </c>
      <c r="D180" t="s">
        <v>31</v>
      </c>
      <c r="E180" t="s">
        <v>67</v>
      </c>
      <c r="F180" t="s">
        <v>103</v>
      </c>
      <c r="G180" t="s">
        <v>34</v>
      </c>
      <c r="H180" t="s">
        <v>71</v>
      </c>
      <c r="I180" t="s">
        <v>428</v>
      </c>
      <c r="J180">
        <v>8</v>
      </c>
      <c r="K180">
        <v>583</v>
      </c>
      <c r="L180">
        <v>0.13</v>
      </c>
      <c r="M180">
        <f>'Raw data'!$K180*(1- 'Raw data'!$L180)</f>
        <v>507.21</v>
      </c>
      <c r="N180">
        <v>4057.68</v>
      </c>
      <c r="O180">
        <v>0.4</v>
      </c>
      <c r="P180">
        <v>1623.07</v>
      </c>
      <c r="Q180" t="s">
        <v>51</v>
      </c>
      <c r="R180" t="s">
        <v>38</v>
      </c>
      <c r="S180">
        <v>7</v>
      </c>
    </row>
    <row r="181" spans="1:19" x14ac:dyDescent="0.3">
      <c r="A181" t="s">
        <v>429</v>
      </c>
      <c r="B181">
        <v>45106</v>
      </c>
      <c r="C181" t="s">
        <v>55</v>
      </c>
      <c r="D181" t="s">
        <v>41</v>
      </c>
      <c r="E181" t="s">
        <v>22</v>
      </c>
      <c r="F181" t="s">
        <v>103</v>
      </c>
      <c r="G181" t="s">
        <v>92</v>
      </c>
      <c r="H181" t="s">
        <v>109</v>
      </c>
      <c r="I181" t="s">
        <v>430</v>
      </c>
      <c r="J181">
        <v>7</v>
      </c>
      <c r="K181">
        <v>42556</v>
      </c>
      <c r="L181">
        <v>7.0000000000000007E-2</v>
      </c>
      <c r="M181">
        <f>'Raw data'!$K181*(1- 'Raw data'!$L181)</f>
        <v>39577.079999999994</v>
      </c>
      <c r="N181">
        <v>277039.56</v>
      </c>
      <c r="O181">
        <v>0.15</v>
      </c>
      <c r="P181">
        <v>41555.93</v>
      </c>
      <c r="Q181" t="s">
        <v>37</v>
      </c>
      <c r="R181" t="s">
        <v>48</v>
      </c>
      <c r="S181">
        <v>5</v>
      </c>
    </row>
    <row r="182" spans="1:19" x14ac:dyDescent="0.3">
      <c r="A182" t="s">
        <v>431</v>
      </c>
      <c r="B182">
        <v>45107</v>
      </c>
      <c r="C182" t="s">
        <v>63</v>
      </c>
      <c r="D182" t="s">
        <v>56</v>
      </c>
      <c r="E182" t="s">
        <v>22</v>
      </c>
      <c r="F182" t="s">
        <v>97</v>
      </c>
      <c r="G182" t="s">
        <v>92</v>
      </c>
      <c r="H182" t="s">
        <v>93</v>
      </c>
      <c r="I182" t="s">
        <v>432</v>
      </c>
      <c r="J182">
        <v>8</v>
      </c>
      <c r="K182">
        <v>11969</v>
      </c>
      <c r="L182">
        <v>0.09</v>
      </c>
      <c r="M182">
        <f>'Raw data'!$K182*(1- 'Raw data'!$L182)</f>
        <v>10891.79</v>
      </c>
      <c r="N182">
        <v>87134.32</v>
      </c>
      <c r="O182">
        <v>0.15</v>
      </c>
      <c r="P182">
        <v>13070.15</v>
      </c>
      <c r="Q182" t="s">
        <v>47</v>
      </c>
      <c r="R182" t="s">
        <v>48</v>
      </c>
      <c r="S182">
        <v>5</v>
      </c>
    </row>
    <row r="183" spans="1:19" x14ac:dyDescent="0.3">
      <c r="A183" t="s">
        <v>433</v>
      </c>
      <c r="B183">
        <v>45108</v>
      </c>
      <c r="C183" t="s">
        <v>96</v>
      </c>
      <c r="D183" t="s">
        <v>56</v>
      </c>
      <c r="E183" t="s">
        <v>67</v>
      </c>
      <c r="F183" t="s">
        <v>43</v>
      </c>
      <c r="G183" t="s">
        <v>44</v>
      </c>
      <c r="H183" t="s">
        <v>45</v>
      </c>
      <c r="I183" t="s">
        <v>434</v>
      </c>
      <c r="J183">
        <v>6</v>
      </c>
      <c r="K183">
        <v>3293</v>
      </c>
      <c r="L183">
        <v>0.22</v>
      </c>
      <c r="M183">
        <f>'Raw data'!$K183*(1- 'Raw data'!$L183)</f>
        <v>2568.54</v>
      </c>
      <c r="N183">
        <v>15411.24</v>
      </c>
      <c r="O183">
        <v>0.35</v>
      </c>
      <c r="P183">
        <v>5393.93</v>
      </c>
      <c r="Q183" t="s">
        <v>47</v>
      </c>
      <c r="R183" t="s">
        <v>48</v>
      </c>
      <c r="S183">
        <v>6</v>
      </c>
    </row>
    <row r="184" spans="1:19" x14ac:dyDescent="0.3">
      <c r="A184" t="s">
        <v>435</v>
      </c>
      <c r="B184">
        <v>45109</v>
      </c>
      <c r="C184" t="s">
        <v>20</v>
      </c>
      <c r="D184" t="s">
        <v>31</v>
      </c>
      <c r="E184" t="s">
        <v>32</v>
      </c>
      <c r="F184" t="s">
        <v>103</v>
      </c>
      <c r="G184" t="s">
        <v>92</v>
      </c>
      <c r="H184" t="s">
        <v>109</v>
      </c>
      <c r="I184" t="s">
        <v>436</v>
      </c>
      <c r="J184">
        <v>9</v>
      </c>
      <c r="K184">
        <v>14470</v>
      </c>
      <c r="L184">
        <v>0.17</v>
      </c>
      <c r="M184">
        <f>'Raw data'!$K184*(1- 'Raw data'!$L184)</f>
        <v>12010.099999999999</v>
      </c>
      <c r="N184">
        <v>108090.9</v>
      </c>
      <c r="O184">
        <v>0.15</v>
      </c>
      <c r="P184">
        <v>16213.63</v>
      </c>
      <c r="Q184" t="s">
        <v>51</v>
      </c>
      <c r="R184" t="s">
        <v>48</v>
      </c>
      <c r="S184">
        <v>7</v>
      </c>
    </row>
    <row r="185" spans="1:19" x14ac:dyDescent="0.3">
      <c r="A185" t="s">
        <v>437</v>
      </c>
      <c r="B185">
        <v>45110</v>
      </c>
      <c r="C185" t="s">
        <v>40</v>
      </c>
      <c r="D185" t="s">
        <v>56</v>
      </c>
      <c r="E185" t="s">
        <v>42</v>
      </c>
      <c r="F185" t="s">
        <v>97</v>
      </c>
      <c r="G185" t="s">
        <v>57</v>
      </c>
      <c r="H185" t="s">
        <v>100</v>
      </c>
      <c r="I185" t="s">
        <v>438</v>
      </c>
      <c r="J185">
        <v>3</v>
      </c>
      <c r="K185">
        <v>12225</v>
      </c>
      <c r="L185">
        <v>0.2</v>
      </c>
      <c r="M185">
        <f>'Raw data'!$K185*(1- 'Raw data'!$L185)</f>
        <v>9780</v>
      </c>
      <c r="N185">
        <v>29340</v>
      </c>
      <c r="O185">
        <v>0.2</v>
      </c>
      <c r="P185">
        <v>5868</v>
      </c>
      <c r="Q185" t="s">
        <v>47</v>
      </c>
      <c r="R185" t="s">
        <v>48</v>
      </c>
      <c r="S185">
        <v>8</v>
      </c>
    </row>
    <row r="186" spans="1:19" x14ac:dyDescent="0.3">
      <c r="A186" t="s">
        <v>439</v>
      </c>
      <c r="B186">
        <v>45111</v>
      </c>
      <c r="C186" t="s">
        <v>30</v>
      </c>
      <c r="D186" t="s">
        <v>56</v>
      </c>
      <c r="E186" t="s">
        <v>22</v>
      </c>
      <c r="F186" t="s">
        <v>68</v>
      </c>
      <c r="G186" t="s">
        <v>57</v>
      </c>
      <c r="H186" t="s">
        <v>183</v>
      </c>
      <c r="I186" t="s">
        <v>440</v>
      </c>
      <c r="J186">
        <v>4</v>
      </c>
      <c r="K186">
        <v>11556</v>
      </c>
      <c r="L186">
        <v>0.11</v>
      </c>
      <c r="M186">
        <f>'Raw data'!$K186*(1- 'Raw data'!$L186)</f>
        <v>10284.84</v>
      </c>
      <c r="N186">
        <v>41139.360000000001</v>
      </c>
      <c r="O186">
        <v>0.2</v>
      </c>
      <c r="P186">
        <v>8227.8700000000008</v>
      </c>
      <c r="Q186" t="s">
        <v>27</v>
      </c>
      <c r="R186" t="s">
        <v>48</v>
      </c>
      <c r="S186">
        <v>9</v>
      </c>
    </row>
    <row r="187" spans="1:19" x14ac:dyDescent="0.3">
      <c r="A187" t="s">
        <v>441</v>
      </c>
      <c r="B187">
        <v>45112</v>
      </c>
      <c r="C187" t="s">
        <v>30</v>
      </c>
      <c r="D187" t="s">
        <v>21</v>
      </c>
      <c r="E187" t="s">
        <v>67</v>
      </c>
      <c r="F187" t="s">
        <v>97</v>
      </c>
      <c r="G187" t="s">
        <v>24</v>
      </c>
      <c r="H187" t="s">
        <v>186</v>
      </c>
      <c r="I187" t="s">
        <v>442</v>
      </c>
      <c r="J187">
        <v>6</v>
      </c>
      <c r="K187">
        <v>9320</v>
      </c>
      <c r="L187">
        <v>0.16</v>
      </c>
      <c r="M187">
        <f>'Raw data'!$K187*(1- 'Raw data'!$L187)</f>
        <v>7828.7999999999993</v>
      </c>
      <c r="N187">
        <v>46972.800000000003</v>
      </c>
      <c r="O187">
        <v>0.25</v>
      </c>
      <c r="P187">
        <v>11743.2</v>
      </c>
      <c r="Q187" t="s">
        <v>27</v>
      </c>
      <c r="R187" t="s">
        <v>48</v>
      </c>
      <c r="S187">
        <v>4</v>
      </c>
    </row>
    <row r="188" spans="1:19" x14ac:dyDescent="0.3">
      <c r="A188" t="s">
        <v>443</v>
      </c>
      <c r="B188">
        <v>45113</v>
      </c>
      <c r="C188" t="s">
        <v>96</v>
      </c>
      <c r="D188" t="s">
        <v>56</v>
      </c>
      <c r="E188" t="s">
        <v>42</v>
      </c>
      <c r="F188" t="s">
        <v>97</v>
      </c>
      <c r="G188" t="s">
        <v>34</v>
      </c>
      <c r="H188" t="s">
        <v>35</v>
      </c>
      <c r="I188" t="s">
        <v>444</v>
      </c>
      <c r="J188">
        <v>8</v>
      </c>
      <c r="K188">
        <v>1214</v>
      </c>
      <c r="L188">
        <v>0.06</v>
      </c>
      <c r="M188">
        <f>'Raw data'!$K188*(1- 'Raw data'!$L188)</f>
        <v>1141.1599999999999</v>
      </c>
      <c r="N188">
        <v>9129.2800000000007</v>
      </c>
      <c r="O188">
        <v>0.4</v>
      </c>
      <c r="P188">
        <v>3651.71</v>
      </c>
      <c r="Q188" t="s">
        <v>37</v>
      </c>
      <c r="R188" t="s">
        <v>48</v>
      </c>
      <c r="S188">
        <v>5</v>
      </c>
    </row>
    <row r="189" spans="1:19" x14ac:dyDescent="0.3">
      <c r="A189" t="s">
        <v>445</v>
      </c>
      <c r="B189">
        <v>45114</v>
      </c>
      <c r="C189" t="s">
        <v>40</v>
      </c>
      <c r="D189" t="s">
        <v>21</v>
      </c>
      <c r="E189" t="s">
        <v>32</v>
      </c>
      <c r="F189" t="s">
        <v>23</v>
      </c>
      <c r="G189" t="s">
        <v>92</v>
      </c>
      <c r="H189" t="s">
        <v>178</v>
      </c>
      <c r="I189" t="s">
        <v>446</v>
      </c>
      <c r="J189">
        <v>5</v>
      </c>
      <c r="K189">
        <v>33196</v>
      </c>
      <c r="L189">
        <v>0.18</v>
      </c>
      <c r="M189">
        <f>'Raw data'!$K189*(1- 'Raw data'!$L189)</f>
        <v>27220.720000000001</v>
      </c>
      <c r="N189">
        <v>136103.6</v>
      </c>
      <c r="O189">
        <v>0.15</v>
      </c>
      <c r="P189">
        <v>20415.54</v>
      </c>
      <c r="Q189" t="s">
        <v>37</v>
      </c>
      <c r="R189" t="s">
        <v>28</v>
      </c>
      <c r="S189">
        <v>5</v>
      </c>
    </row>
    <row r="190" spans="1:19" x14ac:dyDescent="0.3">
      <c r="A190" t="s">
        <v>447</v>
      </c>
      <c r="B190">
        <v>45115</v>
      </c>
      <c r="C190" t="s">
        <v>40</v>
      </c>
      <c r="D190" t="s">
        <v>56</v>
      </c>
      <c r="E190" t="s">
        <v>32</v>
      </c>
      <c r="F190" t="s">
        <v>103</v>
      </c>
      <c r="G190" t="s">
        <v>92</v>
      </c>
      <c r="H190" t="s">
        <v>243</v>
      </c>
      <c r="I190" t="s">
        <v>448</v>
      </c>
      <c r="J190">
        <v>3</v>
      </c>
      <c r="K190">
        <v>23669</v>
      </c>
      <c r="L190">
        <v>0.11</v>
      </c>
      <c r="M190">
        <f>'Raw data'!$K190*(1- 'Raw data'!$L190)</f>
        <v>21065.41</v>
      </c>
      <c r="N190">
        <v>63196.23</v>
      </c>
      <c r="O190">
        <v>0.15</v>
      </c>
      <c r="P190">
        <v>9479.43</v>
      </c>
      <c r="Q190" t="s">
        <v>47</v>
      </c>
      <c r="R190" t="s">
        <v>48</v>
      </c>
      <c r="S190">
        <v>8</v>
      </c>
    </row>
    <row r="191" spans="1:19" x14ac:dyDescent="0.3">
      <c r="A191" t="s">
        <v>449</v>
      </c>
      <c r="B191">
        <v>45116</v>
      </c>
      <c r="C191" t="s">
        <v>96</v>
      </c>
      <c r="D191" t="s">
        <v>41</v>
      </c>
      <c r="E191" t="s">
        <v>42</v>
      </c>
      <c r="F191" t="s">
        <v>43</v>
      </c>
      <c r="G191" t="s">
        <v>44</v>
      </c>
      <c r="H191" t="s">
        <v>45</v>
      </c>
      <c r="I191" t="s">
        <v>450</v>
      </c>
      <c r="J191">
        <v>6</v>
      </c>
      <c r="K191">
        <v>2018</v>
      </c>
      <c r="L191">
        <v>0.11</v>
      </c>
      <c r="M191">
        <f>'Raw data'!$K191*(1- 'Raw data'!$L191)</f>
        <v>1796.02</v>
      </c>
      <c r="N191">
        <v>10776.12</v>
      </c>
      <c r="O191">
        <v>0.35</v>
      </c>
      <c r="P191">
        <v>3771.64</v>
      </c>
      <c r="Q191" t="s">
        <v>51</v>
      </c>
      <c r="R191" t="s">
        <v>48</v>
      </c>
      <c r="S191">
        <v>9</v>
      </c>
    </row>
    <row r="192" spans="1:19" x14ac:dyDescent="0.3">
      <c r="A192" t="s">
        <v>451</v>
      </c>
      <c r="B192">
        <v>45117</v>
      </c>
      <c r="C192" t="s">
        <v>40</v>
      </c>
      <c r="D192" t="s">
        <v>31</v>
      </c>
      <c r="E192" t="s">
        <v>32</v>
      </c>
      <c r="F192" t="s">
        <v>43</v>
      </c>
      <c r="G192" t="s">
        <v>57</v>
      </c>
      <c r="H192" t="s">
        <v>100</v>
      </c>
      <c r="I192" t="s">
        <v>452</v>
      </c>
      <c r="J192">
        <v>4</v>
      </c>
      <c r="K192">
        <v>14373</v>
      </c>
      <c r="L192">
        <v>0.16</v>
      </c>
      <c r="M192">
        <f>'Raw data'!$K192*(1- 'Raw data'!$L192)</f>
        <v>12073.32</v>
      </c>
      <c r="N192">
        <v>48293.279999999999</v>
      </c>
      <c r="O192">
        <v>0.2</v>
      </c>
      <c r="P192">
        <v>9658.66</v>
      </c>
      <c r="Q192" t="s">
        <v>37</v>
      </c>
      <c r="R192" t="s">
        <v>48</v>
      </c>
      <c r="S192">
        <v>7</v>
      </c>
    </row>
    <row r="193" spans="1:19" x14ac:dyDescent="0.3">
      <c r="A193" t="s">
        <v>453</v>
      </c>
      <c r="B193">
        <v>45118</v>
      </c>
      <c r="C193" t="s">
        <v>20</v>
      </c>
      <c r="D193" t="s">
        <v>21</v>
      </c>
      <c r="E193" t="s">
        <v>22</v>
      </c>
      <c r="F193" t="s">
        <v>23</v>
      </c>
      <c r="G193" t="s">
        <v>34</v>
      </c>
      <c r="H193" t="s">
        <v>141</v>
      </c>
      <c r="I193" t="s">
        <v>454</v>
      </c>
      <c r="J193">
        <v>9</v>
      </c>
      <c r="K193">
        <v>1398</v>
      </c>
      <c r="L193">
        <v>0.23</v>
      </c>
      <c r="M193">
        <f>'Raw data'!$K193*(1- 'Raw data'!$L193)</f>
        <v>1076.46</v>
      </c>
      <c r="N193">
        <v>9688.14</v>
      </c>
      <c r="O193">
        <v>0.4</v>
      </c>
      <c r="P193">
        <v>3875.26</v>
      </c>
      <c r="Q193" t="s">
        <v>27</v>
      </c>
      <c r="R193" t="s">
        <v>48</v>
      </c>
      <c r="S193">
        <v>5</v>
      </c>
    </row>
    <row r="194" spans="1:19" x14ac:dyDescent="0.3">
      <c r="A194" t="s">
        <v>455</v>
      </c>
      <c r="B194">
        <v>45119</v>
      </c>
      <c r="C194" t="s">
        <v>96</v>
      </c>
      <c r="D194" t="s">
        <v>31</v>
      </c>
      <c r="E194" t="s">
        <v>22</v>
      </c>
      <c r="F194" t="s">
        <v>33</v>
      </c>
      <c r="G194" t="s">
        <v>24</v>
      </c>
      <c r="H194" t="s">
        <v>186</v>
      </c>
      <c r="I194" t="s">
        <v>456</v>
      </c>
      <c r="J194">
        <v>3</v>
      </c>
      <c r="K194">
        <v>13065</v>
      </c>
      <c r="L194">
        <v>0.02</v>
      </c>
      <c r="M194">
        <f>'Raw data'!$K194*(1- 'Raw data'!$L194)</f>
        <v>12803.699999999999</v>
      </c>
      <c r="N194">
        <v>38411.1</v>
      </c>
      <c r="O194">
        <v>0.25</v>
      </c>
      <c r="P194">
        <v>9602.7800000000007</v>
      </c>
      <c r="Q194" t="s">
        <v>37</v>
      </c>
      <c r="R194" t="s">
        <v>38</v>
      </c>
      <c r="S194">
        <v>3</v>
      </c>
    </row>
    <row r="195" spans="1:19" x14ac:dyDescent="0.3">
      <c r="A195" t="s">
        <v>457</v>
      </c>
      <c r="B195">
        <v>45120</v>
      </c>
      <c r="C195" t="s">
        <v>20</v>
      </c>
      <c r="D195" t="s">
        <v>21</v>
      </c>
      <c r="E195" t="s">
        <v>22</v>
      </c>
      <c r="F195" t="s">
        <v>43</v>
      </c>
      <c r="G195" t="s">
        <v>57</v>
      </c>
      <c r="H195" t="s">
        <v>100</v>
      </c>
      <c r="I195" t="s">
        <v>458</v>
      </c>
      <c r="J195">
        <v>4</v>
      </c>
      <c r="K195">
        <v>17552</v>
      </c>
      <c r="L195">
        <v>0.21</v>
      </c>
      <c r="M195">
        <f>'Raw data'!$K195*(1- 'Raw data'!$L195)</f>
        <v>13866.08</v>
      </c>
      <c r="N195">
        <v>55464.32</v>
      </c>
      <c r="O195">
        <v>0.2</v>
      </c>
      <c r="P195">
        <v>11092.86</v>
      </c>
      <c r="Q195" t="s">
        <v>37</v>
      </c>
      <c r="R195" t="s">
        <v>48</v>
      </c>
      <c r="S195">
        <v>1</v>
      </c>
    </row>
    <row r="196" spans="1:19" x14ac:dyDescent="0.3">
      <c r="A196" t="s">
        <v>459</v>
      </c>
      <c r="B196">
        <v>45121</v>
      </c>
      <c r="C196" t="s">
        <v>40</v>
      </c>
      <c r="D196" t="s">
        <v>21</v>
      </c>
      <c r="E196" t="s">
        <v>32</v>
      </c>
      <c r="F196" t="s">
        <v>97</v>
      </c>
      <c r="G196" t="s">
        <v>24</v>
      </c>
      <c r="H196" t="s">
        <v>25</v>
      </c>
      <c r="I196" t="s">
        <v>460</v>
      </c>
      <c r="J196">
        <v>7</v>
      </c>
      <c r="K196">
        <v>6238</v>
      </c>
      <c r="L196">
        <v>7.0000000000000007E-2</v>
      </c>
      <c r="M196">
        <f>'Raw data'!$K196*(1- 'Raw data'!$L196)</f>
        <v>5801.3399999999992</v>
      </c>
      <c r="N196">
        <v>40609.379999999997</v>
      </c>
      <c r="O196">
        <v>0.25</v>
      </c>
      <c r="P196">
        <v>10152.34</v>
      </c>
      <c r="Q196" t="s">
        <v>27</v>
      </c>
      <c r="R196" t="s">
        <v>38</v>
      </c>
      <c r="S196">
        <v>9</v>
      </c>
    </row>
    <row r="197" spans="1:19" x14ac:dyDescent="0.3">
      <c r="A197" t="s">
        <v>461</v>
      </c>
      <c r="B197">
        <v>45122</v>
      </c>
      <c r="C197" t="s">
        <v>96</v>
      </c>
      <c r="D197" t="s">
        <v>21</v>
      </c>
      <c r="E197" t="s">
        <v>22</v>
      </c>
      <c r="F197" t="s">
        <v>23</v>
      </c>
      <c r="G197" t="s">
        <v>44</v>
      </c>
      <c r="H197" t="s">
        <v>45</v>
      </c>
      <c r="I197" t="s">
        <v>462</v>
      </c>
      <c r="J197">
        <v>7</v>
      </c>
      <c r="K197">
        <v>2974</v>
      </c>
      <c r="L197">
        <v>0.11</v>
      </c>
      <c r="M197">
        <f>'Raw data'!$K197*(1- 'Raw data'!$L197)</f>
        <v>2646.86</v>
      </c>
      <c r="N197">
        <v>18528.02</v>
      </c>
      <c r="O197">
        <v>0.35</v>
      </c>
      <c r="P197">
        <v>6484.81</v>
      </c>
      <c r="Q197" t="s">
        <v>51</v>
      </c>
      <c r="R197" t="s">
        <v>48</v>
      </c>
      <c r="S197">
        <v>5</v>
      </c>
    </row>
    <row r="198" spans="1:19" x14ac:dyDescent="0.3">
      <c r="A198" t="s">
        <v>463</v>
      </c>
      <c r="B198">
        <v>45123</v>
      </c>
      <c r="C198" t="s">
        <v>40</v>
      </c>
      <c r="D198" t="s">
        <v>41</v>
      </c>
      <c r="E198" t="s">
        <v>67</v>
      </c>
      <c r="F198" t="s">
        <v>68</v>
      </c>
      <c r="G198" t="s">
        <v>44</v>
      </c>
      <c r="H198" t="s">
        <v>64</v>
      </c>
      <c r="I198" t="s">
        <v>464</v>
      </c>
      <c r="J198">
        <v>4</v>
      </c>
      <c r="K198">
        <v>3985</v>
      </c>
      <c r="L198">
        <v>0.01</v>
      </c>
      <c r="M198">
        <f>'Raw data'!$K198*(1- 'Raw data'!$L198)</f>
        <v>3945.15</v>
      </c>
      <c r="N198">
        <v>15780.6</v>
      </c>
      <c r="O198">
        <v>0.35</v>
      </c>
      <c r="P198">
        <v>5523.21</v>
      </c>
      <c r="Q198" t="s">
        <v>37</v>
      </c>
      <c r="R198" t="s">
        <v>48</v>
      </c>
      <c r="S198">
        <v>9</v>
      </c>
    </row>
    <row r="199" spans="1:19" x14ac:dyDescent="0.3">
      <c r="A199" t="s">
        <v>465</v>
      </c>
      <c r="B199">
        <v>45124</v>
      </c>
      <c r="C199" t="s">
        <v>96</v>
      </c>
      <c r="D199" t="s">
        <v>56</v>
      </c>
      <c r="E199" t="s">
        <v>22</v>
      </c>
      <c r="F199" t="s">
        <v>103</v>
      </c>
      <c r="G199" t="s">
        <v>92</v>
      </c>
      <c r="H199" t="s">
        <v>243</v>
      </c>
      <c r="I199" t="s">
        <v>466</v>
      </c>
      <c r="J199">
        <v>6</v>
      </c>
      <c r="K199">
        <v>65409</v>
      </c>
      <c r="L199">
        <v>0.08</v>
      </c>
      <c r="M199">
        <f>'Raw data'!$K199*(1- 'Raw data'!$L199)</f>
        <v>60176.280000000006</v>
      </c>
      <c r="N199">
        <v>361057.68</v>
      </c>
      <c r="O199">
        <v>0.15</v>
      </c>
      <c r="P199">
        <v>54158.65</v>
      </c>
      <c r="Q199" t="s">
        <v>37</v>
      </c>
      <c r="R199" t="s">
        <v>48</v>
      </c>
      <c r="S199">
        <v>4</v>
      </c>
    </row>
    <row r="200" spans="1:19" x14ac:dyDescent="0.3">
      <c r="A200" t="s">
        <v>467</v>
      </c>
      <c r="B200">
        <v>45125</v>
      </c>
      <c r="C200" t="s">
        <v>40</v>
      </c>
      <c r="D200" t="s">
        <v>21</v>
      </c>
      <c r="E200" t="s">
        <v>22</v>
      </c>
      <c r="F200" t="s">
        <v>103</v>
      </c>
      <c r="G200" t="s">
        <v>34</v>
      </c>
      <c r="H200" t="s">
        <v>104</v>
      </c>
      <c r="I200" t="s">
        <v>468</v>
      </c>
      <c r="J200">
        <v>3</v>
      </c>
      <c r="K200">
        <v>1368</v>
      </c>
      <c r="L200">
        <v>0.13</v>
      </c>
      <c r="M200">
        <f>'Raw data'!$K200*(1- 'Raw data'!$L200)</f>
        <v>1190.1600000000001</v>
      </c>
      <c r="N200">
        <v>3570.48</v>
      </c>
      <c r="O200">
        <v>0.4</v>
      </c>
      <c r="P200">
        <v>1428.19</v>
      </c>
      <c r="Q200" t="s">
        <v>37</v>
      </c>
      <c r="R200" t="s">
        <v>48</v>
      </c>
      <c r="S200">
        <v>5</v>
      </c>
    </row>
    <row r="201" spans="1:19" x14ac:dyDescent="0.3">
      <c r="A201" t="s">
        <v>469</v>
      </c>
      <c r="B201">
        <v>45126</v>
      </c>
      <c r="C201" t="s">
        <v>20</v>
      </c>
      <c r="D201" t="s">
        <v>41</v>
      </c>
      <c r="E201" t="s">
        <v>32</v>
      </c>
      <c r="F201" t="s">
        <v>103</v>
      </c>
      <c r="G201" t="s">
        <v>24</v>
      </c>
      <c r="H201" t="s">
        <v>74</v>
      </c>
      <c r="I201" t="s">
        <v>470</v>
      </c>
      <c r="J201">
        <v>6</v>
      </c>
      <c r="K201">
        <v>8705</v>
      </c>
      <c r="L201">
        <v>0.01</v>
      </c>
      <c r="M201">
        <f>'Raw data'!$K201*(1- 'Raw data'!$L201)</f>
        <v>8617.9500000000007</v>
      </c>
      <c r="N201">
        <v>51707.7</v>
      </c>
      <c r="O201">
        <v>0.25</v>
      </c>
      <c r="P201">
        <v>12926.92</v>
      </c>
      <c r="Q201" t="s">
        <v>47</v>
      </c>
      <c r="R201" t="s">
        <v>48</v>
      </c>
      <c r="S201">
        <v>4</v>
      </c>
    </row>
    <row r="202" spans="1:19" x14ac:dyDescent="0.3">
      <c r="A202" t="s">
        <v>471</v>
      </c>
      <c r="B202">
        <v>45127</v>
      </c>
      <c r="C202" t="s">
        <v>20</v>
      </c>
      <c r="D202" t="s">
        <v>21</v>
      </c>
      <c r="E202" t="s">
        <v>22</v>
      </c>
      <c r="F202" t="s">
        <v>97</v>
      </c>
      <c r="G202" t="s">
        <v>57</v>
      </c>
      <c r="H202" t="s">
        <v>81</v>
      </c>
      <c r="I202" t="s">
        <v>472</v>
      </c>
      <c r="J202">
        <v>2</v>
      </c>
      <c r="K202">
        <v>5719</v>
      </c>
      <c r="L202">
        <v>0.12</v>
      </c>
      <c r="M202">
        <f>'Raw data'!$K202*(1- 'Raw data'!$L202)</f>
        <v>5032.72</v>
      </c>
      <c r="N202">
        <v>10065.44</v>
      </c>
      <c r="O202">
        <v>0.2</v>
      </c>
      <c r="P202">
        <v>2013.09</v>
      </c>
      <c r="Q202" t="s">
        <v>37</v>
      </c>
      <c r="R202" t="s">
        <v>48</v>
      </c>
      <c r="S202">
        <v>2</v>
      </c>
    </row>
    <row r="203" spans="1:19" x14ac:dyDescent="0.3">
      <c r="A203" t="s">
        <v>473</v>
      </c>
      <c r="B203">
        <v>45128</v>
      </c>
      <c r="C203" t="s">
        <v>40</v>
      </c>
      <c r="D203" t="s">
        <v>56</v>
      </c>
      <c r="E203" t="s">
        <v>42</v>
      </c>
      <c r="F203" t="s">
        <v>68</v>
      </c>
      <c r="G203" t="s">
        <v>44</v>
      </c>
      <c r="H203" t="s">
        <v>138</v>
      </c>
      <c r="I203" t="s">
        <v>474</v>
      </c>
      <c r="J203">
        <v>8</v>
      </c>
      <c r="K203">
        <v>802</v>
      </c>
      <c r="L203">
        <v>0.23</v>
      </c>
      <c r="M203">
        <f>'Raw data'!$K203*(1- 'Raw data'!$L203)</f>
        <v>617.54</v>
      </c>
      <c r="N203">
        <v>4940.32</v>
      </c>
      <c r="O203">
        <v>0.35</v>
      </c>
      <c r="P203">
        <v>1729.11</v>
      </c>
      <c r="Q203" t="s">
        <v>27</v>
      </c>
      <c r="R203" t="s">
        <v>48</v>
      </c>
      <c r="S203">
        <v>1</v>
      </c>
    </row>
    <row r="204" spans="1:19" x14ac:dyDescent="0.3">
      <c r="A204" t="s">
        <v>475</v>
      </c>
      <c r="B204">
        <v>45129</v>
      </c>
      <c r="C204" t="s">
        <v>96</v>
      </c>
      <c r="D204" t="s">
        <v>21</v>
      </c>
      <c r="E204" t="s">
        <v>67</v>
      </c>
      <c r="F204" t="s">
        <v>23</v>
      </c>
      <c r="G204" t="s">
        <v>92</v>
      </c>
      <c r="H204" t="s">
        <v>178</v>
      </c>
      <c r="I204" t="s">
        <v>476</v>
      </c>
      <c r="J204">
        <v>2</v>
      </c>
      <c r="K204">
        <v>60138</v>
      </c>
      <c r="L204">
        <v>0.03</v>
      </c>
      <c r="M204">
        <f>'Raw data'!$K204*(1- 'Raw data'!$L204)</f>
        <v>58333.86</v>
      </c>
      <c r="N204">
        <v>116667.72</v>
      </c>
      <c r="O204">
        <v>0.15</v>
      </c>
      <c r="P204">
        <v>17500.16</v>
      </c>
      <c r="Q204" t="s">
        <v>51</v>
      </c>
      <c r="R204" t="s">
        <v>48</v>
      </c>
      <c r="S204">
        <v>8</v>
      </c>
    </row>
    <row r="205" spans="1:19" x14ac:dyDescent="0.3">
      <c r="A205" t="s">
        <v>477</v>
      </c>
      <c r="B205">
        <v>45130</v>
      </c>
      <c r="C205" t="s">
        <v>30</v>
      </c>
      <c r="D205" t="s">
        <v>41</v>
      </c>
      <c r="E205" t="s">
        <v>32</v>
      </c>
      <c r="F205" t="s">
        <v>23</v>
      </c>
      <c r="G205" t="s">
        <v>92</v>
      </c>
      <c r="H205" t="s">
        <v>243</v>
      </c>
      <c r="I205" t="s">
        <v>478</v>
      </c>
      <c r="J205">
        <v>7</v>
      </c>
      <c r="K205">
        <v>52823</v>
      </c>
      <c r="L205">
        <v>0.19</v>
      </c>
      <c r="M205">
        <f>'Raw data'!$K205*(1- 'Raw data'!$L205)</f>
        <v>42786.630000000005</v>
      </c>
      <c r="N205">
        <v>299506.40999999997</v>
      </c>
      <c r="O205">
        <v>0.15</v>
      </c>
      <c r="P205">
        <v>44925.96</v>
      </c>
      <c r="Q205" t="s">
        <v>51</v>
      </c>
      <c r="R205" t="s">
        <v>38</v>
      </c>
      <c r="S205">
        <v>4</v>
      </c>
    </row>
    <row r="206" spans="1:19" x14ac:dyDescent="0.3">
      <c r="A206" t="s">
        <v>479</v>
      </c>
      <c r="B206">
        <v>45131</v>
      </c>
      <c r="C206" t="s">
        <v>20</v>
      </c>
      <c r="D206" t="s">
        <v>56</v>
      </c>
      <c r="E206" t="s">
        <v>67</v>
      </c>
      <c r="F206" t="s">
        <v>103</v>
      </c>
      <c r="G206" t="s">
        <v>24</v>
      </c>
      <c r="H206" t="s">
        <v>186</v>
      </c>
      <c r="I206" t="s">
        <v>480</v>
      </c>
      <c r="J206">
        <v>9</v>
      </c>
      <c r="K206">
        <v>5440</v>
      </c>
      <c r="L206">
        <v>0.1</v>
      </c>
      <c r="M206">
        <f>'Raw data'!$K206*(1- 'Raw data'!$L206)</f>
        <v>4896</v>
      </c>
      <c r="N206">
        <v>44064</v>
      </c>
      <c r="O206">
        <v>0.25</v>
      </c>
      <c r="P206">
        <v>11016</v>
      </c>
      <c r="Q206" t="s">
        <v>27</v>
      </c>
      <c r="R206" t="s">
        <v>48</v>
      </c>
      <c r="S206">
        <v>5</v>
      </c>
    </row>
    <row r="207" spans="1:19" x14ac:dyDescent="0.3">
      <c r="A207" t="s">
        <v>481</v>
      </c>
      <c r="B207">
        <v>45132</v>
      </c>
      <c r="C207" t="s">
        <v>20</v>
      </c>
      <c r="D207" t="s">
        <v>41</v>
      </c>
      <c r="E207" t="s">
        <v>42</v>
      </c>
      <c r="F207" t="s">
        <v>68</v>
      </c>
      <c r="G207" t="s">
        <v>44</v>
      </c>
      <c r="H207" t="s">
        <v>116</v>
      </c>
      <c r="I207" t="s">
        <v>482</v>
      </c>
      <c r="J207">
        <v>1</v>
      </c>
      <c r="K207">
        <v>3572</v>
      </c>
      <c r="L207">
        <v>0.16</v>
      </c>
      <c r="M207">
        <f>'Raw data'!$K207*(1- 'Raw data'!$L207)</f>
        <v>3000.48</v>
      </c>
      <c r="N207">
        <v>3000.48</v>
      </c>
      <c r="O207">
        <v>0.35</v>
      </c>
      <c r="P207">
        <v>1050.17</v>
      </c>
      <c r="Q207" t="s">
        <v>47</v>
      </c>
      <c r="R207" t="s">
        <v>48</v>
      </c>
      <c r="S207">
        <v>6</v>
      </c>
    </row>
    <row r="208" spans="1:19" x14ac:dyDescent="0.3">
      <c r="A208" t="s">
        <v>483</v>
      </c>
      <c r="B208">
        <v>45133</v>
      </c>
      <c r="C208" t="s">
        <v>63</v>
      </c>
      <c r="D208" t="s">
        <v>56</v>
      </c>
      <c r="E208" t="s">
        <v>32</v>
      </c>
      <c r="F208" t="s">
        <v>68</v>
      </c>
      <c r="G208" t="s">
        <v>34</v>
      </c>
      <c r="H208" t="s">
        <v>71</v>
      </c>
      <c r="I208" t="s">
        <v>484</v>
      </c>
      <c r="J208">
        <v>8</v>
      </c>
      <c r="K208">
        <v>1370</v>
      </c>
      <c r="L208">
        <v>7.0000000000000007E-2</v>
      </c>
      <c r="M208">
        <f>'Raw data'!$K208*(1- 'Raw data'!$L208)</f>
        <v>1274.0999999999999</v>
      </c>
      <c r="N208">
        <v>10192.799999999999</v>
      </c>
      <c r="O208">
        <v>0.4</v>
      </c>
      <c r="P208">
        <v>4077.12</v>
      </c>
      <c r="Q208" t="s">
        <v>27</v>
      </c>
      <c r="R208" t="s">
        <v>48</v>
      </c>
      <c r="S208">
        <v>8</v>
      </c>
    </row>
    <row r="209" spans="1:19" x14ac:dyDescent="0.3">
      <c r="A209" t="s">
        <v>485</v>
      </c>
      <c r="B209">
        <v>45134</v>
      </c>
      <c r="C209" t="s">
        <v>30</v>
      </c>
      <c r="D209" t="s">
        <v>56</v>
      </c>
      <c r="E209" t="s">
        <v>32</v>
      </c>
      <c r="F209" t="s">
        <v>68</v>
      </c>
      <c r="G209" t="s">
        <v>44</v>
      </c>
      <c r="H209" t="s">
        <v>64</v>
      </c>
      <c r="I209" t="s">
        <v>486</v>
      </c>
      <c r="J209">
        <v>7</v>
      </c>
      <c r="K209">
        <v>3624</v>
      </c>
      <c r="L209">
        <v>0.04</v>
      </c>
      <c r="M209">
        <f>'Raw data'!$K209*(1- 'Raw data'!$L209)</f>
        <v>3479.04</v>
      </c>
      <c r="N209">
        <v>24353.279999999999</v>
      </c>
      <c r="O209">
        <v>0.35</v>
      </c>
      <c r="P209">
        <v>8523.65</v>
      </c>
      <c r="Q209" t="s">
        <v>51</v>
      </c>
      <c r="R209" t="s">
        <v>48</v>
      </c>
      <c r="S209">
        <v>8</v>
      </c>
    </row>
    <row r="210" spans="1:19" x14ac:dyDescent="0.3">
      <c r="A210" t="s">
        <v>487</v>
      </c>
      <c r="B210">
        <v>45135</v>
      </c>
      <c r="C210" t="s">
        <v>40</v>
      </c>
      <c r="D210" t="s">
        <v>31</v>
      </c>
      <c r="E210" t="s">
        <v>22</v>
      </c>
      <c r="F210" t="s">
        <v>43</v>
      </c>
      <c r="G210" t="s">
        <v>24</v>
      </c>
      <c r="H210" t="s">
        <v>186</v>
      </c>
      <c r="I210" t="s">
        <v>488</v>
      </c>
      <c r="J210">
        <v>6</v>
      </c>
      <c r="K210">
        <v>10519</v>
      </c>
      <c r="L210">
        <v>0.04</v>
      </c>
      <c r="M210">
        <f>'Raw data'!$K210*(1- 'Raw data'!$L210)</f>
        <v>10098.24</v>
      </c>
      <c r="N210">
        <v>60589.440000000002</v>
      </c>
      <c r="O210">
        <v>0.25</v>
      </c>
      <c r="P210">
        <v>15147.36</v>
      </c>
      <c r="Q210" t="s">
        <v>27</v>
      </c>
      <c r="R210" t="s">
        <v>48</v>
      </c>
      <c r="S210">
        <v>7</v>
      </c>
    </row>
    <row r="211" spans="1:19" x14ac:dyDescent="0.3">
      <c r="A211" t="s">
        <v>489</v>
      </c>
      <c r="B211">
        <v>45136</v>
      </c>
      <c r="C211" t="s">
        <v>96</v>
      </c>
      <c r="D211" t="s">
        <v>31</v>
      </c>
      <c r="E211" t="s">
        <v>67</v>
      </c>
      <c r="F211" t="s">
        <v>43</v>
      </c>
      <c r="G211" t="s">
        <v>24</v>
      </c>
      <c r="H211" t="s">
        <v>121</v>
      </c>
      <c r="I211" t="s">
        <v>490</v>
      </c>
      <c r="J211">
        <v>6</v>
      </c>
      <c r="K211">
        <v>14380</v>
      </c>
      <c r="L211">
        <v>0.02</v>
      </c>
      <c r="M211">
        <f>'Raw data'!$K211*(1- 'Raw data'!$L211)</f>
        <v>14092.4</v>
      </c>
      <c r="N211">
        <v>84554.4</v>
      </c>
      <c r="O211">
        <v>0.25</v>
      </c>
      <c r="P211">
        <v>21138.6</v>
      </c>
      <c r="Q211" t="s">
        <v>47</v>
      </c>
      <c r="R211" t="s">
        <v>38</v>
      </c>
      <c r="S211">
        <v>4</v>
      </c>
    </row>
    <row r="212" spans="1:19" x14ac:dyDescent="0.3">
      <c r="A212" t="s">
        <v>491</v>
      </c>
      <c r="B212">
        <v>45137</v>
      </c>
      <c r="C212" t="s">
        <v>63</v>
      </c>
      <c r="D212" t="s">
        <v>31</v>
      </c>
      <c r="E212" t="s">
        <v>42</v>
      </c>
      <c r="F212" t="s">
        <v>103</v>
      </c>
      <c r="G212" t="s">
        <v>44</v>
      </c>
      <c r="H212" t="s">
        <v>138</v>
      </c>
      <c r="I212" t="s">
        <v>492</v>
      </c>
      <c r="J212">
        <v>6</v>
      </c>
      <c r="K212">
        <v>2908</v>
      </c>
      <c r="L212">
        <v>0.05</v>
      </c>
      <c r="M212">
        <f>'Raw data'!$K212*(1- 'Raw data'!$L212)</f>
        <v>2762.6</v>
      </c>
      <c r="N212">
        <v>16575.599999999999</v>
      </c>
      <c r="O212">
        <v>0.35</v>
      </c>
      <c r="P212">
        <v>5801.46</v>
      </c>
      <c r="Q212" t="s">
        <v>51</v>
      </c>
      <c r="R212" t="s">
        <v>38</v>
      </c>
      <c r="S212">
        <v>6</v>
      </c>
    </row>
    <row r="213" spans="1:19" x14ac:dyDescent="0.3">
      <c r="A213" t="s">
        <v>493</v>
      </c>
      <c r="B213">
        <v>45138</v>
      </c>
      <c r="C213" t="s">
        <v>40</v>
      </c>
      <c r="D213" t="s">
        <v>56</v>
      </c>
      <c r="E213" t="s">
        <v>42</v>
      </c>
      <c r="F213" t="s">
        <v>68</v>
      </c>
      <c r="G213" t="s">
        <v>24</v>
      </c>
      <c r="H213" t="s">
        <v>25</v>
      </c>
      <c r="I213" t="s">
        <v>494</v>
      </c>
      <c r="J213">
        <v>9</v>
      </c>
      <c r="K213">
        <v>12865</v>
      </c>
      <c r="L213">
        <v>0.17</v>
      </c>
      <c r="M213">
        <f>'Raw data'!$K213*(1- 'Raw data'!$L213)</f>
        <v>10677.949999999999</v>
      </c>
      <c r="N213">
        <v>96101.55</v>
      </c>
      <c r="O213">
        <v>0.25</v>
      </c>
      <c r="P213">
        <v>24025.39</v>
      </c>
      <c r="Q213" t="s">
        <v>47</v>
      </c>
      <c r="R213" t="s">
        <v>48</v>
      </c>
      <c r="S213">
        <v>4</v>
      </c>
    </row>
    <row r="214" spans="1:19" x14ac:dyDescent="0.3">
      <c r="A214" t="s">
        <v>495</v>
      </c>
      <c r="B214">
        <v>45139</v>
      </c>
      <c r="C214" t="s">
        <v>55</v>
      </c>
      <c r="D214" t="s">
        <v>21</v>
      </c>
      <c r="E214" t="s">
        <v>32</v>
      </c>
      <c r="F214" t="s">
        <v>33</v>
      </c>
      <c r="G214" t="s">
        <v>44</v>
      </c>
      <c r="H214" t="s">
        <v>64</v>
      </c>
      <c r="I214" t="s">
        <v>496</v>
      </c>
      <c r="J214">
        <v>2</v>
      </c>
      <c r="K214">
        <v>3791</v>
      </c>
      <c r="L214">
        <v>0.22</v>
      </c>
      <c r="M214">
        <f>'Raw data'!$K214*(1- 'Raw data'!$L214)</f>
        <v>2956.98</v>
      </c>
      <c r="N214">
        <v>5913.96</v>
      </c>
      <c r="O214">
        <v>0.35</v>
      </c>
      <c r="P214">
        <v>2069.89</v>
      </c>
      <c r="Q214" t="s">
        <v>27</v>
      </c>
      <c r="R214" t="s">
        <v>38</v>
      </c>
      <c r="S214">
        <v>7</v>
      </c>
    </row>
    <row r="215" spans="1:19" x14ac:dyDescent="0.3">
      <c r="A215" t="s">
        <v>497</v>
      </c>
      <c r="B215">
        <v>45140</v>
      </c>
      <c r="C215" t="s">
        <v>20</v>
      </c>
      <c r="D215" t="s">
        <v>41</v>
      </c>
      <c r="E215" t="s">
        <v>22</v>
      </c>
      <c r="F215" t="s">
        <v>68</v>
      </c>
      <c r="G215" t="s">
        <v>57</v>
      </c>
      <c r="H215" t="s">
        <v>81</v>
      </c>
      <c r="I215" t="s">
        <v>498</v>
      </c>
      <c r="J215">
        <v>1</v>
      </c>
      <c r="K215">
        <v>6033</v>
      </c>
      <c r="L215">
        <v>0.2</v>
      </c>
      <c r="M215">
        <f>'Raw data'!$K215*(1- 'Raw data'!$L215)</f>
        <v>4826.4000000000005</v>
      </c>
      <c r="N215">
        <v>4826.3999999999996</v>
      </c>
      <c r="O215">
        <v>0.2</v>
      </c>
      <c r="P215">
        <v>965.28</v>
      </c>
      <c r="Q215" t="s">
        <v>37</v>
      </c>
      <c r="R215" t="s">
        <v>48</v>
      </c>
      <c r="S215">
        <v>1</v>
      </c>
    </row>
    <row r="216" spans="1:19" x14ac:dyDescent="0.3">
      <c r="A216" t="s">
        <v>499</v>
      </c>
      <c r="B216">
        <v>45141</v>
      </c>
      <c r="C216" t="s">
        <v>55</v>
      </c>
      <c r="D216" t="s">
        <v>41</v>
      </c>
      <c r="E216" t="s">
        <v>32</v>
      </c>
      <c r="F216" t="s">
        <v>23</v>
      </c>
      <c r="G216" t="s">
        <v>44</v>
      </c>
      <c r="H216" t="s">
        <v>45</v>
      </c>
      <c r="I216" t="s">
        <v>500</v>
      </c>
      <c r="J216">
        <v>6</v>
      </c>
      <c r="K216">
        <v>1203</v>
      </c>
      <c r="L216">
        <v>0.17</v>
      </c>
      <c r="M216">
        <f>'Raw data'!$K216*(1- 'Raw data'!$L216)</f>
        <v>998.4899999999999</v>
      </c>
      <c r="N216">
        <v>5990.94</v>
      </c>
      <c r="O216">
        <v>0.35</v>
      </c>
      <c r="P216">
        <v>2096.83</v>
      </c>
      <c r="Q216" t="s">
        <v>27</v>
      </c>
      <c r="R216" t="s">
        <v>48</v>
      </c>
      <c r="S216">
        <v>5</v>
      </c>
    </row>
    <row r="217" spans="1:19" x14ac:dyDescent="0.3">
      <c r="A217" t="s">
        <v>501</v>
      </c>
      <c r="B217">
        <v>45142</v>
      </c>
      <c r="C217" t="s">
        <v>20</v>
      </c>
      <c r="D217" t="s">
        <v>41</v>
      </c>
      <c r="E217" t="s">
        <v>32</v>
      </c>
      <c r="F217" t="s">
        <v>23</v>
      </c>
      <c r="G217" t="s">
        <v>44</v>
      </c>
      <c r="H217" t="s">
        <v>64</v>
      </c>
      <c r="I217" t="s">
        <v>502</v>
      </c>
      <c r="J217">
        <v>8</v>
      </c>
      <c r="K217">
        <v>1074</v>
      </c>
      <c r="L217">
        <v>0.03</v>
      </c>
      <c r="M217">
        <f>'Raw data'!$K217*(1- 'Raw data'!$L217)</f>
        <v>1041.78</v>
      </c>
      <c r="N217">
        <v>8334.24</v>
      </c>
      <c r="O217">
        <v>0.35</v>
      </c>
      <c r="P217">
        <v>2916.98</v>
      </c>
      <c r="Q217" t="s">
        <v>47</v>
      </c>
      <c r="R217" t="s">
        <v>48</v>
      </c>
      <c r="S217">
        <v>4</v>
      </c>
    </row>
    <row r="218" spans="1:19" x14ac:dyDescent="0.3">
      <c r="A218" t="s">
        <v>503</v>
      </c>
      <c r="B218">
        <v>45143</v>
      </c>
      <c r="C218" t="s">
        <v>20</v>
      </c>
      <c r="D218" t="s">
        <v>31</v>
      </c>
      <c r="E218" t="s">
        <v>32</v>
      </c>
      <c r="F218" t="s">
        <v>103</v>
      </c>
      <c r="G218" t="s">
        <v>24</v>
      </c>
      <c r="H218" t="s">
        <v>25</v>
      </c>
      <c r="I218" t="s">
        <v>504</v>
      </c>
      <c r="J218">
        <v>3</v>
      </c>
      <c r="K218">
        <v>6704</v>
      </c>
      <c r="L218">
        <v>7.0000000000000007E-2</v>
      </c>
      <c r="M218">
        <f>'Raw data'!$K218*(1- 'Raw data'!$L218)</f>
        <v>6234.7199999999993</v>
      </c>
      <c r="N218">
        <v>18704.16</v>
      </c>
      <c r="O218">
        <v>0.25</v>
      </c>
      <c r="P218">
        <v>4676.04</v>
      </c>
      <c r="Q218" t="s">
        <v>27</v>
      </c>
      <c r="R218" t="s">
        <v>48</v>
      </c>
      <c r="S218">
        <v>7</v>
      </c>
    </row>
    <row r="219" spans="1:19" x14ac:dyDescent="0.3">
      <c r="A219" t="s">
        <v>505</v>
      </c>
      <c r="B219">
        <v>45144</v>
      </c>
      <c r="C219" t="s">
        <v>55</v>
      </c>
      <c r="D219" t="s">
        <v>56</v>
      </c>
      <c r="E219" t="s">
        <v>32</v>
      </c>
      <c r="F219" t="s">
        <v>33</v>
      </c>
      <c r="G219" t="s">
        <v>24</v>
      </c>
      <c r="H219" t="s">
        <v>74</v>
      </c>
      <c r="I219" t="s">
        <v>506</v>
      </c>
      <c r="J219">
        <v>1</v>
      </c>
      <c r="K219">
        <v>12424</v>
      </c>
      <c r="L219">
        <v>0.08</v>
      </c>
      <c r="M219">
        <f>'Raw data'!$K219*(1- 'Raw data'!$L219)</f>
        <v>11430.08</v>
      </c>
      <c r="N219">
        <v>11430.08</v>
      </c>
      <c r="O219">
        <v>0.25</v>
      </c>
      <c r="P219">
        <v>2857.52</v>
      </c>
      <c r="Q219" t="s">
        <v>37</v>
      </c>
      <c r="R219" t="s">
        <v>48</v>
      </c>
      <c r="S219">
        <v>9</v>
      </c>
    </row>
    <row r="220" spans="1:19" x14ac:dyDescent="0.3">
      <c r="A220" t="s">
        <v>507</v>
      </c>
      <c r="B220">
        <v>45145</v>
      </c>
      <c r="C220" t="s">
        <v>55</v>
      </c>
      <c r="D220" t="s">
        <v>31</v>
      </c>
      <c r="E220" t="s">
        <v>42</v>
      </c>
      <c r="F220" t="s">
        <v>68</v>
      </c>
      <c r="G220" t="s">
        <v>92</v>
      </c>
      <c r="H220" t="s">
        <v>243</v>
      </c>
      <c r="I220" t="s">
        <v>508</v>
      </c>
      <c r="J220">
        <v>9</v>
      </c>
      <c r="K220">
        <v>37208</v>
      </c>
      <c r="L220">
        <v>0.06</v>
      </c>
      <c r="M220">
        <f>'Raw data'!$K220*(1- 'Raw data'!$L220)</f>
        <v>34975.519999999997</v>
      </c>
      <c r="N220">
        <v>314779.68</v>
      </c>
      <c r="O220">
        <v>0.15</v>
      </c>
      <c r="P220">
        <v>47216.95</v>
      </c>
      <c r="Q220" t="s">
        <v>47</v>
      </c>
      <c r="R220" t="s">
        <v>48</v>
      </c>
      <c r="S220">
        <v>5</v>
      </c>
    </row>
    <row r="221" spans="1:19" x14ac:dyDescent="0.3">
      <c r="A221" t="s">
        <v>509</v>
      </c>
      <c r="B221">
        <v>45146</v>
      </c>
      <c r="C221" t="s">
        <v>40</v>
      </c>
      <c r="D221" t="s">
        <v>21</v>
      </c>
      <c r="E221" t="s">
        <v>42</v>
      </c>
      <c r="F221" t="s">
        <v>33</v>
      </c>
      <c r="G221" t="s">
        <v>92</v>
      </c>
      <c r="H221" t="s">
        <v>93</v>
      </c>
      <c r="I221" t="s">
        <v>510</v>
      </c>
      <c r="J221">
        <v>1</v>
      </c>
      <c r="K221">
        <v>76024</v>
      </c>
      <c r="L221">
        <v>0.13</v>
      </c>
      <c r="M221">
        <f>'Raw data'!$K221*(1- 'Raw data'!$L221)</f>
        <v>66140.88</v>
      </c>
      <c r="N221">
        <v>66140.88</v>
      </c>
      <c r="O221">
        <v>0.15</v>
      </c>
      <c r="P221">
        <v>9921.1299999999992</v>
      </c>
      <c r="Q221" t="s">
        <v>27</v>
      </c>
      <c r="R221" t="s">
        <v>48</v>
      </c>
      <c r="S221">
        <v>4</v>
      </c>
    </row>
    <row r="222" spans="1:19" x14ac:dyDescent="0.3">
      <c r="A222" t="s">
        <v>511</v>
      </c>
      <c r="B222">
        <v>45147</v>
      </c>
      <c r="C222" t="s">
        <v>63</v>
      </c>
      <c r="D222" t="s">
        <v>56</v>
      </c>
      <c r="E222" t="s">
        <v>32</v>
      </c>
      <c r="F222" t="s">
        <v>103</v>
      </c>
      <c r="G222" t="s">
        <v>57</v>
      </c>
      <c r="H222" t="s">
        <v>81</v>
      </c>
      <c r="I222" t="s">
        <v>512</v>
      </c>
      <c r="J222">
        <v>3</v>
      </c>
      <c r="K222">
        <v>9114</v>
      </c>
      <c r="L222">
        <v>0.13</v>
      </c>
      <c r="M222">
        <f>'Raw data'!$K222*(1- 'Raw data'!$L222)</f>
        <v>7929.18</v>
      </c>
      <c r="N222">
        <v>23787.54</v>
      </c>
      <c r="O222">
        <v>0.2</v>
      </c>
      <c r="P222">
        <v>4757.51</v>
      </c>
      <c r="Q222" t="s">
        <v>47</v>
      </c>
      <c r="R222" t="s">
        <v>48</v>
      </c>
      <c r="S222">
        <v>9</v>
      </c>
    </row>
    <row r="223" spans="1:19" x14ac:dyDescent="0.3">
      <c r="A223" t="s">
        <v>513</v>
      </c>
      <c r="B223">
        <v>45148</v>
      </c>
      <c r="C223" t="s">
        <v>63</v>
      </c>
      <c r="D223" t="s">
        <v>41</v>
      </c>
      <c r="E223" t="s">
        <v>32</v>
      </c>
      <c r="F223" t="s">
        <v>23</v>
      </c>
      <c r="G223" t="s">
        <v>92</v>
      </c>
      <c r="H223" t="s">
        <v>93</v>
      </c>
      <c r="I223" t="s">
        <v>514</v>
      </c>
      <c r="J223">
        <v>8</v>
      </c>
      <c r="K223">
        <v>35923</v>
      </c>
      <c r="L223">
        <v>0.09</v>
      </c>
      <c r="M223">
        <f>'Raw data'!$K223*(1- 'Raw data'!$L223)</f>
        <v>32689.93</v>
      </c>
      <c r="N223">
        <v>261519.44</v>
      </c>
      <c r="O223">
        <v>0.15</v>
      </c>
      <c r="P223">
        <v>39227.919999999998</v>
      </c>
      <c r="Q223" t="s">
        <v>47</v>
      </c>
      <c r="R223" t="s">
        <v>48</v>
      </c>
      <c r="S223">
        <v>5</v>
      </c>
    </row>
    <row r="224" spans="1:19" x14ac:dyDescent="0.3">
      <c r="A224" t="s">
        <v>515</v>
      </c>
      <c r="B224">
        <v>45149</v>
      </c>
      <c r="C224" t="s">
        <v>55</v>
      </c>
      <c r="D224" t="s">
        <v>31</v>
      </c>
      <c r="E224" t="s">
        <v>22</v>
      </c>
      <c r="F224" t="s">
        <v>23</v>
      </c>
      <c r="G224" t="s">
        <v>44</v>
      </c>
      <c r="H224" t="s">
        <v>45</v>
      </c>
      <c r="I224" t="s">
        <v>516</v>
      </c>
      <c r="J224">
        <v>3</v>
      </c>
      <c r="K224">
        <v>4181</v>
      </c>
      <c r="L224">
        <v>0.09</v>
      </c>
      <c r="M224">
        <f>'Raw data'!$K224*(1- 'Raw data'!$L224)</f>
        <v>3804.71</v>
      </c>
      <c r="N224">
        <v>11414.13</v>
      </c>
      <c r="O224">
        <v>0.35</v>
      </c>
      <c r="P224">
        <v>3994.95</v>
      </c>
      <c r="Q224" t="s">
        <v>51</v>
      </c>
      <c r="R224" t="s">
        <v>38</v>
      </c>
      <c r="S224">
        <v>9</v>
      </c>
    </row>
    <row r="225" spans="1:19" x14ac:dyDescent="0.3">
      <c r="A225" t="s">
        <v>517</v>
      </c>
      <c r="B225">
        <v>45150</v>
      </c>
      <c r="C225" t="s">
        <v>40</v>
      </c>
      <c r="D225" t="s">
        <v>31</v>
      </c>
      <c r="E225" t="s">
        <v>32</v>
      </c>
      <c r="F225" t="s">
        <v>43</v>
      </c>
      <c r="G225" t="s">
        <v>24</v>
      </c>
      <c r="H225" t="s">
        <v>186</v>
      </c>
      <c r="I225" t="s">
        <v>518</v>
      </c>
      <c r="J225">
        <v>4</v>
      </c>
      <c r="K225">
        <v>4173</v>
      </c>
      <c r="L225">
        <v>0.21</v>
      </c>
      <c r="M225">
        <f>'Raw data'!$K225*(1- 'Raw data'!$L225)</f>
        <v>3296.67</v>
      </c>
      <c r="N225">
        <v>13186.68</v>
      </c>
      <c r="O225">
        <v>0.25</v>
      </c>
      <c r="P225">
        <v>3296.67</v>
      </c>
      <c r="Q225" t="s">
        <v>51</v>
      </c>
      <c r="R225" t="s">
        <v>48</v>
      </c>
      <c r="S225">
        <v>8</v>
      </c>
    </row>
    <row r="226" spans="1:19" x14ac:dyDescent="0.3">
      <c r="A226" t="s">
        <v>519</v>
      </c>
      <c r="B226">
        <v>45151</v>
      </c>
      <c r="C226" t="s">
        <v>63</v>
      </c>
      <c r="D226" t="s">
        <v>21</v>
      </c>
      <c r="E226" t="s">
        <v>42</v>
      </c>
      <c r="F226" t="s">
        <v>103</v>
      </c>
      <c r="G226" t="s">
        <v>92</v>
      </c>
      <c r="H226" t="s">
        <v>243</v>
      </c>
      <c r="I226" t="s">
        <v>520</v>
      </c>
      <c r="J226">
        <v>8</v>
      </c>
      <c r="K226">
        <v>39165</v>
      </c>
      <c r="L226">
        <v>0.2</v>
      </c>
      <c r="M226">
        <f>'Raw data'!$K226*(1- 'Raw data'!$L226)</f>
        <v>31332</v>
      </c>
      <c r="N226">
        <v>250656</v>
      </c>
      <c r="O226">
        <v>0.15</v>
      </c>
      <c r="P226">
        <v>37598.400000000001</v>
      </c>
      <c r="Q226" t="s">
        <v>47</v>
      </c>
      <c r="R226" t="s">
        <v>48</v>
      </c>
      <c r="S226">
        <v>4</v>
      </c>
    </row>
    <row r="227" spans="1:19" x14ac:dyDescent="0.3">
      <c r="A227" t="s">
        <v>521</v>
      </c>
      <c r="B227">
        <v>45152</v>
      </c>
      <c r="C227" t="s">
        <v>40</v>
      </c>
      <c r="D227" t="s">
        <v>21</v>
      </c>
      <c r="E227" t="s">
        <v>67</v>
      </c>
      <c r="F227" t="s">
        <v>103</v>
      </c>
      <c r="G227" t="s">
        <v>92</v>
      </c>
      <c r="H227" t="s">
        <v>109</v>
      </c>
      <c r="I227" t="s">
        <v>522</v>
      </c>
      <c r="J227">
        <v>1</v>
      </c>
      <c r="K227">
        <v>77203</v>
      </c>
      <c r="L227">
        <v>0.08</v>
      </c>
      <c r="M227">
        <f>'Raw data'!$K227*(1- 'Raw data'!$L227)</f>
        <v>71026.760000000009</v>
      </c>
      <c r="N227">
        <v>71026.759999999995</v>
      </c>
      <c r="O227">
        <v>0.15</v>
      </c>
      <c r="P227">
        <v>10654.01</v>
      </c>
      <c r="Q227" t="s">
        <v>27</v>
      </c>
      <c r="R227" t="s">
        <v>48</v>
      </c>
      <c r="S227">
        <v>7</v>
      </c>
    </row>
    <row r="228" spans="1:19" x14ac:dyDescent="0.3">
      <c r="A228" t="s">
        <v>523</v>
      </c>
      <c r="B228">
        <v>45153</v>
      </c>
      <c r="C228" t="s">
        <v>40</v>
      </c>
      <c r="D228" t="s">
        <v>31</v>
      </c>
      <c r="E228" t="s">
        <v>42</v>
      </c>
      <c r="F228" t="s">
        <v>68</v>
      </c>
      <c r="G228" t="s">
        <v>57</v>
      </c>
      <c r="H228" t="s">
        <v>183</v>
      </c>
      <c r="I228" t="s">
        <v>524</v>
      </c>
      <c r="J228">
        <v>6</v>
      </c>
      <c r="K228">
        <v>6114</v>
      </c>
      <c r="L228">
        <v>0.23</v>
      </c>
      <c r="M228">
        <f>'Raw data'!$K228*(1- 'Raw data'!$L228)</f>
        <v>4707.78</v>
      </c>
      <c r="N228">
        <v>28246.68</v>
      </c>
      <c r="O228">
        <v>0.2</v>
      </c>
      <c r="P228">
        <v>5649.34</v>
      </c>
      <c r="Q228" t="s">
        <v>27</v>
      </c>
      <c r="R228" t="s">
        <v>48</v>
      </c>
      <c r="S228">
        <v>5</v>
      </c>
    </row>
    <row r="229" spans="1:19" x14ac:dyDescent="0.3">
      <c r="A229" t="s">
        <v>525</v>
      </c>
      <c r="B229">
        <v>45154</v>
      </c>
      <c r="C229" t="s">
        <v>20</v>
      </c>
      <c r="D229" t="s">
        <v>21</v>
      </c>
      <c r="E229" t="s">
        <v>22</v>
      </c>
      <c r="F229" t="s">
        <v>68</v>
      </c>
      <c r="G229" t="s">
        <v>57</v>
      </c>
      <c r="H229" t="s">
        <v>81</v>
      </c>
      <c r="I229" t="s">
        <v>526</v>
      </c>
      <c r="J229">
        <v>1</v>
      </c>
      <c r="K229">
        <v>5553</v>
      </c>
      <c r="L229">
        <v>0.24</v>
      </c>
      <c r="M229">
        <f>'Raw data'!$K229*(1- 'Raw data'!$L229)</f>
        <v>4220.28</v>
      </c>
      <c r="N229">
        <v>4220.28</v>
      </c>
      <c r="O229">
        <v>0.2</v>
      </c>
      <c r="P229">
        <v>844.06</v>
      </c>
      <c r="Q229" t="s">
        <v>27</v>
      </c>
      <c r="R229" t="s">
        <v>48</v>
      </c>
      <c r="S229">
        <v>4</v>
      </c>
    </row>
    <row r="230" spans="1:19" x14ac:dyDescent="0.3">
      <c r="A230" t="s">
        <v>527</v>
      </c>
      <c r="B230">
        <v>45155</v>
      </c>
      <c r="C230" t="s">
        <v>63</v>
      </c>
      <c r="D230" t="s">
        <v>41</v>
      </c>
      <c r="E230" t="s">
        <v>42</v>
      </c>
      <c r="F230" t="s">
        <v>43</v>
      </c>
      <c r="G230" t="s">
        <v>44</v>
      </c>
      <c r="H230" t="s">
        <v>138</v>
      </c>
      <c r="I230" t="s">
        <v>528</v>
      </c>
      <c r="J230">
        <v>1</v>
      </c>
      <c r="K230">
        <v>1500</v>
      </c>
      <c r="L230">
        <v>0.08</v>
      </c>
      <c r="M230">
        <f>'Raw data'!$K230*(1- 'Raw data'!$L230)</f>
        <v>1380</v>
      </c>
      <c r="N230">
        <v>1380</v>
      </c>
      <c r="O230">
        <v>0.35</v>
      </c>
      <c r="P230">
        <v>483</v>
      </c>
      <c r="Q230" t="s">
        <v>37</v>
      </c>
      <c r="R230" t="s">
        <v>48</v>
      </c>
      <c r="S230">
        <v>5</v>
      </c>
    </row>
    <row r="231" spans="1:19" x14ac:dyDescent="0.3">
      <c r="A231" t="s">
        <v>529</v>
      </c>
      <c r="B231">
        <v>45156</v>
      </c>
      <c r="C231" t="s">
        <v>63</v>
      </c>
      <c r="D231" t="s">
        <v>21</v>
      </c>
      <c r="E231" t="s">
        <v>67</v>
      </c>
      <c r="F231" t="s">
        <v>97</v>
      </c>
      <c r="G231" t="s">
        <v>24</v>
      </c>
      <c r="H231" t="s">
        <v>186</v>
      </c>
      <c r="I231" t="s">
        <v>530</v>
      </c>
      <c r="J231">
        <v>8</v>
      </c>
      <c r="K231">
        <v>10042</v>
      </c>
      <c r="L231">
        <v>0.09</v>
      </c>
      <c r="M231">
        <f>'Raw data'!$K231*(1- 'Raw data'!$L231)</f>
        <v>9138.2200000000012</v>
      </c>
      <c r="N231">
        <v>73105.759999999995</v>
      </c>
      <c r="O231">
        <v>0.25</v>
      </c>
      <c r="P231">
        <v>18276.439999999999</v>
      </c>
      <c r="Q231" t="s">
        <v>47</v>
      </c>
      <c r="R231" t="s">
        <v>48</v>
      </c>
      <c r="S231">
        <v>5</v>
      </c>
    </row>
    <row r="232" spans="1:19" x14ac:dyDescent="0.3">
      <c r="A232" t="s">
        <v>531</v>
      </c>
      <c r="B232">
        <v>45157</v>
      </c>
      <c r="C232" t="s">
        <v>20</v>
      </c>
      <c r="D232" t="s">
        <v>21</v>
      </c>
      <c r="E232" t="s">
        <v>32</v>
      </c>
      <c r="F232" t="s">
        <v>33</v>
      </c>
      <c r="G232" t="s">
        <v>57</v>
      </c>
      <c r="H232" t="s">
        <v>100</v>
      </c>
      <c r="I232" t="s">
        <v>532</v>
      </c>
      <c r="J232">
        <v>4</v>
      </c>
      <c r="K232">
        <v>19772</v>
      </c>
      <c r="L232">
        <v>0.13</v>
      </c>
      <c r="M232">
        <f>'Raw data'!$K232*(1- 'Raw data'!$L232)</f>
        <v>17201.64</v>
      </c>
      <c r="N232">
        <v>68806.559999999998</v>
      </c>
      <c r="O232">
        <v>0.2</v>
      </c>
      <c r="P232">
        <v>13761.31</v>
      </c>
      <c r="Q232" t="s">
        <v>47</v>
      </c>
      <c r="R232" t="s">
        <v>48</v>
      </c>
      <c r="S232">
        <v>9</v>
      </c>
    </row>
    <row r="233" spans="1:19" x14ac:dyDescent="0.3">
      <c r="A233" t="s">
        <v>533</v>
      </c>
      <c r="B233">
        <v>45158</v>
      </c>
      <c r="C233" t="s">
        <v>55</v>
      </c>
      <c r="D233" t="s">
        <v>31</v>
      </c>
      <c r="E233" t="s">
        <v>67</v>
      </c>
      <c r="F233" t="s">
        <v>97</v>
      </c>
      <c r="G233" t="s">
        <v>92</v>
      </c>
      <c r="H233" t="s">
        <v>178</v>
      </c>
      <c r="I233" t="s">
        <v>534</v>
      </c>
      <c r="J233">
        <v>1</v>
      </c>
      <c r="K233">
        <v>13712</v>
      </c>
      <c r="L233">
        <v>0.24</v>
      </c>
      <c r="M233">
        <f>'Raw data'!$K233*(1- 'Raw data'!$L233)</f>
        <v>10421.120000000001</v>
      </c>
      <c r="N233">
        <v>10421.120000000001</v>
      </c>
      <c r="O233">
        <v>0.15</v>
      </c>
      <c r="P233">
        <v>1563.17</v>
      </c>
      <c r="Q233" t="s">
        <v>37</v>
      </c>
      <c r="R233" t="s">
        <v>48</v>
      </c>
      <c r="S233">
        <v>9</v>
      </c>
    </row>
    <row r="234" spans="1:19" x14ac:dyDescent="0.3">
      <c r="A234" t="s">
        <v>535</v>
      </c>
      <c r="B234">
        <v>45159</v>
      </c>
      <c r="C234" t="s">
        <v>20</v>
      </c>
      <c r="D234" t="s">
        <v>31</v>
      </c>
      <c r="E234" t="s">
        <v>32</v>
      </c>
      <c r="F234" t="s">
        <v>97</v>
      </c>
      <c r="G234" t="s">
        <v>24</v>
      </c>
      <c r="H234" t="s">
        <v>121</v>
      </c>
      <c r="I234" t="s">
        <v>536</v>
      </c>
      <c r="J234">
        <v>7</v>
      </c>
      <c r="K234">
        <v>2367</v>
      </c>
      <c r="L234">
        <v>0.22</v>
      </c>
      <c r="M234">
        <f>'Raw data'!$K234*(1- 'Raw data'!$L234)</f>
        <v>1846.26</v>
      </c>
      <c r="N234">
        <v>12923.82</v>
      </c>
      <c r="O234">
        <v>0.25</v>
      </c>
      <c r="P234">
        <v>3230.96</v>
      </c>
      <c r="Q234" t="s">
        <v>47</v>
      </c>
      <c r="R234" t="s">
        <v>48</v>
      </c>
      <c r="S234">
        <v>6</v>
      </c>
    </row>
    <row r="235" spans="1:19" x14ac:dyDescent="0.3">
      <c r="A235" t="s">
        <v>537</v>
      </c>
      <c r="B235">
        <v>45160</v>
      </c>
      <c r="C235" t="s">
        <v>63</v>
      </c>
      <c r="D235" t="s">
        <v>56</v>
      </c>
      <c r="E235" t="s">
        <v>32</v>
      </c>
      <c r="F235" t="s">
        <v>103</v>
      </c>
      <c r="G235" t="s">
        <v>24</v>
      </c>
      <c r="H235" t="s">
        <v>121</v>
      </c>
      <c r="I235" t="s">
        <v>538</v>
      </c>
      <c r="J235">
        <v>5</v>
      </c>
      <c r="K235">
        <v>9189</v>
      </c>
      <c r="L235">
        <v>0.03</v>
      </c>
      <c r="M235">
        <f>'Raw data'!$K235*(1- 'Raw data'!$L235)</f>
        <v>8913.33</v>
      </c>
      <c r="N235">
        <v>44566.65</v>
      </c>
      <c r="O235">
        <v>0.25</v>
      </c>
      <c r="P235">
        <v>11141.66</v>
      </c>
      <c r="Q235" t="s">
        <v>47</v>
      </c>
      <c r="R235" t="s">
        <v>48</v>
      </c>
      <c r="S235">
        <v>4</v>
      </c>
    </row>
    <row r="236" spans="1:19" x14ac:dyDescent="0.3">
      <c r="A236" t="s">
        <v>539</v>
      </c>
      <c r="B236">
        <v>45161</v>
      </c>
      <c r="C236" t="s">
        <v>63</v>
      </c>
      <c r="D236" t="s">
        <v>56</v>
      </c>
      <c r="E236" t="s">
        <v>42</v>
      </c>
      <c r="F236" t="s">
        <v>33</v>
      </c>
      <c r="G236" t="s">
        <v>92</v>
      </c>
      <c r="H236" t="s">
        <v>243</v>
      </c>
      <c r="I236" t="s">
        <v>540</v>
      </c>
      <c r="J236">
        <v>5</v>
      </c>
      <c r="K236">
        <v>61924</v>
      </c>
      <c r="L236">
        <v>0.1</v>
      </c>
      <c r="M236">
        <f>'Raw data'!$K236*(1- 'Raw data'!$L236)</f>
        <v>55731.6</v>
      </c>
      <c r="N236">
        <v>278658</v>
      </c>
      <c r="O236">
        <v>0.15</v>
      </c>
      <c r="P236">
        <v>41798.699999999997</v>
      </c>
      <c r="Q236" t="s">
        <v>37</v>
      </c>
      <c r="R236" t="s">
        <v>48</v>
      </c>
      <c r="S236">
        <v>2</v>
      </c>
    </row>
    <row r="237" spans="1:19" x14ac:dyDescent="0.3">
      <c r="A237" t="s">
        <v>541</v>
      </c>
      <c r="B237">
        <v>45162</v>
      </c>
      <c r="C237" t="s">
        <v>55</v>
      </c>
      <c r="D237" t="s">
        <v>31</v>
      </c>
      <c r="E237" t="s">
        <v>42</v>
      </c>
      <c r="F237" t="s">
        <v>103</v>
      </c>
      <c r="G237" t="s">
        <v>57</v>
      </c>
      <c r="H237" t="s">
        <v>100</v>
      </c>
      <c r="I237" t="s">
        <v>542</v>
      </c>
      <c r="J237">
        <v>1</v>
      </c>
      <c r="K237">
        <v>5726</v>
      </c>
      <c r="L237">
        <v>0.14000000000000001</v>
      </c>
      <c r="M237">
        <f>'Raw data'!$K237*(1- 'Raw data'!$L237)</f>
        <v>4924.3599999999997</v>
      </c>
      <c r="N237">
        <v>4924.3599999999997</v>
      </c>
      <c r="O237">
        <v>0.2</v>
      </c>
      <c r="P237">
        <v>984.87</v>
      </c>
      <c r="Q237" t="s">
        <v>51</v>
      </c>
      <c r="R237" t="s">
        <v>38</v>
      </c>
      <c r="S237">
        <v>3</v>
      </c>
    </row>
    <row r="238" spans="1:19" x14ac:dyDescent="0.3">
      <c r="A238" t="s">
        <v>543</v>
      </c>
      <c r="B238">
        <v>45163</v>
      </c>
      <c r="C238" t="s">
        <v>20</v>
      </c>
      <c r="D238" t="s">
        <v>21</v>
      </c>
      <c r="E238" t="s">
        <v>42</v>
      </c>
      <c r="F238" t="s">
        <v>33</v>
      </c>
      <c r="G238" t="s">
        <v>92</v>
      </c>
      <c r="H238" t="s">
        <v>243</v>
      </c>
      <c r="I238" t="s">
        <v>544</v>
      </c>
      <c r="J238">
        <v>6</v>
      </c>
      <c r="K238">
        <v>37723</v>
      </c>
      <c r="L238">
        <v>0.13</v>
      </c>
      <c r="M238">
        <f>'Raw data'!$K238*(1- 'Raw data'!$L238)</f>
        <v>32819.01</v>
      </c>
      <c r="N238">
        <v>196914.06</v>
      </c>
      <c r="O238">
        <v>0.15</v>
      </c>
      <c r="P238">
        <v>29537.11</v>
      </c>
      <c r="Q238" t="s">
        <v>47</v>
      </c>
      <c r="R238" t="s">
        <v>48</v>
      </c>
      <c r="S238">
        <v>2</v>
      </c>
    </row>
    <row r="239" spans="1:19" x14ac:dyDescent="0.3">
      <c r="A239" t="s">
        <v>545</v>
      </c>
      <c r="B239">
        <v>45164</v>
      </c>
      <c r="C239" t="s">
        <v>96</v>
      </c>
      <c r="D239" t="s">
        <v>21</v>
      </c>
      <c r="E239" t="s">
        <v>22</v>
      </c>
      <c r="F239" t="s">
        <v>23</v>
      </c>
      <c r="G239" t="s">
        <v>24</v>
      </c>
      <c r="H239" t="s">
        <v>121</v>
      </c>
      <c r="I239" t="s">
        <v>546</v>
      </c>
      <c r="J239">
        <v>9</v>
      </c>
      <c r="K239">
        <v>13281</v>
      </c>
      <c r="L239">
        <v>0.05</v>
      </c>
      <c r="M239">
        <f>'Raw data'!$K239*(1- 'Raw data'!$L239)</f>
        <v>12616.949999999999</v>
      </c>
      <c r="N239">
        <v>113552.55</v>
      </c>
      <c r="O239">
        <v>0.25</v>
      </c>
      <c r="P239">
        <v>28388.14</v>
      </c>
      <c r="Q239" t="s">
        <v>37</v>
      </c>
      <c r="R239" t="s">
        <v>38</v>
      </c>
      <c r="S239">
        <v>5</v>
      </c>
    </row>
    <row r="240" spans="1:19" x14ac:dyDescent="0.3">
      <c r="A240" t="s">
        <v>547</v>
      </c>
      <c r="B240">
        <v>45165</v>
      </c>
      <c r="C240" t="s">
        <v>96</v>
      </c>
      <c r="D240" t="s">
        <v>56</v>
      </c>
      <c r="E240" t="s">
        <v>42</v>
      </c>
      <c r="F240" t="s">
        <v>103</v>
      </c>
      <c r="G240" t="s">
        <v>34</v>
      </c>
      <c r="H240" t="s">
        <v>141</v>
      </c>
      <c r="I240" t="s">
        <v>548</v>
      </c>
      <c r="J240">
        <v>9</v>
      </c>
      <c r="K240">
        <v>910</v>
      </c>
      <c r="L240">
        <v>0.21</v>
      </c>
      <c r="M240">
        <f>'Raw data'!$K240*(1- 'Raw data'!$L240)</f>
        <v>718.9</v>
      </c>
      <c r="N240">
        <v>6470.1</v>
      </c>
      <c r="O240">
        <v>0.4</v>
      </c>
      <c r="P240">
        <v>2588.04</v>
      </c>
      <c r="Q240" t="s">
        <v>27</v>
      </c>
      <c r="R240" t="s">
        <v>48</v>
      </c>
      <c r="S240">
        <v>6</v>
      </c>
    </row>
    <row r="241" spans="1:19" x14ac:dyDescent="0.3">
      <c r="A241" t="s">
        <v>549</v>
      </c>
      <c r="B241">
        <v>45166</v>
      </c>
      <c r="C241" t="s">
        <v>55</v>
      </c>
      <c r="D241" t="s">
        <v>56</v>
      </c>
      <c r="E241" t="s">
        <v>22</v>
      </c>
      <c r="F241" t="s">
        <v>103</v>
      </c>
      <c r="G241" t="s">
        <v>34</v>
      </c>
      <c r="H241" t="s">
        <v>104</v>
      </c>
      <c r="I241" t="s">
        <v>550</v>
      </c>
      <c r="J241">
        <v>8</v>
      </c>
      <c r="K241">
        <v>342</v>
      </c>
      <c r="L241">
        <v>0.17</v>
      </c>
      <c r="M241">
        <f>'Raw data'!$K241*(1- 'Raw data'!$L241)</f>
        <v>283.86</v>
      </c>
      <c r="N241">
        <v>2270.88</v>
      </c>
      <c r="O241">
        <v>0.4</v>
      </c>
      <c r="P241">
        <v>908.35</v>
      </c>
      <c r="Q241" t="s">
        <v>51</v>
      </c>
      <c r="R241" t="s">
        <v>28</v>
      </c>
      <c r="S241">
        <v>5</v>
      </c>
    </row>
    <row r="242" spans="1:19" x14ac:dyDescent="0.3">
      <c r="A242" t="s">
        <v>551</v>
      </c>
      <c r="B242">
        <v>45167</v>
      </c>
      <c r="C242" t="s">
        <v>20</v>
      </c>
      <c r="D242" t="s">
        <v>56</v>
      </c>
      <c r="E242" t="s">
        <v>42</v>
      </c>
      <c r="F242" t="s">
        <v>103</v>
      </c>
      <c r="G242" t="s">
        <v>44</v>
      </c>
      <c r="H242" t="s">
        <v>45</v>
      </c>
      <c r="I242" t="s">
        <v>552</v>
      </c>
      <c r="J242">
        <v>5</v>
      </c>
      <c r="K242">
        <v>1416</v>
      </c>
      <c r="L242">
        <v>0.21</v>
      </c>
      <c r="M242">
        <f>'Raw data'!$K242*(1- 'Raw data'!$L242)</f>
        <v>1118.6400000000001</v>
      </c>
      <c r="N242">
        <v>5593.2</v>
      </c>
      <c r="O242">
        <v>0.35</v>
      </c>
      <c r="P242">
        <v>1957.62</v>
      </c>
      <c r="Q242" t="s">
        <v>27</v>
      </c>
      <c r="R242" t="s">
        <v>48</v>
      </c>
      <c r="S242">
        <v>2</v>
      </c>
    </row>
    <row r="243" spans="1:19" x14ac:dyDescent="0.3">
      <c r="A243" t="s">
        <v>553</v>
      </c>
      <c r="B243">
        <v>45168</v>
      </c>
      <c r="C243" t="s">
        <v>20</v>
      </c>
      <c r="D243" t="s">
        <v>41</v>
      </c>
      <c r="E243" t="s">
        <v>32</v>
      </c>
      <c r="F243" t="s">
        <v>43</v>
      </c>
      <c r="G243" t="s">
        <v>92</v>
      </c>
      <c r="H243" t="s">
        <v>109</v>
      </c>
      <c r="I243" t="s">
        <v>554</v>
      </c>
      <c r="J243">
        <v>1</v>
      </c>
      <c r="K243">
        <v>45643</v>
      </c>
      <c r="L243">
        <v>0.21</v>
      </c>
      <c r="M243">
        <f>'Raw data'!$K243*(1- 'Raw data'!$L243)</f>
        <v>36057.97</v>
      </c>
      <c r="N243">
        <v>36057.97</v>
      </c>
      <c r="O243">
        <v>0.15</v>
      </c>
      <c r="P243">
        <v>5408.7</v>
      </c>
      <c r="Q243" t="s">
        <v>47</v>
      </c>
      <c r="R243" t="s">
        <v>48</v>
      </c>
      <c r="S243">
        <v>5</v>
      </c>
    </row>
    <row r="244" spans="1:19" x14ac:dyDescent="0.3">
      <c r="A244" t="s">
        <v>555</v>
      </c>
      <c r="B244">
        <v>45169</v>
      </c>
      <c r="C244" t="s">
        <v>40</v>
      </c>
      <c r="D244" t="s">
        <v>41</v>
      </c>
      <c r="E244" t="s">
        <v>22</v>
      </c>
      <c r="F244" t="s">
        <v>103</v>
      </c>
      <c r="G244" t="s">
        <v>92</v>
      </c>
      <c r="H244" t="s">
        <v>178</v>
      </c>
      <c r="I244" t="s">
        <v>556</v>
      </c>
      <c r="J244">
        <v>9</v>
      </c>
      <c r="K244">
        <v>41324</v>
      </c>
      <c r="L244">
        <v>0.19</v>
      </c>
      <c r="M244">
        <f>'Raw data'!$K244*(1- 'Raw data'!$L244)</f>
        <v>33472.44</v>
      </c>
      <c r="N244">
        <v>301251.96000000002</v>
      </c>
      <c r="O244">
        <v>0.15</v>
      </c>
      <c r="P244">
        <v>45187.79</v>
      </c>
      <c r="Q244" t="s">
        <v>51</v>
      </c>
      <c r="R244" t="s">
        <v>28</v>
      </c>
      <c r="S244">
        <v>9</v>
      </c>
    </row>
    <row r="245" spans="1:19" x14ac:dyDescent="0.3">
      <c r="A245" t="s">
        <v>557</v>
      </c>
      <c r="B245">
        <v>45170</v>
      </c>
      <c r="C245" t="s">
        <v>63</v>
      </c>
      <c r="D245" t="s">
        <v>56</v>
      </c>
      <c r="E245" t="s">
        <v>67</v>
      </c>
      <c r="F245" t="s">
        <v>68</v>
      </c>
      <c r="G245" t="s">
        <v>44</v>
      </c>
      <c r="H245" t="s">
        <v>116</v>
      </c>
      <c r="I245" t="s">
        <v>558</v>
      </c>
      <c r="J245">
        <v>1</v>
      </c>
      <c r="K245">
        <v>1940</v>
      </c>
      <c r="L245">
        <v>0.11</v>
      </c>
      <c r="M245">
        <f>'Raw data'!$K245*(1- 'Raw data'!$L245)</f>
        <v>1726.6000000000001</v>
      </c>
      <c r="N245">
        <v>1726.6</v>
      </c>
      <c r="O245">
        <v>0.35</v>
      </c>
      <c r="P245">
        <v>604.30999999999995</v>
      </c>
      <c r="Q245" t="s">
        <v>37</v>
      </c>
      <c r="R245" t="s">
        <v>48</v>
      </c>
      <c r="S245">
        <v>4</v>
      </c>
    </row>
    <row r="246" spans="1:19" x14ac:dyDescent="0.3">
      <c r="A246" t="s">
        <v>559</v>
      </c>
      <c r="B246">
        <v>45171</v>
      </c>
      <c r="C246" t="s">
        <v>30</v>
      </c>
      <c r="D246" t="s">
        <v>21</v>
      </c>
      <c r="E246" t="s">
        <v>22</v>
      </c>
      <c r="F246" t="s">
        <v>68</v>
      </c>
      <c r="G246" t="s">
        <v>44</v>
      </c>
      <c r="H246" t="s">
        <v>116</v>
      </c>
      <c r="I246" t="s">
        <v>560</v>
      </c>
      <c r="J246">
        <v>8</v>
      </c>
      <c r="K246">
        <v>4900</v>
      </c>
      <c r="L246">
        <v>0.15</v>
      </c>
      <c r="M246">
        <f>'Raw data'!$K246*(1- 'Raw data'!$L246)</f>
        <v>4165</v>
      </c>
      <c r="N246">
        <v>33320</v>
      </c>
      <c r="O246">
        <v>0.35</v>
      </c>
      <c r="P246">
        <v>11662</v>
      </c>
      <c r="Q246" t="s">
        <v>47</v>
      </c>
      <c r="R246" t="s">
        <v>48</v>
      </c>
      <c r="S246">
        <v>2</v>
      </c>
    </row>
    <row r="247" spans="1:19" x14ac:dyDescent="0.3">
      <c r="A247" t="s">
        <v>561</v>
      </c>
      <c r="B247">
        <v>45172</v>
      </c>
      <c r="C247" t="s">
        <v>55</v>
      </c>
      <c r="D247" t="s">
        <v>56</v>
      </c>
      <c r="E247" t="s">
        <v>22</v>
      </c>
      <c r="F247" t="s">
        <v>33</v>
      </c>
      <c r="G247" t="s">
        <v>44</v>
      </c>
      <c r="H247" t="s">
        <v>45</v>
      </c>
      <c r="I247" t="s">
        <v>562</v>
      </c>
      <c r="J247">
        <v>5</v>
      </c>
      <c r="K247">
        <v>1235</v>
      </c>
      <c r="L247">
        <v>0.04</v>
      </c>
      <c r="M247">
        <f>'Raw data'!$K247*(1- 'Raw data'!$L247)</f>
        <v>1185.5999999999999</v>
      </c>
      <c r="N247">
        <v>5928</v>
      </c>
      <c r="O247">
        <v>0.35</v>
      </c>
      <c r="P247">
        <v>2074.8000000000002</v>
      </c>
      <c r="Q247" t="s">
        <v>37</v>
      </c>
      <c r="R247" t="s">
        <v>48</v>
      </c>
      <c r="S247">
        <v>3</v>
      </c>
    </row>
    <row r="248" spans="1:19" x14ac:dyDescent="0.3">
      <c r="A248" t="s">
        <v>563</v>
      </c>
      <c r="B248">
        <v>45173</v>
      </c>
      <c r="C248" t="s">
        <v>30</v>
      </c>
      <c r="D248" t="s">
        <v>41</v>
      </c>
      <c r="E248" t="s">
        <v>67</v>
      </c>
      <c r="F248" t="s">
        <v>23</v>
      </c>
      <c r="G248" t="s">
        <v>24</v>
      </c>
      <c r="H248" t="s">
        <v>25</v>
      </c>
      <c r="I248" t="s">
        <v>564</v>
      </c>
      <c r="J248">
        <v>3</v>
      </c>
      <c r="K248">
        <v>12760</v>
      </c>
      <c r="L248">
        <v>0.17</v>
      </c>
      <c r="M248">
        <f>'Raw data'!$K248*(1- 'Raw data'!$L248)</f>
        <v>10590.8</v>
      </c>
      <c r="N248">
        <v>31772.400000000001</v>
      </c>
      <c r="O248">
        <v>0.25</v>
      </c>
      <c r="P248">
        <v>7943.1</v>
      </c>
      <c r="Q248" t="s">
        <v>51</v>
      </c>
      <c r="R248" t="s">
        <v>48</v>
      </c>
      <c r="S248">
        <v>3</v>
      </c>
    </row>
    <row r="249" spans="1:19" x14ac:dyDescent="0.3">
      <c r="A249" t="s">
        <v>565</v>
      </c>
      <c r="B249">
        <v>45174</v>
      </c>
      <c r="C249" t="s">
        <v>30</v>
      </c>
      <c r="D249" t="s">
        <v>21</v>
      </c>
      <c r="E249" t="s">
        <v>22</v>
      </c>
      <c r="F249" t="s">
        <v>43</v>
      </c>
      <c r="G249" t="s">
        <v>92</v>
      </c>
      <c r="H249" t="s">
        <v>93</v>
      </c>
      <c r="I249" t="s">
        <v>566</v>
      </c>
      <c r="J249">
        <v>7</v>
      </c>
      <c r="K249">
        <v>32443</v>
      </c>
      <c r="L249">
        <v>0.04</v>
      </c>
      <c r="M249">
        <f>'Raw data'!$K249*(1- 'Raw data'!$L249)</f>
        <v>31145.279999999999</v>
      </c>
      <c r="N249">
        <v>218016.96</v>
      </c>
      <c r="O249">
        <v>0.15</v>
      </c>
      <c r="P249">
        <v>32702.54</v>
      </c>
      <c r="Q249" t="s">
        <v>27</v>
      </c>
      <c r="R249" t="s">
        <v>38</v>
      </c>
      <c r="S249">
        <v>9</v>
      </c>
    </row>
    <row r="250" spans="1:19" x14ac:dyDescent="0.3">
      <c r="A250" t="s">
        <v>567</v>
      </c>
      <c r="B250">
        <v>45175</v>
      </c>
      <c r="C250" t="s">
        <v>55</v>
      </c>
      <c r="D250" t="s">
        <v>41</v>
      </c>
      <c r="E250" t="s">
        <v>32</v>
      </c>
      <c r="F250" t="s">
        <v>33</v>
      </c>
      <c r="G250" t="s">
        <v>24</v>
      </c>
      <c r="H250" t="s">
        <v>74</v>
      </c>
      <c r="I250" t="s">
        <v>568</v>
      </c>
      <c r="J250">
        <v>7</v>
      </c>
      <c r="K250">
        <v>12530</v>
      </c>
      <c r="L250">
        <v>0.17</v>
      </c>
      <c r="M250">
        <f>'Raw data'!$K250*(1- 'Raw data'!$L250)</f>
        <v>10399.9</v>
      </c>
      <c r="N250">
        <v>72799.3</v>
      </c>
      <c r="O250">
        <v>0.25</v>
      </c>
      <c r="P250">
        <v>18199.82</v>
      </c>
      <c r="Q250" t="s">
        <v>47</v>
      </c>
      <c r="R250" t="s">
        <v>48</v>
      </c>
      <c r="S250">
        <v>4</v>
      </c>
    </row>
    <row r="251" spans="1:19" x14ac:dyDescent="0.3">
      <c r="A251" t="s">
        <v>569</v>
      </c>
      <c r="B251">
        <v>45176</v>
      </c>
      <c r="C251" t="s">
        <v>20</v>
      </c>
      <c r="D251" t="s">
        <v>21</v>
      </c>
      <c r="E251" t="s">
        <v>42</v>
      </c>
      <c r="F251" t="s">
        <v>68</v>
      </c>
      <c r="G251" t="s">
        <v>44</v>
      </c>
      <c r="H251" t="s">
        <v>116</v>
      </c>
      <c r="I251" t="s">
        <v>570</v>
      </c>
      <c r="J251">
        <v>9</v>
      </c>
      <c r="K251">
        <v>3515</v>
      </c>
      <c r="L251">
        <v>0.06</v>
      </c>
      <c r="M251">
        <f>'Raw data'!$K251*(1- 'Raw data'!$L251)</f>
        <v>3304.1</v>
      </c>
      <c r="N251">
        <v>29736.9</v>
      </c>
      <c r="O251">
        <v>0.35</v>
      </c>
      <c r="P251">
        <v>10407.91</v>
      </c>
      <c r="Q251" t="s">
        <v>47</v>
      </c>
      <c r="R251" t="s">
        <v>48</v>
      </c>
      <c r="S251">
        <v>1</v>
      </c>
    </row>
    <row r="252" spans="1:19" x14ac:dyDescent="0.3">
      <c r="A252" t="s">
        <v>571</v>
      </c>
      <c r="B252">
        <v>45177</v>
      </c>
      <c r="C252" t="s">
        <v>55</v>
      </c>
      <c r="D252" t="s">
        <v>41</v>
      </c>
      <c r="E252" t="s">
        <v>67</v>
      </c>
      <c r="F252" t="s">
        <v>43</v>
      </c>
      <c r="G252" t="s">
        <v>92</v>
      </c>
      <c r="H252" t="s">
        <v>178</v>
      </c>
      <c r="I252" t="s">
        <v>572</v>
      </c>
      <c r="J252">
        <v>7</v>
      </c>
      <c r="K252">
        <v>70233</v>
      </c>
      <c r="L252">
        <v>0.03</v>
      </c>
      <c r="M252">
        <f>'Raw data'!$K252*(1- 'Raw data'!$L252)</f>
        <v>68126.009999999995</v>
      </c>
      <c r="N252">
        <v>476882.07</v>
      </c>
      <c r="O252">
        <v>0.15</v>
      </c>
      <c r="P252">
        <v>71532.31</v>
      </c>
      <c r="Q252" t="s">
        <v>37</v>
      </c>
      <c r="R252" t="s">
        <v>48</v>
      </c>
      <c r="S252">
        <v>1</v>
      </c>
    </row>
    <row r="253" spans="1:19" x14ac:dyDescent="0.3">
      <c r="A253" t="s">
        <v>573</v>
      </c>
      <c r="B253">
        <v>45178</v>
      </c>
      <c r="C253" t="s">
        <v>30</v>
      </c>
      <c r="D253" t="s">
        <v>21</v>
      </c>
      <c r="E253" t="s">
        <v>42</v>
      </c>
      <c r="F253" t="s">
        <v>43</v>
      </c>
      <c r="G253" t="s">
        <v>24</v>
      </c>
      <c r="H253" t="s">
        <v>186</v>
      </c>
      <c r="I253" t="s">
        <v>574</v>
      </c>
      <c r="J253">
        <v>3</v>
      </c>
      <c r="K253">
        <v>10153</v>
      </c>
      <c r="L253">
        <v>0.04</v>
      </c>
      <c r="M253">
        <f>'Raw data'!$K253*(1- 'Raw data'!$L253)</f>
        <v>9746.8799999999992</v>
      </c>
      <c r="N253">
        <v>29240.639999999999</v>
      </c>
      <c r="O253">
        <v>0.25</v>
      </c>
      <c r="P253">
        <v>7310.16</v>
      </c>
      <c r="Q253" t="s">
        <v>51</v>
      </c>
      <c r="R253" t="s">
        <v>48</v>
      </c>
      <c r="S253">
        <v>7</v>
      </c>
    </row>
    <row r="254" spans="1:19" x14ac:dyDescent="0.3">
      <c r="A254" t="s">
        <v>575</v>
      </c>
      <c r="B254">
        <v>45179</v>
      </c>
      <c r="C254" t="s">
        <v>63</v>
      </c>
      <c r="D254" t="s">
        <v>21</v>
      </c>
      <c r="E254" t="s">
        <v>32</v>
      </c>
      <c r="F254" t="s">
        <v>23</v>
      </c>
      <c r="G254" t="s">
        <v>24</v>
      </c>
      <c r="H254" t="s">
        <v>74</v>
      </c>
      <c r="I254" t="s">
        <v>576</v>
      </c>
      <c r="J254">
        <v>1</v>
      </c>
      <c r="K254">
        <v>3989</v>
      </c>
      <c r="L254">
        <v>0</v>
      </c>
      <c r="M254">
        <f>'Raw data'!$K254*(1- 'Raw data'!$L254)</f>
        <v>3989</v>
      </c>
      <c r="N254">
        <v>3989</v>
      </c>
      <c r="O254">
        <v>0.25</v>
      </c>
      <c r="P254">
        <v>997.25</v>
      </c>
      <c r="Q254" t="s">
        <v>37</v>
      </c>
      <c r="R254" t="s">
        <v>48</v>
      </c>
      <c r="S254">
        <v>7</v>
      </c>
    </row>
    <row r="255" spans="1:19" x14ac:dyDescent="0.3">
      <c r="A255" t="s">
        <v>577</v>
      </c>
      <c r="B255">
        <v>45180</v>
      </c>
      <c r="C255" t="s">
        <v>63</v>
      </c>
      <c r="D255" t="s">
        <v>21</v>
      </c>
      <c r="E255" t="s">
        <v>67</v>
      </c>
      <c r="F255" t="s">
        <v>43</v>
      </c>
      <c r="G255" t="s">
        <v>44</v>
      </c>
      <c r="H255" t="s">
        <v>138</v>
      </c>
      <c r="I255" t="s">
        <v>578</v>
      </c>
      <c r="J255">
        <v>8</v>
      </c>
      <c r="K255">
        <v>4348</v>
      </c>
      <c r="L255">
        <v>0.18</v>
      </c>
      <c r="M255">
        <f>'Raw data'!$K255*(1- 'Raw data'!$L255)</f>
        <v>3565.36</v>
      </c>
      <c r="N255">
        <v>28522.880000000001</v>
      </c>
      <c r="O255">
        <v>0.35</v>
      </c>
      <c r="P255">
        <v>9983.01</v>
      </c>
      <c r="Q255" t="s">
        <v>51</v>
      </c>
      <c r="R255" t="s">
        <v>48</v>
      </c>
      <c r="S255">
        <v>2</v>
      </c>
    </row>
    <row r="256" spans="1:19" x14ac:dyDescent="0.3">
      <c r="A256" t="s">
        <v>579</v>
      </c>
      <c r="B256">
        <v>45181</v>
      </c>
      <c r="C256" t="s">
        <v>63</v>
      </c>
      <c r="D256" t="s">
        <v>21</v>
      </c>
      <c r="E256" t="s">
        <v>42</v>
      </c>
      <c r="F256" t="s">
        <v>103</v>
      </c>
      <c r="G256" t="s">
        <v>92</v>
      </c>
      <c r="H256" t="s">
        <v>178</v>
      </c>
      <c r="I256" t="s">
        <v>580</v>
      </c>
      <c r="J256">
        <v>3</v>
      </c>
      <c r="K256">
        <v>32612</v>
      </c>
      <c r="L256">
        <v>0.18</v>
      </c>
      <c r="M256">
        <f>'Raw data'!$K256*(1- 'Raw data'!$L256)</f>
        <v>26741.840000000004</v>
      </c>
      <c r="N256">
        <v>80225.52</v>
      </c>
      <c r="O256">
        <v>0.15</v>
      </c>
      <c r="P256">
        <v>12033.83</v>
      </c>
      <c r="Q256" t="s">
        <v>47</v>
      </c>
      <c r="R256" t="s">
        <v>48</v>
      </c>
      <c r="S256">
        <v>9</v>
      </c>
    </row>
    <row r="257" spans="1:19" x14ac:dyDescent="0.3">
      <c r="A257" t="s">
        <v>581</v>
      </c>
      <c r="B257">
        <v>45182</v>
      </c>
      <c r="C257" t="s">
        <v>20</v>
      </c>
      <c r="D257" t="s">
        <v>31</v>
      </c>
      <c r="E257" t="s">
        <v>42</v>
      </c>
      <c r="F257" t="s">
        <v>43</v>
      </c>
      <c r="G257" t="s">
        <v>44</v>
      </c>
      <c r="H257" t="s">
        <v>45</v>
      </c>
      <c r="I257" t="s">
        <v>582</v>
      </c>
      <c r="J257">
        <v>8</v>
      </c>
      <c r="K257">
        <v>4365</v>
      </c>
      <c r="L257">
        <v>0.13</v>
      </c>
      <c r="M257">
        <f>'Raw data'!$K257*(1- 'Raw data'!$L257)</f>
        <v>3797.55</v>
      </c>
      <c r="N257">
        <v>30380.400000000001</v>
      </c>
      <c r="O257">
        <v>0.35</v>
      </c>
      <c r="P257">
        <v>10633.14</v>
      </c>
      <c r="Q257" t="s">
        <v>51</v>
      </c>
      <c r="R257" t="s">
        <v>48</v>
      </c>
      <c r="S257">
        <v>9</v>
      </c>
    </row>
    <row r="258" spans="1:19" x14ac:dyDescent="0.3">
      <c r="A258" t="s">
        <v>583</v>
      </c>
      <c r="B258">
        <v>45183</v>
      </c>
      <c r="C258" t="s">
        <v>96</v>
      </c>
      <c r="D258" t="s">
        <v>41</v>
      </c>
      <c r="E258" t="s">
        <v>32</v>
      </c>
      <c r="F258" t="s">
        <v>23</v>
      </c>
      <c r="G258" t="s">
        <v>92</v>
      </c>
      <c r="H258" t="s">
        <v>93</v>
      </c>
      <c r="I258" t="s">
        <v>584</v>
      </c>
      <c r="J258">
        <v>8</v>
      </c>
      <c r="K258">
        <v>16471</v>
      </c>
      <c r="L258">
        <v>0.04</v>
      </c>
      <c r="M258">
        <f>'Raw data'!$K258*(1- 'Raw data'!$L258)</f>
        <v>15812.16</v>
      </c>
      <c r="N258">
        <v>126497.28</v>
      </c>
      <c r="O258">
        <v>0.15</v>
      </c>
      <c r="P258">
        <v>18974.59</v>
      </c>
      <c r="Q258" t="s">
        <v>47</v>
      </c>
      <c r="R258" t="s">
        <v>38</v>
      </c>
      <c r="S258">
        <v>5</v>
      </c>
    </row>
    <row r="259" spans="1:19" x14ac:dyDescent="0.3">
      <c r="A259" t="s">
        <v>585</v>
      </c>
      <c r="B259">
        <v>45184</v>
      </c>
      <c r="C259" t="s">
        <v>55</v>
      </c>
      <c r="D259" t="s">
        <v>41</v>
      </c>
      <c r="E259" t="s">
        <v>42</v>
      </c>
      <c r="F259" t="s">
        <v>33</v>
      </c>
      <c r="G259" t="s">
        <v>34</v>
      </c>
      <c r="H259" t="s">
        <v>141</v>
      </c>
      <c r="I259" t="s">
        <v>586</v>
      </c>
      <c r="J259">
        <v>5</v>
      </c>
      <c r="K259">
        <v>1015</v>
      </c>
      <c r="L259">
        <v>0.02</v>
      </c>
      <c r="M259">
        <f>'Raw data'!$K259*(1- 'Raw data'!$L259)</f>
        <v>994.69999999999993</v>
      </c>
      <c r="N259">
        <v>4973.5</v>
      </c>
      <c r="O259">
        <v>0.4</v>
      </c>
      <c r="P259">
        <v>1989.4</v>
      </c>
      <c r="Q259" t="s">
        <v>51</v>
      </c>
      <c r="R259" t="s">
        <v>48</v>
      </c>
      <c r="S259">
        <v>3</v>
      </c>
    </row>
    <row r="260" spans="1:19" x14ac:dyDescent="0.3">
      <c r="A260" t="s">
        <v>587</v>
      </c>
      <c r="B260">
        <v>45185</v>
      </c>
      <c r="C260" t="s">
        <v>63</v>
      </c>
      <c r="D260" t="s">
        <v>31</v>
      </c>
      <c r="E260" t="s">
        <v>32</v>
      </c>
      <c r="F260" t="s">
        <v>23</v>
      </c>
      <c r="G260" t="s">
        <v>57</v>
      </c>
      <c r="H260" t="s">
        <v>81</v>
      </c>
      <c r="I260" t="s">
        <v>588</v>
      </c>
      <c r="J260">
        <v>1</v>
      </c>
      <c r="K260">
        <v>12693</v>
      </c>
      <c r="L260">
        <v>0</v>
      </c>
      <c r="M260">
        <f>'Raw data'!$K260*(1- 'Raw data'!$L260)</f>
        <v>12693</v>
      </c>
      <c r="N260">
        <v>12693</v>
      </c>
      <c r="O260">
        <v>0.2</v>
      </c>
      <c r="P260">
        <v>2538.6</v>
      </c>
      <c r="Q260" t="s">
        <v>27</v>
      </c>
      <c r="R260" t="s">
        <v>48</v>
      </c>
      <c r="S260">
        <v>3</v>
      </c>
    </row>
    <row r="261" spans="1:19" x14ac:dyDescent="0.3">
      <c r="A261" t="s">
        <v>589</v>
      </c>
      <c r="B261">
        <v>45186</v>
      </c>
      <c r="C261" t="s">
        <v>55</v>
      </c>
      <c r="D261" t="s">
        <v>21</v>
      </c>
      <c r="E261" t="s">
        <v>22</v>
      </c>
      <c r="F261" t="s">
        <v>23</v>
      </c>
      <c r="G261" t="s">
        <v>57</v>
      </c>
      <c r="H261" t="s">
        <v>58</v>
      </c>
      <c r="I261" t="s">
        <v>590</v>
      </c>
      <c r="J261">
        <v>7</v>
      </c>
      <c r="K261">
        <v>3177</v>
      </c>
      <c r="L261">
        <v>0.04</v>
      </c>
      <c r="M261">
        <f>'Raw data'!$K261*(1- 'Raw data'!$L261)</f>
        <v>3049.92</v>
      </c>
      <c r="N261">
        <v>21349.439999999999</v>
      </c>
      <c r="O261">
        <v>0.2</v>
      </c>
      <c r="P261">
        <v>4269.8900000000003</v>
      </c>
      <c r="Q261" t="s">
        <v>51</v>
      </c>
      <c r="R261" t="s">
        <v>48</v>
      </c>
      <c r="S261">
        <v>3</v>
      </c>
    </row>
    <row r="262" spans="1:19" x14ac:dyDescent="0.3">
      <c r="A262" t="s">
        <v>591</v>
      </c>
      <c r="B262">
        <v>45187</v>
      </c>
      <c r="C262" t="s">
        <v>63</v>
      </c>
      <c r="D262" t="s">
        <v>21</v>
      </c>
      <c r="E262" t="s">
        <v>32</v>
      </c>
      <c r="F262" t="s">
        <v>68</v>
      </c>
      <c r="G262" t="s">
        <v>57</v>
      </c>
      <c r="H262" t="s">
        <v>183</v>
      </c>
      <c r="I262" t="s">
        <v>592</v>
      </c>
      <c r="J262">
        <v>5</v>
      </c>
      <c r="K262">
        <v>6760</v>
      </c>
      <c r="L262">
        <v>0.22</v>
      </c>
      <c r="M262">
        <f>'Raw data'!$K262*(1- 'Raw data'!$L262)</f>
        <v>5272.8</v>
      </c>
      <c r="N262">
        <v>26364</v>
      </c>
      <c r="O262">
        <v>0.2</v>
      </c>
      <c r="P262">
        <v>5272.8</v>
      </c>
      <c r="Q262" t="s">
        <v>27</v>
      </c>
      <c r="R262" t="s">
        <v>48</v>
      </c>
      <c r="S262">
        <v>6</v>
      </c>
    </row>
    <row r="263" spans="1:19" x14ac:dyDescent="0.3">
      <c r="A263" t="s">
        <v>593</v>
      </c>
      <c r="B263">
        <v>45188</v>
      </c>
      <c r="C263" t="s">
        <v>20</v>
      </c>
      <c r="D263" t="s">
        <v>41</v>
      </c>
      <c r="E263" t="s">
        <v>22</v>
      </c>
      <c r="F263" t="s">
        <v>103</v>
      </c>
      <c r="G263" t="s">
        <v>44</v>
      </c>
      <c r="H263" t="s">
        <v>64</v>
      </c>
      <c r="I263" t="s">
        <v>594</v>
      </c>
      <c r="J263">
        <v>8</v>
      </c>
      <c r="K263">
        <v>511</v>
      </c>
      <c r="L263">
        <v>0.06</v>
      </c>
      <c r="M263">
        <f>'Raw data'!$K263*(1- 'Raw data'!$L263)</f>
        <v>480.34</v>
      </c>
      <c r="N263">
        <v>3842.72</v>
      </c>
      <c r="O263">
        <v>0.35</v>
      </c>
      <c r="P263">
        <v>1344.95</v>
      </c>
      <c r="Q263" t="s">
        <v>51</v>
      </c>
      <c r="R263" t="s">
        <v>48</v>
      </c>
      <c r="S263">
        <v>4</v>
      </c>
    </row>
    <row r="264" spans="1:19" x14ac:dyDescent="0.3">
      <c r="A264" t="s">
        <v>595</v>
      </c>
      <c r="B264">
        <v>45189</v>
      </c>
      <c r="C264" t="s">
        <v>96</v>
      </c>
      <c r="D264" t="s">
        <v>31</v>
      </c>
      <c r="E264" t="s">
        <v>67</v>
      </c>
      <c r="F264" t="s">
        <v>68</v>
      </c>
      <c r="G264" t="s">
        <v>34</v>
      </c>
      <c r="H264" t="s">
        <v>35</v>
      </c>
      <c r="I264" t="s">
        <v>596</v>
      </c>
      <c r="J264">
        <v>9</v>
      </c>
      <c r="K264">
        <v>1356</v>
      </c>
      <c r="L264">
        <v>0.09</v>
      </c>
      <c r="M264">
        <f>'Raw data'!$K264*(1- 'Raw data'!$L264)</f>
        <v>1233.96</v>
      </c>
      <c r="N264">
        <v>11105.64</v>
      </c>
      <c r="O264">
        <v>0.4</v>
      </c>
      <c r="P264">
        <v>4442.26</v>
      </c>
      <c r="Q264" t="s">
        <v>51</v>
      </c>
      <c r="R264" t="s">
        <v>28</v>
      </c>
      <c r="S264">
        <v>8</v>
      </c>
    </row>
    <row r="265" spans="1:19" x14ac:dyDescent="0.3">
      <c r="A265" t="s">
        <v>597</v>
      </c>
      <c r="B265">
        <v>45190</v>
      </c>
      <c r="C265" t="s">
        <v>96</v>
      </c>
      <c r="D265" t="s">
        <v>21</v>
      </c>
      <c r="E265" t="s">
        <v>42</v>
      </c>
      <c r="F265" t="s">
        <v>33</v>
      </c>
      <c r="G265" t="s">
        <v>92</v>
      </c>
      <c r="H265" t="s">
        <v>243</v>
      </c>
      <c r="I265" t="s">
        <v>598</v>
      </c>
      <c r="J265">
        <v>7</v>
      </c>
      <c r="K265">
        <v>63551</v>
      </c>
      <c r="L265">
        <v>0.03</v>
      </c>
      <c r="M265">
        <f>'Raw data'!$K265*(1- 'Raw data'!$L265)</f>
        <v>61644.47</v>
      </c>
      <c r="N265">
        <v>431511.29</v>
      </c>
      <c r="O265">
        <v>0.15</v>
      </c>
      <c r="P265">
        <v>64726.69</v>
      </c>
      <c r="Q265" t="s">
        <v>37</v>
      </c>
      <c r="R265" t="s">
        <v>48</v>
      </c>
      <c r="S265">
        <v>5</v>
      </c>
    </row>
    <row r="266" spans="1:19" x14ac:dyDescent="0.3">
      <c r="A266" t="s">
        <v>599</v>
      </c>
      <c r="B266">
        <v>45191</v>
      </c>
      <c r="C266" t="s">
        <v>63</v>
      </c>
      <c r="D266" t="s">
        <v>21</v>
      </c>
      <c r="E266" t="s">
        <v>32</v>
      </c>
      <c r="F266" t="s">
        <v>97</v>
      </c>
      <c r="G266" t="s">
        <v>24</v>
      </c>
      <c r="H266" t="s">
        <v>121</v>
      </c>
      <c r="I266" t="s">
        <v>600</v>
      </c>
      <c r="J266">
        <v>7</v>
      </c>
      <c r="K266">
        <v>12556</v>
      </c>
      <c r="L266">
        <v>0.06</v>
      </c>
      <c r="M266">
        <f>'Raw data'!$K266*(1- 'Raw data'!$L266)</f>
        <v>11802.64</v>
      </c>
      <c r="N266">
        <v>82618.48</v>
      </c>
      <c r="O266">
        <v>0.25</v>
      </c>
      <c r="P266">
        <v>20654.62</v>
      </c>
      <c r="Q266" t="s">
        <v>37</v>
      </c>
      <c r="R266" t="s">
        <v>38</v>
      </c>
      <c r="S266">
        <v>1</v>
      </c>
    </row>
    <row r="267" spans="1:19" x14ac:dyDescent="0.3">
      <c r="A267" t="s">
        <v>601</v>
      </c>
      <c r="B267">
        <v>45192</v>
      </c>
      <c r="C267" t="s">
        <v>20</v>
      </c>
      <c r="D267" t="s">
        <v>21</v>
      </c>
      <c r="E267" t="s">
        <v>32</v>
      </c>
      <c r="F267" t="s">
        <v>33</v>
      </c>
      <c r="G267" t="s">
        <v>92</v>
      </c>
      <c r="H267" t="s">
        <v>93</v>
      </c>
      <c r="I267" t="s">
        <v>602</v>
      </c>
      <c r="J267">
        <v>1</v>
      </c>
      <c r="K267">
        <v>37598</v>
      </c>
      <c r="L267">
        <v>0.13</v>
      </c>
      <c r="M267">
        <f>'Raw data'!$K267*(1- 'Raw data'!$L267)</f>
        <v>32710.26</v>
      </c>
      <c r="N267">
        <v>32710.26</v>
      </c>
      <c r="O267">
        <v>0.15</v>
      </c>
      <c r="P267">
        <v>4906.54</v>
      </c>
      <c r="Q267" t="s">
        <v>47</v>
      </c>
      <c r="R267" t="s">
        <v>48</v>
      </c>
      <c r="S267">
        <v>9</v>
      </c>
    </row>
    <row r="268" spans="1:19" x14ac:dyDescent="0.3">
      <c r="A268" t="s">
        <v>603</v>
      </c>
      <c r="B268">
        <v>45193</v>
      </c>
      <c r="C268" t="s">
        <v>40</v>
      </c>
      <c r="D268" t="s">
        <v>56</v>
      </c>
      <c r="E268" t="s">
        <v>42</v>
      </c>
      <c r="F268" t="s">
        <v>103</v>
      </c>
      <c r="G268" t="s">
        <v>24</v>
      </c>
      <c r="H268" t="s">
        <v>186</v>
      </c>
      <c r="I268" t="s">
        <v>604</v>
      </c>
      <c r="J268">
        <v>4</v>
      </c>
      <c r="K268">
        <v>12563</v>
      </c>
      <c r="L268">
        <v>0.15</v>
      </c>
      <c r="M268">
        <f>'Raw data'!$K268*(1- 'Raw data'!$L268)</f>
        <v>10678.55</v>
      </c>
      <c r="N268">
        <v>42714.2</v>
      </c>
      <c r="O268">
        <v>0.25</v>
      </c>
      <c r="P268">
        <v>10678.55</v>
      </c>
      <c r="Q268" t="s">
        <v>37</v>
      </c>
      <c r="R268" t="s">
        <v>48</v>
      </c>
      <c r="S268">
        <v>1</v>
      </c>
    </row>
    <row r="269" spans="1:19" x14ac:dyDescent="0.3">
      <c r="A269" t="s">
        <v>605</v>
      </c>
      <c r="B269">
        <v>45194</v>
      </c>
      <c r="C269" t="s">
        <v>55</v>
      </c>
      <c r="D269" t="s">
        <v>31</v>
      </c>
      <c r="E269" t="s">
        <v>42</v>
      </c>
      <c r="F269" t="s">
        <v>43</v>
      </c>
      <c r="G269" t="s">
        <v>92</v>
      </c>
      <c r="H269" t="s">
        <v>93</v>
      </c>
      <c r="I269" t="s">
        <v>606</v>
      </c>
      <c r="J269">
        <v>2</v>
      </c>
      <c r="K269">
        <v>56819</v>
      </c>
      <c r="L269">
        <v>0.06</v>
      </c>
      <c r="M269">
        <f>'Raw data'!$K269*(1- 'Raw data'!$L269)</f>
        <v>53409.86</v>
      </c>
      <c r="N269">
        <v>106819.72</v>
      </c>
      <c r="O269">
        <v>0.15</v>
      </c>
      <c r="P269">
        <v>16022.96</v>
      </c>
      <c r="Q269" t="s">
        <v>51</v>
      </c>
      <c r="R269" t="s">
        <v>48</v>
      </c>
      <c r="S269">
        <v>6</v>
      </c>
    </row>
    <row r="270" spans="1:19" x14ac:dyDescent="0.3">
      <c r="A270" t="s">
        <v>607</v>
      </c>
      <c r="B270">
        <v>45195</v>
      </c>
      <c r="C270" t="s">
        <v>55</v>
      </c>
      <c r="D270" t="s">
        <v>21</v>
      </c>
      <c r="E270" t="s">
        <v>67</v>
      </c>
      <c r="F270" t="s">
        <v>23</v>
      </c>
      <c r="G270" t="s">
        <v>34</v>
      </c>
      <c r="H270" t="s">
        <v>141</v>
      </c>
      <c r="I270" t="s">
        <v>608</v>
      </c>
      <c r="J270">
        <v>2</v>
      </c>
      <c r="K270">
        <v>982</v>
      </c>
      <c r="L270">
        <v>0.01</v>
      </c>
      <c r="M270">
        <f>'Raw data'!$K270*(1- 'Raw data'!$L270)</f>
        <v>972.18</v>
      </c>
      <c r="N270">
        <v>1944.36</v>
      </c>
      <c r="O270">
        <v>0.4</v>
      </c>
      <c r="P270">
        <v>777.74</v>
      </c>
      <c r="Q270" t="s">
        <v>37</v>
      </c>
      <c r="R270" t="s">
        <v>48</v>
      </c>
      <c r="S270">
        <v>1</v>
      </c>
    </row>
    <row r="271" spans="1:19" x14ac:dyDescent="0.3">
      <c r="A271" t="s">
        <v>609</v>
      </c>
      <c r="B271">
        <v>45196</v>
      </c>
      <c r="C271" t="s">
        <v>30</v>
      </c>
      <c r="D271" t="s">
        <v>56</v>
      </c>
      <c r="E271" t="s">
        <v>67</v>
      </c>
      <c r="F271" t="s">
        <v>97</v>
      </c>
      <c r="G271" t="s">
        <v>24</v>
      </c>
      <c r="H271" t="s">
        <v>74</v>
      </c>
      <c r="I271" t="s">
        <v>610</v>
      </c>
      <c r="J271">
        <v>2</v>
      </c>
      <c r="K271">
        <v>9234</v>
      </c>
      <c r="L271">
        <v>0.1</v>
      </c>
      <c r="M271">
        <f>'Raw data'!$K271*(1- 'Raw data'!$L271)</f>
        <v>8310.6</v>
      </c>
      <c r="N271">
        <v>16621.2</v>
      </c>
      <c r="O271">
        <v>0.25</v>
      </c>
      <c r="P271">
        <v>4155.3</v>
      </c>
      <c r="Q271" t="s">
        <v>51</v>
      </c>
      <c r="R271" t="s">
        <v>48</v>
      </c>
      <c r="S271">
        <v>3</v>
      </c>
    </row>
    <row r="272" spans="1:19" x14ac:dyDescent="0.3">
      <c r="A272" t="s">
        <v>611</v>
      </c>
      <c r="B272">
        <v>45197</v>
      </c>
      <c r="C272" t="s">
        <v>20</v>
      </c>
      <c r="D272" t="s">
        <v>31</v>
      </c>
      <c r="E272" t="s">
        <v>32</v>
      </c>
      <c r="F272" t="s">
        <v>103</v>
      </c>
      <c r="G272" t="s">
        <v>44</v>
      </c>
      <c r="H272" t="s">
        <v>138</v>
      </c>
      <c r="I272" t="s">
        <v>612</v>
      </c>
      <c r="J272">
        <v>4</v>
      </c>
      <c r="K272">
        <v>1443</v>
      </c>
      <c r="L272">
        <v>0.06</v>
      </c>
      <c r="M272">
        <f>'Raw data'!$K272*(1- 'Raw data'!$L272)</f>
        <v>1356.4199999999998</v>
      </c>
      <c r="N272">
        <v>5425.68</v>
      </c>
      <c r="O272">
        <v>0.35</v>
      </c>
      <c r="P272">
        <v>1898.99</v>
      </c>
      <c r="Q272" t="s">
        <v>27</v>
      </c>
      <c r="R272" t="s">
        <v>38</v>
      </c>
      <c r="S272">
        <v>5</v>
      </c>
    </row>
    <row r="273" spans="1:19" x14ac:dyDescent="0.3">
      <c r="A273" t="s">
        <v>613</v>
      </c>
      <c r="B273">
        <v>45198</v>
      </c>
      <c r="C273" t="s">
        <v>30</v>
      </c>
      <c r="D273" t="s">
        <v>21</v>
      </c>
      <c r="E273" t="s">
        <v>67</v>
      </c>
      <c r="F273" t="s">
        <v>68</v>
      </c>
      <c r="G273" t="s">
        <v>92</v>
      </c>
      <c r="H273" t="s">
        <v>243</v>
      </c>
      <c r="I273" t="s">
        <v>614</v>
      </c>
      <c r="J273">
        <v>1</v>
      </c>
      <c r="K273">
        <v>36966</v>
      </c>
      <c r="L273">
        <v>0.05</v>
      </c>
      <c r="M273">
        <f>'Raw data'!$K273*(1- 'Raw data'!$L273)</f>
        <v>35117.699999999997</v>
      </c>
      <c r="N273">
        <v>35117.699999999997</v>
      </c>
      <c r="O273">
        <v>0.15</v>
      </c>
      <c r="P273">
        <v>5267.66</v>
      </c>
      <c r="Q273" t="s">
        <v>51</v>
      </c>
      <c r="R273" t="s">
        <v>48</v>
      </c>
      <c r="S273">
        <v>7</v>
      </c>
    </row>
    <row r="274" spans="1:19" x14ac:dyDescent="0.3">
      <c r="A274" t="s">
        <v>615</v>
      </c>
      <c r="B274">
        <v>45199</v>
      </c>
      <c r="C274" t="s">
        <v>63</v>
      </c>
      <c r="D274" t="s">
        <v>41</v>
      </c>
      <c r="E274" t="s">
        <v>22</v>
      </c>
      <c r="F274" t="s">
        <v>23</v>
      </c>
      <c r="G274" t="s">
        <v>92</v>
      </c>
      <c r="H274" t="s">
        <v>178</v>
      </c>
      <c r="I274" t="s">
        <v>616</v>
      </c>
      <c r="J274">
        <v>4</v>
      </c>
      <c r="K274">
        <v>69889</v>
      </c>
      <c r="L274">
        <v>0.24</v>
      </c>
      <c r="M274">
        <f>'Raw data'!$K274*(1- 'Raw data'!$L274)</f>
        <v>53115.64</v>
      </c>
      <c r="N274">
        <v>212462.56</v>
      </c>
      <c r="O274">
        <v>0.15</v>
      </c>
      <c r="P274">
        <v>31869.38</v>
      </c>
      <c r="Q274" t="s">
        <v>47</v>
      </c>
      <c r="R274" t="s">
        <v>38</v>
      </c>
      <c r="S274">
        <v>8</v>
      </c>
    </row>
    <row r="275" spans="1:19" x14ac:dyDescent="0.3">
      <c r="A275" t="s">
        <v>617</v>
      </c>
      <c r="B275">
        <v>45200</v>
      </c>
      <c r="C275" t="s">
        <v>30</v>
      </c>
      <c r="D275" t="s">
        <v>56</v>
      </c>
      <c r="E275" t="s">
        <v>67</v>
      </c>
      <c r="F275" t="s">
        <v>33</v>
      </c>
      <c r="G275" t="s">
        <v>24</v>
      </c>
      <c r="H275" t="s">
        <v>74</v>
      </c>
      <c r="I275" t="s">
        <v>618</v>
      </c>
      <c r="J275">
        <v>2</v>
      </c>
      <c r="K275">
        <v>11603</v>
      </c>
      <c r="L275">
        <v>0.15</v>
      </c>
      <c r="M275">
        <f>'Raw data'!$K275*(1- 'Raw data'!$L275)</f>
        <v>9862.5499999999993</v>
      </c>
      <c r="N275">
        <v>19725.099999999999</v>
      </c>
      <c r="O275">
        <v>0.25</v>
      </c>
      <c r="P275">
        <v>4931.2700000000004</v>
      </c>
      <c r="Q275" t="s">
        <v>27</v>
      </c>
      <c r="R275" t="s">
        <v>48</v>
      </c>
      <c r="S275">
        <v>9</v>
      </c>
    </row>
    <row r="276" spans="1:19" x14ac:dyDescent="0.3">
      <c r="A276" t="s">
        <v>619</v>
      </c>
      <c r="B276">
        <v>45201</v>
      </c>
      <c r="C276" t="s">
        <v>96</v>
      </c>
      <c r="D276" t="s">
        <v>56</v>
      </c>
      <c r="E276" t="s">
        <v>67</v>
      </c>
      <c r="F276" t="s">
        <v>68</v>
      </c>
      <c r="G276" t="s">
        <v>44</v>
      </c>
      <c r="H276" t="s">
        <v>116</v>
      </c>
      <c r="I276" t="s">
        <v>620</v>
      </c>
      <c r="J276">
        <v>5</v>
      </c>
      <c r="K276">
        <v>1504</v>
      </c>
      <c r="L276">
        <v>0.14000000000000001</v>
      </c>
      <c r="M276">
        <f>'Raw data'!$K276*(1- 'Raw data'!$L276)</f>
        <v>1293.44</v>
      </c>
      <c r="N276">
        <v>6467.2</v>
      </c>
      <c r="O276">
        <v>0.35</v>
      </c>
      <c r="P276">
        <v>2263.52</v>
      </c>
      <c r="Q276" t="s">
        <v>47</v>
      </c>
      <c r="R276" t="s">
        <v>48</v>
      </c>
      <c r="S276">
        <v>6</v>
      </c>
    </row>
    <row r="277" spans="1:19" x14ac:dyDescent="0.3">
      <c r="A277" t="s">
        <v>621</v>
      </c>
      <c r="B277">
        <v>45202</v>
      </c>
      <c r="C277" t="s">
        <v>55</v>
      </c>
      <c r="D277" t="s">
        <v>21</v>
      </c>
      <c r="E277" t="s">
        <v>32</v>
      </c>
      <c r="F277" t="s">
        <v>103</v>
      </c>
      <c r="G277" t="s">
        <v>44</v>
      </c>
      <c r="H277" t="s">
        <v>64</v>
      </c>
      <c r="I277" t="s">
        <v>622</v>
      </c>
      <c r="J277">
        <v>3</v>
      </c>
      <c r="K277">
        <v>520</v>
      </c>
      <c r="L277">
        <v>0.1</v>
      </c>
      <c r="M277">
        <f>'Raw data'!$K277*(1- 'Raw data'!$L277)</f>
        <v>468</v>
      </c>
      <c r="N277">
        <v>1404</v>
      </c>
      <c r="O277">
        <v>0.35</v>
      </c>
      <c r="P277">
        <v>491.4</v>
      </c>
      <c r="Q277" t="s">
        <v>47</v>
      </c>
      <c r="R277" t="s">
        <v>48</v>
      </c>
      <c r="S277">
        <v>9</v>
      </c>
    </row>
    <row r="278" spans="1:19" x14ac:dyDescent="0.3">
      <c r="A278" t="s">
        <v>623</v>
      </c>
      <c r="B278">
        <v>45203</v>
      </c>
      <c r="C278" t="s">
        <v>30</v>
      </c>
      <c r="D278" t="s">
        <v>21</v>
      </c>
      <c r="E278" t="s">
        <v>22</v>
      </c>
      <c r="F278" t="s">
        <v>103</v>
      </c>
      <c r="G278" t="s">
        <v>34</v>
      </c>
      <c r="H278" t="s">
        <v>104</v>
      </c>
      <c r="I278" t="s">
        <v>624</v>
      </c>
      <c r="J278">
        <v>8</v>
      </c>
      <c r="K278">
        <v>606</v>
      </c>
      <c r="L278">
        <v>0.11</v>
      </c>
      <c r="M278">
        <f>'Raw data'!$K278*(1- 'Raw data'!$L278)</f>
        <v>539.34</v>
      </c>
      <c r="N278">
        <v>4314.72</v>
      </c>
      <c r="O278">
        <v>0.4</v>
      </c>
      <c r="P278">
        <v>1725.89</v>
      </c>
      <c r="Q278" t="s">
        <v>47</v>
      </c>
      <c r="R278" t="s">
        <v>48</v>
      </c>
      <c r="S278">
        <v>8</v>
      </c>
    </row>
    <row r="279" spans="1:19" x14ac:dyDescent="0.3">
      <c r="A279" t="s">
        <v>625</v>
      </c>
      <c r="B279">
        <v>45204</v>
      </c>
      <c r="C279" t="s">
        <v>96</v>
      </c>
      <c r="D279" t="s">
        <v>56</v>
      </c>
      <c r="E279" t="s">
        <v>67</v>
      </c>
      <c r="F279" t="s">
        <v>33</v>
      </c>
      <c r="G279" t="s">
        <v>44</v>
      </c>
      <c r="H279" t="s">
        <v>116</v>
      </c>
      <c r="I279" t="s">
        <v>626</v>
      </c>
      <c r="J279">
        <v>4</v>
      </c>
      <c r="K279">
        <v>1514</v>
      </c>
      <c r="L279">
        <v>0.14000000000000001</v>
      </c>
      <c r="M279">
        <f>'Raw data'!$K279*(1- 'Raw data'!$L279)</f>
        <v>1302.04</v>
      </c>
      <c r="N279">
        <v>5208.16</v>
      </c>
      <c r="O279">
        <v>0.35</v>
      </c>
      <c r="P279">
        <v>1822.86</v>
      </c>
      <c r="Q279" t="s">
        <v>37</v>
      </c>
      <c r="R279" t="s">
        <v>28</v>
      </c>
      <c r="S279">
        <v>9</v>
      </c>
    </row>
    <row r="280" spans="1:19" x14ac:dyDescent="0.3">
      <c r="A280" t="s">
        <v>627</v>
      </c>
      <c r="B280">
        <v>45205</v>
      </c>
      <c r="C280" t="s">
        <v>20</v>
      </c>
      <c r="D280" t="s">
        <v>41</v>
      </c>
      <c r="E280" t="s">
        <v>22</v>
      </c>
      <c r="F280" t="s">
        <v>97</v>
      </c>
      <c r="G280" t="s">
        <v>44</v>
      </c>
      <c r="H280" t="s">
        <v>138</v>
      </c>
      <c r="I280" t="s">
        <v>628</v>
      </c>
      <c r="J280">
        <v>1</v>
      </c>
      <c r="K280">
        <v>4931</v>
      </c>
      <c r="L280">
        <v>0.17</v>
      </c>
      <c r="M280">
        <f>'Raw data'!$K280*(1- 'Raw data'!$L280)</f>
        <v>4092.73</v>
      </c>
      <c r="N280">
        <v>4092.73</v>
      </c>
      <c r="O280">
        <v>0.35</v>
      </c>
      <c r="P280">
        <v>1432.46</v>
      </c>
      <c r="Q280" t="s">
        <v>47</v>
      </c>
      <c r="R280" t="s">
        <v>48</v>
      </c>
      <c r="S280">
        <v>4</v>
      </c>
    </row>
    <row r="281" spans="1:19" x14ac:dyDescent="0.3">
      <c r="A281" t="s">
        <v>629</v>
      </c>
      <c r="B281">
        <v>45206</v>
      </c>
      <c r="C281" t="s">
        <v>30</v>
      </c>
      <c r="D281" t="s">
        <v>41</v>
      </c>
      <c r="E281" t="s">
        <v>22</v>
      </c>
      <c r="F281" t="s">
        <v>33</v>
      </c>
      <c r="G281" t="s">
        <v>44</v>
      </c>
      <c r="H281" t="s">
        <v>64</v>
      </c>
      <c r="I281" t="s">
        <v>630</v>
      </c>
      <c r="J281">
        <v>1</v>
      </c>
      <c r="K281">
        <v>2338</v>
      </c>
      <c r="L281">
        <v>0.18</v>
      </c>
      <c r="M281">
        <f>'Raw data'!$K281*(1- 'Raw data'!$L281)</f>
        <v>1917.16</v>
      </c>
      <c r="N281">
        <v>1917.16</v>
      </c>
      <c r="O281">
        <v>0.35</v>
      </c>
      <c r="P281">
        <v>671.01</v>
      </c>
      <c r="Q281" t="s">
        <v>27</v>
      </c>
      <c r="R281" t="s">
        <v>48</v>
      </c>
      <c r="S281">
        <v>9</v>
      </c>
    </row>
    <row r="282" spans="1:19" x14ac:dyDescent="0.3">
      <c r="A282" t="s">
        <v>631</v>
      </c>
      <c r="B282">
        <v>45207</v>
      </c>
      <c r="C282" t="s">
        <v>63</v>
      </c>
      <c r="D282" t="s">
        <v>31</v>
      </c>
      <c r="E282" t="s">
        <v>22</v>
      </c>
      <c r="F282" t="s">
        <v>43</v>
      </c>
      <c r="G282" t="s">
        <v>57</v>
      </c>
      <c r="H282" t="s">
        <v>81</v>
      </c>
      <c r="I282" t="s">
        <v>632</v>
      </c>
      <c r="J282">
        <v>3</v>
      </c>
      <c r="K282">
        <v>8542</v>
      </c>
      <c r="L282">
        <v>0.04</v>
      </c>
      <c r="M282">
        <f>'Raw data'!$K282*(1- 'Raw data'!$L282)</f>
        <v>8200.32</v>
      </c>
      <c r="N282">
        <v>24600.959999999999</v>
      </c>
      <c r="O282">
        <v>0.2</v>
      </c>
      <c r="P282">
        <v>4920.1899999999996</v>
      </c>
      <c r="Q282" t="s">
        <v>51</v>
      </c>
      <c r="R282" t="s">
        <v>48</v>
      </c>
      <c r="S282">
        <v>7</v>
      </c>
    </row>
    <row r="283" spans="1:19" x14ac:dyDescent="0.3">
      <c r="A283" t="s">
        <v>633</v>
      </c>
      <c r="B283">
        <v>45208</v>
      </c>
      <c r="C283" t="s">
        <v>63</v>
      </c>
      <c r="D283" t="s">
        <v>21</v>
      </c>
      <c r="E283" t="s">
        <v>42</v>
      </c>
      <c r="F283" t="s">
        <v>68</v>
      </c>
      <c r="G283" t="s">
        <v>34</v>
      </c>
      <c r="H283" t="s">
        <v>141</v>
      </c>
      <c r="I283" t="s">
        <v>634</v>
      </c>
      <c r="J283">
        <v>9</v>
      </c>
      <c r="K283">
        <v>992</v>
      </c>
      <c r="L283">
        <v>0.13</v>
      </c>
      <c r="M283">
        <f>'Raw data'!$K283*(1- 'Raw data'!$L283)</f>
        <v>863.04</v>
      </c>
      <c r="N283">
        <v>7767.36</v>
      </c>
      <c r="O283">
        <v>0.4</v>
      </c>
      <c r="P283">
        <v>3106.94</v>
      </c>
      <c r="Q283" t="s">
        <v>47</v>
      </c>
      <c r="R283" t="s">
        <v>48</v>
      </c>
      <c r="S283">
        <v>5</v>
      </c>
    </row>
    <row r="284" spans="1:19" x14ac:dyDescent="0.3">
      <c r="A284" t="s">
        <v>635</v>
      </c>
      <c r="B284">
        <v>45209</v>
      </c>
      <c r="C284" t="s">
        <v>63</v>
      </c>
      <c r="D284" t="s">
        <v>41</v>
      </c>
      <c r="E284" t="s">
        <v>42</v>
      </c>
      <c r="F284" t="s">
        <v>97</v>
      </c>
      <c r="G284" t="s">
        <v>92</v>
      </c>
      <c r="H284" t="s">
        <v>243</v>
      </c>
      <c r="I284" t="s">
        <v>636</v>
      </c>
      <c r="J284">
        <v>7</v>
      </c>
      <c r="K284">
        <v>18906</v>
      </c>
      <c r="L284">
        <v>0.1</v>
      </c>
      <c r="M284">
        <f>'Raw data'!$K284*(1- 'Raw data'!$L284)</f>
        <v>17015.400000000001</v>
      </c>
      <c r="N284">
        <v>119107.8</v>
      </c>
      <c r="O284">
        <v>0.15</v>
      </c>
      <c r="P284">
        <v>17866.169999999998</v>
      </c>
      <c r="Q284" t="s">
        <v>27</v>
      </c>
      <c r="R284" t="s">
        <v>48</v>
      </c>
      <c r="S284">
        <v>5</v>
      </c>
    </row>
    <row r="285" spans="1:19" x14ac:dyDescent="0.3">
      <c r="A285" t="s">
        <v>637</v>
      </c>
      <c r="B285">
        <v>45210</v>
      </c>
      <c r="C285" t="s">
        <v>55</v>
      </c>
      <c r="D285" t="s">
        <v>31</v>
      </c>
      <c r="E285" t="s">
        <v>42</v>
      </c>
      <c r="F285" t="s">
        <v>23</v>
      </c>
      <c r="G285" t="s">
        <v>24</v>
      </c>
      <c r="H285" t="s">
        <v>25</v>
      </c>
      <c r="I285" t="s">
        <v>638</v>
      </c>
      <c r="J285">
        <v>2</v>
      </c>
      <c r="K285">
        <v>5146</v>
      </c>
      <c r="L285">
        <v>0.22</v>
      </c>
      <c r="M285">
        <f>'Raw data'!$K285*(1- 'Raw data'!$L285)</f>
        <v>4013.88</v>
      </c>
      <c r="N285">
        <v>8027.76</v>
      </c>
      <c r="O285">
        <v>0.25</v>
      </c>
      <c r="P285">
        <v>2006.94</v>
      </c>
      <c r="Q285" t="s">
        <v>47</v>
      </c>
      <c r="R285" t="s">
        <v>48</v>
      </c>
      <c r="S285">
        <v>1</v>
      </c>
    </row>
    <row r="286" spans="1:19" x14ac:dyDescent="0.3">
      <c r="A286" t="s">
        <v>639</v>
      </c>
      <c r="B286">
        <v>45211</v>
      </c>
      <c r="C286" t="s">
        <v>30</v>
      </c>
      <c r="D286" t="s">
        <v>41</v>
      </c>
      <c r="E286" t="s">
        <v>42</v>
      </c>
      <c r="F286" t="s">
        <v>43</v>
      </c>
      <c r="G286" t="s">
        <v>92</v>
      </c>
      <c r="H286" t="s">
        <v>93</v>
      </c>
      <c r="I286" t="s">
        <v>640</v>
      </c>
      <c r="J286">
        <v>9</v>
      </c>
      <c r="K286">
        <v>55379</v>
      </c>
      <c r="L286">
        <v>0.16</v>
      </c>
      <c r="M286">
        <f>'Raw data'!$K286*(1- 'Raw data'!$L286)</f>
        <v>46518.36</v>
      </c>
      <c r="N286">
        <v>418665.24</v>
      </c>
      <c r="O286">
        <v>0.15</v>
      </c>
      <c r="P286">
        <v>62799.79</v>
      </c>
      <c r="Q286" t="s">
        <v>51</v>
      </c>
      <c r="R286" t="s">
        <v>48</v>
      </c>
      <c r="S286">
        <v>2</v>
      </c>
    </row>
    <row r="287" spans="1:19" x14ac:dyDescent="0.3">
      <c r="A287" t="s">
        <v>641</v>
      </c>
      <c r="B287">
        <v>45212</v>
      </c>
      <c r="C287" t="s">
        <v>20</v>
      </c>
      <c r="D287" t="s">
        <v>21</v>
      </c>
      <c r="E287" t="s">
        <v>32</v>
      </c>
      <c r="F287" t="s">
        <v>97</v>
      </c>
      <c r="G287" t="s">
        <v>34</v>
      </c>
      <c r="H287" t="s">
        <v>141</v>
      </c>
      <c r="I287" t="s">
        <v>642</v>
      </c>
      <c r="J287">
        <v>2</v>
      </c>
      <c r="K287">
        <v>988</v>
      </c>
      <c r="L287">
        <v>0.13</v>
      </c>
      <c r="M287">
        <f>'Raw data'!$K287*(1- 'Raw data'!$L287)</f>
        <v>859.56</v>
      </c>
      <c r="N287">
        <v>1719.12</v>
      </c>
      <c r="O287">
        <v>0.4</v>
      </c>
      <c r="P287">
        <v>687.65</v>
      </c>
      <c r="Q287" t="s">
        <v>27</v>
      </c>
      <c r="R287" t="s">
        <v>48</v>
      </c>
      <c r="S287">
        <v>3</v>
      </c>
    </row>
    <row r="288" spans="1:19" x14ac:dyDescent="0.3">
      <c r="A288" t="s">
        <v>643</v>
      </c>
      <c r="B288">
        <v>45213</v>
      </c>
      <c r="C288" t="s">
        <v>30</v>
      </c>
      <c r="D288" t="s">
        <v>31</v>
      </c>
      <c r="E288" t="s">
        <v>67</v>
      </c>
      <c r="F288" t="s">
        <v>68</v>
      </c>
      <c r="G288" t="s">
        <v>24</v>
      </c>
      <c r="H288" t="s">
        <v>25</v>
      </c>
      <c r="I288" t="s">
        <v>644</v>
      </c>
      <c r="J288">
        <v>3</v>
      </c>
      <c r="K288">
        <v>1140</v>
      </c>
      <c r="L288">
        <v>0.03</v>
      </c>
      <c r="M288">
        <f>'Raw data'!$K288*(1- 'Raw data'!$L288)</f>
        <v>1105.8</v>
      </c>
      <c r="N288">
        <v>3317.4</v>
      </c>
      <c r="O288">
        <v>0.25</v>
      </c>
      <c r="P288">
        <v>829.35</v>
      </c>
      <c r="Q288" t="s">
        <v>27</v>
      </c>
      <c r="R288" t="s">
        <v>48</v>
      </c>
      <c r="S288">
        <v>8</v>
      </c>
    </row>
    <row r="289" spans="1:19" x14ac:dyDescent="0.3">
      <c r="A289" t="s">
        <v>645</v>
      </c>
      <c r="B289">
        <v>45214</v>
      </c>
      <c r="C289" t="s">
        <v>55</v>
      </c>
      <c r="D289" t="s">
        <v>31</v>
      </c>
      <c r="E289" t="s">
        <v>42</v>
      </c>
      <c r="F289" t="s">
        <v>103</v>
      </c>
      <c r="G289" t="s">
        <v>34</v>
      </c>
      <c r="H289" t="s">
        <v>104</v>
      </c>
      <c r="I289" t="s">
        <v>646</v>
      </c>
      <c r="J289">
        <v>2</v>
      </c>
      <c r="K289">
        <v>669</v>
      </c>
      <c r="L289">
        <v>0.15</v>
      </c>
      <c r="M289">
        <f>'Raw data'!$K289*(1- 'Raw data'!$L289)</f>
        <v>568.65</v>
      </c>
      <c r="N289">
        <v>1137.3</v>
      </c>
      <c r="O289">
        <v>0.4</v>
      </c>
      <c r="P289">
        <v>454.92</v>
      </c>
      <c r="Q289" t="s">
        <v>51</v>
      </c>
      <c r="R289" t="s">
        <v>48</v>
      </c>
      <c r="S289">
        <v>6</v>
      </c>
    </row>
    <row r="290" spans="1:19" x14ac:dyDescent="0.3">
      <c r="A290" t="s">
        <v>647</v>
      </c>
      <c r="B290">
        <v>45215</v>
      </c>
      <c r="C290" t="s">
        <v>96</v>
      </c>
      <c r="D290" t="s">
        <v>31</v>
      </c>
      <c r="E290" t="s">
        <v>32</v>
      </c>
      <c r="F290" t="s">
        <v>23</v>
      </c>
      <c r="G290" t="s">
        <v>44</v>
      </c>
      <c r="H290" t="s">
        <v>116</v>
      </c>
      <c r="I290" t="s">
        <v>648</v>
      </c>
      <c r="J290">
        <v>3</v>
      </c>
      <c r="K290">
        <v>1463</v>
      </c>
      <c r="L290">
        <v>0.03</v>
      </c>
      <c r="M290">
        <f>'Raw data'!$K290*(1- 'Raw data'!$L290)</f>
        <v>1419.11</v>
      </c>
      <c r="N290">
        <v>4257.33</v>
      </c>
      <c r="O290">
        <v>0.35</v>
      </c>
      <c r="P290">
        <v>1490.07</v>
      </c>
      <c r="Q290" t="s">
        <v>27</v>
      </c>
      <c r="R290" t="s">
        <v>48</v>
      </c>
      <c r="S290">
        <v>5</v>
      </c>
    </row>
    <row r="291" spans="1:19" x14ac:dyDescent="0.3">
      <c r="A291" t="s">
        <v>649</v>
      </c>
      <c r="B291">
        <v>45216</v>
      </c>
      <c r="C291" t="s">
        <v>55</v>
      </c>
      <c r="D291" t="s">
        <v>41</v>
      </c>
      <c r="E291" t="s">
        <v>67</v>
      </c>
      <c r="F291" t="s">
        <v>33</v>
      </c>
      <c r="G291" t="s">
        <v>24</v>
      </c>
      <c r="H291" t="s">
        <v>74</v>
      </c>
      <c r="I291" t="s">
        <v>650</v>
      </c>
      <c r="J291">
        <v>6</v>
      </c>
      <c r="K291">
        <v>8151</v>
      </c>
      <c r="L291">
        <v>0.08</v>
      </c>
      <c r="M291">
        <f>'Raw data'!$K291*(1- 'Raw data'!$L291)</f>
        <v>7498.92</v>
      </c>
      <c r="N291">
        <v>44993.52</v>
      </c>
      <c r="O291">
        <v>0.25</v>
      </c>
      <c r="P291">
        <v>11248.38</v>
      </c>
      <c r="Q291" t="s">
        <v>51</v>
      </c>
      <c r="R291" t="s">
        <v>48</v>
      </c>
      <c r="S291">
        <v>1</v>
      </c>
    </row>
    <row r="292" spans="1:19" x14ac:dyDescent="0.3">
      <c r="A292" t="s">
        <v>651</v>
      </c>
      <c r="B292">
        <v>45217</v>
      </c>
      <c r="C292" t="s">
        <v>63</v>
      </c>
      <c r="D292" t="s">
        <v>21</v>
      </c>
      <c r="E292" t="s">
        <v>42</v>
      </c>
      <c r="F292" t="s">
        <v>68</v>
      </c>
      <c r="G292" t="s">
        <v>44</v>
      </c>
      <c r="H292" t="s">
        <v>64</v>
      </c>
      <c r="I292" t="s">
        <v>652</v>
      </c>
      <c r="J292">
        <v>9</v>
      </c>
      <c r="K292">
        <v>872</v>
      </c>
      <c r="L292">
        <v>0.04</v>
      </c>
      <c r="M292">
        <f>'Raw data'!$K292*(1- 'Raw data'!$L292)</f>
        <v>837.12</v>
      </c>
      <c r="N292">
        <v>7534.08</v>
      </c>
      <c r="O292">
        <v>0.35</v>
      </c>
      <c r="P292">
        <v>2636.93</v>
      </c>
      <c r="Q292" t="s">
        <v>27</v>
      </c>
      <c r="R292" t="s">
        <v>48</v>
      </c>
      <c r="S292">
        <v>9</v>
      </c>
    </row>
    <row r="293" spans="1:19" x14ac:dyDescent="0.3">
      <c r="A293" t="s">
        <v>653</v>
      </c>
      <c r="B293">
        <v>45218</v>
      </c>
      <c r="C293" t="s">
        <v>96</v>
      </c>
      <c r="D293" t="s">
        <v>31</v>
      </c>
      <c r="E293" t="s">
        <v>67</v>
      </c>
      <c r="F293" t="s">
        <v>43</v>
      </c>
      <c r="G293" t="s">
        <v>92</v>
      </c>
      <c r="H293" t="s">
        <v>93</v>
      </c>
      <c r="I293" t="s">
        <v>233</v>
      </c>
      <c r="J293">
        <v>9</v>
      </c>
      <c r="K293">
        <v>46378</v>
      </c>
      <c r="L293">
        <v>0.17</v>
      </c>
      <c r="M293">
        <f>'Raw data'!$K293*(1- 'Raw data'!$L293)</f>
        <v>38493.74</v>
      </c>
      <c r="N293">
        <v>346443.66</v>
      </c>
      <c r="O293">
        <v>0.15</v>
      </c>
      <c r="P293">
        <v>51966.55</v>
      </c>
      <c r="Q293" t="s">
        <v>27</v>
      </c>
      <c r="R293" t="s">
        <v>48</v>
      </c>
      <c r="S293">
        <v>3</v>
      </c>
    </row>
    <row r="294" spans="1:19" x14ac:dyDescent="0.3">
      <c r="A294" t="s">
        <v>654</v>
      </c>
      <c r="B294">
        <v>45219</v>
      </c>
      <c r="C294" t="s">
        <v>63</v>
      </c>
      <c r="D294" t="s">
        <v>56</v>
      </c>
      <c r="E294" t="s">
        <v>42</v>
      </c>
      <c r="F294" t="s">
        <v>43</v>
      </c>
      <c r="G294" t="s">
        <v>92</v>
      </c>
      <c r="H294" t="s">
        <v>93</v>
      </c>
      <c r="I294" t="s">
        <v>655</v>
      </c>
      <c r="J294">
        <v>7</v>
      </c>
      <c r="K294">
        <v>52652</v>
      </c>
      <c r="L294">
        <v>0.05</v>
      </c>
      <c r="M294">
        <f>'Raw data'!$K294*(1- 'Raw data'!$L294)</f>
        <v>50019.399999999994</v>
      </c>
      <c r="N294">
        <v>350135.8</v>
      </c>
      <c r="O294">
        <v>0.15</v>
      </c>
      <c r="P294">
        <v>52520.37</v>
      </c>
      <c r="Q294" t="s">
        <v>51</v>
      </c>
      <c r="R294" t="s">
        <v>48</v>
      </c>
      <c r="S294">
        <v>3</v>
      </c>
    </row>
    <row r="295" spans="1:19" x14ac:dyDescent="0.3">
      <c r="A295" t="s">
        <v>656</v>
      </c>
      <c r="B295">
        <v>45220</v>
      </c>
      <c r="C295" t="s">
        <v>40</v>
      </c>
      <c r="D295" t="s">
        <v>21</v>
      </c>
      <c r="E295" t="s">
        <v>32</v>
      </c>
      <c r="F295" t="s">
        <v>103</v>
      </c>
      <c r="G295" t="s">
        <v>24</v>
      </c>
      <c r="H295" t="s">
        <v>74</v>
      </c>
      <c r="I295" t="s">
        <v>657</v>
      </c>
      <c r="J295">
        <v>3</v>
      </c>
      <c r="K295">
        <v>7894</v>
      </c>
      <c r="L295">
        <v>0.1</v>
      </c>
      <c r="M295">
        <f>'Raw data'!$K295*(1- 'Raw data'!$L295)</f>
        <v>7104.6</v>
      </c>
      <c r="N295">
        <v>21313.8</v>
      </c>
      <c r="O295">
        <v>0.25</v>
      </c>
      <c r="P295">
        <v>5328.45</v>
      </c>
      <c r="Q295" t="s">
        <v>51</v>
      </c>
      <c r="R295" t="s">
        <v>48</v>
      </c>
      <c r="S295">
        <v>2</v>
      </c>
    </row>
    <row r="296" spans="1:19" x14ac:dyDescent="0.3">
      <c r="A296" t="s">
        <v>658</v>
      </c>
      <c r="B296">
        <v>45221</v>
      </c>
      <c r="C296" t="s">
        <v>55</v>
      </c>
      <c r="D296" t="s">
        <v>56</v>
      </c>
      <c r="E296" t="s">
        <v>22</v>
      </c>
      <c r="F296" t="s">
        <v>103</v>
      </c>
      <c r="G296" t="s">
        <v>24</v>
      </c>
      <c r="H296" t="s">
        <v>74</v>
      </c>
      <c r="I296" t="s">
        <v>659</v>
      </c>
      <c r="J296">
        <v>4</v>
      </c>
      <c r="K296">
        <v>14467</v>
      </c>
      <c r="L296">
        <v>0.22</v>
      </c>
      <c r="M296">
        <f>'Raw data'!$K296*(1- 'Raw data'!$L296)</f>
        <v>11284.26</v>
      </c>
      <c r="N296">
        <v>45137.04</v>
      </c>
      <c r="O296">
        <v>0.25</v>
      </c>
      <c r="P296">
        <v>11284.26</v>
      </c>
      <c r="Q296" t="s">
        <v>27</v>
      </c>
      <c r="R296" t="s">
        <v>48</v>
      </c>
      <c r="S296">
        <v>4</v>
      </c>
    </row>
    <row r="297" spans="1:19" x14ac:dyDescent="0.3">
      <c r="A297" t="s">
        <v>660</v>
      </c>
      <c r="B297">
        <v>45222</v>
      </c>
      <c r="C297" t="s">
        <v>55</v>
      </c>
      <c r="D297" t="s">
        <v>56</v>
      </c>
      <c r="E297" t="s">
        <v>22</v>
      </c>
      <c r="F297" t="s">
        <v>23</v>
      </c>
      <c r="G297" t="s">
        <v>34</v>
      </c>
      <c r="H297" t="s">
        <v>35</v>
      </c>
      <c r="I297" t="s">
        <v>661</v>
      </c>
      <c r="J297">
        <v>6</v>
      </c>
      <c r="K297">
        <v>490</v>
      </c>
      <c r="L297">
        <v>0.05</v>
      </c>
      <c r="M297">
        <f>'Raw data'!$K297*(1- 'Raw data'!$L297)</f>
        <v>465.5</v>
      </c>
      <c r="N297">
        <v>2793</v>
      </c>
      <c r="O297">
        <v>0.4</v>
      </c>
      <c r="P297">
        <v>1117.2</v>
      </c>
      <c r="Q297" t="s">
        <v>27</v>
      </c>
      <c r="R297" t="s">
        <v>48</v>
      </c>
      <c r="S297">
        <v>2</v>
      </c>
    </row>
    <row r="298" spans="1:19" x14ac:dyDescent="0.3">
      <c r="A298" t="s">
        <v>662</v>
      </c>
      <c r="B298">
        <v>45223</v>
      </c>
      <c r="C298" t="s">
        <v>20</v>
      </c>
      <c r="D298" t="s">
        <v>31</v>
      </c>
      <c r="E298" t="s">
        <v>67</v>
      </c>
      <c r="F298" t="s">
        <v>33</v>
      </c>
      <c r="G298" t="s">
        <v>34</v>
      </c>
      <c r="H298" t="s">
        <v>71</v>
      </c>
      <c r="I298" t="s">
        <v>663</v>
      </c>
      <c r="J298">
        <v>5</v>
      </c>
      <c r="K298">
        <v>1367</v>
      </c>
      <c r="L298">
        <v>0.13</v>
      </c>
      <c r="M298">
        <f>'Raw data'!$K298*(1- 'Raw data'!$L298)</f>
        <v>1189.29</v>
      </c>
      <c r="N298">
        <v>5946.45</v>
      </c>
      <c r="O298">
        <v>0.4</v>
      </c>
      <c r="P298">
        <v>2378.58</v>
      </c>
      <c r="Q298" t="s">
        <v>51</v>
      </c>
      <c r="R298" t="s">
        <v>48</v>
      </c>
      <c r="S298">
        <v>9</v>
      </c>
    </row>
    <row r="299" spans="1:19" x14ac:dyDescent="0.3">
      <c r="A299" t="s">
        <v>664</v>
      </c>
      <c r="B299">
        <v>45224</v>
      </c>
      <c r="C299" t="s">
        <v>30</v>
      </c>
      <c r="D299" t="s">
        <v>31</v>
      </c>
      <c r="E299" t="s">
        <v>32</v>
      </c>
      <c r="F299" t="s">
        <v>23</v>
      </c>
      <c r="G299" t="s">
        <v>44</v>
      </c>
      <c r="H299" t="s">
        <v>64</v>
      </c>
      <c r="I299" t="s">
        <v>665</v>
      </c>
      <c r="J299">
        <v>2</v>
      </c>
      <c r="K299">
        <v>605</v>
      </c>
      <c r="L299">
        <v>0.1</v>
      </c>
      <c r="M299">
        <f>'Raw data'!$K299*(1- 'Raw data'!$L299)</f>
        <v>544.5</v>
      </c>
      <c r="N299">
        <v>1089</v>
      </c>
      <c r="O299">
        <v>0.35</v>
      </c>
      <c r="P299">
        <v>381.15</v>
      </c>
      <c r="Q299" t="s">
        <v>37</v>
      </c>
      <c r="R299" t="s">
        <v>38</v>
      </c>
      <c r="S299">
        <v>7</v>
      </c>
    </row>
    <row r="300" spans="1:19" x14ac:dyDescent="0.3">
      <c r="A300" t="s">
        <v>666</v>
      </c>
      <c r="B300">
        <v>45225</v>
      </c>
      <c r="C300" t="s">
        <v>96</v>
      </c>
      <c r="D300" t="s">
        <v>41</v>
      </c>
      <c r="E300" t="s">
        <v>22</v>
      </c>
      <c r="F300" t="s">
        <v>103</v>
      </c>
      <c r="G300" t="s">
        <v>24</v>
      </c>
      <c r="H300" t="s">
        <v>74</v>
      </c>
      <c r="I300" t="s">
        <v>667</v>
      </c>
      <c r="J300">
        <v>6</v>
      </c>
      <c r="K300">
        <v>6539</v>
      </c>
      <c r="L300">
        <v>0</v>
      </c>
      <c r="M300">
        <f>'Raw data'!$K300*(1- 'Raw data'!$L300)</f>
        <v>6539</v>
      </c>
      <c r="N300">
        <v>39234</v>
      </c>
      <c r="O300">
        <v>0.25</v>
      </c>
      <c r="P300">
        <v>9808.5</v>
      </c>
      <c r="Q300" t="s">
        <v>51</v>
      </c>
      <c r="R300" t="s">
        <v>48</v>
      </c>
      <c r="S300">
        <v>8</v>
      </c>
    </row>
    <row r="301" spans="1:19" x14ac:dyDescent="0.3">
      <c r="A301" t="s">
        <v>668</v>
      </c>
      <c r="B301">
        <v>45226</v>
      </c>
      <c r="C301" t="s">
        <v>96</v>
      </c>
      <c r="D301" t="s">
        <v>41</v>
      </c>
      <c r="E301" t="s">
        <v>42</v>
      </c>
      <c r="F301" t="s">
        <v>103</v>
      </c>
      <c r="G301" t="s">
        <v>92</v>
      </c>
      <c r="H301" t="s">
        <v>243</v>
      </c>
      <c r="I301" t="s">
        <v>669</v>
      </c>
      <c r="J301">
        <v>3</v>
      </c>
      <c r="K301">
        <v>74157</v>
      </c>
      <c r="L301">
        <v>0.2</v>
      </c>
      <c r="M301">
        <f>'Raw data'!$K301*(1- 'Raw data'!$L301)</f>
        <v>59325.600000000006</v>
      </c>
      <c r="N301">
        <v>177976.8</v>
      </c>
      <c r="O301">
        <v>0.15</v>
      </c>
      <c r="P301">
        <v>26696.52</v>
      </c>
      <c r="Q301" t="s">
        <v>27</v>
      </c>
      <c r="R301" t="s">
        <v>48</v>
      </c>
      <c r="S301">
        <v>3</v>
      </c>
    </row>
    <row r="302" spans="1:19" x14ac:dyDescent="0.3">
      <c r="A302" t="s">
        <v>670</v>
      </c>
      <c r="B302">
        <v>45227</v>
      </c>
      <c r="C302" t="s">
        <v>20</v>
      </c>
      <c r="D302" t="s">
        <v>41</v>
      </c>
      <c r="E302" t="s">
        <v>22</v>
      </c>
      <c r="F302" t="s">
        <v>43</v>
      </c>
      <c r="G302" t="s">
        <v>34</v>
      </c>
      <c r="H302" t="s">
        <v>104</v>
      </c>
      <c r="I302" t="s">
        <v>671</v>
      </c>
      <c r="J302">
        <v>8</v>
      </c>
      <c r="K302">
        <v>201</v>
      </c>
      <c r="L302">
        <v>0.02</v>
      </c>
      <c r="M302">
        <f>'Raw data'!$K302*(1- 'Raw data'!$L302)</f>
        <v>196.98</v>
      </c>
      <c r="N302">
        <v>1575.84</v>
      </c>
      <c r="O302">
        <v>0.4</v>
      </c>
      <c r="P302">
        <v>630.34</v>
      </c>
      <c r="Q302" t="s">
        <v>27</v>
      </c>
      <c r="R302" t="s">
        <v>48</v>
      </c>
      <c r="S302">
        <v>6</v>
      </c>
    </row>
    <row r="303" spans="1:19" x14ac:dyDescent="0.3">
      <c r="A303" t="s">
        <v>672</v>
      </c>
      <c r="B303">
        <v>45228</v>
      </c>
      <c r="C303" t="s">
        <v>20</v>
      </c>
      <c r="D303" t="s">
        <v>21</v>
      </c>
      <c r="E303" t="s">
        <v>67</v>
      </c>
      <c r="F303" t="s">
        <v>103</v>
      </c>
      <c r="G303" t="s">
        <v>34</v>
      </c>
      <c r="H303" t="s">
        <v>71</v>
      </c>
      <c r="I303" t="s">
        <v>673</v>
      </c>
      <c r="J303">
        <v>2</v>
      </c>
      <c r="K303">
        <v>788</v>
      </c>
      <c r="L303">
        <v>0.12</v>
      </c>
      <c r="M303">
        <f>'Raw data'!$K303*(1- 'Raw data'!$L303)</f>
        <v>693.44</v>
      </c>
      <c r="N303">
        <v>1386.88</v>
      </c>
      <c r="O303">
        <v>0.4</v>
      </c>
      <c r="P303">
        <v>554.75</v>
      </c>
      <c r="Q303" t="s">
        <v>27</v>
      </c>
      <c r="R303" t="s">
        <v>48</v>
      </c>
      <c r="S303">
        <v>6</v>
      </c>
    </row>
    <row r="304" spans="1:19" x14ac:dyDescent="0.3">
      <c r="A304" t="s">
        <v>674</v>
      </c>
      <c r="B304">
        <v>45229</v>
      </c>
      <c r="C304" t="s">
        <v>30</v>
      </c>
      <c r="D304" t="s">
        <v>41</v>
      </c>
      <c r="E304" t="s">
        <v>67</v>
      </c>
      <c r="F304" t="s">
        <v>97</v>
      </c>
      <c r="G304" t="s">
        <v>92</v>
      </c>
      <c r="H304" t="s">
        <v>93</v>
      </c>
      <c r="I304" t="s">
        <v>675</v>
      </c>
      <c r="J304">
        <v>1</v>
      </c>
      <c r="K304">
        <v>33171</v>
      </c>
      <c r="L304">
        <v>0.14000000000000001</v>
      </c>
      <c r="M304">
        <f>'Raw data'!$K304*(1- 'Raw data'!$L304)</f>
        <v>28527.06</v>
      </c>
      <c r="N304">
        <v>28527.06</v>
      </c>
      <c r="O304">
        <v>0.15</v>
      </c>
      <c r="P304">
        <v>4279.0600000000004</v>
      </c>
      <c r="Q304" t="s">
        <v>51</v>
      </c>
      <c r="R304" t="s">
        <v>48</v>
      </c>
      <c r="S304">
        <v>1</v>
      </c>
    </row>
    <row r="305" spans="1:19" x14ac:dyDescent="0.3">
      <c r="A305" t="s">
        <v>676</v>
      </c>
      <c r="B305">
        <v>45230</v>
      </c>
      <c r="C305" t="s">
        <v>63</v>
      </c>
      <c r="D305" t="s">
        <v>56</v>
      </c>
      <c r="E305" t="s">
        <v>32</v>
      </c>
      <c r="F305" t="s">
        <v>68</v>
      </c>
      <c r="G305" t="s">
        <v>34</v>
      </c>
      <c r="H305" t="s">
        <v>71</v>
      </c>
      <c r="I305" t="s">
        <v>677</v>
      </c>
      <c r="J305">
        <v>9</v>
      </c>
      <c r="K305">
        <v>289</v>
      </c>
      <c r="L305">
        <v>0.16</v>
      </c>
      <c r="M305">
        <f>'Raw data'!$K305*(1- 'Raw data'!$L305)</f>
        <v>242.76</v>
      </c>
      <c r="N305">
        <v>2184.84</v>
      </c>
      <c r="O305">
        <v>0.4</v>
      </c>
      <c r="P305">
        <v>873.94</v>
      </c>
      <c r="Q305" t="s">
        <v>27</v>
      </c>
      <c r="R305" t="s">
        <v>48</v>
      </c>
      <c r="S305">
        <v>6</v>
      </c>
    </row>
    <row r="306" spans="1:19" x14ac:dyDescent="0.3">
      <c r="A306" t="s">
        <v>678</v>
      </c>
      <c r="B306">
        <v>45231</v>
      </c>
      <c r="C306" t="s">
        <v>30</v>
      </c>
      <c r="D306" t="s">
        <v>41</v>
      </c>
      <c r="E306" t="s">
        <v>67</v>
      </c>
      <c r="F306" t="s">
        <v>103</v>
      </c>
      <c r="G306" t="s">
        <v>44</v>
      </c>
      <c r="H306" t="s">
        <v>116</v>
      </c>
      <c r="I306" t="s">
        <v>679</v>
      </c>
      <c r="J306">
        <v>3</v>
      </c>
      <c r="K306">
        <v>3916</v>
      </c>
      <c r="L306">
        <v>0.17</v>
      </c>
      <c r="M306">
        <f>'Raw data'!$K306*(1- 'Raw data'!$L306)</f>
        <v>3250.2799999999997</v>
      </c>
      <c r="N306">
        <v>9750.84</v>
      </c>
      <c r="O306">
        <v>0.35</v>
      </c>
      <c r="P306">
        <v>3412.79</v>
      </c>
      <c r="Q306" t="s">
        <v>37</v>
      </c>
      <c r="R306" t="s">
        <v>48</v>
      </c>
      <c r="S306">
        <v>3</v>
      </c>
    </row>
    <row r="307" spans="1:19" x14ac:dyDescent="0.3">
      <c r="A307" t="s">
        <v>680</v>
      </c>
      <c r="B307">
        <v>45232</v>
      </c>
      <c r="C307" t="s">
        <v>55</v>
      </c>
      <c r="D307" t="s">
        <v>31</v>
      </c>
      <c r="E307" t="s">
        <v>22</v>
      </c>
      <c r="F307" t="s">
        <v>23</v>
      </c>
      <c r="G307" t="s">
        <v>24</v>
      </c>
      <c r="H307" t="s">
        <v>186</v>
      </c>
      <c r="I307" t="s">
        <v>574</v>
      </c>
      <c r="J307">
        <v>1</v>
      </c>
      <c r="K307">
        <v>5445</v>
      </c>
      <c r="L307">
        <v>0.06</v>
      </c>
      <c r="M307">
        <f>'Raw data'!$K307*(1- 'Raw data'!$L307)</f>
        <v>5118.2999999999993</v>
      </c>
      <c r="N307">
        <v>5118.3</v>
      </c>
      <c r="O307">
        <v>0.25</v>
      </c>
      <c r="P307">
        <v>1279.58</v>
      </c>
      <c r="Q307" t="s">
        <v>47</v>
      </c>
      <c r="R307" t="s">
        <v>48</v>
      </c>
      <c r="S307">
        <v>3</v>
      </c>
    </row>
    <row r="308" spans="1:19" x14ac:dyDescent="0.3">
      <c r="A308" t="s">
        <v>681</v>
      </c>
      <c r="B308">
        <v>45233</v>
      </c>
      <c r="C308" t="s">
        <v>63</v>
      </c>
      <c r="D308" t="s">
        <v>41</v>
      </c>
      <c r="E308" t="s">
        <v>22</v>
      </c>
      <c r="F308" t="s">
        <v>33</v>
      </c>
      <c r="G308" t="s">
        <v>92</v>
      </c>
      <c r="H308" t="s">
        <v>178</v>
      </c>
      <c r="I308" t="s">
        <v>682</v>
      </c>
      <c r="J308">
        <v>7</v>
      </c>
      <c r="K308">
        <v>54139</v>
      </c>
      <c r="L308">
        <v>0</v>
      </c>
      <c r="M308">
        <f>'Raw data'!$K308*(1- 'Raw data'!$L308)</f>
        <v>54139</v>
      </c>
      <c r="N308">
        <v>378973</v>
      </c>
      <c r="O308">
        <v>0.15</v>
      </c>
      <c r="P308">
        <v>56845.95</v>
      </c>
      <c r="Q308" t="s">
        <v>37</v>
      </c>
      <c r="R308" t="s">
        <v>48</v>
      </c>
      <c r="S308">
        <v>3</v>
      </c>
    </row>
    <row r="309" spans="1:19" x14ac:dyDescent="0.3">
      <c r="A309" t="s">
        <v>683</v>
      </c>
      <c r="B309">
        <v>45234</v>
      </c>
      <c r="C309" t="s">
        <v>40</v>
      </c>
      <c r="D309" t="s">
        <v>21</v>
      </c>
      <c r="E309" t="s">
        <v>22</v>
      </c>
      <c r="F309" t="s">
        <v>33</v>
      </c>
      <c r="G309" t="s">
        <v>24</v>
      </c>
      <c r="H309" t="s">
        <v>74</v>
      </c>
      <c r="I309" t="s">
        <v>684</v>
      </c>
      <c r="J309">
        <v>5</v>
      </c>
      <c r="K309">
        <v>14350</v>
      </c>
      <c r="L309">
        <v>0.18</v>
      </c>
      <c r="M309">
        <f>'Raw data'!$K309*(1- 'Raw data'!$L309)</f>
        <v>11767</v>
      </c>
      <c r="N309">
        <v>58835</v>
      </c>
      <c r="O309">
        <v>0.25</v>
      </c>
      <c r="P309">
        <v>14708.75</v>
      </c>
      <c r="Q309" t="s">
        <v>51</v>
      </c>
      <c r="R309" t="s">
        <v>48</v>
      </c>
      <c r="S309">
        <v>8</v>
      </c>
    </row>
    <row r="310" spans="1:19" x14ac:dyDescent="0.3">
      <c r="A310" t="s">
        <v>685</v>
      </c>
      <c r="B310">
        <v>45235</v>
      </c>
      <c r="C310" t="s">
        <v>30</v>
      </c>
      <c r="D310" t="s">
        <v>21</v>
      </c>
      <c r="E310" t="s">
        <v>22</v>
      </c>
      <c r="F310" t="s">
        <v>33</v>
      </c>
      <c r="G310" t="s">
        <v>34</v>
      </c>
      <c r="H310" t="s">
        <v>35</v>
      </c>
      <c r="I310" t="s">
        <v>686</v>
      </c>
      <c r="J310">
        <v>5</v>
      </c>
      <c r="K310">
        <v>1108</v>
      </c>
      <c r="L310">
        <v>0.13</v>
      </c>
      <c r="M310">
        <f>'Raw data'!$K310*(1- 'Raw data'!$L310)</f>
        <v>963.96</v>
      </c>
      <c r="N310">
        <v>4819.8</v>
      </c>
      <c r="O310">
        <v>0.4</v>
      </c>
      <c r="P310">
        <v>1927.92</v>
      </c>
      <c r="Q310" t="s">
        <v>27</v>
      </c>
      <c r="R310" t="s">
        <v>48</v>
      </c>
      <c r="S310">
        <v>5</v>
      </c>
    </row>
    <row r="311" spans="1:19" x14ac:dyDescent="0.3">
      <c r="A311" t="s">
        <v>687</v>
      </c>
      <c r="B311">
        <v>45236</v>
      </c>
      <c r="C311" t="s">
        <v>20</v>
      </c>
      <c r="D311" t="s">
        <v>56</v>
      </c>
      <c r="E311" t="s">
        <v>32</v>
      </c>
      <c r="F311" t="s">
        <v>97</v>
      </c>
      <c r="G311" t="s">
        <v>34</v>
      </c>
      <c r="H311" t="s">
        <v>104</v>
      </c>
      <c r="I311" t="s">
        <v>688</v>
      </c>
      <c r="J311">
        <v>1</v>
      </c>
      <c r="K311">
        <v>358</v>
      </c>
      <c r="L311">
        <v>0.21</v>
      </c>
      <c r="M311">
        <f>'Raw data'!$K311*(1- 'Raw data'!$L311)</f>
        <v>282.82</v>
      </c>
      <c r="N311">
        <v>282.82</v>
      </c>
      <c r="O311">
        <v>0.4</v>
      </c>
      <c r="P311">
        <v>113.13</v>
      </c>
      <c r="Q311" t="s">
        <v>51</v>
      </c>
      <c r="R311" t="s">
        <v>48</v>
      </c>
      <c r="S311">
        <v>4</v>
      </c>
    </row>
    <row r="312" spans="1:19" x14ac:dyDescent="0.3">
      <c r="A312" t="s">
        <v>689</v>
      </c>
      <c r="B312">
        <v>45237</v>
      </c>
      <c r="C312" t="s">
        <v>63</v>
      </c>
      <c r="D312" t="s">
        <v>21</v>
      </c>
      <c r="E312" t="s">
        <v>42</v>
      </c>
      <c r="F312" t="s">
        <v>23</v>
      </c>
      <c r="G312" t="s">
        <v>92</v>
      </c>
      <c r="H312" t="s">
        <v>93</v>
      </c>
      <c r="I312" t="s">
        <v>690</v>
      </c>
      <c r="J312">
        <v>9</v>
      </c>
      <c r="K312">
        <v>13654</v>
      </c>
      <c r="L312">
        <v>0.21</v>
      </c>
      <c r="M312">
        <f>'Raw data'!$K312*(1- 'Raw data'!$L312)</f>
        <v>10786.66</v>
      </c>
      <c r="N312">
        <v>97079.94</v>
      </c>
      <c r="O312">
        <v>0.15</v>
      </c>
      <c r="P312">
        <v>14561.99</v>
      </c>
      <c r="Q312" t="s">
        <v>47</v>
      </c>
      <c r="R312" t="s">
        <v>48</v>
      </c>
      <c r="S312">
        <v>9</v>
      </c>
    </row>
    <row r="313" spans="1:19" x14ac:dyDescent="0.3">
      <c r="A313" t="s">
        <v>691</v>
      </c>
      <c r="B313">
        <v>45238</v>
      </c>
      <c r="C313" t="s">
        <v>30</v>
      </c>
      <c r="D313" t="s">
        <v>41</v>
      </c>
      <c r="E313" t="s">
        <v>42</v>
      </c>
      <c r="F313" t="s">
        <v>97</v>
      </c>
      <c r="G313" t="s">
        <v>44</v>
      </c>
      <c r="H313" t="s">
        <v>64</v>
      </c>
      <c r="I313" t="s">
        <v>692</v>
      </c>
      <c r="J313">
        <v>7</v>
      </c>
      <c r="K313">
        <v>2859</v>
      </c>
      <c r="L313">
        <v>0.21</v>
      </c>
      <c r="M313">
        <f>'Raw data'!$K313*(1- 'Raw data'!$L313)</f>
        <v>2258.61</v>
      </c>
      <c r="N313">
        <v>15810.27</v>
      </c>
      <c r="O313">
        <v>0.35</v>
      </c>
      <c r="P313">
        <v>5533.59</v>
      </c>
      <c r="Q313" t="s">
        <v>51</v>
      </c>
      <c r="R313" t="s">
        <v>48</v>
      </c>
      <c r="S313">
        <v>9</v>
      </c>
    </row>
    <row r="314" spans="1:19" x14ac:dyDescent="0.3">
      <c r="A314" t="s">
        <v>693</v>
      </c>
      <c r="B314">
        <v>45239</v>
      </c>
      <c r="C314" t="s">
        <v>96</v>
      </c>
      <c r="D314" t="s">
        <v>31</v>
      </c>
      <c r="E314" t="s">
        <v>32</v>
      </c>
      <c r="F314" t="s">
        <v>103</v>
      </c>
      <c r="G314" t="s">
        <v>57</v>
      </c>
      <c r="H314" t="s">
        <v>81</v>
      </c>
      <c r="I314" t="s">
        <v>694</v>
      </c>
      <c r="J314">
        <v>8</v>
      </c>
      <c r="K314">
        <v>17600</v>
      </c>
      <c r="L314">
        <v>0.12</v>
      </c>
      <c r="M314">
        <f>'Raw data'!$K314*(1- 'Raw data'!$L314)</f>
        <v>15488</v>
      </c>
      <c r="N314">
        <v>123904</v>
      </c>
      <c r="O314">
        <v>0.2</v>
      </c>
      <c r="P314">
        <v>24780.799999999999</v>
      </c>
      <c r="Q314" t="s">
        <v>27</v>
      </c>
      <c r="R314" t="s">
        <v>38</v>
      </c>
      <c r="S314">
        <v>1</v>
      </c>
    </row>
    <row r="315" spans="1:19" x14ac:dyDescent="0.3">
      <c r="A315" t="s">
        <v>695</v>
      </c>
      <c r="B315">
        <v>45240</v>
      </c>
      <c r="C315" t="s">
        <v>40</v>
      </c>
      <c r="D315" t="s">
        <v>21</v>
      </c>
      <c r="E315" t="s">
        <v>67</v>
      </c>
      <c r="F315" t="s">
        <v>68</v>
      </c>
      <c r="G315" t="s">
        <v>92</v>
      </c>
      <c r="H315" t="s">
        <v>243</v>
      </c>
      <c r="I315" t="s">
        <v>696</v>
      </c>
      <c r="J315">
        <v>9</v>
      </c>
      <c r="K315">
        <v>16441</v>
      </c>
      <c r="L315">
        <v>0.08</v>
      </c>
      <c r="M315">
        <f>'Raw data'!$K315*(1- 'Raw data'!$L315)</f>
        <v>15125.720000000001</v>
      </c>
      <c r="N315">
        <v>136131.48000000001</v>
      </c>
      <c r="O315">
        <v>0.15</v>
      </c>
      <c r="P315">
        <v>20419.72</v>
      </c>
      <c r="Q315" t="s">
        <v>47</v>
      </c>
      <c r="R315" t="s">
        <v>48</v>
      </c>
      <c r="S315">
        <v>2</v>
      </c>
    </row>
    <row r="316" spans="1:19" x14ac:dyDescent="0.3">
      <c r="A316" t="s">
        <v>697</v>
      </c>
      <c r="B316">
        <v>45241</v>
      </c>
      <c r="C316" t="s">
        <v>55</v>
      </c>
      <c r="D316" t="s">
        <v>56</v>
      </c>
      <c r="E316" t="s">
        <v>42</v>
      </c>
      <c r="F316" t="s">
        <v>33</v>
      </c>
      <c r="G316" t="s">
        <v>57</v>
      </c>
      <c r="H316" t="s">
        <v>58</v>
      </c>
      <c r="I316" t="s">
        <v>698</v>
      </c>
      <c r="J316">
        <v>6</v>
      </c>
      <c r="K316">
        <v>11667</v>
      </c>
      <c r="L316">
        <v>0.2</v>
      </c>
      <c r="M316">
        <f>'Raw data'!$K316*(1- 'Raw data'!$L316)</f>
        <v>9333.6</v>
      </c>
      <c r="N316">
        <v>56001.599999999999</v>
      </c>
      <c r="O316">
        <v>0.2</v>
      </c>
      <c r="P316">
        <v>11200.32</v>
      </c>
      <c r="Q316" t="s">
        <v>47</v>
      </c>
      <c r="R316" t="s">
        <v>48</v>
      </c>
      <c r="S316">
        <v>8</v>
      </c>
    </row>
    <row r="317" spans="1:19" x14ac:dyDescent="0.3">
      <c r="A317" t="s">
        <v>699</v>
      </c>
      <c r="B317">
        <v>45242</v>
      </c>
      <c r="C317" t="s">
        <v>96</v>
      </c>
      <c r="D317" t="s">
        <v>41</v>
      </c>
      <c r="E317" t="s">
        <v>67</v>
      </c>
      <c r="F317" t="s">
        <v>23</v>
      </c>
      <c r="G317" t="s">
        <v>57</v>
      </c>
      <c r="H317" t="s">
        <v>58</v>
      </c>
      <c r="I317" t="s">
        <v>700</v>
      </c>
      <c r="J317">
        <v>5</v>
      </c>
      <c r="K317">
        <v>14149</v>
      </c>
      <c r="L317">
        <v>0.11</v>
      </c>
      <c r="M317">
        <f>'Raw data'!$K317*(1- 'Raw data'!$L317)</f>
        <v>12592.61</v>
      </c>
      <c r="N317">
        <v>62963.05</v>
      </c>
      <c r="O317">
        <v>0.2</v>
      </c>
      <c r="P317">
        <v>12592.61</v>
      </c>
      <c r="Q317" t="s">
        <v>27</v>
      </c>
      <c r="R317" t="s">
        <v>48</v>
      </c>
      <c r="S317">
        <v>5</v>
      </c>
    </row>
    <row r="318" spans="1:19" x14ac:dyDescent="0.3">
      <c r="A318" t="s">
        <v>701</v>
      </c>
      <c r="B318">
        <v>45243</v>
      </c>
      <c r="C318" t="s">
        <v>96</v>
      </c>
      <c r="D318" t="s">
        <v>56</v>
      </c>
      <c r="E318" t="s">
        <v>42</v>
      </c>
      <c r="F318" t="s">
        <v>33</v>
      </c>
      <c r="G318" t="s">
        <v>44</v>
      </c>
      <c r="H318" t="s">
        <v>116</v>
      </c>
      <c r="I318" t="s">
        <v>702</v>
      </c>
      <c r="J318">
        <v>6</v>
      </c>
      <c r="K318">
        <v>2298</v>
      </c>
      <c r="L318">
        <v>0.05</v>
      </c>
      <c r="M318">
        <f>'Raw data'!$K318*(1- 'Raw data'!$L318)</f>
        <v>2183.1</v>
      </c>
      <c r="N318">
        <v>13098.6</v>
      </c>
      <c r="O318">
        <v>0.35</v>
      </c>
      <c r="P318">
        <v>4584.51</v>
      </c>
      <c r="Q318" t="s">
        <v>27</v>
      </c>
      <c r="R318" t="s">
        <v>38</v>
      </c>
      <c r="S318">
        <v>7</v>
      </c>
    </row>
    <row r="319" spans="1:19" x14ac:dyDescent="0.3">
      <c r="A319" t="s">
        <v>703</v>
      </c>
      <c r="B319">
        <v>45244</v>
      </c>
      <c r="C319" t="s">
        <v>40</v>
      </c>
      <c r="D319" t="s">
        <v>21</v>
      </c>
      <c r="E319" t="s">
        <v>67</v>
      </c>
      <c r="F319" t="s">
        <v>97</v>
      </c>
      <c r="G319" t="s">
        <v>57</v>
      </c>
      <c r="H319" t="s">
        <v>58</v>
      </c>
      <c r="I319" t="s">
        <v>704</v>
      </c>
      <c r="J319">
        <v>2</v>
      </c>
      <c r="K319">
        <v>11600</v>
      </c>
      <c r="L319">
        <v>0.21</v>
      </c>
      <c r="M319">
        <f>'Raw data'!$K319*(1- 'Raw data'!$L319)</f>
        <v>9164</v>
      </c>
      <c r="N319">
        <v>18328</v>
      </c>
      <c r="O319">
        <v>0.2</v>
      </c>
      <c r="P319">
        <v>3665.6</v>
      </c>
      <c r="Q319" t="s">
        <v>27</v>
      </c>
      <c r="R319" t="s">
        <v>48</v>
      </c>
      <c r="S319">
        <v>1</v>
      </c>
    </row>
    <row r="320" spans="1:19" x14ac:dyDescent="0.3">
      <c r="A320" t="s">
        <v>705</v>
      </c>
      <c r="B320">
        <v>45245</v>
      </c>
      <c r="C320" t="s">
        <v>55</v>
      </c>
      <c r="D320" t="s">
        <v>21</v>
      </c>
      <c r="E320" t="s">
        <v>32</v>
      </c>
      <c r="F320" t="s">
        <v>43</v>
      </c>
      <c r="G320" t="s">
        <v>57</v>
      </c>
      <c r="H320" t="s">
        <v>100</v>
      </c>
      <c r="I320" t="s">
        <v>706</v>
      </c>
      <c r="J320">
        <v>4</v>
      </c>
      <c r="K320">
        <v>7495</v>
      </c>
      <c r="L320">
        <v>0.22</v>
      </c>
      <c r="M320">
        <f>'Raw data'!$K320*(1- 'Raw data'!$L320)</f>
        <v>5846.1</v>
      </c>
      <c r="N320">
        <v>23384.400000000001</v>
      </c>
      <c r="O320">
        <v>0.2</v>
      </c>
      <c r="P320">
        <v>4676.88</v>
      </c>
      <c r="Q320" t="s">
        <v>51</v>
      </c>
      <c r="R320" t="s">
        <v>48</v>
      </c>
      <c r="S320">
        <v>5</v>
      </c>
    </row>
    <row r="321" spans="1:19" x14ac:dyDescent="0.3">
      <c r="A321" t="s">
        <v>707</v>
      </c>
      <c r="B321">
        <v>45246</v>
      </c>
      <c r="C321" t="s">
        <v>20</v>
      </c>
      <c r="D321" t="s">
        <v>56</v>
      </c>
      <c r="E321" t="s">
        <v>22</v>
      </c>
      <c r="F321" t="s">
        <v>103</v>
      </c>
      <c r="G321" t="s">
        <v>44</v>
      </c>
      <c r="H321" t="s">
        <v>116</v>
      </c>
      <c r="I321" t="s">
        <v>708</v>
      </c>
      <c r="J321">
        <v>3</v>
      </c>
      <c r="K321">
        <v>2208</v>
      </c>
      <c r="L321">
        <v>0.12</v>
      </c>
      <c r="M321">
        <f>'Raw data'!$K321*(1- 'Raw data'!$L321)</f>
        <v>1943.04</v>
      </c>
      <c r="N321">
        <v>5829.12</v>
      </c>
      <c r="O321">
        <v>0.35</v>
      </c>
      <c r="P321">
        <v>2040.19</v>
      </c>
      <c r="Q321" t="s">
        <v>37</v>
      </c>
      <c r="R321" t="s">
        <v>48</v>
      </c>
      <c r="S321">
        <v>3</v>
      </c>
    </row>
    <row r="322" spans="1:19" x14ac:dyDescent="0.3">
      <c r="A322" t="s">
        <v>709</v>
      </c>
      <c r="B322">
        <v>45247</v>
      </c>
      <c r="C322" t="s">
        <v>63</v>
      </c>
      <c r="D322" t="s">
        <v>41</v>
      </c>
      <c r="E322" t="s">
        <v>67</v>
      </c>
      <c r="F322" t="s">
        <v>68</v>
      </c>
      <c r="G322" t="s">
        <v>57</v>
      </c>
      <c r="H322" t="s">
        <v>183</v>
      </c>
      <c r="I322" t="s">
        <v>710</v>
      </c>
      <c r="J322">
        <v>7</v>
      </c>
      <c r="K322">
        <v>15673</v>
      </c>
      <c r="L322">
        <v>0.02</v>
      </c>
      <c r="M322">
        <f>'Raw data'!$K322*(1- 'Raw data'!$L322)</f>
        <v>15359.539999999999</v>
      </c>
      <c r="N322">
        <v>107516.78</v>
      </c>
      <c r="O322">
        <v>0.2</v>
      </c>
      <c r="P322">
        <v>21503.360000000001</v>
      </c>
      <c r="Q322" t="s">
        <v>51</v>
      </c>
      <c r="R322" t="s">
        <v>48</v>
      </c>
      <c r="S322">
        <v>2</v>
      </c>
    </row>
    <row r="323" spans="1:19" x14ac:dyDescent="0.3">
      <c r="A323" t="s">
        <v>711</v>
      </c>
      <c r="B323">
        <v>45248</v>
      </c>
      <c r="C323" t="s">
        <v>55</v>
      </c>
      <c r="D323" t="s">
        <v>21</v>
      </c>
      <c r="E323" t="s">
        <v>22</v>
      </c>
      <c r="F323" t="s">
        <v>103</v>
      </c>
      <c r="G323" t="s">
        <v>57</v>
      </c>
      <c r="H323" t="s">
        <v>183</v>
      </c>
      <c r="I323" t="s">
        <v>712</v>
      </c>
      <c r="J323">
        <v>9</v>
      </c>
      <c r="K323">
        <v>13130</v>
      </c>
      <c r="L323">
        <v>0.1</v>
      </c>
      <c r="M323">
        <f>'Raw data'!$K323*(1- 'Raw data'!$L323)</f>
        <v>11817</v>
      </c>
      <c r="N323">
        <v>106353</v>
      </c>
      <c r="O323">
        <v>0.2</v>
      </c>
      <c r="P323">
        <v>21270.6</v>
      </c>
      <c r="Q323" t="s">
        <v>51</v>
      </c>
      <c r="R323" t="s">
        <v>28</v>
      </c>
      <c r="S323">
        <v>2</v>
      </c>
    </row>
    <row r="324" spans="1:19" x14ac:dyDescent="0.3">
      <c r="A324" t="s">
        <v>713</v>
      </c>
      <c r="B324">
        <v>45249</v>
      </c>
      <c r="C324" t="s">
        <v>30</v>
      </c>
      <c r="D324" t="s">
        <v>31</v>
      </c>
      <c r="E324" t="s">
        <v>67</v>
      </c>
      <c r="F324" t="s">
        <v>43</v>
      </c>
      <c r="G324" t="s">
        <v>57</v>
      </c>
      <c r="H324" t="s">
        <v>100</v>
      </c>
      <c r="I324" t="s">
        <v>714</v>
      </c>
      <c r="J324">
        <v>5</v>
      </c>
      <c r="K324">
        <v>17222</v>
      </c>
      <c r="L324">
        <v>0.2</v>
      </c>
      <c r="M324">
        <f>'Raw data'!$K324*(1- 'Raw data'!$L324)</f>
        <v>13777.6</v>
      </c>
      <c r="N324">
        <v>68888</v>
      </c>
      <c r="O324">
        <v>0.2</v>
      </c>
      <c r="P324">
        <v>13777.6</v>
      </c>
      <c r="Q324" t="s">
        <v>37</v>
      </c>
      <c r="R324" t="s">
        <v>48</v>
      </c>
      <c r="S324">
        <v>9</v>
      </c>
    </row>
    <row r="325" spans="1:19" x14ac:dyDescent="0.3">
      <c r="A325" t="s">
        <v>715</v>
      </c>
      <c r="B325">
        <v>45250</v>
      </c>
      <c r="C325" t="s">
        <v>96</v>
      </c>
      <c r="D325" t="s">
        <v>21</v>
      </c>
      <c r="E325" t="s">
        <v>67</v>
      </c>
      <c r="F325" t="s">
        <v>68</v>
      </c>
      <c r="G325" t="s">
        <v>92</v>
      </c>
      <c r="H325" t="s">
        <v>243</v>
      </c>
      <c r="I325" t="s">
        <v>716</v>
      </c>
      <c r="J325">
        <v>6</v>
      </c>
      <c r="K325">
        <v>75429</v>
      </c>
      <c r="L325">
        <v>0.23</v>
      </c>
      <c r="M325">
        <f>'Raw data'!$K325*(1- 'Raw data'!$L325)</f>
        <v>58080.33</v>
      </c>
      <c r="N325">
        <v>348481.98</v>
      </c>
      <c r="O325">
        <v>0.15</v>
      </c>
      <c r="P325">
        <v>52272.3</v>
      </c>
      <c r="Q325" t="s">
        <v>27</v>
      </c>
      <c r="R325" t="s">
        <v>48</v>
      </c>
      <c r="S325">
        <v>4</v>
      </c>
    </row>
    <row r="326" spans="1:19" x14ac:dyDescent="0.3">
      <c r="A326" t="s">
        <v>717</v>
      </c>
      <c r="B326">
        <v>45251</v>
      </c>
      <c r="C326" t="s">
        <v>30</v>
      </c>
      <c r="D326" t="s">
        <v>41</v>
      </c>
      <c r="E326" t="s">
        <v>67</v>
      </c>
      <c r="F326" t="s">
        <v>43</v>
      </c>
      <c r="G326" t="s">
        <v>92</v>
      </c>
      <c r="H326" t="s">
        <v>178</v>
      </c>
      <c r="I326" t="s">
        <v>718</v>
      </c>
      <c r="J326">
        <v>2</v>
      </c>
      <c r="K326">
        <v>33669</v>
      </c>
      <c r="L326">
        <v>0.05</v>
      </c>
      <c r="M326">
        <f>'Raw data'!$K326*(1- 'Raw data'!$L326)</f>
        <v>31985.55</v>
      </c>
      <c r="N326">
        <v>63971.1</v>
      </c>
      <c r="O326">
        <v>0.15</v>
      </c>
      <c r="P326">
        <v>9595.66</v>
      </c>
      <c r="Q326" t="s">
        <v>27</v>
      </c>
      <c r="R326" t="s">
        <v>38</v>
      </c>
      <c r="S326">
        <v>4</v>
      </c>
    </row>
    <row r="327" spans="1:19" x14ac:dyDescent="0.3">
      <c r="A327" t="s">
        <v>719</v>
      </c>
      <c r="B327">
        <v>45252</v>
      </c>
      <c r="C327" t="s">
        <v>20</v>
      </c>
      <c r="D327" t="s">
        <v>21</v>
      </c>
      <c r="E327" t="s">
        <v>67</v>
      </c>
      <c r="F327" t="s">
        <v>103</v>
      </c>
      <c r="G327" t="s">
        <v>92</v>
      </c>
      <c r="H327" t="s">
        <v>243</v>
      </c>
      <c r="I327" t="s">
        <v>720</v>
      </c>
      <c r="J327">
        <v>3</v>
      </c>
      <c r="K327">
        <v>44068</v>
      </c>
      <c r="L327">
        <v>0.02</v>
      </c>
      <c r="M327">
        <f>'Raw data'!$K327*(1- 'Raw data'!$L327)</f>
        <v>43186.64</v>
      </c>
      <c r="N327">
        <v>129559.92</v>
      </c>
      <c r="O327">
        <v>0.15</v>
      </c>
      <c r="P327">
        <v>19433.990000000002</v>
      </c>
      <c r="Q327" t="s">
        <v>37</v>
      </c>
      <c r="R327" t="s">
        <v>48</v>
      </c>
      <c r="S327">
        <v>7</v>
      </c>
    </row>
    <row r="328" spans="1:19" x14ac:dyDescent="0.3">
      <c r="A328" t="s">
        <v>721</v>
      </c>
      <c r="B328">
        <v>45253</v>
      </c>
      <c r="C328" t="s">
        <v>30</v>
      </c>
      <c r="D328" t="s">
        <v>56</v>
      </c>
      <c r="E328" t="s">
        <v>67</v>
      </c>
      <c r="F328" t="s">
        <v>97</v>
      </c>
      <c r="G328" t="s">
        <v>44</v>
      </c>
      <c r="H328" t="s">
        <v>138</v>
      </c>
      <c r="I328" t="s">
        <v>722</v>
      </c>
      <c r="J328">
        <v>3</v>
      </c>
      <c r="K328">
        <v>1743</v>
      </c>
      <c r="L328">
        <v>0.22</v>
      </c>
      <c r="M328">
        <f>'Raw data'!$K328*(1- 'Raw data'!$L328)</f>
        <v>1359.54</v>
      </c>
      <c r="N328">
        <v>4078.62</v>
      </c>
      <c r="O328">
        <v>0.35</v>
      </c>
      <c r="P328">
        <v>1427.52</v>
      </c>
      <c r="Q328" t="s">
        <v>37</v>
      </c>
      <c r="R328" t="s">
        <v>48</v>
      </c>
      <c r="S328">
        <v>2</v>
      </c>
    </row>
    <row r="329" spans="1:19" x14ac:dyDescent="0.3">
      <c r="A329" t="s">
        <v>723</v>
      </c>
      <c r="B329">
        <v>45254</v>
      </c>
      <c r="C329" t="s">
        <v>55</v>
      </c>
      <c r="D329" t="s">
        <v>21</v>
      </c>
      <c r="E329" t="s">
        <v>22</v>
      </c>
      <c r="F329" t="s">
        <v>103</v>
      </c>
      <c r="G329" t="s">
        <v>34</v>
      </c>
      <c r="H329" t="s">
        <v>104</v>
      </c>
      <c r="I329" t="s">
        <v>724</v>
      </c>
      <c r="J329">
        <v>9</v>
      </c>
      <c r="K329">
        <v>1249</v>
      </c>
      <c r="L329">
        <v>0.1</v>
      </c>
      <c r="M329">
        <f>'Raw data'!$K329*(1- 'Raw data'!$L329)</f>
        <v>1124.1000000000001</v>
      </c>
      <c r="N329">
        <v>10116.9</v>
      </c>
      <c r="O329">
        <v>0.4</v>
      </c>
      <c r="P329">
        <v>4046.76</v>
      </c>
      <c r="Q329" t="s">
        <v>51</v>
      </c>
      <c r="R329" t="s">
        <v>48</v>
      </c>
      <c r="S329">
        <v>3</v>
      </c>
    </row>
    <row r="330" spans="1:19" x14ac:dyDescent="0.3">
      <c r="A330" t="s">
        <v>725</v>
      </c>
      <c r="B330">
        <v>45255</v>
      </c>
      <c r="C330" t="s">
        <v>30</v>
      </c>
      <c r="D330" t="s">
        <v>21</v>
      </c>
      <c r="E330" t="s">
        <v>67</v>
      </c>
      <c r="F330" t="s">
        <v>103</v>
      </c>
      <c r="G330" t="s">
        <v>57</v>
      </c>
      <c r="H330" t="s">
        <v>81</v>
      </c>
      <c r="I330" t="s">
        <v>726</v>
      </c>
      <c r="J330">
        <v>7</v>
      </c>
      <c r="K330">
        <v>6616</v>
      </c>
      <c r="L330">
        <v>0.14000000000000001</v>
      </c>
      <c r="M330">
        <f>'Raw data'!$K330*(1- 'Raw data'!$L330)</f>
        <v>5689.76</v>
      </c>
      <c r="N330">
        <v>39828.32</v>
      </c>
      <c r="O330">
        <v>0.2</v>
      </c>
      <c r="P330">
        <v>7965.66</v>
      </c>
      <c r="Q330" t="s">
        <v>47</v>
      </c>
      <c r="R330" t="s">
        <v>48</v>
      </c>
      <c r="S330">
        <v>3</v>
      </c>
    </row>
    <row r="331" spans="1:19" x14ac:dyDescent="0.3">
      <c r="A331" t="s">
        <v>727</v>
      </c>
      <c r="B331">
        <v>45256</v>
      </c>
      <c r="C331" t="s">
        <v>20</v>
      </c>
      <c r="D331" t="s">
        <v>41</v>
      </c>
      <c r="E331" t="s">
        <v>22</v>
      </c>
      <c r="F331" t="s">
        <v>103</v>
      </c>
      <c r="G331" t="s">
        <v>57</v>
      </c>
      <c r="H331" t="s">
        <v>58</v>
      </c>
      <c r="I331" t="s">
        <v>728</v>
      </c>
      <c r="J331">
        <v>8</v>
      </c>
      <c r="K331">
        <v>18393</v>
      </c>
      <c r="L331">
        <v>0.24</v>
      </c>
      <c r="M331">
        <f>'Raw data'!$K331*(1- 'Raw data'!$L331)</f>
        <v>13978.68</v>
      </c>
      <c r="N331">
        <v>111829.44</v>
      </c>
      <c r="O331">
        <v>0.2</v>
      </c>
      <c r="P331">
        <v>22365.89</v>
      </c>
      <c r="Q331" t="s">
        <v>37</v>
      </c>
      <c r="R331" t="s">
        <v>48</v>
      </c>
      <c r="S331">
        <v>6</v>
      </c>
    </row>
    <row r="332" spans="1:19" x14ac:dyDescent="0.3">
      <c r="A332" t="s">
        <v>729</v>
      </c>
      <c r="B332">
        <v>45257</v>
      </c>
      <c r="C332" t="s">
        <v>20</v>
      </c>
      <c r="D332" t="s">
        <v>56</v>
      </c>
      <c r="E332" t="s">
        <v>32</v>
      </c>
      <c r="F332" t="s">
        <v>23</v>
      </c>
      <c r="G332" t="s">
        <v>44</v>
      </c>
      <c r="H332" t="s">
        <v>45</v>
      </c>
      <c r="I332" t="s">
        <v>730</v>
      </c>
      <c r="J332">
        <v>9</v>
      </c>
      <c r="K332">
        <v>2925</v>
      </c>
      <c r="L332">
        <v>0.02</v>
      </c>
      <c r="M332">
        <f>'Raw data'!$K332*(1- 'Raw data'!$L332)</f>
        <v>2866.5</v>
      </c>
      <c r="N332">
        <v>25798.5</v>
      </c>
      <c r="O332">
        <v>0.35</v>
      </c>
      <c r="P332">
        <v>9029.4699999999993</v>
      </c>
      <c r="Q332" t="s">
        <v>51</v>
      </c>
      <c r="R332" t="s">
        <v>48</v>
      </c>
      <c r="S332">
        <v>3</v>
      </c>
    </row>
    <row r="333" spans="1:19" x14ac:dyDescent="0.3">
      <c r="A333" t="s">
        <v>731</v>
      </c>
      <c r="B333">
        <v>45258</v>
      </c>
      <c r="C333" t="s">
        <v>20</v>
      </c>
      <c r="D333" t="s">
        <v>41</v>
      </c>
      <c r="E333" t="s">
        <v>42</v>
      </c>
      <c r="F333" t="s">
        <v>43</v>
      </c>
      <c r="G333" t="s">
        <v>57</v>
      </c>
      <c r="H333" t="s">
        <v>81</v>
      </c>
      <c r="I333" t="s">
        <v>732</v>
      </c>
      <c r="J333">
        <v>6</v>
      </c>
      <c r="K333">
        <v>7752</v>
      </c>
      <c r="L333">
        <v>0.16</v>
      </c>
      <c r="M333">
        <f>'Raw data'!$K333*(1- 'Raw data'!$L333)</f>
        <v>6511.6799999999994</v>
      </c>
      <c r="N333">
        <v>39070.080000000002</v>
      </c>
      <c r="O333">
        <v>0.2</v>
      </c>
      <c r="P333">
        <v>7814.02</v>
      </c>
      <c r="Q333" t="s">
        <v>47</v>
      </c>
      <c r="R333" t="s">
        <v>48</v>
      </c>
      <c r="S333">
        <v>5</v>
      </c>
    </row>
    <row r="334" spans="1:19" x14ac:dyDescent="0.3">
      <c r="A334" t="s">
        <v>733</v>
      </c>
      <c r="B334">
        <v>45259</v>
      </c>
      <c r="C334" t="s">
        <v>55</v>
      </c>
      <c r="D334" t="s">
        <v>21</v>
      </c>
      <c r="E334" t="s">
        <v>67</v>
      </c>
      <c r="F334" t="s">
        <v>43</v>
      </c>
      <c r="G334" t="s">
        <v>92</v>
      </c>
      <c r="H334" t="s">
        <v>243</v>
      </c>
      <c r="I334" t="s">
        <v>734</v>
      </c>
      <c r="J334">
        <v>4</v>
      </c>
      <c r="K334">
        <v>41401</v>
      </c>
      <c r="L334">
        <v>0.02</v>
      </c>
      <c r="M334">
        <f>'Raw data'!$K334*(1- 'Raw data'!$L334)</f>
        <v>40572.979999999996</v>
      </c>
      <c r="N334">
        <v>162291.92000000001</v>
      </c>
      <c r="O334">
        <v>0.15</v>
      </c>
      <c r="P334">
        <v>24343.79</v>
      </c>
      <c r="Q334" t="s">
        <v>27</v>
      </c>
      <c r="R334" t="s">
        <v>48</v>
      </c>
      <c r="S334">
        <v>4</v>
      </c>
    </row>
    <row r="335" spans="1:19" x14ac:dyDescent="0.3">
      <c r="A335" t="s">
        <v>735</v>
      </c>
      <c r="B335">
        <v>45260</v>
      </c>
      <c r="C335" t="s">
        <v>20</v>
      </c>
      <c r="D335" t="s">
        <v>31</v>
      </c>
      <c r="E335" t="s">
        <v>42</v>
      </c>
      <c r="F335" t="s">
        <v>33</v>
      </c>
      <c r="G335" t="s">
        <v>34</v>
      </c>
      <c r="H335" t="s">
        <v>104</v>
      </c>
      <c r="I335" t="s">
        <v>736</v>
      </c>
      <c r="J335">
        <v>1</v>
      </c>
      <c r="K335">
        <v>783</v>
      </c>
      <c r="L335">
        <v>0.09</v>
      </c>
      <c r="M335">
        <f>'Raw data'!$K335*(1- 'Raw data'!$L335)</f>
        <v>712.53</v>
      </c>
      <c r="N335">
        <v>712.53</v>
      </c>
      <c r="O335">
        <v>0.4</v>
      </c>
      <c r="P335">
        <v>285.01</v>
      </c>
      <c r="Q335" t="s">
        <v>27</v>
      </c>
      <c r="R335" t="s">
        <v>38</v>
      </c>
      <c r="S335">
        <v>3</v>
      </c>
    </row>
    <row r="336" spans="1:19" x14ac:dyDescent="0.3">
      <c r="A336" t="s">
        <v>737</v>
      </c>
      <c r="B336">
        <v>45261</v>
      </c>
      <c r="C336" t="s">
        <v>96</v>
      </c>
      <c r="D336" t="s">
        <v>21</v>
      </c>
      <c r="E336" t="s">
        <v>22</v>
      </c>
      <c r="F336" t="s">
        <v>43</v>
      </c>
      <c r="G336" t="s">
        <v>24</v>
      </c>
      <c r="H336" t="s">
        <v>121</v>
      </c>
      <c r="I336" t="s">
        <v>738</v>
      </c>
      <c r="J336">
        <v>8</v>
      </c>
      <c r="K336">
        <v>7295</v>
      </c>
      <c r="L336">
        <v>0.2</v>
      </c>
      <c r="M336">
        <f>'Raw data'!$K336*(1- 'Raw data'!$L336)</f>
        <v>5836</v>
      </c>
      <c r="N336">
        <v>46688</v>
      </c>
      <c r="O336">
        <v>0.25</v>
      </c>
      <c r="P336">
        <v>11672</v>
      </c>
      <c r="Q336" t="s">
        <v>51</v>
      </c>
      <c r="R336" t="s">
        <v>48</v>
      </c>
      <c r="S336">
        <v>8</v>
      </c>
    </row>
    <row r="337" spans="1:19" x14ac:dyDescent="0.3">
      <c r="A337" t="s">
        <v>739</v>
      </c>
      <c r="B337">
        <v>45262</v>
      </c>
      <c r="C337" t="s">
        <v>20</v>
      </c>
      <c r="D337" t="s">
        <v>41</v>
      </c>
      <c r="E337" t="s">
        <v>32</v>
      </c>
      <c r="F337" t="s">
        <v>33</v>
      </c>
      <c r="G337" t="s">
        <v>57</v>
      </c>
      <c r="H337" t="s">
        <v>81</v>
      </c>
      <c r="I337" t="s">
        <v>740</v>
      </c>
      <c r="J337">
        <v>7</v>
      </c>
      <c r="K337">
        <v>19456</v>
      </c>
      <c r="L337">
        <v>0.11</v>
      </c>
      <c r="M337">
        <f>'Raw data'!$K337*(1- 'Raw data'!$L337)</f>
        <v>17315.84</v>
      </c>
      <c r="N337">
        <v>121210.88</v>
      </c>
      <c r="O337">
        <v>0.2</v>
      </c>
      <c r="P337">
        <v>24242.18</v>
      </c>
      <c r="Q337" t="s">
        <v>51</v>
      </c>
      <c r="R337" t="s">
        <v>38</v>
      </c>
      <c r="S337">
        <v>3</v>
      </c>
    </row>
    <row r="338" spans="1:19" x14ac:dyDescent="0.3">
      <c r="A338" t="s">
        <v>741</v>
      </c>
      <c r="B338">
        <v>45263</v>
      </c>
      <c r="C338" t="s">
        <v>30</v>
      </c>
      <c r="D338" t="s">
        <v>31</v>
      </c>
      <c r="E338" t="s">
        <v>32</v>
      </c>
      <c r="F338" t="s">
        <v>23</v>
      </c>
      <c r="G338" t="s">
        <v>92</v>
      </c>
      <c r="H338" t="s">
        <v>178</v>
      </c>
      <c r="I338" t="s">
        <v>742</v>
      </c>
      <c r="J338">
        <v>2</v>
      </c>
      <c r="K338">
        <v>44084</v>
      </c>
      <c r="L338">
        <v>0.25</v>
      </c>
      <c r="M338">
        <f>'Raw data'!$K338*(1- 'Raw data'!$L338)</f>
        <v>33063</v>
      </c>
      <c r="N338">
        <v>66126</v>
      </c>
      <c r="O338">
        <v>0.15</v>
      </c>
      <c r="P338">
        <v>9918.9</v>
      </c>
      <c r="Q338" t="s">
        <v>37</v>
      </c>
      <c r="R338" t="s">
        <v>48</v>
      </c>
      <c r="S338">
        <v>6</v>
      </c>
    </row>
    <row r="339" spans="1:19" x14ac:dyDescent="0.3">
      <c r="A339" t="s">
        <v>743</v>
      </c>
      <c r="B339">
        <v>45264</v>
      </c>
      <c r="C339" t="s">
        <v>63</v>
      </c>
      <c r="D339" t="s">
        <v>41</v>
      </c>
      <c r="E339" t="s">
        <v>32</v>
      </c>
      <c r="F339" t="s">
        <v>97</v>
      </c>
      <c r="G339" t="s">
        <v>24</v>
      </c>
      <c r="H339" t="s">
        <v>186</v>
      </c>
      <c r="I339" t="s">
        <v>744</v>
      </c>
      <c r="J339">
        <v>8</v>
      </c>
      <c r="K339">
        <v>6699</v>
      </c>
      <c r="L339">
        <v>0.14000000000000001</v>
      </c>
      <c r="M339">
        <f>'Raw data'!$K339*(1- 'Raw data'!$L339)</f>
        <v>5761.14</v>
      </c>
      <c r="N339">
        <v>46089.120000000003</v>
      </c>
      <c r="O339">
        <v>0.25</v>
      </c>
      <c r="P339">
        <v>11522.28</v>
      </c>
      <c r="Q339" t="s">
        <v>27</v>
      </c>
      <c r="R339" t="s">
        <v>48</v>
      </c>
      <c r="S339">
        <v>7</v>
      </c>
    </row>
    <row r="340" spans="1:19" x14ac:dyDescent="0.3">
      <c r="A340" t="s">
        <v>745</v>
      </c>
      <c r="B340">
        <v>45265</v>
      </c>
      <c r="C340" t="s">
        <v>30</v>
      </c>
      <c r="D340" t="s">
        <v>41</v>
      </c>
      <c r="E340" t="s">
        <v>42</v>
      </c>
      <c r="F340" t="s">
        <v>33</v>
      </c>
      <c r="G340" t="s">
        <v>34</v>
      </c>
      <c r="H340" t="s">
        <v>35</v>
      </c>
      <c r="I340" t="s">
        <v>746</v>
      </c>
      <c r="J340">
        <v>5</v>
      </c>
      <c r="K340">
        <v>249</v>
      </c>
      <c r="L340">
        <v>0.08</v>
      </c>
      <c r="M340">
        <f>'Raw data'!$K340*(1- 'Raw data'!$L340)</f>
        <v>229.08</v>
      </c>
      <c r="N340">
        <v>1145.4000000000001</v>
      </c>
      <c r="O340">
        <v>0.4</v>
      </c>
      <c r="P340">
        <v>458.16</v>
      </c>
      <c r="Q340" t="s">
        <v>51</v>
      </c>
      <c r="R340" t="s">
        <v>38</v>
      </c>
      <c r="S340">
        <v>7</v>
      </c>
    </row>
    <row r="341" spans="1:19" x14ac:dyDescent="0.3">
      <c r="A341" t="s">
        <v>747</v>
      </c>
      <c r="B341">
        <v>45266</v>
      </c>
      <c r="C341" t="s">
        <v>63</v>
      </c>
      <c r="D341" t="s">
        <v>56</v>
      </c>
      <c r="E341" t="s">
        <v>22</v>
      </c>
      <c r="F341" t="s">
        <v>103</v>
      </c>
      <c r="G341" t="s">
        <v>24</v>
      </c>
      <c r="H341" t="s">
        <v>25</v>
      </c>
      <c r="I341" t="s">
        <v>748</v>
      </c>
      <c r="J341">
        <v>7</v>
      </c>
      <c r="K341">
        <v>7807</v>
      </c>
      <c r="L341">
        <v>0.06</v>
      </c>
      <c r="M341">
        <f>'Raw data'!$K341*(1- 'Raw data'!$L341)</f>
        <v>7338.58</v>
      </c>
      <c r="N341">
        <v>51370.06</v>
      </c>
      <c r="O341">
        <v>0.25</v>
      </c>
      <c r="P341">
        <v>12842.52</v>
      </c>
      <c r="Q341" t="s">
        <v>27</v>
      </c>
      <c r="R341" t="s">
        <v>48</v>
      </c>
      <c r="S341">
        <v>2</v>
      </c>
    </row>
    <row r="342" spans="1:19" x14ac:dyDescent="0.3">
      <c r="A342" t="s">
        <v>749</v>
      </c>
      <c r="B342">
        <v>45267</v>
      </c>
      <c r="C342" t="s">
        <v>30</v>
      </c>
      <c r="D342" t="s">
        <v>31</v>
      </c>
      <c r="E342" t="s">
        <v>67</v>
      </c>
      <c r="F342" t="s">
        <v>97</v>
      </c>
      <c r="G342" t="s">
        <v>92</v>
      </c>
      <c r="H342" t="s">
        <v>93</v>
      </c>
      <c r="I342" t="s">
        <v>750</v>
      </c>
      <c r="J342">
        <v>4</v>
      </c>
      <c r="K342">
        <v>65826</v>
      </c>
      <c r="L342">
        <v>0.09</v>
      </c>
      <c r="M342">
        <f>'Raw data'!$K342*(1- 'Raw data'!$L342)</f>
        <v>59901.66</v>
      </c>
      <c r="N342">
        <v>239606.64</v>
      </c>
      <c r="O342">
        <v>0.15</v>
      </c>
      <c r="P342">
        <v>35941</v>
      </c>
      <c r="Q342" t="s">
        <v>27</v>
      </c>
      <c r="R342" t="s">
        <v>48</v>
      </c>
      <c r="S342">
        <v>3</v>
      </c>
    </row>
    <row r="343" spans="1:19" x14ac:dyDescent="0.3">
      <c r="A343" t="s">
        <v>751</v>
      </c>
      <c r="B343">
        <v>45268</v>
      </c>
      <c r="C343" t="s">
        <v>55</v>
      </c>
      <c r="D343" t="s">
        <v>21</v>
      </c>
      <c r="E343" t="s">
        <v>67</v>
      </c>
      <c r="F343" t="s">
        <v>23</v>
      </c>
      <c r="G343" t="s">
        <v>24</v>
      </c>
      <c r="H343" t="s">
        <v>186</v>
      </c>
      <c r="I343" t="s">
        <v>752</v>
      </c>
      <c r="J343">
        <v>5</v>
      </c>
      <c r="K343">
        <v>4683</v>
      </c>
      <c r="L343">
        <v>0.09</v>
      </c>
      <c r="M343">
        <f>'Raw data'!$K343*(1- 'Raw data'!$L343)</f>
        <v>4261.53</v>
      </c>
      <c r="N343">
        <v>21307.65</v>
      </c>
      <c r="O343">
        <v>0.25</v>
      </c>
      <c r="P343">
        <v>5326.91</v>
      </c>
      <c r="Q343" t="s">
        <v>37</v>
      </c>
      <c r="R343" t="s">
        <v>48</v>
      </c>
      <c r="S343">
        <v>4</v>
      </c>
    </row>
    <row r="344" spans="1:19" x14ac:dyDescent="0.3">
      <c r="A344" t="s">
        <v>753</v>
      </c>
      <c r="B344">
        <v>45269</v>
      </c>
      <c r="C344" t="s">
        <v>30</v>
      </c>
      <c r="D344" t="s">
        <v>41</v>
      </c>
      <c r="E344" t="s">
        <v>22</v>
      </c>
      <c r="F344" t="s">
        <v>43</v>
      </c>
      <c r="G344" t="s">
        <v>44</v>
      </c>
      <c r="H344" t="s">
        <v>138</v>
      </c>
      <c r="I344" t="s">
        <v>754</v>
      </c>
      <c r="J344">
        <v>8</v>
      </c>
      <c r="K344">
        <v>3773</v>
      </c>
      <c r="L344">
        <v>0.02</v>
      </c>
      <c r="M344">
        <f>'Raw data'!$K344*(1- 'Raw data'!$L344)</f>
        <v>3697.54</v>
      </c>
      <c r="N344">
        <v>29580.32</v>
      </c>
      <c r="O344">
        <v>0.35</v>
      </c>
      <c r="P344">
        <v>10353.11</v>
      </c>
      <c r="Q344" t="s">
        <v>47</v>
      </c>
      <c r="R344" t="s">
        <v>48</v>
      </c>
      <c r="S344">
        <v>7</v>
      </c>
    </row>
    <row r="345" spans="1:19" x14ac:dyDescent="0.3">
      <c r="A345" t="s">
        <v>755</v>
      </c>
      <c r="B345">
        <v>45270</v>
      </c>
      <c r="C345" t="s">
        <v>55</v>
      </c>
      <c r="D345" t="s">
        <v>21</v>
      </c>
      <c r="E345" t="s">
        <v>42</v>
      </c>
      <c r="F345" t="s">
        <v>33</v>
      </c>
      <c r="G345" t="s">
        <v>24</v>
      </c>
      <c r="H345" t="s">
        <v>25</v>
      </c>
      <c r="I345" t="s">
        <v>756</v>
      </c>
      <c r="J345">
        <v>1</v>
      </c>
      <c r="K345">
        <v>8000</v>
      </c>
      <c r="L345">
        <v>0.09</v>
      </c>
      <c r="M345">
        <f>'Raw data'!$K345*(1- 'Raw data'!$L345)</f>
        <v>7280</v>
      </c>
      <c r="N345">
        <v>7280</v>
      </c>
      <c r="O345">
        <v>0.25</v>
      </c>
      <c r="P345">
        <v>1820</v>
      </c>
      <c r="Q345" t="s">
        <v>37</v>
      </c>
      <c r="R345" t="s">
        <v>48</v>
      </c>
      <c r="S345">
        <v>2</v>
      </c>
    </row>
    <row r="346" spans="1:19" x14ac:dyDescent="0.3">
      <c r="A346" t="s">
        <v>757</v>
      </c>
      <c r="B346">
        <v>45271</v>
      </c>
      <c r="C346" t="s">
        <v>55</v>
      </c>
      <c r="D346" t="s">
        <v>56</v>
      </c>
      <c r="E346" t="s">
        <v>67</v>
      </c>
      <c r="F346" t="s">
        <v>103</v>
      </c>
      <c r="G346" t="s">
        <v>57</v>
      </c>
      <c r="H346" t="s">
        <v>81</v>
      </c>
      <c r="I346" t="s">
        <v>758</v>
      </c>
      <c r="J346">
        <v>1</v>
      </c>
      <c r="K346">
        <v>2145</v>
      </c>
      <c r="L346">
        <v>0.12</v>
      </c>
      <c r="M346">
        <f>'Raw data'!$K346*(1- 'Raw data'!$L346)</f>
        <v>1887.6</v>
      </c>
      <c r="N346">
        <v>1887.6</v>
      </c>
      <c r="O346">
        <v>0.2</v>
      </c>
      <c r="P346">
        <v>377.52</v>
      </c>
      <c r="Q346" t="s">
        <v>51</v>
      </c>
      <c r="R346" t="s">
        <v>28</v>
      </c>
      <c r="S346">
        <v>3</v>
      </c>
    </row>
    <row r="347" spans="1:19" x14ac:dyDescent="0.3">
      <c r="A347" t="s">
        <v>759</v>
      </c>
      <c r="B347">
        <v>45272</v>
      </c>
      <c r="C347" t="s">
        <v>20</v>
      </c>
      <c r="D347" t="s">
        <v>56</v>
      </c>
      <c r="E347" t="s">
        <v>22</v>
      </c>
      <c r="F347" t="s">
        <v>68</v>
      </c>
      <c r="G347" t="s">
        <v>57</v>
      </c>
      <c r="H347" t="s">
        <v>183</v>
      </c>
      <c r="I347" t="s">
        <v>760</v>
      </c>
      <c r="J347">
        <v>4</v>
      </c>
      <c r="K347">
        <v>7010</v>
      </c>
      <c r="L347">
        <v>0.18</v>
      </c>
      <c r="M347">
        <f>'Raw data'!$K347*(1- 'Raw data'!$L347)</f>
        <v>5748.2000000000007</v>
      </c>
      <c r="N347">
        <v>22992.799999999999</v>
      </c>
      <c r="O347">
        <v>0.2</v>
      </c>
      <c r="P347">
        <v>4598.5600000000004</v>
      </c>
      <c r="Q347" t="s">
        <v>37</v>
      </c>
      <c r="R347" t="s">
        <v>48</v>
      </c>
      <c r="S347">
        <v>7</v>
      </c>
    </row>
    <row r="348" spans="1:19" x14ac:dyDescent="0.3">
      <c r="A348" t="s">
        <v>761</v>
      </c>
      <c r="B348">
        <v>45273</v>
      </c>
      <c r="C348" t="s">
        <v>96</v>
      </c>
      <c r="D348" t="s">
        <v>31</v>
      </c>
      <c r="E348" t="s">
        <v>67</v>
      </c>
      <c r="F348" t="s">
        <v>68</v>
      </c>
      <c r="G348" t="s">
        <v>44</v>
      </c>
      <c r="H348" t="s">
        <v>116</v>
      </c>
      <c r="I348" t="s">
        <v>762</v>
      </c>
      <c r="J348">
        <v>3</v>
      </c>
      <c r="K348">
        <v>3540</v>
      </c>
      <c r="L348">
        <v>0.16</v>
      </c>
      <c r="M348">
        <f>'Raw data'!$K348*(1- 'Raw data'!$L348)</f>
        <v>2973.6</v>
      </c>
      <c r="N348">
        <v>8920.7999999999993</v>
      </c>
      <c r="O348">
        <v>0.35</v>
      </c>
      <c r="P348">
        <v>3122.28</v>
      </c>
      <c r="Q348" t="s">
        <v>37</v>
      </c>
      <c r="R348" t="s">
        <v>48</v>
      </c>
      <c r="S348">
        <v>7</v>
      </c>
    </row>
    <row r="349" spans="1:19" x14ac:dyDescent="0.3">
      <c r="A349" t="s">
        <v>763</v>
      </c>
      <c r="B349">
        <v>45274</v>
      </c>
      <c r="C349" t="s">
        <v>63</v>
      </c>
      <c r="D349" t="s">
        <v>56</v>
      </c>
      <c r="E349" t="s">
        <v>32</v>
      </c>
      <c r="F349" t="s">
        <v>97</v>
      </c>
      <c r="G349" t="s">
        <v>92</v>
      </c>
      <c r="H349" t="s">
        <v>109</v>
      </c>
      <c r="I349" t="s">
        <v>764</v>
      </c>
      <c r="J349">
        <v>2</v>
      </c>
      <c r="K349">
        <v>74174</v>
      </c>
      <c r="L349">
        <v>0.18</v>
      </c>
      <c r="M349">
        <f>'Raw data'!$K349*(1- 'Raw data'!$L349)</f>
        <v>60822.680000000008</v>
      </c>
      <c r="N349">
        <v>121645.36</v>
      </c>
      <c r="O349">
        <v>0.15</v>
      </c>
      <c r="P349">
        <v>18246.8</v>
      </c>
      <c r="Q349" t="s">
        <v>27</v>
      </c>
      <c r="R349" t="s">
        <v>48</v>
      </c>
      <c r="S349">
        <v>3</v>
      </c>
    </row>
    <row r="350" spans="1:19" x14ac:dyDescent="0.3">
      <c r="A350" t="s">
        <v>765</v>
      </c>
      <c r="B350">
        <v>45275</v>
      </c>
      <c r="C350" t="s">
        <v>20</v>
      </c>
      <c r="D350" t="s">
        <v>56</v>
      </c>
      <c r="E350" t="s">
        <v>67</v>
      </c>
      <c r="F350" t="s">
        <v>43</v>
      </c>
      <c r="G350" t="s">
        <v>57</v>
      </c>
      <c r="H350" t="s">
        <v>81</v>
      </c>
      <c r="I350" t="s">
        <v>766</v>
      </c>
      <c r="J350">
        <v>3</v>
      </c>
      <c r="K350">
        <v>18866</v>
      </c>
      <c r="L350">
        <v>0</v>
      </c>
      <c r="M350">
        <f>'Raw data'!$K350*(1- 'Raw data'!$L350)</f>
        <v>18866</v>
      </c>
      <c r="N350">
        <v>56598</v>
      </c>
      <c r="O350">
        <v>0.2</v>
      </c>
      <c r="P350">
        <v>11319.6</v>
      </c>
      <c r="Q350" t="s">
        <v>37</v>
      </c>
      <c r="R350" t="s">
        <v>48</v>
      </c>
      <c r="S350">
        <v>1</v>
      </c>
    </row>
    <row r="351" spans="1:19" x14ac:dyDescent="0.3">
      <c r="A351" t="s">
        <v>767</v>
      </c>
      <c r="B351">
        <v>45276</v>
      </c>
      <c r="C351" t="s">
        <v>20</v>
      </c>
      <c r="D351" t="s">
        <v>21</v>
      </c>
      <c r="E351" t="s">
        <v>42</v>
      </c>
      <c r="F351" t="s">
        <v>68</v>
      </c>
      <c r="G351" t="s">
        <v>34</v>
      </c>
      <c r="H351" t="s">
        <v>35</v>
      </c>
      <c r="I351" t="s">
        <v>686</v>
      </c>
      <c r="J351">
        <v>1</v>
      </c>
      <c r="K351">
        <v>1331</v>
      </c>
      <c r="L351">
        <v>0.05</v>
      </c>
      <c r="M351">
        <f>'Raw data'!$K351*(1- 'Raw data'!$L351)</f>
        <v>1264.45</v>
      </c>
      <c r="N351">
        <v>1264.45</v>
      </c>
      <c r="O351">
        <v>0.4</v>
      </c>
      <c r="P351">
        <v>505.78</v>
      </c>
      <c r="Q351" t="s">
        <v>51</v>
      </c>
      <c r="R351" t="s">
        <v>48</v>
      </c>
      <c r="S351">
        <v>3</v>
      </c>
    </row>
    <row r="352" spans="1:19" x14ac:dyDescent="0.3">
      <c r="A352" t="s">
        <v>768</v>
      </c>
      <c r="B352">
        <v>45277</v>
      </c>
      <c r="C352" t="s">
        <v>55</v>
      </c>
      <c r="D352" t="s">
        <v>56</v>
      </c>
      <c r="E352" t="s">
        <v>22</v>
      </c>
      <c r="F352" t="s">
        <v>97</v>
      </c>
      <c r="G352" t="s">
        <v>57</v>
      </c>
      <c r="H352" t="s">
        <v>183</v>
      </c>
      <c r="I352" t="s">
        <v>769</v>
      </c>
      <c r="J352">
        <v>1</v>
      </c>
      <c r="K352">
        <v>19633</v>
      </c>
      <c r="L352">
        <v>0.17</v>
      </c>
      <c r="M352">
        <f>'Raw data'!$K352*(1- 'Raw data'!$L352)</f>
        <v>16295.39</v>
      </c>
      <c r="N352">
        <v>16295.39</v>
      </c>
      <c r="O352">
        <v>0.2</v>
      </c>
      <c r="P352">
        <v>3259.08</v>
      </c>
      <c r="Q352" t="s">
        <v>47</v>
      </c>
      <c r="R352" t="s">
        <v>48</v>
      </c>
      <c r="S352">
        <v>5</v>
      </c>
    </row>
    <row r="353" spans="1:19" x14ac:dyDescent="0.3">
      <c r="A353" t="s">
        <v>770</v>
      </c>
      <c r="B353">
        <v>45278</v>
      </c>
      <c r="C353" t="s">
        <v>55</v>
      </c>
      <c r="D353" t="s">
        <v>56</v>
      </c>
      <c r="E353" t="s">
        <v>42</v>
      </c>
      <c r="F353" t="s">
        <v>23</v>
      </c>
      <c r="G353" t="s">
        <v>57</v>
      </c>
      <c r="H353" t="s">
        <v>183</v>
      </c>
      <c r="I353" t="s">
        <v>771</v>
      </c>
      <c r="J353">
        <v>6</v>
      </c>
      <c r="K353">
        <v>19014</v>
      </c>
      <c r="L353">
        <v>0.12</v>
      </c>
      <c r="M353">
        <f>'Raw data'!$K353*(1- 'Raw data'!$L353)</f>
        <v>16732.32</v>
      </c>
      <c r="N353">
        <v>100393.92</v>
      </c>
      <c r="O353">
        <v>0.2</v>
      </c>
      <c r="P353">
        <v>20078.78</v>
      </c>
      <c r="Q353" t="s">
        <v>37</v>
      </c>
      <c r="R353" t="s">
        <v>48</v>
      </c>
      <c r="S353">
        <v>7</v>
      </c>
    </row>
    <row r="354" spans="1:19" x14ac:dyDescent="0.3">
      <c r="A354" t="s">
        <v>772</v>
      </c>
      <c r="B354">
        <v>45279</v>
      </c>
      <c r="C354" t="s">
        <v>63</v>
      </c>
      <c r="D354" t="s">
        <v>41</v>
      </c>
      <c r="E354" t="s">
        <v>22</v>
      </c>
      <c r="F354" t="s">
        <v>97</v>
      </c>
      <c r="G354" t="s">
        <v>92</v>
      </c>
      <c r="H354" t="s">
        <v>93</v>
      </c>
      <c r="I354" t="s">
        <v>773</v>
      </c>
      <c r="J354">
        <v>5</v>
      </c>
      <c r="K354">
        <v>59104</v>
      </c>
      <c r="L354">
        <v>0</v>
      </c>
      <c r="M354">
        <f>'Raw data'!$K354*(1- 'Raw data'!$L354)</f>
        <v>59104</v>
      </c>
      <c r="N354">
        <v>295520</v>
      </c>
      <c r="O354">
        <v>0.15</v>
      </c>
      <c r="P354">
        <v>44328</v>
      </c>
      <c r="Q354" t="s">
        <v>37</v>
      </c>
      <c r="R354" t="s">
        <v>48</v>
      </c>
      <c r="S354">
        <v>4</v>
      </c>
    </row>
    <row r="355" spans="1:19" x14ac:dyDescent="0.3">
      <c r="A355" t="s">
        <v>774</v>
      </c>
      <c r="B355">
        <v>45280</v>
      </c>
      <c r="C355" t="s">
        <v>30</v>
      </c>
      <c r="D355" t="s">
        <v>56</v>
      </c>
      <c r="E355" t="s">
        <v>32</v>
      </c>
      <c r="F355" t="s">
        <v>97</v>
      </c>
      <c r="G355" t="s">
        <v>24</v>
      </c>
      <c r="H355" t="s">
        <v>25</v>
      </c>
      <c r="I355" t="s">
        <v>775</v>
      </c>
      <c r="J355">
        <v>8</v>
      </c>
      <c r="K355">
        <v>9853</v>
      </c>
      <c r="L355">
        <v>0.2</v>
      </c>
      <c r="M355">
        <f>'Raw data'!$K355*(1- 'Raw data'!$L355)</f>
        <v>7882.4000000000005</v>
      </c>
      <c r="N355">
        <v>63059.199999999997</v>
      </c>
      <c r="O355">
        <v>0.25</v>
      </c>
      <c r="P355">
        <v>15764.8</v>
      </c>
      <c r="Q355" t="s">
        <v>47</v>
      </c>
      <c r="R355" t="s">
        <v>38</v>
      </c>
      <c r="S355">
        <v>1</v>
      </c>
    </row>
    <row r="356" spans="1:19" x14ac:dyDescent="0.3">
      <c r="A356" t="s">
        <v>776</v>
      </c>
      <c r="B356">
        <v>45281</v>
      </c>
      <c r="C356" t="s">
        <v>30</v>
      </c>
      <c r="D356" t="s">
        <v>41</v>
      </c>
      <c r="E356" t="s">
        <v>22</v>
      </c>
      <c r="F356" t="s">
        <v>97</v>
      </c>
      <c r="G356" t="s">
        <v>57</v>
      </c>
      <c r="H356" t="s">
        <v>58</v>
      </c>
      <c r="I356" t="s">
        <v>777</v>
      </c>
      <c r="J356">
        <v>2</v>
      </c>
      <c r="K356">
        <v>13695</v>
      </c>
      <c r="L356">
        <v>0.19</v>
      </c>
      <c r="M356">
        <f>'Raw data'!$K356*(1- 'Raw data'!$L356)</f>
        <v>11092.95</v>
      </c>
      <c r="N356">
        <v>22185.9</v>
      </c>
      <c r="O356">
        <v>0.2</v>
      </c>
      <c r="P356">
        <v>4437.18</v>
      </c>
      <c r="Q356" t="s">
        <v>51</v>
      </c>
      <c r="R356" t="s">
        <v>48</v>
      </c>
      <c r="S356">
        <v>6</v>
      </c>
    </row>
    <row r="357" spans="1:19" x14ac:dyDescent="0.3">
      <c r="A357" t="s">
        <v>778</v>
      </c>
      <c r="B357">
        <v>45282</v>
      </c>
      <c r="C357" t="s">
        <v>20</v>
      </c>
      <c r="D357" t="s">
        <v>56</v>
      </c>
      <c r="E357" t="s">
        <v>67</v>
      </c>
      <c r="F357" t="s">
        <v>103</v>
      </c>
      <c r="G357" t="s">
        <v>44</v>
      </c>
      <c r="H357" t="s">
        <v>116</v>
      </c>
      <c r="I357" t="s">
        <v>779</v>
      </c>
      <c r="J357">
        <v>4</v>
      </c>
      <c r="K357">
        <v>3352</v>
      </c>
      <c r="L357">
        <v>0.14000000000000001</v>
      </c>
      <c r="M357">
        <f>'Raw data'!$K357*(1- 'Raw data'!$L357)</f>
        <v>2882.72</v>
      </c>
      <c r="N357">
        <v>11530.88</v>
      </c>
      <c r="O357">
        <v>0.35</v>
      </c>
      <c r="P357">
        <v>4035.81</v>
      </c>
      <c r="Q357" t="s">
        <v>51</v>
      </c>
      <c r="R357" t="s">
        <v>48</v>
      </c>
      <c r="S357">
        <v>2</v>
      </c>
    </row>
    <row r="358" spans="1:19" x14ac:dyDescent="0.3">
      <c r="A358" t="s">
        <v>780</v>
      </c>
      <c r="B358">
        <v>45283</v>
      </c>
      <c r="C358" t="s">
        <v>40</v>
      </c>
      <c r="D358" t="s">
        <v>56</v>
      </c>
      <c r="E358" t="s">
        <v>67</v>
      </c>
      <c r="F358" t="s">
        <v>97</v>
      </c>
      <c r="G358" t="s">
        <v>24</v>
      </c>
      <c r="H358" t="s">
        <v>25</v>
      </c>
      <c r="I358" t="s">
        <v>148</v>
      </c>
      <c r="J358">
        <v>8</v>
      </c>
      <c r="K358">
        <v>11658</v>
      </c>
      <c r="L358">
        <v>0.02</v>
      </c>
      <c r="M358">
        <f>'Raw data'!$K358*(1- 'Raw data'!$L358)</f>
        <v>11424.84</v>
      </c>
      <c r="N358">
        <v>91398.720000000001</v>
      </c>
      <c r="O358">
        <v>0.25</v>
      </c>
      <c r="P358">
        <v>22849.68</v>
      </c>
      <c r="Q358" t="s">
        <v>37</v>
      </c>
      <c r="R358" t="s">
        <v>48</v>
      </c>
      <c r="S358">
        <v>3</v>
      </c>
    </row>
    <row r="359" spans="1:19" x14ac:dyDescent="0.3">
      <c r="A359" t="s">
        <v>781</v>
      </c>
      <c r="B359">
        <v>45284</v>
      </c>
      <c r="C359" t="s">
        <v>40</v>
      </c>
      <c r="D359" t="s">
        <v>31</v>
      </c>
      <c r="E359" t="s">
        <v>32</v>
      </c>
      <c r="F359" t="s">
        <v>33</v>
      </c>
      <c r="G359" t="s">
        <v>34</v>
      </c>
      <c r="H359" t="s">
        <v>71</v>
      </c>
      <c r="I359" t="s">
        <v>782</v>
      </c>
      <c r="J359">
        <v>6</v>
      </c>
      <c r="K359">
        <v>1187</v>
      </c>
      <c r="L359">
        <v>0.19</v>
      </c>
      <c r="M359">
        <f>'Raw data'!$K359*(1- 'Raw data'!$L359)</f>
        <v>961.47</v>
      </c>
      <c r="N359">
        <v>5768.82</v>
      </c>
      <c r="O359">
        <v>0.4</v>
      </c>
      <c r="P359">
        <v>2307.5300000000002</v>
      </c>
      <c r="Q359" t="s">
        <v>27</v>
      </c>
      <c r="R359" t="s">
        <v>48</v>
      </c>
      <c r="S359">
        <v>4</v>
      </c>
    </row>
    <row r="360" spans="1:19" x14ac:dyDescent="0.3">
      <c r="A360" t="s">
        <v>783</v>
      </c>
      <c r="B360">
        <v>45285</v>
      </c>
      <c r="C360" t="s">
        <v>30</v>
      </c>
      <c r="D360" t="s">
        <v>31</v>
      </c>
      <c r="E360" t="s">
        <v>22</v>
      </c>
      <c r="F360" t="s">
        <v>97</v>
      </c>
      <c r="G360" t="s">
        <v>92</v>
      </c>
      <c r="H360" t="s">
        <v>178</v>
      </c>
      <c r="I360" t="s">
        <v>784</v>
      </c>
      <c r="J360">
        <v>1</v>
      </c>
      <c r="K360">
        <v>50390</v>
      </c>
      <c r="L360">
        <v>0.15</v>
      </c>
      <c r="M360">
        <f>'Raw data'!$K360*(1- 'Raw data'!$L360)</f>
        <v>42831.5</v>
      </c>
      <c r="N360">
        <v>42831.5</v>
      </c>
      <c r="O360">
        <v>0.15</v>
      </c>
      <c r="P360">
        <v>6424.72</v>
      </c>
      <c r="Q360" t="s">
        <v>37</v>
      </c>
      <c r="R360" t="s">
        <v>48</v>
      </c>
      <c r="S360">
        <v>6</v>
      </c>
    </row>
    <row r="361" spans="1:19" x14ac:dyDescent="0.3">
      <c r="A361" t="s">
        <v>785</v>
      </c>
      <c r="B361">
        <v>45286</v>
      </c>
      <c r="C361" t="s">
        <v>40</v>
      </c>
      <c r="D361" t="s">
        <v>41</v>
      </c>
      <c r="E361" t="s">
        <v>32</v>
      </c>
      <c r="F361" t="s">
        <v>103</v>
      </c>
      <c r="G361" t="s">
        <v>34</v>
      </c>
      <c r="H361" t="s">
        <v>71</v>
      </c>
      <c r="I361" t="s">
        <v>786</v>
      </c>
      <c r="J361">
        <v>4</v>
      </c>
      <c r="K361">
        <v>1383</v>
      </c>
      <c r="L361">
        <v>0.2</v>
      </c>
      <c r="M361">
        <f>'Raw data'!$K361*(1- 'Raw data'!$L361)</f>
        <v>1106.4000000000001</v>
      </c>
      <c r="N361">
        <v>4425.6000000000004</v>
      </c>
      <c r="O361">
        <v>0.4</v>
      </c>
      <c r="P361">
        <v>1770.24</v>
      </c>
      <c r="Q361" t="s">
        <v>47</v>
      </c>
      <c r="R361" t="s">
        <v>28</v>
      </c>
      <c r="S361">
        <v>6</v>
      </c>
    </row>
    <row r="362" spans="1:19" x14ac:dyDescent="0.3">
      <c r="A362" t="s">
        <v>787</v>
      </c>
      <c r="B362">
        <v>45287</v>
      </c>
      <c r="C362" t="s">
        <v>30</v>
      </c>
      <c r="D362" t="s">
        <v>56</v>
      </c>
      <c r="E362" t="s">
        <v>67</v>
      </c>
      <c r="F362" t="s">
        <v>103</v>
      </c>
      <c r="G362" t="s">
        <v>24</v>
      </c>
      <c r="H362" t="s">
        <v>186</v>
      </c>
      <c r="I362" t="s">
        <v>788</v>
      </c>
      <c r="J362">
        <v>1</v>
      </c>
      <c r="K362">
        <v>10738</v>
      </c>
      <c r="L362">
        <v>0.19</v>
      </c>
      <c r="M362">
        <f>'Raw data'!$K362*(1- 'Raw data'!$L362)</f>
        <v>8697.7800000000007</v>
      </c>
      <c r="N362">
        <v>8697.7800000000007</v>
      </c>
      <c r="O362">
        <v>0.25</v>
      </c>
      <c r="P362">
        <v>2174.4499999999998</v>
      </c>
      <c r="Q362" t="s">
        <v>47</v>
      </c>
      <c r="R362" t="s">
        <v>48</v>
      </c>
      <c r="S362">
        <v>7</v>
      </c>
    </row>
    <row r="363" spans="1:19" x14ac:dyDescent="0.3">
      <c r="A363" t="s">
        <v>789</v>
      </c>
      <c r="B363">
        <v>45288</v>
      </c>
      <c r="C363" t="s">
        <v>55</v>
      </c>
      <c r="D363" t="s">
        <v>21</v>
      </c>
      <c r="E363" t="s">
        <v>42</v>
      </c>
      <c r="F363" t="s">
        <v>23</v>
      </c>
      <c r="G363" t="s">
        <v>24</v>
      </c>
      <c r="H363" t="s">
        <v>25</v>
      </c>
      <c r="I363" t="s">
        <v>790</v>
      </c>
      <c r="J363">
        <v>2</v>
      </c>
      <c r="K363">
        <v>9841</v>
      </c>
      <c r="L363">
        <v>0.2</v>
      </c>
      <c r="M363">
        <f>'Raw data'!$K363*(1- 'Raw data'!$L363)</f>
        <v>7872.8</v>
      </c>
      <c r="N363">
        <v>15745.6</v>
      </c>
      <c r="O363">
        <v>0.25</v>
      </c>
      <c r="P363">
        <v>3936.4</v>
      </c>
      <c r="Q363" t="s">
        <v>47</v>
      </c>
      <c r="R363" t="s">
        <v>38</v>
      </c>
      <c r="S363">
        <v>5</v>
      </c>
    </row>
    <row r="364" spans="1:19" x14ac:dyDescent="0.3">
      <c r="A364" t="s">
        <v>791</v>
      </c>
      <c r="B364">
        <v>45289</v>
      </c>
      <c r="C364" t="s">
        <v>20</v>
      </c>
      <c r="D364" t="s">
        <v>31</v>
      </c>
      <c r="E364" t="s">
        <v>32</v>
      </c>
      <c r="F364" t="s">
        <v>43</v>
      </c>
      <c r="G364" t="s">
        <v>24</v>
      </c>
      <c r="H364" t="s">
        <v>186</v>
      </c>
      <c r="I364" t="s">
        <v>792</v>
      </c>
      <c r="J364">
        <v>5</v>
      </c>
      <c r="K364">
        <v>10160</v>
      </c>
      <c r="L364">
        <v>0.13</v>
      </c>
      <c r="M364">
        <f>'Raw data'!$K364*(1- 'Raw data'!$L364)</f>
        <v>8839.2000000000007</v>
      </c>
      <c r="N364">
        <v>44196</v>
      </c>
      <c r="O364">
        <v>0.25</v>
      </c>
      <c r="P364">
        <v>11049</v>
      </c>
      <c r="Q364" t="s">
        <v>37</v>
      </c>
      <c r="R364" t="s">
        <v>48</v>
      </c>
      <c r="S364">
        <v>7</v>
      </c>
    </row>
    <row r="365" spans="1:19" x14ac:dyDescent="0.3">
      <c r="A365" t="s">
        <v>793</v>
      </c>
      <c r="B365">
        <v>45290</v>
      </c>
      <c r="C365" t="s">
        <v>96</v>
      </c>
      <c r="D365" t="s">
        <v>21</v>
      </c>
      <c r="E365" t="s">
        <v>42</v>
      </c>
      <c r="F365" t="s">
        <v>68</v>
      </c>
      <c r="G365" t="s">
        <v>34</v>
      </c>
      <c r="H365" t="s">
        <v>104</v>
      </c>
      <c r="I365" t="s">
        <v>794</v>
      </c>
      <c r="J365">
        <v>8</v>
      </c>
      <c r="K365">
        <v>789</v>
      </c>
      <c r="L365">
        <v>0.04</v>
      </c>
      <c r="M365">
        <f>'Raw data'!$K365*(1- 'Raw data'!$L365)</f>
        <v>757.43999999999994</v>
      </c>
      <c r="N365">
        <v>6059.52</v>
      </c>
      <c r="O365">
        <v>0.4</v>
      </c>
      <c r="P365">
        <v>2423.81</v>
      </c>
      <c r="Q365" t="s">
        <v>37</v>
      </c>
      <c r="R365" t="s">
        <v>28</v>
      </c>
      <c r="S365">
        <v>2</v>
      </c>
    </row>
    <row r="366" spans="1:19" x14ac:dyDescent="0.3">
      <c r="A366" t="s">
        <v>795</v>
      </c>
      <c r="B366">
        <v>45291</v>
      </c>
      <c r="C366" t="s">
        <v>20</v>
      </c>
      <c r="D366" t="s">
        <v>31</v>
      </c>
      <c r="E366" t="s">
        <v>42</v>
      </c>
      <c r="F366" t="s">
        <v>68</v>
      </c>
      <c r="G366" t="s">
        <v>24</v>
      </c>
      <c r="H366" t="s">
        <v>74</v>
      </c>
      <c r="I366" t="s">
        <v>796</v>
      </c>
      <c r="J366">
        <v>8</v>
      </c>
      <c r="K366">
        <v>2100</v>
      </c>
      <c r="L366">
        <v>0.17</v>
      </c>
      <c r="M366">
        <f>'Raw data'!$K366*(1- 'Raw data'!$L366)</f>
        <v>1743</v>
      </c>
      <c r="N366">
        <v>13944</v>
      </c>
      <c r="O366">
        <v>0.25</v>
      </c>
      <c r="P366">
        <v>3486</v>
      </c>
      <c r="Q366" t="s">
        <v>51</v>
      </c>
      <c r="R366" t="s">
        <v>48</v>
      </c>
      <c r="S366">
        <v>1</v>
      </c>
    </row>
    <row r="367" spans="1:19" x14ac:dyDescent="0.3">
      <c r="A367" t="s">
        <v>797</v>
      </c>
      <c r="B367">
        <v>45292</v>
      </c>
      <c r="C367" t="s">
        <v>30</v>
      </c>
      <c r="D367" t="s">
        <v>31</v>
      </c>
      <c r="E367" t="s">
        <v>22</v>
      </c>
      <c r="F367" t="s">
        <v>97</v>
      </c>
      <c r="G367" t="s">
        <v>34</v>
      </c>
      <c r="H367" t="s">
        <v>71</v>
      </c>
      <c r="I367" t="s">
        <v>798</v>
      </c>
      <c r="J367">
        <v>3</v>
      </c>
      <c r="K367">
        <v>708</v>
      </c>
      <c r="L367">
        <v>0.16</v>
      </c>
      <c r="M367">
        <f>'Raw data'!$K367*(1- 'Raw data'!$L367)</f>
        <v>594.72</v>
      </c>
      <c r="N367">
        <v>1784.16</v>
      </c>
      <c r="O367">
        <v>0.4</v>
      </c>
      <c r="P367">
        <v>713.66</v>
      </c>
      <c r="Q367" t="s">
        <v>27</v>
      </c>
      <c r="R367" t="s">
        <v>38</v>
      </c>
      <c r="S367">
        <v>8</v>
      </c>
    </row>
    <row r="368" spans="1:19" x14ac:dyDescent="0.3">
      <c r="A368" t="s">
        <v>799</v>
      </c>
      <c r="B368">
        <v>45293</v>
      </c>
      <c r="C368" t="s">
        <v>30</v>
      </c>
      <c r="D368" t="s">
        <v>56</v>
      </c>
      <c r="E368" t="s">
        <v>32</v>
      </c>
      <c r="F368" t="s">
        <v>23</v>
      </c>
      <c r="G368" t="s">
        <v>24</v>
      </c>
      <c r="H368" t="s">
        <v>121</v>
      </c>
      <c r="I368" t="s">
        <v>800</v>
      </c>
      <c r="J368">
        <v>4</v>
      </c>
      <c r="K368">
        <v>9632</v>
      </c>
      <c r="L368">
        <v>0.19</v>
      </c>
      <c r="M368">
        <f>'Raw data'!$K368*(1- 'Raw data'!$L368)</f>
        <v>7801.92</v>
      </c>
      <c r="N368">
        <v>31207.68</v>
      </c>
      <c r="O368">
        <v>0.25</v>
      </c>
      <c r="P368">
        <v>7801.92</v>
      </c>
      <c r="Q368" t="s">
        <v>37</v>
      </c>
      <c r="R368" t="s">
        <v>48</v>
      </c>
      <c r="S368">
        <v>1</v>
      </c>
    </row>
    <row r="369" spans="1:19" x14ac:dyDescent="0.3">
      <c r="A369" t="s">
        <v>801</v>
      </c>
      <c r="B369">
        <v>45294</v>
      </c>
      <c r="C369" t="s">
        <v>20</v>
      </c>
      <c r="D369" t="s">
        <v>31</v>
      </c>
      <c r="E369" t="s">
        <v>42</v>
      </c>
      <c r="F369" t="s">
        <v>97</v>
      </c>
      <c r="G369" t="s">
        <v>44</v>
      </c>
      <c r="H369" t="s">
        <v>138</v>
      </c>
      <c r="I369" t="s">
        <v>802</v>
      </c>
      <c r="J369">
        <v>6</v>
      </c>
      <c r="K369">
        <v>1269</v>
      </c>
      <c r="L369">
        <v>0.04</v>
      </c>
      <c r="M369">
        <f>'Raw data'!$K369*(1- 'Raw data'!$L369)</f>
        <v>1218.24</v>
      </c>
      <c r="N369">
        <v>7309.44</v>
      </c>
      <c r="O369">
        <v>0.35</v>
      </c>
      <c r="P369">
        <v>2558.3000000000002</v>
      </c>
      <c r="Q369" t="s">
        <v>51</v>
      </c>
      <c r="R369" t="s">
        <v>48</v>
      </c>
      <c r="S369">
        <v>2</v>
      </c>
    </row>
    <row r="370" spans="1:19" x14ac:dyDescent="0.3">
      <c r="A370" t="s">
        <v>803</v>
      </c>
      <c r="B370">
        <v>45295</v>
      </c>
      <c r="C370" t="s">
        <v>63</v>
      </c>
      <c r="D370" t="s">
        <v>21</v>
      </c>
      <c r="E370" t="s">
        <v>42</v>
      </c>
      <c r="F370" t="s">
        <v>68</v>
      </c>
      <c r="G370" t="s">
        <v>24</v>
      </c>
      <c r="H370" t="s">
        <v>74</v>
      </c>
      <c r="I370" t="s">
        <v>804</v>
      </c>
      <c r="J370">
        <v>3</v>
      </c>
      <c r="K370">
        <v>2343</v>
      </c>
      <c r="L370">
        <v>0.05</v>
      </c>
      <c r="M370">
        <f>'Raw data'!$K370*(1- 'Raw data'!$L370)</f>
        <v>2225.85</v>
      </c>
      <c r="N370">
        <v>6677.55</v>
      </c>
      <c r="O370">
        <v>0.25</v>
      </c>
      <c r="P370">
        <v>1669.39</v>
      </c>
      <c r="Q370" t="s">
        <v>37</v>
      </c>
      <c r="R370" t="s">
        <v>38</v>
      </c>
      <c r="S370">
        <v>6</v>
      </c>
    </row>
    <row r="371" spans="1:19" x14ac:dyDescent="0.3">
      <c r="A371" t="s">
        <v>805</v>
      </c>
      <c r="B371">
        <v>45296</v>
      </c>
      <c r="C371" t="s">
        <v>30</v>
      </c>
      <c r="D371" t="s">
        <v>31</v>
      </c>
      <c r="E371" t="s">
        <v>22</v>
      </c>
      <c r="F371" t="s">
        <v>103</v>
      </c>
      <c r="G371" t="s">
        <v>34</v>
      </c>
      <c r="H371" t="s">
        <v>104</v>
      </c>
      <c r="I371" t="s">
        <v>806</v>
      </c>
      <c r="J371">
        <v>2</v>
      </c>
      <c r="K371">
        <v>462</v>
      </c>
      <c r="L371">
        <v>0.22</v>
      </c>
      <c r="M371">
        <f>'Raw data'!$K371*(1- 'Raw data'!$L371)</f>
        <v>360.36</v>
      </c>
      <c r="N371">
        <v>720.72</v>
      </c>
      <c r="O371">
        <v>0.4</v>
      </c>
      <c r="P371">
        <v>288.29000000000002</v>
      </c>
      <c r="Q371" t="s">
        <v>51</v>
      </c>
      <c r="R371" t="s">
        <v>48</v>
      </c>
      <c r="S371">
        <v>1</v>
      </c>
    </row>
    <row r="372" spans="1:19" x14ac:dyDescent="0.3">
      <c r="A372" t="s">
        <v>807</v>
      </c>
      <c r="B372">
        <v>45297</v>
      </c>
      <c r="C372" t="s">
        <v>40</v>
      </c>
      <c r="D372" t="s">
        <v>41</v>
      </c>
      <c r="E372" t="s">
        <v>22</v>
      </c>
      <c r="F372" t="s">
        <v>43</v>
      </c>
      <c r="G372" t="s">
        <v>57</v>
      </c>
      <c r="H372" t="s">
        <v>183</v>
      </c>
      <c r="I372" t="s">
        <v>808</v>
      </c>
      <c r="J372">
        <v>6</v>
      </c>
      <c r="K372">
        <v>13543</v>
      </c>
      <c r="L372">
        <v>0.19</v>
      </c>
      <c r="M372">
        <f>'Raw data'!$K372*(1- 'Raw data'!$L372)</f>
        <v>10969.83</v>
      </c>
      <c r="N372">
        <v>65818.98</v>
      </c>
      <c r="O372">
        <v>0.2</v>
      </c>
      <c r="P372">
        <v>13163.8</v>
      </c>
      <c r="Q372" t="s">
        <v>51</v>
      </c>
      <c r="R372" t="s">
        <v>48</v>
      </c>
      <c r="S372">
        <v>3</v>
      </c>
    </row>
    <row r="373" spans="1:19" x14ac:dyDescent="0.3">
      <c r="A373" t="s">
        <v>809</v>
      </c>
      <c r="B373">
        <v>45298</v>
      </c>
      <c r="C373" t="s">
        <v>40</v>
      </c>
      <c r="D373" t="s">
        <v>56</v>
      </c>
      <c r="E373" t="s">
        <v>67</v>
      </c>
      <c r="F373" t="s">
        <v>23</v>
      </c>
      <c r="G373" t="s">
        <v>24</v>
      </c>
      <c r="H373" t="s">
        <v>74</v>
      </c>
      <c r="I373" t="s">
        <v>810</v>
      </c>
      <c r="J373">
        <v>5</v>
      </c>
      <c r="K373">
        <v>13987</v>
      </c>
      <c r="L373">
        <v>0.23</v>
      </c>
      <c r="M373">
        <f>'Raw data'!$K373*(1- 'Raw data'!$L373)</f>
        <v>10769.99</v>
      </c>
      <c r="N373">
        <v>53849.95</v>
      </c>
      <c r="O373">
        <v>0.25</v>
      </c>
      <c r="P373">
        <v>13462.49</v>
      </c>
      <c r="Q373" t="s">
        <v>27</v>
      </c>
      <c r="R373" t="s">
        <v>48</v>
      </c>
      <c r="S373">
        <v>7</v>
      </c>
    </row>
    <row r="374" spans="1:19" x14ac:dyDescent="0.3">
      <c r="A374" t="s">
        <v>811</v>
      </c>
      <c r="B374">
        <v>45299</v>
      </c>
      <c r="C374" t="s">
        <v>30</v>
      </c>
      <c r="D374" t="s">
        <v>56</v>
      </c>
      <c r="E374" t="s">
        <v>42</v>
      </c>
      <c r="F374" t="s">
        <v>103</v>
      </c>
      <c r="G374" t="s">
        <v>57</v>
      </c>
      <c r="H374" t="s">
        <v>58</v>
      </c>
      <c r="I374" t="s">
        <v>812</v>
      </c>
      <c r="J374">
        <v>5</v>
      </c>
      <c r="K374">
        <v>7699</v>
      </c>
      <c r="L374">
        <v>0.19</v>
      </c>
      <c r="M374">
        <f>'Raw data'!$K374*(1- 'Raw data'!$L374)</f>
        <v>6236.1900000000005</v>
      </c>
      <c r="N374">
        <v>31180.95</v>
      </c>
      <c r="O374">
        <v>0.2</v>
      </c>
      <c r="P374">
        <v>6236.19</v>
      </c>
      <c r="Q374" t="s">
        <v>37</v>
      </c>
      <c r="R374" t="s">
        <v>38</v>
      </c>
      <c r="S374">
        <v>8</v>
      </c>
    </row>
    <row r="375" spans="1:19" x14ac:dyDescent="0.3">
      <c r="A375" t="s">
        <v>813</v>
      </c>
      <c r="B375">
        <v>45300</v>
      </c>
      <c r="C375" t="s">
        <v>30</v>
      </c>
      <c r="D375" t="s">
        <v>41</v>
      </c>
      <c r="E375" t="s">
        <v>67</v>
      </c>
      <c r="F375" t="s">
        <v>43</v>
      </c>
      <c r="G375" t="s">
        <v>44</v>
      </c>
      <c r="H375" t="s">
        <v>64</v>
      </c>
      <c r="I375" t="s">
        <v>814</v>
      </c>
      <c r="J375">
        <v>5</v>
      </c>
      <c r="K375">
        <v>1741</v>
      </c>
      <c r="L375">
        <v>0.15</v>
      </c>
      <c r="M375">
        <f>'Raw data'!$K375*(1- 'Raw data'!$L375)</f>
        <v>1479.85</v>
      </c>
      <c r="N375">
        <v>7399.25</v>
      </c>
      <c r="O375">
        <v>0.35</v>
      </c>
      <c r="P375">
        <v>2589.7399999999998</v>
      </c>
      <c r="Q375" t="s">
        <v>51</v>
      </c>
      <c r="R375" t="s">
        <v>48</v>
      </c>
      <c r="S375">
        <v>4</v>
      </c>
    </row>
    <row r="376" spans="1:19" x14ac:dyDescent="0.3">
      <c r="A376" t="s">
        <v>815</v>
      </c>
      <c r="B376">
        <v>45301</v>
      </c>
      <c r="C376" t="s">
        <v>63</v>
      </c>
      <c r="D376" t="s">
        <v>41</v>
      </c>
      <c r="E376" t="s">
        <v>42</v>
      </c>
      <c r="F376" t="s">
        <v>23</v>
      </c>
      <c r="G376" t="s">
        <v>92</v>
      </c>
      <c r="H376" t="s">
        <v>93</v>
      </c>
      <c r="I376" t="s">
        <v>816</v>
      </c>
      <c r="J376">
        <v>5</v>
      </c>
      <c r="K376">
        <v>43893</v>
      </c>
      <c r="L376">
        <v>0.16</v>
      </c>
      <c r="M376">
        <f>'Raw data'!$K376*(1- 'Raw data'!$L376)</f>
        <v>36870.119999999995</v>
      </c>
      <c r="N376">
        <v>184350.6</v>
      </c>
      <c r="O376">
        <v>0.15</v>
      </c>
      <c r="P376">
        <v>27652.59</v>
      </c>
      <c r="Q376" t="s">
        <v>47</v>
      </c>
      <c r="R376" t="s">
        <v>48</v>
      </c>
      <c r="S376">
        <v>3</v>
      </c>
    </row>
    <row r="377" spans="1:19" x14ac:dyDescent="0.3">
      <c r="A377" t="s">
        <v>817</v>
      </c>
      <c r="B377">
        <v>45302</v>
      </c>
      <c r="C377" t="s">
        <v>40</v>
      </c>
      <c r="D377" t="s">
        <v>41</v>
      </c>
      <c r="E377" t="s">
        <v>67</v>
      </c>
      <c r="F377" t="s">
        <v>23</v>
      </c>
      <c r="G377" t="s">
        <v>44</v>
      </c>
      <c r="H377" t="s">
        <v>45</v>
      </c>
      <c r="I377" t="s">
        <v>818</v>
      </c>
      <c r="J377">
        <v>3</v>
      </c>
      <c r="K377">
        <v>3101</v>
      </c>
      <c r="L377">
        <v>0.22</v>
      </c>
      <c r="M377">
        <f>'Raw data'!$K377*(1- 'Raw data'!$L377)</f>
        <v>2418.7800000000002</v>
      </c>
      <c r="N377">
        <v>7256.34</v>
      </c>
      <c r="O377">
        <v>0.35</v>
      </c>
      <c r="P377">
        <v>2539.7199999999998</v>
      </c>
      <c r="Q377" t="s">
        <v>47</v>
      </c>
      <c r="R377" t="s">
        <v>48</v>
      </c>
      <c r="S377">
        <v>1</v>
      </c>
    </row>
    <row r="378" spans="1:19" x14ac:dyDescent="0.3">
      <c r="A378" t="s">
        <v>819</v>
      </c>
      <c r="B378">
        <v>45303</v>
      </c>
      <c r="C378" t="s">
        <v>30</v>
      </c>
      <c r="D378" t="s">
        <v>31</v>
      </c>
      <c r="E378" t="s">
        <v>22</v>
      </c>
      <c r="F378" t="s">
        <v>68</v>
      </c>
      <c r="G378" t="s">
        <v>24</v>
      </c>
      <c r="H378" t="s">
        <v>121</v>
      </c>
      <c r="I378" t="s">
        <v>820</v>
      </c>
      <c r="J378">
        <v>7</v>
      </c>
      <c r="K378">
        <v>10382</v>
      </c>
      <c r="L378">
        <v>0.14000000000000001</v>
      </c>
      <c r="M378">
        <f>'Raw data'!$K378*(1- 'Raw data'!$L378)</f>
        <v>8928.52</v>
      </c>
      <c r="N378">
        <v>62499.64</v>
      </c>
      <c r="O378">
        <v>0.25</v>
      </c>
      <c r="P378">
        <v>15624.91</v>
      </c>
      <c r="Q378" t="s">
        <v>47</v>
      </c>
      <c r="R378" t="s">
        <v>48</v>
      </c>
      <c r="S378">
        <v>9</v>
      </c>
    </row>
    <row r="379" spans="1:19" x14ac:dyDescent="0.3">
      <c r="A379" t="s">
        <v>821</v>
      </c>
      <c r="B379">
        <v>45304</v>
      </c>
      <c r="C379" t="s">
        <v>30</v>
      </c>
      <c r="D379" t="s">
        <v>56</v>
      </c>
      <c r="E379" t="s">
        <v>32</v>
      </c>
      <c r="F379" t="s">
        <v>103</v>
      </c>
      <c r="G379" t="s">
        <v>57</v>
      </c>
      <c r="H379" t="s">
        <v>58</v>
      </c>
      <c r="I379" t="s">
        <v>822</v>
      </c>
      <c r="J379">
        <v>6</v>
      </c>
      <c r="K379">
        <v>8764</v>
      </c>
      <c r="L379">
        <v>0.16</v>
      </c>
      <c r="M379">
        <f>'Raw data'!$K379*(1- 'Raw data'!$L379)</f>
        <v>7361.7599999999993</v>
      </c>
      <c r="N379">
        <v>44170.559999999998</v>
      </c>
      <c r="O379">
        <v>0.2</v>
      </c>
      <c r="P379">
        <v>8834.11</v>
      </c>
      <c r="Q379" t="s">
        <v>27</v>
      </c>
      <c r="R379" t="s">
        <v>38</v>
      </c>
      <c r="S379">
        <v>6</v>
      </c>
    </row>
    <row r="380" spans="1:19" x14ac:dyDescent="0.3">
      <c r="A380" t="s">
        <v>823</v>
      </c>
      <c r="B380">
        <v>45305</v>
      </c>
      <c r="C380" t="s">
        <v>63</v>
      </c>
      <c r="D380" t="s">
        <v>41</v>
      </c>
      <c r="E380" t="s">
        <v>22</v>
      </c>
      <c r="F380" t="s">
        <v>23</v>
      </c>
      <c r="G380" t="s">
        <v>57</v>
      </c>
      <c r="H380" t="s">
        <v>58</v>
      </c>
      <c r="I380" t="s">
        <v>824</v>
      </c>
      <c r="J380">
        <v>4</v>
      </c>
      <c r="K380">
        <v>14323</v>
      </c>
      <c r="L380">
        <v>0.04</v>
      </c>
      <c r="M380">
        <f>'Raw data'!$K380*(1- 'Raw data'!$L380)</f>
        <v>13750.08</v>
      </c>
      <c r="N380">
        <v>55000.32</v>
      </c>
      <c r="O380">
        <v>0.2</v>
      </c>
      <c r="P380">
        <v>11000.06</v>
      </c>
      <c r="Q380" t="s">
        <v>51</v>
      </c>
      <c r="R380" t="s">
        <v>48</v>
      </c>
      <c r="S380">
        <v>6</v>
      </c>
    </row>
    <row r="381" spans="1:19" x14ac:dyDescent="0.3">
      <c r="A381" t="s">
        <v>825</v>
      </c>
      <c r="B381">
        <v>45306</v>
      </c>
      <c r="C381" t="s">
        <v>63</v>
      </c>
      <c r="D381" t="s">
        <v>31</v>
      </c>
      <c r="E381" t="s">
        <v>67</v>
      </c>
      <c r="F381" t="s">
        <v>33</v>
      </c>
      <c r="G381" t="s">
        <v>34</v>
      </c>
      <c r="H381" t="s">
        <v>104</v>
      </c>
      <c r="I381" t="s">
        <v>826</v>
      </c>
      <c r="J381">
        <v>2</v>
      </c>
      <c r="K381">
        <v>943</v>
      </c>
      <c r="L381">
        <v>0.12</v>
      </c>
      <c r="M381">
        <f>'Raw data'!$K381*(1- 'Raw data'!$L381)</f>
        <v>829.84</v>
      </c>
      <c r="N381">
        <v>1659.68</v>
      </c>
      <c r="O381">
        <v>0.4</v>
      </c>
      <c r="P381">
        <v>663.87</v>
      </c>
      <c r="Q381" t="s">
        <v>27</v>
      </c>
      <c r="R381" t="s">
        <v>48</v>
      </c>
      <c r="S381">
        <v>9</v>
      </c>
    </row>
    <row r="382" spans="1:19" x14ac:dyDescent="0.3">
      <c r="A382" t="s">
        <v>827</v>
      </c>
      <c r="B382">
        <v>45307</v>
      </c>
      <c r="C382" t="s">
        <v>20</v>
      </c>
      <c r="D382" t="s">
        <v>41</v>
      </c>
      <c r="E382" t="s">
        <v>67</v>
      </c>
      <c r="F382" t="s">
        <v>23</v>
      </c>
      <c r="G382" t="s">
        <v>57</v>
      </c>
      <c r="H382" t="s">
        <v>81</v>
      </c>
      <c r="I382" t="s">
        <v>828</v>
      </c>
      <c r="J382">
        <v>9</v>
      </c>
      <c r="K382">
        <v>16052</v>
      </c>
      <c r="L382">
        <v>0.18</v>
      </c>
      <c r="M382">
        <f>'Raw data'!$K382*(1- 'Raw data'!$L382)</f>
        <v>13162.640000000001</v>
      </c>
      <c r="N382">
        <v>118463.76</v>
      </c>
      <c r="O382">
        <v>0.2</v>
      </c>
      <c r="P382">
        <v>23692.75</v>
      </c>
      <c r="Q382" t="s">
        <v>37</v>
      </c>
      <c r="R382" t="s">
        <v>38</v>
      </c>
      <c r="S382">
        <v>1</v>
      </c>
    </row>
    <row r="383" spans="1:19" x14ac:dyDescent="0.3">
      <c r="A383" t="s">
        <v>829</v>
      </c>
      <c r="B383">
        <v>45308</v>
      </c>
      <c r="C383" t="s">
        <v>63</v>
      </c>
      <c r="D383" t="s">
        <v>21</v>
      </c>
      <c r="E383" t="s">
        <v>32</v>
      </c>
      <c r="F383" t="s">
        <v>43</v>
      </c>
      <c r="G383" t="s">
        <v>34</v>
      </c>
      <c r="H383" t="s">
        <v>35</v>
      </c>
      <c r="I383" t="s">
        <v>830</v>
      </c>
      <c r="J383">
        <v>1</v>
      </c>
      <c r="K383">
        <v>552</v>
      </c>
      <c r="L383">
        <v>7.0000000000000007E-2</v>
      </c>
      <c r="M383">
        <f>'Raw data'!$K383*(1- 'Raw data'!$L383)</f>
        <v>513.36</v>
      </c>
      <c r="N383">
        <v>513.36</v>
      </c>
      <c r="O383">
        <v>0.4</v>
      </c>
      <c r="P383">
        <v>205.34</v>
      </c>
      <c r="Q383" t="s">
        <v>37</v>
      </c>
      <c r="R383" t="s">
        <v>48</v>
      </c>
      <c r="S383">
        <v>6</v>
      </c>
    </row>
    <row r="384" spans="1:19" x14ac:dyDescent="0.3">
      <c r="A384" t="s">
        <v>831</v>
      </c>
      <c r="B384">
        <v>45309</v>
      </c>
      <c r="C384" t="s">
        <v>96</v>
      </c>
      <c r="D384" t="s">
        <v>21</v>
      </c>
      <c r="E384" t="s">
        <v>42</v>
      </c>
      <c r="F384" t="s">
        <v>68</v>
      </c>
      <c r="G384" t="s">
        <v>92</v>
      </c>
      <c r="H384" t="s">
        <v>243</v>
      </c>
      <c r="I384" t="s">
        <v>832</v>
      </c>
      <c r="J384">
        <v>4</v>
      </c>
      <c r="K384">
        <v>24210</v>
      </c>
      <c r="L384">
        <v>0.05</v>
      </c>
      <c r="M384">
        <f>'Raw data'!$K384*(1- 'Raw data'!$L384)</f>
        <v>22999.5</v>
      </c>
      <c r="N384">
        <v>91998</v>
      </c>
      <c r="O384">
        <v>0.15</v>
      </c>
      <c r="P384">
        <v>13799.7</v>
      </c>
      <c r="Q384" t="s">
        <v>51</v>
      </c>
      <c r="R384" t="s">
        <v>48</v>
      </c>
      <c r="S384">
        <v>5</v>
      </c>
    </row>
    <row r="385" spans="1:19" x14ac:dyDescent="0.3">
      <c r="A385" t="s">
        <v>833</v>
      </c>
      <c r="B385">
        <v>45310</v>
      </c>
      <c r="C385" t="s">
        <v>40</v>
      </c>
      <c r="D385" t="s">
        <v>56</v>
      </c>
      <c r="E385" t="s">
        <v>67</v>
      </c>
      <c r="F385" t="s">
        <v>97</v>
      </c>
      <c r="G385" t="s">
        <v>24</v>
      </c>
      <c r="H385" t="s">
        <v>121</v>
      </c>
      <c r="I385" t="s">
        <v>834</v>
      </c>
      <c r="J385">
        <v>1</v>
      </c>
      <c r="K385">
        <v>1072</v>
      </c>
      <c r="L385">
        <v>0.08</v>
      </c>
      <c r="M385">
        <f>'Raw data'!$K385*(1- 'Raw data'!$L385)</f>
        <v>986.24</v>
      </c>
      <c r="N385">
        <v>986.24</v>
      </c>
      <c r="O385">
        <v>0.25</v>
      </c>
      <c r="P385">
        <v>246.56</v>
      </c>
      <c r="Q385" t="s">
        <v>47</v>
      </c>
      <c r="R385" t="s">
        <v>48</v>
      </c>
      <c r="S385">
        <v>6</v>
      </c>
    </row>
    <row r="386" spans="1:19" x14ac:dyDescent="0.3">
      <c r="A386" t="s">
        <v>835</v>
      </c>
      <c r="B386">
        <v>45311</v>
      </c>
      <c r="C386" t="s">
        <v>20</v>
      </c>
      <c r="D386" t="s">
        <v>31</v>
      </c>
      <c r="E386" t="s">
        <v>67</v>
      </c>
      <c r="F386" t="s">
        <v>68</v>
      </c>
      <c r="G386" t="s">
        <v>34</v>
      </c>
      <c r="H386" t="s">
        <v>71</v>
      </c>
      <c r="I386" t="s">
        <v>836</v>
      </c>
      <c r="J386">
        <v>6</v>
      </c>
      <c r="K386">
        <v>847</v>
      </c>
      <c r="L386">
        <v>0.06</v>
      </c>
      <c r="M386">
        <f>'Raw data'!$K386*(1- 'Raw data'!$L386)</f>
        <v>796.18</v>
      </c>
      <c r="N386">
        <v>4777.08</v>
      </c>
      <c r="O386">
        <v>0.4</v>
      </c>
      <c r="P386">
        <v>1910.83</v>
      </c>
      <c r="Q386" t="s">
        <v>51</v>
      </c>
      <c r="R386" t="s">
        <v>48</v>
      </c>
      <c r="S386">
        <v>8</v>
      </c>
    </row>
    <row r="387" spans="1:19" x14ac:dyDescent="0.3">
      <c r="A387" t="s">
        <v>837</v>
      </c>
      <c r="B387">
        <v>45312</v>
      </c>
      <c r="C387" t="s">
        <v>96</v>
      </c>
      <c r="D387" t="s">
        <v>21</v>
      </c>
      <c r="E387" t="s">
        <v>67</v>
      </c>
      <c r="F387" t="s">
        <v>97</v>
      </c>
      <c r="G387" t="s">
        <v>92</v>
      </c>
      <c r="H387" t="s">
        <v>109</v>
      </c>
      <c r="I387" t="s">
        <v>838</v>
      </c>
      <c r="J387">
        <v>4</v>
      </c>
      <c r="K387">
        <v>64624</v>
      </c>
      <c r="L387">
        <v>0.05</v>
      </c>
      <c r="M387">
        <f>'Raw data'!$K387*(1- 'Raw data'!$L387)</f>
        <v>61392.799999999996</v>
      </c>
      <c r="N387">
        <v>245571.20000000001</v>
      </c>
      <c r="O387">
        <v>0.15</v>
      </c>
      <c r="P387">
        <v>36835.68</v>
      </c>
      <c r="Q387" t="s">
        <v>51</v>
      </c>
      <c r="R387" t="s">
        <v>48</v>
      </c>
      <c r="S387">
        <v>5</v>
      </c>
    </row>
    <row r="388" spans="1:19" x14ac:dyDescent="0.3">
      <c r="A388" t="s">
        <v>839</v>
      </c>
      <c r="B388">
        <v>45313</v>
      </c>
      <c r="C388" t="s">
        <v>30</v>
      </c>
      <c r="D388" t="s">
        <v>21</v>
      </c>
      <c r="E388" t="s">
        <v>32</v>
      </c>
      <c r="F388" t="s">
        <v>103</v>
      </c>
      <c r="G388" t="s">
        <v>57</v>
      </c>
      <c r="H388" t="s">
        <v>81</v>
      </c>
      <c r="I388" t="s">
        <v>840</v>
      </c>
      <c r="J388">
        <v>5</v>
      </c>
      <c r="K388">
        <v>12106</v>
      </c>
      <c r="L388">
        <v>0.11</v>
      </c>
      <c r="M388">
        <f>'Raw data'!$K388*(1- 'Raw data'!$L388)</f>
        <v>10774.34</v>
      </c>
      <c r="N388">
        <v>53871.7</v>
      </c>
      <c r="O388">
        <v>0.2</v>
      </c>
      <c r="P388">
        <v>10774.34</v>
      </c>
      <c r="Q388" t="s">
        <v>51</v>
      </c>
      <c r="R388" t="s">
        <v>48</v>
      </c>
      <c r="S388">
        <v>2</v>
      </c>
    </row>
    <row r="389" spans="1:19" x14ac:dyDescent="0.3">
      <c r="A389" t="s">
        <v>841</v>
      </c>
      <c r="B389">
        <v>45314</v>
      </c>
      <c r="C389" t="s">
        <v>30</v>
      </c>
      <c r="D389" t="s">
        <v>31</v>
      </c>
      <c r="E389" t="s">
        <v>22</v>
      </c>
      <c r="F389" t="s">
        <v>103</v>
      </c>
      <c r="G389" t="s">
        <v>57</v>
      </c>
      <c r="H389" t="s">
        <v>183</v>
      </c>
      <c r="I389" t="s">
        <v>842</v>
      </c>
      <c r="J389">
        <v>5</v>
      </c>
      <c r="K389">
        <v>7189</v>
      </c>
      <c r="L389">
        <v>0.23</v>
      </c>
      <c r="M389">
        <f>'Raw data'!$K389*(1- 'Raw data'!$L389)</f>
        <v>5535.53</v>
      </c>
      <c r="N389">
        <v>27677.65</v>
      </c>
      <c r="O389">
        <v>0.2</v>
      </c>
      <c r="P389">
        <v>5535.53</v>
      </c>
      <c r="Q389" t="s">
        <v>27</v>
      </c>
      <c r="R389" t="s">
        <v>48</v>
      </c>
      <c r="S389">
        <v>2</v>
      </c>
    </row>
    <row r="390" spans="1:19" x14ac:dyDescent="0.3">
      <c r="A390" t="s">
        <v>843</v>
      </c>
      <c r="B390">
        <v>45315</v>
      </c>
      <c r="C390" t="s">
        <v>20</v>
      </c>
      <c r="D390" t="s">
        <v>41</v>
      </c>
      <c r="E390" t="s">
        <v>67</v>
      </c>
      <c r="F390" t="s">
        <v>23</v>
      </c>
      <c r="G390" t="s">
        <v>92</v>
      </c>
      <c r="H390" t="s">
        <v>93</v>
      </c>
      <c r="I390" t="s">
        <v>844</v>
      </c>
      <c r="J390">
        <v>9</v>
      </c>
      <c r="K390">
        <v>78008</v>
      </c>
      <c r="L390">
        <v>0.13</v>
      </c>
      <c r="M390">
        <f>'Raw data'!$K390*(1- 'Raw data'!$L390)</f>
        <v>67866.960000000006</v>
      </c>
      <c r="N390">
        <v>610802.64</v>
      </c>
      <c r="O390">
        <v>0.15</v>
      </c>
      <c r="P390">
        <v>91620.4</v>
      </c>
      <c r="Q390" t="s">
        <v>37</v>
      </c>
      <c r="R390" t="s">
        <v>48</v>
      </c>
      <c r="S390">
        <v>5</v>
      </c>
    </row>
    <row r="391" spans="1:19" x14ac:dyDescent="0.3">
      <c r="A391" t="s">
        <v>845</v>
      </c>
      <c r="B391">
        <v>45316</v>
      </c>
      <c r="C391" t="s">
        <v>63</v>
      </c>
      <c r="D391" t="s">
        <v>31</v>
      </c>
      <c r="E391" t="s">
        <v>32</v>
      </c>
      <c r="F391" t="s">
        <v>33</v>
      </c>
      <c r="G391" t="s">
        <v>57</v>
      </c>
      <c r="H391" t="s">
        <v>100</v>
      </c>
      <c r="I391" t="s">
        <v>846</v>
      </c>
      <c r="J391">
        <v>1</v>
      </c>
      <c r="K391">
        <v>19091</v>
      </c>
      <c r="L391">
        <v>0.05</v>
      </c>
      <c r="M391">
        <f>'Raw data'!$K391*(1- 'Raw data'!$L391)</f>
        <v>18136.45</v>
      </c>
      <c r="N391">
        <v>18136.45</v>
      </c>
      <c r="O391">
        <v>0.2</v>
      </c>
      <c r="P391">
        <v>3627.29</v>
      </c>
      <c r="Q391" t="s">
        <v>51</v>
      </c>
      <c r="R391" t="s">
        <v>48</v>
      </c>
      <c r="S391">
        <v>3</v>
      </c>
    </row>
    <row r="392" spans="1:19" x14ac:dyDescent="0.3">
      <c r="A392" t="s">
        <v>847</v>
      </c>
      <c r="B392">
        <v>45317</v>
      </c>
      <c r="C392" t="s">
        <v>30</v>
      </c>
      <c r="D392" t="s">
        <v>41</v>
      </c>
      <c r="E392" t="s">
        <v>67</v>
      </c>
      <c r="F392" t="s">
        <v>103</v>
      </c>
      <c r="G392" t="s">
        <v>92</v>
      </c>
      <c r="H392" t="s">
        <v>178</v>
      </c>
      <c r="I392" t="s">
        <v>848</v>
      </c>
      <c r="J392">
        <v>2</v>
      </c>
      <c r="K392">
        <v>74315</v>
      </c>
      <c r="L392">
        <v>0.02</v>
      </c>
      <c r="M392">
        <f>'Raw data'!$K392*(1- 'Raw data'!$L392)</f>
        <v>72828.7</v>
      </c>
      <c r="N392">
        <v>145657.4</v>
      </c>
      <c r="O392">
        <v>0.15</v>
      </c>
      <c r="P392">
        <v>21848.61</v>
      </c>
      <c r="Q392" t="s">
        <v>51</v>
      </c>
      <c r="R392" t="s">
        <v>48</v>
      </c>
      <c r="S392">
        <v>3</v>
      </c>
    </row>
    <row r="393" spans="1:19" x14ac:dyDescent="0.3">
      <c r="A393" t="s">
        <v>849</v>
      </c>
      <c r="B393">
        <v>45318</v>
      </c>
      <c r="C393" t="s">
        <v>55</v>
      </c>
      <c r="D393" t="s">
        <v>21</v>
      </c>
      <c r="E393" t="s">
        <v>42</v>
      </c>
      <c r="F393" t="s">
        <v>23</v>
      </c>
      <c r="G393" t="s">
        <v>34</v>
      </c>
      <c r="H393" t="s">
        <v>71</v>
      </c>
      <c r="I393" t="s">
        <v>850</v>
      </c>
      <c r="J393">
        <v>6</v>
      </c>
      <c r="K393">
        <v>1155</v>
      </c>
      <c r="L393">
        <v>0.17</v>
      </c>
      <c r="M393">
        <f>'Raw data'!$K393*(1- 'Raw data'!$L393)</f>
        <v>958.65</v>
      </c>
      <c r="N393">
        <v>5751.9</v>
      </c>
      <c r="O393">
        <v>0.4</v>
      </c>
      <c r="P393">
        <v>2300.7600000000002</v>
      </c>
      <c r="Q393" t="s">
        <v>51</v>
      </c>
      <c r="R393" t="s">
        <v>48</v>
      </c>
      <c r="S393">
        <v>8</v>
      </c>
    </row>
    <row r="394" spans="1:19" x14ac:dyDescent="0.3">
      <c r="A394" t="s">
        <v>851</v>
      </c>
      <c r="B394">
        <v>45319</v>
      </c>
      <c r="C394" t="s">
        <v>20</v>
      </c>
      <c r="D394" t="s">
        <v>21</v>
      </c>
      <c r="E394" t="s">
        <v>32</v>
      </c>
      <c r="F394" t="s">
        <v>68</v>
      </c>
      <c r="G394" t="s">
        <v>34</v>
      </c>
      <c r="H394" t="s">
        <v>141</v>
      </c>
      <c r="I394" t="s">
        <v>852</v>
      </c>
      <c r="J394">
        <v>5</v>
      </c>
      <c r="K394">
        <v>716</v>
      </c>
      <c r="L394">
        <v>0.1</v>
      </c>
      <c r="M394">
        <f>'Raw data'!$K394*(1- 'Raw data'!$L394)</f>
        <v>644.4</v>
      </c>
      <c r="N394">
        <v>3222</v>
      </c>
      <c r="O394">
        <v>0.4</v>
      </c>
      <c r="P394">
        <v>1288.8</v>
      </c>
      <c r="Q394" t="s">
        <v>27</v>
      </c>
      <c r="R394" t="s">
        <v>48</v>
      </c>
      <c r="S394">
        <v>7</v>
      </c>
    </row>
    <row r="395" spans="1:19" x14ac:dyDescent="0.3">
      <c r="A395" t="s">
        <v>853</v>
      </c>
      <c r="B395">
        <v>45320</v>
      </c>
      <c r="C395" t="s">
        <v>96</v>
      </c>
      <c r="D395" t="s">
        <v>21</v>
      </c>
      <c r="E395" t="s">
        <v>67</v>
      </c>
      <c r="F395" t="s">
        <v>103</v>
      </c>
      <c r="G395" t="s">
        <v>92</v>
      </c>
      <c r="H395" t="s">
        <v>243</v>
      </c>
      <c r="I395" t="s">
        <v>854</v>
      </c>
      <c r="J395">
        <v>7</v>
      </c>
      <c r="K395">
        <v>78011</v>
      </c>
      <c r="L395">
        <v>0.21</v>
      </c>
      <c r="M395">
        <f>'Raw data'!$K395*(1- 'Raw data'!$L395)</f>
        <v>61628.69</v>
      </c>
      <c r="N395">
        <v>431400.83</v>
      </c>
      <c r="O395">
        <v>0.15</v>
      </c>
      <c r="P395">
        <v>64710.12</v>
      </c>
      <c r="Q395" t="s">
        <v>27</v>
      </c>
      <c r="R395" t="s">
        <v>48</v>
      </c>
      <c r="S395">
        <v>1</v>
      </c>
    </row>
    <row r="396" spans="1:19" x14ac:dyDescent="0.3">
      <c r="A396" t="s">
        <v>855</v>
      </c>
      <c r="B396">
        <v>45321</v>
      </c>
      <c r="C396" t="s">
        <v>20</v>
      </c>
      <c r="D396" t="s">
        <v>56</v>
      </c>
      <c r="E396" t="s">
        <v>32</v>
      </c>
      <c r="F396" t="s">
        <v>68</v>
      </c>
      <c r="G396" t="s">
        <v>34</v>
      </c>
      <c r="H396" t="s">
        <v>141</v>
      </c>
      <c r="I396" t="s">
        <v>856</v>
      </c>
      <c r="J396">
        <v>3</v>
      </c>
      <c r="K396">
        <v>359</v>
      </c>
      <c r="L396">
        <v>0.16</v>
      </c>
      <c r="M396">
        <f>'Raw data'!$K396*(1- 'Raw data'!$L396)</f>
        <v>301.56</v>
      </c>
      <c r="N396">
        <v>904.68</v>
      </c>
      <c r="O396">
        <v>0.4</v>
      </c>
      <c r="P396">
        <v>361.87</v>
      </c>
      <c r="Q396" t="s">
        <v>27</v>
      </c>
      <c r="R396" t="s">
        <v>48</v>
      </c>
      <c r="S396">
        <v>5</v>
      </c>
    </row>
    <row r="397" spans="1:19" x14ac:dyDescent="0.3">
      <c r="A397" t="s">
        <v>857</v>
      </c>
      <c r="B397">
        <v>45322</v>
      </c>
      <c r="C397" t="s">
        <v>40</v>
      </c>
      <c r="D397" t="s">
        <v>56</v>
      </c>
      <c r="E397" t="s">
        <v>67</v>
      </c>
      <c r="F397" t="s">
        <v>68</v>
      </c>
      <c r="G397" t="s">
        <v>34</v>
      </c>
      <c r="H397" t="s">
        <v>35</v>
      </c>
      <c r="I397" t="s">
        <v>858</v>
      </c>
      <c r="J397">
        <v>3</v>
      </c>
      <c r="K397">
        <v>348</v>
      </c>
      <c r="L397">
        <v>0.2</v>
      </c>
      <c r="M397">
        <f>'Raw data'!$K397*(1- 'Raw data'!$L397)</f>
        <v>278.40000000000003</v>
      </c>
      <c r="N397">
        <v>835.2</v>
      </c>
      <c r="O397">
        <v>0.4</v>
      </c>
      <c r="P397">
        <v>334.08</v>
      </c>
      <c r="Q397" t="s">
        <v>51</v>
      </c>
      <c r="R397" t="s">
        <v>48</v>
      </c>
      <c r="S397">
        <v>9</v>
      </c>
    </row>
    <row r="398" spans="1:19" x14ac:dyDescent="0.3">
      <c r="A398" t="s">
        <v>859</v>
      </c>
      <c r="B398">
        <v>45323</v>
      </c>
      <c r="C398" t="s">
        <v>63</v>
      </c>
      <c r="D398" t="s">
        <v>56</v>
      </c>
      <c r="E398" t="s">
        <v>22</v>
      </c>
      <c r="F398" t="s">
        <v>33</v>
      </c>
      <c r="G398" t="s">
        <v>34</v>
      </c>
      <c r="H398" t="s">
        <v>71</v>
      </c>
      <c r="I398" t="s">
        <v>860</v>
      </c>
      <c r="J398">
        <v>2</v>
      </c>
      <c r="K398">
        <v>975</v>
      </c>
      <c r="L398">
        <v>7.0000000000000007E-2</v>
      </c>
      <c r="M398">
        <f>'Raw data'!$K398*(1- 'Raw data'!$L398)</f>
        <v>906.74999999999989</v>
      </c>
      <c r="N398">
        <v>1813.5</v>
      </c>
      <c r="O398">
        <v>0.4</v>
      </c>
      <c r="P398">
        <v>725.4</v>
      </c>
      <c r="Q398" t="s">
        <v>47</v>
      </c>
      <c r="R398" t="s">
        <v>48</v>
      </c>
      <c r="S398">
        <v>4</v>
      </c>
    </row>
    <row r="399" spans="1:19" x14ac:dyDescent="0.3">
      <c r="A399" t="s">
        <v>861</v>
      </c>
      <c r="B399">
        <v>45324</v>
      </c>
      <c r="C399" t="s">
        <v>63</v>
      </c>
      <c r="D399" t="s">
        <v>31</v>
      </c>
      <c r="E399" t="s">
        <v>67</v>
      </c>
      <c r="F399" t="s">
        <v>103</v>
      </c>
      <c r="G399" t="s">
        <v>44</v>
      </c>
      <c r="H399" t="s">
        <v>64</v>
      </c>
      <c r="I399" t="s">
        <v>862</v>
      </c>
      <c r="J399">
        <v>3</v>
      </c>
      <c r="K399">
        <v>2235</v>
      </c>
      <c r="L399">
        <v>0.17</v>
      </c>
      <c r="M399">
        <f>'Raw data'!$K399*(1- 'Raw data'!$L399)</f>
        <v>1855.05</v>
      </c>
      <c r="N399">
        <v>5565.15</v>
      </c>
      <c r="O399">
        <v>0.35</v>
      </c>
      <c r="P399">
        <v>1947.8</v>
      </c>
      <c r="Q399" t="s">
        <v>47</v>
      </c>
      <c r="R399" t="s">
        <v>48</v>
      </c>
      <c r="S399">
        <v>1</v>
      </c>
    </row>
    <row r="400" spans="1:19" x14ac:dyDescent="0.3">
      <c r="A400" t="s">
        <v>863</v>
      </c>
      <c r="B400">
        <v>45325</v>
      </c>
      <c r="C400" t="s">
        <v>20</v>
      </c>
      <c r="D400" t="s">
        <v>21</v>
      </c>
      <c r="E400" t="s">
        <v>32</v>
      </c>
      <c r="F400" t="s">
        <v>68</v>
      </c>
      <c r="G400" t="s">
        <v>24</v>
      </c>
      <c r="H400" t="s">
        <v>25</v>
      </c>
      <c r="I400" t="s">
        <v>864</v>
      </c>
      <c r="J400">
        <v>1</v>
      </c>
      <c r="K400">
        <v>10777</v>
      </c>
      <c r="L400">
        <v>7.0000000000000007E-2</v>
      </c>
      <c r="M400">
        <f>'Raw data'!$K400*(1- 'Raw data'!$L400)</f>
        <v>10022.609999999999</v>
      </c>
      <c r="N400">
        <v>10022.61</v>
      </c>
      <c r="O400">
        <v>0.25</v>
      </c>
      <c r="P400">
        <v>2505.65</v>
      </c>
      <c r="Q400" t="s">
        <v>47</v>
      </c>
      <c r="R400" t="s">
        <v>48</v>
      </c>
      <c r="S400">
        <v>8</v>
      </c>
    </row>
    <row r="401" spans="1:19" x14ac:dyDescent="0.3">
      <c r="A401" t="s">
        <v>865</v>
      </c>
      <c r="B401">
        <v>45326</v>
      </c>
      <c r="C401" t="s">
        <v>30</v>
      </c>
      <c r="D401" t="s">
        <v>21</v>
      </c>
      <c r="E401" t="s">
        <v>42</v>
      </c>
      <c r="F401" t="s">
        <v>33</v>
      </c>
      <c r="G401" t="s">
        <v>57</v>
      </c>
      <c r="H401" t="s">
        <v>81</v>
      </c>
      <c r="I401" t="s">
        <v>866</v>
      </c>
      <c r="J401">
        <v>5</v>
      </c>
      <c r="K401">
        <v>10258</v>
      </c>
      <c r="L401">
        <v>0.23</v>
      </c>
      <c r="M401">
        <f>'Raw data'!$K401*(1- 'Raw data'!$L401)</f>
        <v>7898.66</v>
      </c>
      <c r="N401">
        <v>39493.300000000003</v>
      </c>
      <c r="O401">
        <v>0.2</v>
      </c>
      <c r="P401">
        <v>7898.66</v>
      </c>
      <c r="Q401" t="s">
        <v>37</v>
      </c>
      <c r="R401" t="s">
        <v>48</v>
      </c>
      <c r="S401">
        <v>5</v>
      </c>
    </row>
    <row r="402" spans="1:19" x14ac:dyDescent="0.3">
      <c r="A402" t="s">
        <v>867</v>
      </c>
      <c r="B402">
        <v>45327</v>
      </c>
      <c r="C402" t="s">
        <v>30</v>
      </c>
      <c r="D402" t="s">
        <v>31</v>
      </c>
      <c r="E402" t="s">
        <v>42</v>
      </c>
      <c r="F402" t="s">
        <v>33</v>
      </c>
      <c r="G402" t="s">
        <v>44</v>
      </c>
      <c r="H402" t="s">
        <v>138</v>
      </c>
      <c r="I402" t="s">
        <v>868</v>
      </c>
      <c r="J402">
        <v>5</v>
      </c>
      <c r="K402">
        <v>3561</v>
      </c>
      <c r="L402">
        <v>0.16</v>
      </c>
      <c r="M402">
        <f>'Raw data'!$K402*(1- 'Raw data'!$L402)</f>
        <v>2991.24</v>
      </c>
      <c r="N402">
        <v>14956.2</v>
      </c>
      <c r="O402">
        <v>0.35</v>
      </c>
      <c r="P402">
        <v>5234.67</v>
      </c>
      <c r="Q402" t="s">
        <v>51</v>
      </c>
      <c r="R402" t="s">
        <v>48</v>
      </c>
      <c r="S402">
        <v>2</v>
      </c>
    </row>
    <row r="403" spans="1:19" x14ac:dyDescent="0.3">
      <c r="A403" t="s">
        <v>869</v>
      </c>
      <c r="B403">
        <v>45328</v>
      </c>
      <c r="C403" t="s">
        <v>55</v>
      </c>
      <c r="D403" t="s">
        <v>56</v>
      </c>
      <c r="E403" t="s">
        <v>42</v>
      </c>
      <c r="F403" t="s">
        <v>103</v>
      </c>
      <c r="G403" t="s">
        <v>34</v>
      </c>
      <c r="H403" t="s">
        <v>104</v>
      </c>
      <c r="I403" t="s">
        <v>870</v>
      </c>
      <c r="J403">
        <v>7</v>
      </c>
      <c r="K403">
        <v>580</v>
      </c>
      <c r="L403">
        <v>0.08</v>
      </c>
      <c r="M403">
        <f>'Raw data'!$K403*(1- 'Raw data'!$L403)</f>
        <v>533.6</v>
      </c>
      <c r="N403">
        <v>3735.2</v>
      </c>
      <c r="O403">
        <v>0.4</v>
      </c>
      <c r="P403">
        <v>1494.08</v>
      </c>
      <c r="Q403" t="s">
        <v>47</v>
      </c>
      <c r="R403" t="s">
        <v>38</v>
      </c>
      <c r="S403">
        <v>1</v>
      </c>
    </row>
    <row r="404" spans="1:19" x14ac:dyDescent="0.3">
      <c r="A404" t="s">
        <v>871</v>
      </c>
      <c r="B404">
        <v>45329</v>
      </c>
      <c r="C404" t="s">
        <v>55</v>
      </c>
      <c r="D404" t="s">
        <v>31</v>
      </c>
      <c r="E404" t="s">
        <v>67</v>
      </c>
      <c r="F404" t="s">
        <v>33</v>
      </c>
      <c r="G404" t="s">
        <v>92</v>
      </c>
      <c r="H404" t="s">
        <v>93</v>
      </c>
      <c r="I404" t="s">
        <v>872</v>
      </c>
      <c r="J404">
        <v>4</v>
      </c>
      <c r="K404">
        <v>55113</v>
      </c>
      <c r="L404">
        <v>7.0000000000000007E-2</v>
      </c>
      <c r="M404">
        <f>'Raw data'!$K404*(1- 'Raw data'!$L404)</f>
        <v>51255.09</v>
      </c>
      <c r="N404">
        <v>205020.36</v>
      </c>
      <c r="O404">
        <v>0.15</v>
      </c>
      <c r="P404">
        <v>30753.05</v>
      </c>
      <c r="Q404" t="s">
        <v>47</v>
      </c>
      <c r="R404" t="s">
        <v>38</v>
      </c>
      <c r="S404">
        <v>3</v>
      </c>
    </row>
    <row r="405" spans="1:19" x14ac:dyDescent="0.3">
      <c r="A405" t="s">
        <v>873</v>
      </c>
      <c r="B405">
        <v>45330</v>
      </c>
      <c r="C405" t="s">
        <v>63</v>
      </c>
      <c r="D405" t="s">
        <v>56</v>
      </c>
      <c r="E405" t="s">
        <v>22</v>
      </c>
      <c r="F405" t="s">
        <v>103</v>
      </c>
      <c r="G405" t="s">
        <v>34</v>
      </c>
      <c r="H405" t="s">
        <v>104</v>
      </c>
      <c r="I405" t="s">
        <v>874</v>
      </c>
      <c r="J405">
        <v>3</v>
      </c>
      <c r="K405">
        <v>1482</v>
      </c>
      <c r="L405">
        <v>0.05</v>
      </c>
      <c r="M405">
        <f>'Raw data'!$K405*(1- 'Raw data'!$L405)</f>
        <v>1407.8999999999999</v>
      </c>
      <c r="N405">
        <v>4223.7</v>
      </c>
      <c r="O405">
        <v>0.4</v>
      </c>
      <c r="P405">
        <v>1689.48</v>
      </c>
      <c r="Q405" t="s">
        <v>47</v>
      </c>
      <c r="R405" t="s">
        <v>48</v>
      </c>
      <c r="S405">
        <v>9</v>
      </c>
    </row>
    <row r="406" spans="1:19" x14ac:dyDescent="0.3">
      <c r="A406" t="s">
        <v>875</v>
      </c>
      <c r="B406">
        <v>45331</v>
      </c>
      <c r="C406" t="s">
        <v>55</v>
      </c>
      <c r="D406" t="s">
        <v>21</v>
      </c>
      <c r="E406" t="s">
        <v>67</v>
      </c>
      <c r="F406" t="s">
        <v>103</v>
      </c>
      <c r="G406" t="s">
        <v>24</v>
      </c>
      <c r="H406" t="s">
        <v>74</v>
      </c>
      <c r="I406" t="s">
        <v>876</v>
      </c>
      <c r="J406">
        <v>1</v>
      </c>
      <c r="K406">
        <v>9533</v>
      </c>
      <c r="L406">
        <v>0.17</v>
      </c>
      <c r="M406">
        <f>'Raw data'!$K406*(1- 'Raw data'!$L406)</f>
        <v>7912.3899999999994</v>
      </c>
      <c r="N406">
        <v>7912.39</v>
      </c>
      <c r="O406">
        <v>0.25</v>
      </c>
      <c r="P406">
        <v>1978.1</v>
      </c>
      <c r="Q406" t="s">
        <v>51</v>
      </c>
      <c r="R406" t="s">
        <v>48</v>
      </c>
      <c r="S406">
        <v>1</v>
      </c>
    </row>
    <row r="407" spans="1:19" x14ac:dyDescent="0.3">
      <c r="A407" t="s">
        <v>877</v>
      </c>
      <c r="B407">
        <v>45332</v>
      </c>
      <c r="C407" t="s">
        <v>96</v>
      </c>
      <c r="D407" t="s">
        <v>41</v>
      </c>
      <c r="E407" t="s">
        <v>42</v>
      </c>
      <c r="F407" t="s">
        <v>97</v>
      </c>
      <c r="G407" t="s">
        <v>34</v>
      </c>
      <c r="H407" t="s">
        <v>104</v>
      </c>
      <c r="I407" t="s">
        <v>878</v>
      </c>
      <c r="J407">
        <v>8</v>
      </c>
      <c r="K407">
        <v>1353</v>
      </c>
      <c r="L407">
        <v>0.05</v>
      </c>
      <c r="M407">
        <f>'Raw data'!$K407*(1- 'Raw data'!$L407)</f>
        <v>1285.3499999999999</v>
      </c>
      <c r="N407">
        <v>10282.799999999999</v>
      </c>
      <c r="O407">
        <v>0.4</v>
      </c>
      <c r="P407">
        <v>4113.12</v>
      </c>
      <c r="Q407" t="s">
        <v>47</v>
      </c>
      <c r="R407" t="s">
        <v>48</v>
      </c>
      <c r="S407">
        <v>4</v>
      </c>
    </row>
    <row r="408" spans="1:19" x14ac:dyDescent="0.3">
      <c r="A408" t="s">
        <v>879</v>
      </c>
      <c r="B408">
        <v>45333</v>
      </c>
      <c r="C408" t="s">
        <v>55</v>
      </c>
      <c r="D408" t="s">
        <v>56</v>
      </c>
      <c r="E408" t="s">
        <v>32</v>
      </c>
      <c r="F408" t="s">
        <v>68</v>
      </c>
      <c r="G408" t="s">
        <v>92</v>
      </c>
      <c r="H408" t="s">
        <v>109</v>
      </c>
      <c r="I408" t="s">
        <v>880</v>
      </c>
      <c r="J408">
        <v>3</v>
      </c>
      <c r="K408">
        <v>29201</v>
      </c>
      <c r="L408">
        <v>0.15</v>
      </c>
      <c r="M408">
        <f>'Raw data'!$K408*(1- 'Raw data'!$L408)</f>
        <v>24820.85</v>
      </c>
      <c r="N408">
        <v>74462.55</v>
      </c>
      <c r="O408">
        <v>0.15</v>
      </c>
      <c r="P408">
        <v>11169.38</v>
      </c>
      <c r="Q408" t="s">
        <v>47</v>
      </c>
      <c r="R408" t="s">
        <v>48</v>
      </c>
      <c r="S408">
        <v>8</v>
      </c>
    </row>
    <row r="409" spans="1:19" x14ac:dyDescent="0.3">
      <c r="A409" t="s">
        <v>881</v>
      </c>
      <c r="B409">
        <v>45334</v>
      </c>
      <c r="C409" t="s">
        <v>96</v>
      </c>
      <c r="D409" t="s">
        <v>21</v>
      </c>
      <c r="E409" t="s">
        <v>42</v>
      </c>
      <c r="F409" t="s">
        <v>43</v>
      </c>
      <c r="G409" t="s">
        <v>24</v>
      </c>
      <c r="H409" t="s">
        <v>121</v>
      </c>
      <c r="I409" t="s">
        <v>882</v>
      </c>
      <c r="J409">
        <v>2</v>
      </c>
      <c r="K409">
        <v>11853</v>
      </c>
      <c r="L409">
        <v>7.0000000000000007E-2</v>
      </c>
      <c r="M409">
        <f>'Raw data'!$K409*(1- 'Raw data'!$L409)</f>
        <v>11023.289999999999</v>
      </c>
      <c r="N409">
        <v>22046.58</v>
      </c>
      <c r="O409">
        <v>0.25</v>
      </c>
      <c r="P409">
        <v>5511.64</v>
      </c>
      <c r="Q409" t="s">
        <v>51</v>
      </c>
      <c r="R409" t="s">
        <v>48</v>
      </c>
      <c r="S409">
        <v>8</v>
      </c>
    </row>
    <row r="410" spans="1:19" x14ac:dyDescent="0.3">
      <c r="A410" t="s">
        <v>883</v>
      </c>
      <c r="B410">
        <v>45335</v>
      </c>
      <c r="C410" t="s">
        <v>55</v>
      </c>
      <c r="D410" t="s">
        <v>21</v>
      </c>
      <c r="E410" t="s">
        <v>32</v>
      </c>
      <c r="F410" t="s">
        <v>103</v>
      </c>
      <c r="G410" t="s">
        <v>34</v>
      </c>
      <c r="H410" t="s">
        <v>71</v>
      </c>
      <c r="I410" t="s">
        <v>884</v>
      </c>
      <c r="J410">
        <v>4</v>
      </c>
      <c r="K410">
        <v>1432</v>
      </c>
      <c r="L410">
        <v>0.17</v>
      </c>
      <c r="M410">
        <f>'Raw data'!$K410*(1- 'Raw data'!$L410)</f>
        <v>1188.56</v>
      </c>
      <c r="N410">
        <v>4754.24</v>
      </c>
      <c r="O410">
        <v>0.4</v>
      </c>
      <c r="P410">
        <v>1901.7</v>
      </c>
      <c r="Q410" t="s">
        <v>37</v>
      </c>
      <c r="R410" t="s">
        <v>48</v>
      </c>
      <c r="S410">
        <v>8</v>
      </c>
    </row>
    <row r="411" spans="1:19" x14ac:dyDescent="0.3">
      <c r="A411" t="s">
        <v>885</v>
      </c>
      <c r="B411">
        <v>45336</v>
      </c>
      <c r="C411" t="s">
        <v>63</v>
      </c>
      <c r="D411" t="s">
        <v>41</v>
      </c>
      <c r="E411" t="s">
        <v>22</v>
      </c>
      <c r="F411" t="s">
        <v>68</v>
      </c>
      <c r="G411" t="s">
        <v>24</v>
      </c>
      <c r="H411" t="s">
        <v>25</v>
      </c>
      <c r="I411" t="s">
        <v>886</v>
      </c>
      <c r="J411">
        <v>3</v>
      </c>
      <c r="K411">
        <v>4874</v>
      </c>
      <c r="L411">
        <v>0.2</v>
      </c>
      <c r="M411">
        <f>'Raw data'!$K411*(1- 'Raw data'!$L411)</f>
        <v>3899.2000000000003</v>
      </c>
      <c r="N411">
        <v>11697.6</v>
      </c>
      <c r="O411">
        <v>0.25</v>
      </c>
      <c r="P411">
        <v>2924.4</v>
      </c>
      <c r="Q411" t="s">
        <v>27</v>
      </c>
      <c r="R411" t="s">
        <v>48</v>
      </c>
      <c r="S411">
        <v>8</v>
      </c>
    </row>
    <row r="412" spans="1:19" x14ac:dyDescent="0.3">
      <c r="A412" t="s">
        <v>887</v>
      </c>
      <c r="B412">
        <v>45337</v>
      </c>
      <c r="C412" t="s">
        <v>63</v>
      </c>
      <c r="D412" t="s">
        <v>21</v>
      </c>
      <c r="E412" t="s">
        <v>32</v>
      </c>
      <c r="F412" t="s">
        <v>33</v>
      </c>
      <c r="G412" t="s">
        <v>57</v>
      </c>
      <c r="H412" t="s">
        <v>183</v>
      </c>
      <c r="I412" t="s">
        <v>888</v>
      </c>
      <c r="J412">
        <v>1</v>
      </c>
      <c r="K412">
        <v>11686</v>
      </c>
      <c r="L412">
        <v>0.19</v>
      </c>
      <c r="M412">
        <f>'Raw data'!$K412*(1- 'Raw data'!$L412)</f>
        <v>9465.66</v>
      </c>
      <c r="N412">
        <v>9465.66</v>
      </c>
      <c r="O412">
        <v>0.2</v>
      </c>
      <c r="P412">
        <v>1893.13</v>
      </c>
      <c r="Q412" t="s">
        <v>47</v>
      </c>
      <c r="R412" t="s">
        <v>48</v>
      </c>
      <c r="S412">
        <v>4</v>
      </c>
    </row>
    <row r="413" spans="1:19" x14ac:dyDescent="0.3">
      <c r="A413" t="s">
        <v>889</v>
      </c>
      <c r="B413">
        <v>45338</v>
      </c>
      <c r="C413" t="s">
        <v>96</v>
      </c>
      <c r="D413" t="s">
        <v>21</v>
      </c>
      <c r="E413" t="s">
        <v>67</v>
      </c>
      <c r="F413" t="s">
        <v>23</v>
      </c>
      <c r="G413" t="s">
        <v>57</v>
      </c>
      <c r="H413" t="s">
        <v>100</v>
      </c>
      <c r="I413" t="s">
        <v>890</v>
      </c>
      <c r="J413">
        <v>3</v>
      </c>
      <c r="K413">
        <v>16109</v>
      </c>
      <c r="L413">
        <v>0.19</v>
      </c>
      <c r="M413">
        <f>'Raw data'!$K413*(1- 'Raw data'!$L413)</f>
        <v>13048.29</v>
      </c>
      <c r="N413">
        <v>39144.870000000003</v>
      </c>
      <c r="O413">
        <v>0.2</v>
      </c>
      <c r="P413">
        <v>7828.97</v>
      </c>
      <c r="Q413" t="s">
        <v>27</v>
      </c>
      <c r="R413" t="s">
        <v>48</v>
      </c>
      <c r="S413">
        <v>8</v>
      </c>
    </row>
    <row r="414" spans="1:19" x14ac:dyDescent="0.3">
      <c r="A414" t="s">
        <v>891</v>
      </c>
      <c r="B414">
        <v>45339</v>
      </c>
      <c r="C414" t="s">
        <v>20</v>
      </c>
      <c r="D414" t="s">
        <v>56</v>
      </c>
      <c r="E414" t="s">
        <v>67</v>
      </c>
      <c r="F414" t="s">
        <v>103</v>
      </c>
      <c r="G414" t="s">
        <v>34</v>
      </c>
      <c r="H414" t="s">
        <v>35</v>
      </c>
      <c r="I414" t="s">
        <v>892</v>
      </c>
      <c r="J414">
        <v>2</v>
      </c>
      <c r="K414">
        <v>315</v>
      </c>
      <c r="L414">
        <v>0.05</v>
      </c>
      <c r="M414">
        <f>'Raw data'!$K414*(1- 'Raw data'!$L414)</f>
        <v>299.25</v>
      </c>
      <c r="N414">
        <v>598.5</v>
      </c>
      <c r="O414">
        <v>0.4</v>
      </c>
      <c r="P414">
        <v>239.4</v>
      </c>
      <c r="Q414" t="s">
        <v>37</v>
      </c>
      <c r="R414" t="s">
        <v>48</v>
      </c>
      <c r="S414">
        <v>9</v>
      </c>
    </row>
    <row r="415" spans="1:19" x14ac:dyDescent="0.3">
      <c r="A415" t="s">
        <v>893</v>
      </c>
      <c r="B415">
        <v>45340</v>
      </c>
      <c r="C415" t="s">
        <v>63</v>
      </c>
      <c r="D415" t="s">
        <v>56</v>
      </c>
      <c r="E415" t="s">
        <v>67</v>
      </c>
      <c r="F415" t="s">
        <v>33</v>
      </c>
      <c r="G415" t="s">
        <v>24</v>
      </c>
      <c r="H415" t="s">
        <v>186</v>
      </c>
      <c r="I415" t="s">
        <v>894</v>
      </c>
      <c r="J415">
        <v>8</v>
      </c>
      <c r="K415">
        <v>1661</v>
      </c>
      <c r="L415">
        <v>0.02</v>
      </c>
      <c r="M415">
        <f>'Raw data'!$K415*(1- 'Raw data'!$L415)</f>
        <v>1627.78</v>
      </c>
      <c r="N415">
        <v>13022.24</v>
      </c>
      <c r="O415">
        <v>0.25</v>
      </c>
      <c r="P415">
        <v>3255.56</v>
      </c>
      <c r="Q415" t="s">
        <v>37</v>
      </c>
      <c r="R415" t="s">
        <v>48</v>
      </c>
      <c r="S415">
        <v>7</v>
      </c>
    </row>
    <row r="416" spans="1:19" x14ac:dyDescent="0.3">
      <c r="A416" t="s">
        <v>895</v>
      </c>
      <c r="B416">
        <v>45341</v>
      </c>
      <c r="C416" t="s">
        <v>20</v>
      </c>
      <c r="D416" t="s">
        <v>41</v>
      </c>
      <c r="E416" t="s">
        <v>32</v>
      </c>
      <c r="F416" t="s">
        <v>33</v>
      </c>
      <c r="G416" t="s">
        <v>92</v>
      </c>
      <c r="H416" t="s">
        <v>178</v>
      </c>
      <c r="I416" t="s">
        <v>896</v>
      </c>
      <c r="J416">
        <v>6</v>
      </c>
      <c r="K416">
        <v>54843</v>
      </c>
      <c r="L416">
        <v>0.17</v>
      </c>
      <c r="M416">
        <f>'Raw data'!$K416*(1- 'Raw data'!$L416)</f>
        <v>45519.689999999995</v>
      </c>
      <c r="N416">
        <v>273118.14</v>
      </c>
      <c r="O416">
        <v>0.15</v>
      </c>
      <c r="P416">
        <v>40967.72</v>
      </c>
      <c r="Q416" t="s">
        <v>47</v>
      </c>
      <c r="R416" t="s">
        <v>48</v>
      </c>
      <c r="S416">
        <v>2</v>
      </c>
    </row>
    <row r="417" spans="1:19" x14ac:dyDescent="0.3">
      <c r="A417" t="s">
        <v>897</v>
      </c>
      <c r="B417">
        <v>45342</v>
      </c>
      <c r="C417" t="s">
        <v>30</v>
      </c>
      <c r="D417" t="s">
        <v>41</v>
      </c>
      <c r="E417" t="s">
        <v>67</v>
      </c>
      <c r="F417" t="s">
        <v>33</v>
      </c>
      <c r="G417" t="s">
        <v>34</v>
      </c>
      <c r="H417" t="s">
        <v>71</v>
      </c>
      <c r="I417" t="s">
        <v>898</v>
      </c>
      <c r="J417">
        <v>9</v>
      </c>
      <c r="K417">
        <v>652</v>
      </c>
      <c r="L417">
        <v>0.09</v>
      </c>
      <c r="M417">
        <f>'Raw data'!$K417*(1- 'Raw data'!$L417)</f>
        <v>593.32000000000005</v>
      </c>
      <c r="N417">
        <v>5339.88</v>
      </c>
      <c r="O417">
        <v>0.4</v>
      </c>
      <c r="P417">
        <v>2135.9499999999998</v>
      </c>
      <c r="Q417" t="s">
        <v>51</v>
      </c>
      <c r="R417" t="s">
        <v>48</v>
      </c>
      <c r="S417">
        <v>9</v>
      </c>
    </row>
    <row r="418" spans="1:19" x14ac:dyDescent="0.3">
      <c r="A418" t="s">
        <v>899</v>
      </c>
      <c r="B418">
        <v>45343</v>
      </c>
      <c r="C418" t="s">
        <v>96</v>
      </c>
      <c r="D418" t="s">
        <v>21</v>
      </c>
      <c r="E418" t="s">
        <v>67</v>
      </c>
      <c r="F418" t="s">
        <v>33</v>
      </c>
      <c r="G418" t="s">
        <v>57</v>
      </c>
      <c r="H418" t="s">
        <v>58</v>
      </c>
      <c r="I418" t="s">
        <v>900</v>
      </c>
      <c r="J418">
        <v>8</v>
      </c>
      <c r="K418">
        <v>12060</v>
      </c>
      <c r="L418">
        <v>0.11</v>
      </c>
      <c r="M418">
        <f>'Raw data'!$K418*(1- 'Raw data'!$L418)</f>
        <v>10733.4</v>
      </c>
      <c r="N418">
        <v>85867.199999999997</v>
      </c>
      <c r="O418">
        <v>0.2</v>
      </c>
      <c r="P418">
        <v>17173.439999999999</v>
      </c>
      <c r="Q418" t="s">
        <v>37</v>
      </c>
      <c r="R418" t="s">
        <v>48</v>
      </c>
      <c r="S418">
        <v>8</v>
      </c>
    </row>
    <row r="419" spans="1:19" x14ac:dyDescent="0.3">
      <c r="A419" t="s">
        <v>901</v>
      </c>
      <c r="B419">
        <v>45344</v>
      </c>
      <c r="C419" t="s">
        <v>63</v>
      </c>
      <c r="D419" t="s">
        <v>56</v>
      </c>
      <c r="E419" t="s">
        <v>67</v>
      </c>
      <c r="F419" t="s">
        <v>33</v>
      </c>
      <c r="G419" t="s">
        <v>57</v>
      </c>
      <c r="H419" t="s">
        <v>58</v>
      </c>
      <c r="I419" t="s">
        <v>902</v>
      </c>
      <c r="J419">
        <v>3</v>
      </c>
      <c r="K419">
        <v>17836</v>
      </c>
      <c r="L419">
        <v>0.01</v>
      </c>
      <c r="M419">
        <f>'Raw data'!$K419*(1- 'Raw data'!$L419)</f>
        <v>17657.64</v>
      </c>
      <c r="N419">
        <v>52972.92</v>
      </c>
      <c r="O419">
        <v>0.2</v>
      </c>
      <c r="P419">
        <v>10594.58</v>
      </c>
      <c r="Q419" t="s">
        <v>27</v>
      </c>
      <c r="R419" t="s">
        <v>48</v>
      </c>
      <c r="S419">
        <v>5</v>
      </c>
    </row>
    <row r="420" spans="1:19" x14ac:dyDescent="0.3">
      <c r="A420" t="s">
        <v>903</v>
      </c>
      <c r="B420">
        <v>45345</v>
      </c>
      <c r="C420" t="s">
        <v>40</v>
      </c>
      <c r="D420" t="s">
        <v>41</v>
      </c>
      <c r="E420" t="s">
        <v>22</v>
      </c>
      <c r="F420" t="s">
        <v>103</v>
      </c>
      <c r="G420" t="s">
        <v>34</v>
      </c>
      <c r="H420" t="s">
        <v>71</v>
      </c>
      <c r="I420" t="s">
        <v>904</v>
      </c>
      <c r="J420">
        <v>5</v>
      </c>
      <c r="K420">
        <v>486</v>
      </c>
      <c r="L420">
        <v>0.06</v>
      </c>
      <c r="M420">
        <f>'Raw data'!$K420*(1- 'Raw data'!$L420)</f>
        <v>456.84</v>
      </c>
      <c r="N420">
        <v>2284.1999999999998</v>
      </c>
      <c r="O420">
        <v>0.4</v>
      </c>
      <c r="P420">
        <v>913.68</v>
      </c>
      <c r="Q420" t="s">
        <v>27</v>
      </c>
      <c r="R420" t="s">
        <v>48</v>
      </c>
      <c r="S420">
        <v>3</v>
      </c>
    </row>
    <row r="421" spans="1:19" x14ac:dyDescent="0.3">
      <c r="A421" t="s">
        <v>905</v>
      </c>
      <c r="B421">
        <v>45346</v>
      </c>
      <c r="C421" t="s">
        <v>30</v>
      </c>
      <c r="D421" t="s">
        <v>41</v>
      </c>
      <c r="E421" t="s">
        <v>32</v>
      </c>
      <c r="F421" t="s">
        <v>43</v>
      </c>
      <c r="G421" t="s">
        <v>24</v>
      </c>
      <c r="H421" t="s">
        <v>121</v>
      </c>
      <c r="I421" t="s">
        <v>906</v>
      </c>
      <c r="J421">
        <v>7</v>
      </c>
      <c r="K421">
        <v>4374</v>
      </c>
      <c r="L421">
        <v>0.01</v>
      </c>
      <c r="M421">
        <f>'Raw data'!$K421*(1- 'Raw data'!$L421)</f>
        <v>4330.26</v>
      </c>
      <c r="N421">
        <v>30311.82</v>
      </c>
      <c r="O421">
        <v>0.25</v>
      </c>
      <c r="P421">
        <v>7577.96</v>
      </c>
      <c r="Q421" t="s">
        <v>27</v>
      </c>
      <c r="R421" t="s">
        <v>48</v>
      </c>
      <c r="S421">
        <v>7</v>
      </c>
    </row>
    <row r="422" spans="1:19" x14ac:dyDescent="0.3">
      <c r="A422" t="s">
        <v>907</v>
      </c>
      <c r="B422">
        <v>45347</v>
      </c>
      <c r="C422" t="s">
        <v>20</v>
      </c>
      <c r="D422" t="s">
        <v>31</v>
      </c>
      <c r="E422" t="s">
        <v>32</v>
      </c>
      <c r="F422" t="s">
        <v>97</v>
      </c>
      <c r="G422" t="s">
        <v>57</v>
      </c>
      <c r="H422" t="s">
        <v>183</v>
      </c>
      <c r="I422" t="s">
        <v>908</v>
      </c>
      <c r="J422">
        <v>5</v>
      </c>
      <c r="K422">
        <v>2207</v>
      </c>
      <c r="L422">
        <v>0.22</v>
      </c>
      <c r="M422">
        <f>'Raw data'!$K422*(1- 'Raw data'!$L422)</f>
        <v>1721.46</v>
      </c>
      <c r="N422">
        <v>8607.2999999999993</v>
      </c>
      <c r="O422">
        <v>0.2</v>
      </c>
      <c r="P422">
        <v>1721.46</v>
      </c>
      <c r="Q422" t="s">
        <v>27</v>
      </c>
      <c r="R422" t="s">
        <v>48</v>
      </c>
      <c r="S422">
        <v>2</v>
      </c>
    </row>
    <row r="423" spans="1:19" x14ac:dyDescent="0.3">
      <c r="A423" t="s">
        <v>909</v>
      </c>
      <c r="B423">
        <v>45348</v>
      </c>
      <c r="C423" t="s">
        <v>63</v>
      </c>
      <c r="D423" t="s">
        <v>41</v>
      </c>
      <c r="E423" t="s">
        <v>42</v>
      </c>
      <c r="F423" t="s">
        <v>33</v>
      </c>
      <c r="G423" t="s">
        <v>24</v>
      </c>
      <c r="H423" t="s">
        <v>25</v>
      </c>
      <c r="I423" t="s">
        <v>910</v>
      </c>
      <c r="J423">
        <v>8</v>
      </c>
      <c r="K423">
        <v>3665</v>
      </c>
      <c r="L423">
        <v>0.06</v>
      </c>
      <c r="M423">
        <f>'Raw data'!$K423*(1- 'Raw data'!$L423)</f>
        <v>3445.1</v>
      </c>
      <c r="N423">
        <v>27560.799999999999</v>
      </c>
      <c r="O423">
        <v>0.25</v>
      </c>
      <c r="P423">
        <v>6890.2</v>
      </c>
      <c r="Q423" t="s">
        <v>37</v>
      </c>
      <c r="R423" t="s">
        <v>38</v>
      </c>
      <c r="S423">
        <v>3</v>
      </c>
    </row>
    <row r="424" spans="1:19" x14ac:dyDescent="0.3">
      <c r="A424" t="s">
        <v>911</v>
      </c>
      <c r="B424">
        <v>45349</v>
      </c>
      <c r="C424" t="s">
        <v>96</v>
      </c>
      <c r="D424" t="s">
        <v>21</v>
      </c>
      <c r="E424" t="s">
        <v>32</v>
      </c>
      <c r="F424" t="s">
        <v>33</v>
      </c>
      <c r="G424" t="s">
        <v>57</v>
      </c>
      <c r="H424" t="s">
        <v>183</v>
      </c>
      <c r="I424" t="s">
        <v>912</v>
      </c>
      <c r="J424">
        <v>5</v>
      </c>
      <c r="K424">
        <v>2632</v>
      </c>
      <c r="L424">
        <v>0.14000000000000001</v>
      </c>
      <c r="M424">
        <f>'Raw data'!$K424*(1- 'Raw data'!$L424)</f>
        <v>2263.52</v>
      </c>
      <c r="N424">
        <v>11317.6</v>
      </c>
      <c r="O424">
        <v>0.2</v>
      </c>
      <c r="P424">
        <v>2263.52</v>
      </c>
      <c r="Q424" t="s">
        <v>47</v>
      </c>
      <c r="R424" t="s">
        <v>38</v>
      </c>
      <c r="S424">
        <v>9</v>
      </c>
    </row>
    <row r="425" spans="1:19" x14ac:dyDescent="0.3">
      <c r="A425" t="s">
        <v>913</v>
      </c>
      <c r="B425">
        <v>45350</v>
      </c>
      <c r="C425" t="s">
        <v>55</v>
      </c>
      <c r="D425" t="s">
        <v>56</v>
      </c>
      <c r="E425" t="s">
        <v>22</v>
      </c>
      <c r="F425" t="s">
        <v>97</v>
      </c>
      <c r="G425" t="s">
        <v>57</v>
      </c>
      <c r="H425" t="s">
        <v>100</v>
      </c>
      <c r="I425" t="s">
        <v>914</v>
      </c>
      <c r="J425">
        <v>1</v>
      </c>
      <c r="K425">
        <v>5083</v>
      </c>
      <c r="L425">
        <v>0.01</v>
      </c>
      <c r="M425">
        <f>'Raw data'!$K425*(1- 'Raw data'!$L425)</f>
        <v>5032.17</v>
      </c>
      <c r="N425">
        <v>5032.17</v>
      </c>
      <c r="O425">
        <v>0.2</v>
      </c>
      <c r="P425">
        <v>1006.43</v>
      </c>
      <c r="Q425" t="s">
        <v>47</v>
      </c>
      <c r="R425" t="s">
        <v>48</v>
      </c>
      <c r="S425">
        <v>4</v>
      </c>
    </row>
    <row r="426" spans="1:19" x14ac:dyDescent="0.3">
      <c r="A426" t="s">
        <v>915</v>
      </c>
      <c r="B426">
        <v>45351</v>
      </c>
      <c r="C426" t="s">
        <v>40</v>
      </c>
      <c r="D426" t="s">
        <v>41</v>
      </c>
      <c r="E426" t="s">
        <v>32</v>
      </c>
      <c r="F426" t="s">
        <v>103</v>
      </c>
      <c r="G426" t="s">
        <v>44</v>
      </c>
      <c r="H426" t="s">
        <v>64</v>
      </c>
      <c r="I426" t="s">
        <v>916</v>
      </c>
      <c r="J426">
        <v>5</v>
      </c>
      <c r="K426">
        <v>2431</v>
      </c>
      <c r="L426">
        <v>0.17</v>
      </c>
      <c r="M426">
        <f>'Raw data'!$K426*(1- 'Raw data'!$L426)</f>
        <v>2017.7299999999998</v>
      </c>
      <c r="N426">
        <v>10088.65</v>
      </c>
      <c r="O426">
        <v>0.35</v>
      </c>
      <c r="P426">
        <v>3531.03</v>
      </c>
      <c r="Q426" t="s">
        <v>27</v>
      </c>
      <c r="R426" t="s">
        <v>48</v>
      </c>
      <c r="S426">
        <v>4</v>
      </c>
    </row>
    <row r="427" spans="1:19" x14ac:dyDescent="0.3">
      <c r="A427" t="s">
        <v>917</v>
      </c>
      <c r="B427">
        <v>45352</v>
      </c>
      <c r="C427" t="s">
        <v>20</v>
      </c>
      <c r="D427" t="s">
        <v>31</v>
      </c>
      <c r="E427" t="s">
        <v>22</v>
      </c>
      <c r="F427" t="s">
        <v>68</v>
      </c>
      <c r="G427" t="s">
        <v>57</v>
      </c>
      <c r="H427" t="s">
        <v>183</v>
      </c>
      <c r="I427" t="s">
        <v>918</v>
      </c>
      <c r="J427">
        <v>4</v>
      </c>
      <c r="K427">
        <v>9123</v>
      </c>
      <c r="L427">
        <v>0.08</v>
      </c>
      <c r="M427">
        <f>'Raw data'!$K427*(1- 'Raw data'!$L427)</f>
        <v>8393.16</v>
      </c>
      <c r="N427">
        <v>33572.639999999999</v>
      </c>
      <c r="O427">
        <v>0.2</v>
      </c>
      <c r="P427">
        <v>6714.53</v>
      </c>
      <c r="Q427" t="s">
        <v>47</v>
      </c>
      <c r="R427" t="s">
        <v>48</v>
      </c>
      <c r="S427">
        <v>3</v>
      </c>
    </row>
    <row r="428" spans="1:19" x14ac:dyDescent="0.3">
      <c r="A428" t="s">
        <v>919</v>
      </c>
      <c r="B428">
        <v>45353</v>
      </c>
      <c r="C428" t="s">
        <v>30</v>
      </c>
      <c r="D428" t="s">
        <v>56</v>
      </c>
      <c r="E428" t="s">
        <v>22</v>
      </c>
      <c r="F428" t="s">
        <v>23</v>
      </c>
      <c r="G428" t="s">
        <v>92</v>
      </c>
      <c r="H428" t="s">
        <v>93</v>
      </c>
      <c r="I428" t="s">
        <v>920</v>
      </c>
      <c r="J428">
        <v>6</v>
      </c>
      <c r="K428">
        <v>20754</v>
      </c>
      <c r="L428">
        <v>0.22</v>
      </c>
      <c r="M428">
        <f>'Raw data'!$K428*(1- 'Raw data'!$L428)</f>
        <v>16188.12</v>
      </c>
      <c r="N428">
        <v>97128.72</v>
      </c>
      <c r="O428">
        <v>0.15</v>
      </c>
      <c r="P428">
        <v>14569.31</v>
      </c>
      <c r="Q428" t="s">
        <v>27</v>
      </c>
      <c r="R428" t="s">
        <v>38</v>
      </c>
      <c r="S428">
        <v>5</v>
      </c>
    </row>
    <row r="429" spans="1:19" x14ac:dyDescent="0.3">
      <c r="A429" t="s">
        <v>921</v>
      </c>
      <c r="B429">
        <v>45354</v>
      </c>
      <c r="C429" t="s">
        <v>96</v>
      </c>
      <c r="D429" t="s">
        <v>41</v>
      </c>
      <c r="E429" t="s">
        <v>32</v>
      </c>
      <c r="F429" t="s">
        <v>23</v>
      </c>
      <c r="G429" t="s">
        <v>34</v>
      </c>
      <c r="H429" t="s">
        <v>35</v>
      </c>
      <c r="I429" t="s">
        <v>922</v>
      </c>
      <c r="J429">
        <v>3</v>
      </c>
      <c r="K429">
        <v>436</v>
      </c>
      <c r="L429">
        <v>0.22</v>
      </c>
      <c r="M429">
        <f>'Raw data'!$K429*(1- 'Raw data'!$L429)</f>
        <v>340.08</v>
      </c>
      <c r="N429">
        <v>1020.24</v>
      </c>
      <c r="O429">
        <v>0.4</v>
      </c>
      <c r="P429">
        <v>408.1</v>
      </c>
      <c r="Q429" t="s">
        <v>27</v>
      </c>
      <c r="R429" t="s">
        <v>48</v>
      </c>
      <c r="S429">
        <v>3</v>
      </c>
    </row>
    <row r="430" spans="1:19" x14ac:dyDescent="0.3">
      <c r="A430" t="s">
        <v>923</v>
      </c>
      <c r="B430">
        <v>45355</v>
      </c>
      <c r="C430" t="s">
        <v>40</v>
      </c>
      <c r="D430" t="s">
        <v>31</v>
      </c>
      <c r="E430" t="s">
        <v>42</v>
      </c>
      <c r="F430" t="s">
        <v>68</v>
      </c>
      <c r="G430" t="s">
        <v>34</v>
      </c>
      <c r="H430" t="s">
        <v>71</v>
      </c>
      <c r="I430" t="s">
        <v>924</v>
      </c>
      <c r="J430">
        <v>5</v>
      </c>
      <c r="K430">
        <v>547</v>
      </c>
      <c r="L430">
        <v>0.08</v>
      </c>
      <c r="M430">
        <f>'Raw data'!$K430*(1- 'Raw data'!$L430)</f>
        <v>503.24</v>
      </c>
      <c r="N430">
        <v>2516.1999999999998</v>
      </c>
      <c r="O430">
        <v>0.4</v>
      </c>
      <c r="P430">
        <v>1006.48</v>
      </c>
      <c r="Q430" t="s">
        <v>51</v>
      </c>
      <c r="R430" t="s">
        <v>38</v>
      </c>
      <c r="S430">
        <v>9</v>
      </c>
    </row>
    <row r="431" spans="1:19" x14ac:dyDescent="0.3">
      <c r="A431" t="s">
        <v>925</v>
      </c>
      <c r="B431">
        <v>45356</v>
      </c>
      <c r="C431" t="s">
        <v>96</v>
      </c>
      <c r="D431" t="s">
        <v>41</v>
      </c>
      <c r="E431" t="s">
        <v>67</v>
      </c>
      <c r="F431" t="s">
        <v>103</v>
      </c>
      <c r="G431" t="s">
        <v>24</v>
      </c>
      <c r="H431" t="s">
        <v>186</v>
      </c>
      <c r="I431" t="s">
        <v>926</v>
      </c>
      <c r="J431">
        <v>2</v>
      </c>
      <c r="K431">
        <v>7770</v>
      </c>
      <c r="L431">
        <v>0.23</v>
      </c>
      <c r="M431">
        <f>'Raw data'!$K431*(1- 'Raw data'!$L431)</f>
        <v>5982.9000000000005</v>
      </c>
      <c r="N431">
        <v>11965.8</v>
      </c>
      <c r="O431">
        <v>0.25</v>
      </c>
      <c r="P431">
        <v>2991.45</v>
      </c>
      <c r="Q431" t="s">
        <v>37</v>
      </c>
      <c r="R431" t="s">
        <v>48</v>
      </c>
      <c r="S431">
        <v>3</v>
      </c>
    </row>
    <row r="432" spans="1:19" x14ac:dyDescent="0.3">
      <c r="A432" t="s">
        <v>927</v>
      </c>
      <c r="B432">
        <v>45357</v>
      </c>
      <c r="C432" t="s">
        <v>63</v>
      </c>
      <c r="D432" t="s">
        <v>56</v>
      </c>
      <c r="E432" t="s">
        <v>67</v>
      </c>
      <c r="F432" t="s">
        <v>23</v>
      </c>
      <c r="G432" t="s">
        <v>57</v>
      </c>
      <c r="H432" t="s">
        <v>183</v>
      </c>
      <c r="I432" t="s">
        <v>928</v>
      </c>
      <c r="J432">
        <v>6</v>
      </c>
      <c r="K432">
        <v>17463</v>
      </c>
      <c r="L432">
        <v>0.25</v>
      </c>
      <c r="M432">
        <f>'Raw data'!$K432*(1- 'Raw data'!$L432)</f>
        <v>13097.25</v>
      </c>
      <c r="N432">
        <v>78583.5</v>
      </c>
      <c r="O432">
        <v>0.2</v>
      </c>
      <c r="P432">
        <v>15716.7</v>
      </c>
      <c r="Q432" t="s">
        <v>37</v>
      </c>
      <c r="R432" t="s">
        <v>48</v>
      </c>
      <c r="S432">
        <v>2</v>
      </c>
    </row>
    <row r="433" spans="1:19" x14ac:dyDescent="0.3">
      <c r="A433" t="s">
        <v>929</v>
      </c>
      <c r="B433">
        <v>45358</v>
      </c>
      <c r="C433" t="s">
        <v>55</v>
      </c>
      <c r="D433" t="s">
        <v>56</v>
      </c>
      <c r="E433" t="s">
        <v>32</v>
      </c>
      <c r="F433" t="s">
        <v>97</v>
      </c>
      <c r="G433" t="s">
        <v>92</v>
      </c>
      <c r="H433" t="s">
        <v>93</v>
      </c>
      <c r="I433" t="s">
        <v>930</v>
      </c>
      <c r="J433">
        <v>6</v>
      </c>
      <c r="K433">
        <v>39301</v>
      </c>
      <c r="L433">
        <v>0.21</v>
      </c>
      <c r="M433">
        <f>'Raw data'!$K433*(1- 'Raw data'!$L433)</f>
        <v>31047.79</v>
      </c>
      <c r="N433">
        <v>186286.74</v>
      </c>
      <c r="O433">
        <v>0.15</v>
      </c>
      <c r="P433">
        <v>27943.01</v>
      </c>
      <c r="Q433" t="s">
        <v>27</v>
      </c>
      <c r="R433" t="s">
        <v>38</v>
      </c>
      <c r="S433">
        <v>5</v>
      </c>
    </row>
    <row r="434" spans="1:19" x14ac:dyDescent="0.3">
      <c r="A434" t="s">
        <v>931</v>
      </c>
      <c r="B434">
        <v>45359</v>
      </c>
      <c r="C434" t="s">
        <v>30</v>
      </c>
      <c r="D434" t="s">
        <v>56</v>
      </c>
      <c r="E434" t="s">
        <v>32</v>
      </c>
      <c r="F434" t="s">
        <v>68</v>
      </c>
      <c r="G434" t="s">
        <v>24</v>
      </c>
      <c r="H434" t="s">
        <v>121</v>
      </c>
      <c r="I434" t="s">
        <v>932</v>
      </c>
      <c r="J434">
        <v>5</v>
      </c>
      <c r="K434">
        <v>10732</v>
      </c>
      <c r="L434">
        <v>0.21</v>
      </c>
      <c r="M434">
        <f>'Raw data'!$K434*(1- 'Raw data'!$L434)</f>
        <v>8478.2800000000007</v>
      </c>
      <c r="N434">
        <v>42391.4</v>
      </c>
      <c r="O434">
        <v>0.25</v>
      </c>
      <c r="P434">
        <v>10597.85</v>
      </c>
      <c r="Q434" t="s">
        <v>37</v>
      </c>
      <c r="R434" t="s">
        <v>48</v>
      </c>
      <c r="S434">
        <v>6</v>
      </c>
    </row>
    <row r="435" spans="1:19" x14ac:dyDescent="0.3">
      <c r="A435" t="s">
        <v>933</v>
      </c>
      <c r="B435">
        <v>45360</v>
      </c>
      <c r="C435" t="s">
        <v>96</v>
      </c>
      <c r="D435" t="s">
        <v>21</v>
      </c>
      <c r="E435" t="s">
        <v>22</v>
      </c>
      <c r="F435" t="s">
        <v>43</v>
      </c>
      <c r="G435" t="s">
        <v>44</v>
      </c>
      <c r="H435" t="s">
        <v>116</v>
      </c>
      <c r="I435" t="s">
        <v>934</v>
      </c>
      <c r="J435">
        <v>6</v>
      </c>
      <c r="K435">
        <v>4443</v>
      </c>
      <c r="L435">
        <v>0.06</v>
      </c>
      <c r="M435">
        <f>'Raw data'!$K435*(1- 'Raw data'!$L435)</f>
        <v>4176.42</v>
      </c>
      <c r="N435">
        <v>25058.52</v>
      </c>
      <c r="O435">
        <v>0.35</v>
      </c>
      <c r="P435">
        <v>8770.48</v>
      </c>
      <c r="Q435" t="s">
        <v>47</v>
      </c>
      <c r="R435" t="s">
        <v>48</v>
      </c>
      <c r="S435">
        <v>1</v>
      </c>
    </row>
    <row r="436" spans="1:19" x14ac:dyDescent="0.3">
      <c r="A436" t="s">
        <v>935</v>
      </c>
      <c r="B436">
        <v>45361</v>
      </c>
      <c r="C436" t="s">
        <v>20</v>
      </c>
      <c r="D436" t="s">
        <v>41</v>
      </c>
      <c r="E436" t="s">
        <v>32</v>
      </c>
      <c r="F436" t="s">
        <v>103</v>
      </c>
      <c r="G436" t="s">
        <v>24</v>
      </c>
      <c r="H436" t="s">
        <v>186</v>
      </c>
      <c r="I436" t="s">
        <v>936</v>
      </c>
      <c r="J436">
        <v>7</v>
      </c>
      <c r="K436">
        <v>14559</v>
      </c>
      <c r="L436">
        <v>0.14000000000000001</v>
      </c>
      <c r="M436">
        <f>'Raw data'!$K436*(1- 'Raw data'!$L436)</f>
        <v>12520.74</v>
      </c>
      <c r="N436">
        <v>87645.18</v>
      </c>
      <c r="O436">
        <v>0.25</v>
      </c>
      <c r="P436">
        <v>21911.3</v>
      </c>
      <c r="Q436" t="s">
        <v>27</v>
      </c>
      <c r="R436" t="s">
        <v>48</v>
      </c>
      <c r="S436">
        <v>6</v>
      </c>
    </row>
    <row r="437" spans="1:19" x14ac:dyDescent="0.3">
      <c r="A437" t="s">
        <v>937</v>
      </c>
      <c r="B437">
        <v>45362</v>
      </c>
      <c r="C437" t="s">
        <v>63</v>
      </c>
      <c r="D437" t="s">
        <v>21</v>
      </c>
      <c r="E437" t="s">
        <v>22</v>
      </c>
      <c r="F437" t="s">
        <v>68</v>
      </c>
      <c r="G437" t="s">
        <v>24</v>
      </c>
      <c r="H437" t="s">
        <v>25</v>
      </c>
      <c r="I437" t="s">
        <v>938</v>
      </c>
      <c r="J437">
        <v>5</v>
      </c>
      <c r="K437">
        <v>9555</v>
      </c>
      <c r="L437">
        <v>0.02</v>
      </c>
      <c r="M437">
        <f>'Raw data'!$K437*(1- 'Raw data'!$L437)</f>
        <v>9363.9</v>
      </c>
      <c r="N437">
        <v>46819.5</v>
      </c>
      <c r="O437">
        <v>0.25</v>
      </c>
      <c r="P437">
        <v>11704.88</v>
      </c>
      <c r="Q437" t="s">
        <v>51</v>
      </c>
      <c r="R437" t="s">
        <v>48</v>
      </c>
      <c r="S437">
        <v>3</v>
      </c>
    </row>
    <row r="438" spans="1:19" x14ac:dyDescent="0.3">
      <c r="A438" t="s">
        <v>939</v>
      </c>
      <c r="B438">
        <v>45363</v>
      </c>
      <c r="C438" t="s">
        <v>63</v>
      </c>
      <c r="D438" t="s">
        <v>56</v>
      </c>
      <c r="E438" t="s">
        <v>42</v>
      </c>
      <c r="F438" t="s">
        <v>23</v>
      </c>
      <c r="G438" t="s">
        <v>57</v>
      </c>
      <c r="H438" t="s">
        <v>183</v>
      </c>
      <c r="I438" t="s">
        <v>940</v>
      </c>
      <c r="J438">
        <v>1</v>
      </c>
      <c r="K438">
        <v>18669</v>
      </c>
      <c r="L438">
        <v>0.02</v>
      </c>
      <c r="M438">
        <f>'Raw data'!$K438*(1- 'Raw data'!$L438)</f>
        <v>18295.62</v>
      </c>
      <c r="N438">
        <v>18295.62</v>
      </c>
      <c r="O438">
        <v>0.2</v>
      </c>
      <c r="P438">
        <v>3659.12</v>
      </c>
      <c r="Q438" t="s">
        <v>47</v>
      </c>
      <c r="R438" t="s">
        <v>48</v>
      </c>
      <c r="S438">
        <v>4</v>
      </c>
    </row>
    <row r="439" spans="1:19" x14ac:dyDescent="0.3">
      <c r="A439" t="s">
        <v>941</v>
      </c>
      <c r="B439">
        <v>45364</v>
      </c>
      <c r="C439" t="s">
        <v>30</v>
      </c>
      <c r="D439" t="s">
        <v>31</v>
      </c>
      <c r="E439" t="s">
        <v>32</v>
      </c>
      <c r="F439" t="s">
        <v>103</v>
      </c>
      <c r="G439" t="s">
        <v>44</v>
      </c>
      <c r="H439" t="s">
        <v>45</v>
      </c>
      <c r="I439" t="s">
        <v>942</v>
      </c>
      <c r="J439">
        <v>8</v>
      </c>
      <c r="K439">
        <v>648</v>
      </c>
      <c r="L439">
        <v>0.25</v>
      </c>
      <c r="M439">
        <f>'Raw data'!$K439*(1- 'Raw data'!$L439)</f>
        <v>486</v>
      </c>
      <c r="N439">
        <v>3888</v>
      </c>
      <c r="O439">
        <v>0.35</v>
      </c>
      <c r="P439">
        <v>1360.8</v>
      </c>
      <c r="Q439" t="s">
        <v>51</v>
      </c>
      <c r="R439" t="s">
        <v>48</v>
      </c>
      <c r="S439">
        <v>6</v>
      </c>
    </row>
    <row r="440" spans="1:19" x14ac:dyDescent="0.3">
      <c r="A440" t="s">
        <v>943</v>
      </c>
      <c r="B440">
        <v>45365</v>
      </c>
      <c r="C440" t="s">
        <v>63</v>
      </c>
      <c r="D440" t="s">
        <v>41</v>
      </c>
      <c r="E440" t="s">
        <v>67</v>
      </c>
      <c r="F440" t="s">
        <v>97</v>
      </c>
      <c r="G440" t="s">
        <v>24</v>
      </c>
      <c r="H440" t="s">
        <v>186</v>
      </c>
      <c r="I440" t="s">
        <v>926</v>
      </c>
      <c r="J440">
        <v>4</v>
      </c>
      <c r="K440">
        <v>14395</v>
      </c>
      <c r="L440">
        <v>0.08</v>
      </c>
      <c r="M440">
        <f>'Raw data'!$K440*(1- 'Raw data'!$L440)</f>
        <v>13243.400000000001</v>
      </c>
      <c r="N440">
        <v>52973.599999999999</v>
      </c>
      <c r="O440">
        <v>0.25</v>
      </c>
      <c r="P440">
        <v>13243.4</v>
      </c>
      <c r="Q440" t="s">
        <v>51</v>
      </c>
      <c r="R440" t="s">
        <v>48</v>
      </c>
      <c r="S440">
        <v>8</v>
      </c>
    </row>
    <row r="441" spans="1:19" x14ac:dyDescent="0.3">
      <c r="A441" t="s">
        <v>944</v>
      </c>
      <c r="B441">
        <v>45366</v>
      </c>
      <c r="C441" t="s">
        <v>20</v>
      </c>
      <c r="D441" t="s">
        <v>21</v>
      </c>
      <c r="E441" t="s">
        <v>67</v>
      </c>
      <c r="F441" t="s">
        <v>103</v>
      </c>
      <c r="G441" t="s">
        <v>92</v>
      </c>
      <c r="H441" t="s">
        <v>93</v>
      </c>
      <c r="I441" t="s">
        <v>945</v>
      </c>
      <c r="J441">
        <v>9</v>
      </c>
      <c r="K441">
        <v>66273</v>
      </c>
      <c r="L441">
        <v>0.19</v>
      </c>
      <c r="M441">
        <f>'Raw data'!$K441*(1- 'Raw data'!$L441)</f>
        <v>53681.130000000005</v>
      </c>
      <c r="N441">
        <v>483130.17</v>
      </c>
      <c r="O441">
        <v>0.15</v>
      </c>
      <c r="P441">
        <v>72469.53</v>
      </c>
      <c r="Q441" t="s">
        <v>37</v>
      </c>
      <c r="R441" t="s">
        <v>48</v>
      </c>
      <c r="S441">
        <v>9</v>
      </c>
    </row>
    <row r="442" spans="1:19" x14ac:dyDescent="0.3">
      <c r="A442" t="s">
        <v>946</v>
      </c>
      <c r="B442">
        <v>45367</v>
      </c>
      <c r="C442" t="s">
        <v>96</v>
      </c>
      <c r="D442" t="s">
        <v>41</v>
      </c>
      <c r="E442" t="s">
        <v>32</v>
      </c>
      <c r="F442" t="s">
        <v>103</v>
      </c>
      <c r="G442" t="s">
        <v>92</v>
      </c>
      <c r="H442" t="s">
        <v>109</v>
      </c>
      <c r="I442" t="s">
        <v>947</v>
      </c>
      <c r="J442">
        <v>6</v>
      </c>
      <c r="K442">
        <v>14895</v>
      </c>
      <c r="L442">
        <v>0.2</v>
      </c>
      <c r="M442">
        <f>'Raw data'!$K442*(1- 'Raw data'!$L442)</f>
        <v>11916</v>
      </c>
      <c r="N442">
        <v>71496</v>
      </c>
      <c r="O442">
        <v>0.15</v>
      </c>
      <c r="P442">
        <v>10724.4</v>
      </c>
      <c r="Q442" t="s">
        <v>37</v>
      </c>
      <c r="R442" t="s">
        <v>38</v>
      </c>
      <c r="S442">
        <v>6</v>
      </c>
    </row>
    <row r="443" spans="1:19" x14ac:dyDescent="0.3">
      <c r="A443" t="s">
        <v>948</v>
      </c>
      <c r="B443">
        <v>45368</v>
      </c>
      <c r="C443" t="s">
        <v>30</v>
      </c>
      <c r="D443" t="s">
        <v>31</v>
      </c>
      <c r="E443" t="s">
        <v>22</v>
      </c>
      <c r="F443" t="s">
        <v>97</v>
      </c>
      <c r="G443" t="s">
        <v>34</v>
      </c>
      <c r="H443" t="s">
        <v>141</v>
      </c>
      <c r="I443" t="s">
        <v>949</v>
      </c>
      <c r="J443">
        <v>1</v>
      </c>
      <c r="K443">
        <v>1384</v>
      </c>
      <c r="L443">
        <v>0.21</v>
      </c>
      <c r="M443">
        <f>'Raw data'!$K443*(1- 'Raw data'!$L443)</f>
        <v>1093.3600000000001</v>
      </c>
      <c r="N443">
        <v>1093.3599999999999</v>
      </c>
      <c r="O443">
        <v>0.4</v>
      </c>
      <c r="P443">
        <v>437.34</v>
      </c>
      <c r="Q443" t="s">
        <v>27</v>
      </c>
      <c r="R443" t="s">
        <v>48</v>
      </c>
      <c r="S443">
        <v>7</v>
      </c>
    </row>
    <row r="444" spans="1:19" x14ac:dyDescent="0.3">
      <c r="A444" t="s">
        <v>950</v>
      </c>
      <c r="B444">
        <v>45369</v>
      </c>
      <c r="C444" t="s">
        <v>63</v>
      </c>
      <c r="D444" t="s">
        <v>21</v>
      </c>
      <c r="E444" t="s">
        <v>67</v>
      </c>
      <c r="F444" t="s">
        <v>33</v>
      </c>
      <c r="G444" t="s">
        <v>44</v>
      </c>
      <c r="H444" t="s">
        <v>64</v>
      </c>
      <c r="I444" t="s">
        <v>951</v>
      </c>
      <c r="J444">
        <v>3</v>
      </c>
      <c r="K444">
        <v>1512</v>
      </c>
      <c r="L444">
        <v>0.25</v>
      </c>
      <c r="M444">
        <f>'Raw data'!$K444*(1- 'Raw data'!$L444)</f>
        <v>1134</v>
      </c>
      <c r="N444">
        <v>3402</v>
      </c>
      <c r="O444">
        <v>0.35</v>
      </c>
      <c r="P444">
        <v>1190.7</v>
      </c>
      <c r="Q444" t="s">
        <v>37</v>
      </c>
      <c r="R444" t="s">
        <v>48</v>
      </c>
      <c r="S444">
        <v>5</v>
      </c>
    </row>
    <row r="445" spans="1:19" x14ac:dyDescent="0.3">
      <c r="A445" t="s">
        <v>952</v>
      </c>
      <c r="B445">
        <v>45370</v>
      </c>
      <c r="C445" t="s">
        <v>63</v>
      </c>
      <c r="D445" t="s">
        <v>56</v>
      </c>
      <c r="E445" t="s">
        <v>22</v>
      </c>
      <c r="F445" t="s">
        <v>97</v>
      </c>
      <c r="G445" t="s">
        <v>44</v>
      </c>
      <c r="H445" t="s">
        <v>116</v>
      </c>
      <c r="I445" t="s">
        <v>953</v>
      </c>
      <c r="J445">
        <v>3</v>
      </c>
      <c r="K445">
        <v>3331</v>
      </c>
      <c r="L445">
        <v>0.06</v>
      </c>
      <c r="M445">
        <f>'Raw data'!$K445*(1- 'Raw data'!$L445)</f>
        <v>3131.14</v>
      </c>
      <c r="N445">
        <v>9393.42</v>
      </c>
      <c r="O445">
        <v>0.35</v>
      </c>
      <c r="P445">
        <v>3287.7</v>
      </c>
      <c r="Q445" t="s">
        <v>51</v>
      </c>
      <c r="R445" t="s">
        <v>48</v>
      </c>
      <c r="S445">
        <v>9</v>
      </c>
    </row>
    <row r="446" spans="1:19" x14ac:dyDescent="0.3">
      <c r="A446" t="s">
        <v>954</v>
      </c>
      <c r="B446">
        <v>45371</v>
      </c>
      <c r="C446" t="s">
        <v>20</v>
      </c>
      <c r="D446" t="s">
        <v>21</v>
      </c>
      <c r="E446" t="s">
        <v>32</v>
      </c>
      <c r="F446" t="s">
        <v>103</v>
      </c>
      <c r="G446" t="s">
        <v>34</v>
      </c>
      <c r="H446" t="s">
        <v>141</v>
      </c>
      <c r="I446" t="s">
        <v>955</v>
      </c>
      <c r="J446">
        <v>4</v>
      </c>
      <c r="K446">
        <v>659</v>
      </c>
      <c r="L446">
        <v>0.01</v>
      </c>
      <c r="M446">
        <f>'Raw data'!$K446*(1- 'Raw data'!$L446)</f>
        <v>652.41</v>
      </c>
      <c r="N446">
        <v>2609.64</v>
      </c>
      <c r="O446">
        <v>0.4</v>
      </c>
      <c r="P446">
        <v>1043.8599999999999</v>
      </c>
      <c r="Q446" t="s">
        <v>51</v>
      </c>
      <c r="R446" t="s">
        <v>48</v>
      </c>
      <c r="S446">
        <v>4</v>
      </c>
    </row>
    <row r="447" spans="1:19" x14ac:dyDescent="0.3">
      <c r="A447" t="s">
        <v>956</v>
      </c>
      <c r="B447">
        <v>45372</v>
      </c>
      <c r="C447" t="s">
        <v>55</v>
      </c>
      <c r="D447" t="s">
        <v>41</v>
      </c>
      <c r="E447" t="s">
        <v>32</v>
      </c>
      <c r="F447" t="s">
        <v>97</v>
      </c>
      <c r="G447" t="s">
        <v>24</v>
      </c>
      <c r="H447" t="s">
        <v>186</v>
      </c>
      <c r="I447" t="s">
        <v>957</v>
      </c>
      <c r="J447">
        <v>6</v>
      </c>
      <c r="K447">
        <v>10715</v>
      </c>
      <c r="L447">
        <v>0.1</v>
      </c>
      <c r="M447">
        <f>'Raw data'!$K447*(1- 'Raw data'!$L447)</f>
        <v>9643.5</v>
      </c>
      <c r="N447">
        <v>57861</v>
      </c>
      <c r="O447">
        <v>0.25</v>
      </c>
      <c r="P447">
        <v>14465.25</v>
      </c>
      <c r="Q447" t="s">
        <v>47</v>
      </c>
      <c r="R447" t="s">
        <v>48</v>
      </c>
      <c r="S447">
        <v>6</v>
      </c>
    </row>
    <row r="448" spans="1:19" x14ac:dyDescent="0.3">
      <c r="A448" t="s">
        <v>958</v>
      </c>
      <c r="B448">
        <v>45373</v>
      </c>
      <c r="C448" t="s">
        <v>55</v>
      </c>
      <c r="D448" t="s">
        <v>41</v>
      </c>
      <c r="E448" t="s">
        <v>67</v>
      </c>
      <c r="F448" t="s">
        <v>33</v>
      </c>
      <c r="G448" t="s">
        <v>44</v>
      </c>
      <c r="H448" t="s">
        <v>116</v>
      </c>
      <c r="I448" t="s">
        <v>959</v>
      </c>
      <c r="J448">
        <v>7</v>
      </c>
      <c r="K448">
        <v>3285</v>
      </c>
      <c r="L448">
        <v>0.03</v>
      </c>
      <c r="M448">
        <f>'Raw data'!$K448*(1- 'Raw data'!$L448)</f>
        <v>3186.45</v>
      </c>
      <c r="N448">
        <v>22305.15</v>
      </c>
      <c r="O448">
        <v>0.35</v>
      </c>
      <c r="P448">
        <v>7806.8</v>
      </c>
      <c r="Q448" t="s">
        <v>51</v>
      </c>
      <c r="R448" t="s">
        <v>28</v>
      </c>
      <c r="S448">
        <v>5</v>
      </c>
    </row>
    <row r="449" spans="1:19" x14ac:dyDescent="0.3">
      <c r="A449" t="s">
        <v>960</v>
      </c>
      <c r="B449">
        <v>45374</v>
      </c>
      <c r="C449" t="s">
        <v>63</v>
      </c>
      <c r="D449" t="s">
        <v>41</v>
      </c>
      <c r="E449" t="s">
        <v>32</v>
      </c>
      <c r="F449" t="s">
        <v>68</v>
      </c>
      <c r="G449" t="s">
        <v>92</v>
      </c>
      <c r="H449" t="s">
        <v>109</v>
      </c>
      <c r="I449" t="s">
        <v>961</v>
      </c>
      <c r="J449">
        <v>4</v>
      </c>
      <c r="K449">
        <v>26163</v>
      </c>
      <c r="L449">
        <v>0.01</v>
      </c>
      <c r="M449">
        <f>'Raw data'!$K449*(1- 'Raw data'!$L449)</f>
        <v>25901.37</v>
      </c>
      <c r="N449">
        <v>103605.48</v>
      </c>
      <c r="O449">
        <v>0.15</v>
      </c>
      <c r="P449">
        <v>15540.82</v>
      </c>
      <c r="Q449" t="s">
        <v>27</v>
      </c>
      <c r="R449" t="s">
        <v>48</v>
      </c>
      <c r="S449">
        <v>1</v>
      </c>
    </row>
    <row r="450" spans="1:19" x14ac:dyDescent="0.3">
      <c r="A450" t="s">
        <v>962</v>
      </c>
      <c r="B450">
        <v>45375</v>
      </c>
      <c r="C450" t="s">
        <v>96</v>
      </c>
      <c r="D450" t="s">
        <v>41</v>
      </c>
      <c r="E450" t="s">
        <v>42</v>
      </c>
      <c r="F450" t="s">
        <v>97</v>
      </c>
      <c r="G450" t="s">
        <v>92</v>
      </c>
      <c r="H450" t="s">
        <v>93</v>
      </c>
      <c r="I450" t="s">
        <v>963</v>
      </c>
      <c r="J450">
        <v>6</v>
      </c>
      <c r="K450">
        <v>15782</v>
      </c>
      <c r="L450">
        <v>0.09</v>
      </c>
      <c r="M450">
        <f>'Raw data'!$K450*(1- 'Raw data'!$L450)</f>
        <v>14361.62</v>
      </c>
      <c r="N450">
        <v>86169.72</v>
      </c>
      <c r="O450">
        <v>0.15</v>
      </c>
      <c r="P450">
        <v>12925.46</v>
      </c>
      <c r="Q450" t="s">
        <v>27</v>
      </c>
      <c r="R450" t="s">
        <v>48</v>
      </c>
      <c r="S450">
        <v>5</v>
      </c>
    </row>
    <row r="451" spans="1:19" x14ac:dyDescent="0.3">
      <c r="A451" t="s">
        <v>964</v>
      </c>
      <c r="B451">
        <v>45376</v>
      </c>
      <c r="C451" t="s">
        <v>30</v>
      </c>
      <c r="D451" t="s">
        <v>56</v>
      </c>
      <c r="E451" t="s">
        <v>42</v>
      </c>
      <c r="F451" t="s">
        <v>97</v>
      </c>
      <c r="G451" t="s">
        <v>57</v>
      </c>
      <c r="H451" t="s">
        <v>81</v>
      </c>
      <c r="I451" t="s">
        <v>965</v>
      </c>
      <c r="J451">
        <v>1</v>
      </c>
      <c r="K451">
        <v>18724</v>
      </c>
      <c r="L451">
        <v>0.2</v>
      </c>
      <c r="M451">
        <f>'Raw data'!$K451*(1- 'Raw data'!$L451)</f>
        <v>14979.2</v>
      </c>
      <c r="N451">
        <v>14979.2</v>
      </c>
      <c r="O451">
        <v>0.2</v>
      </c>
      <c r="P451">
        <v>2995.84</v>
      </c>
      <c r="Q451" t="s">
        <v>37</v>
      </c>
      <c r="R451" t="s">
        <v>48</v>
      </c>
      <c r="S451">
        <v>5</v>
      </c>
    </row>
    <row r="452" spans="1:19" x14ac:dyDescent="0.3">
      <c r="A452" t="s">
        <v>966</v>
      </c>
      <c r="B452">
        <v>45377</v>
      </c>
      <c r="C452" t="s">
        <v>63</v>
      </c>
      <c r="D452" t="s">
        <v>21</v>
      </c>
      <c r="E452" t="s">
        <v>67</v>
      </c>
      <c r="F452" t="s">
        <v>103</v>
      </c>
      <c r="G452" t="s">
        <v>44</v>
      </c>
      <c r="H452" t="s">
        <v>64</v>
      </c>
      <c r="I452" t="s">
        <v>967</v>
      </c>
      <c r="J452">
        <v>8</v>
      </c>
      <c r="K452">
        <v>3317</v>
      </c>
      <c r="L452">
        <v>0.14000000000000001</v>
      </c>
      <c r="M452">
        <f>'Raw data'!$K452*(1- 'Raw data'!$L452)</f>
        <v>2852.62</v>
      </c>
      <c r="N452">
        <v>22820.959999999999</v>
      </c>
      <c r="O452">
        <v>0.35</v>
      </c>
      <c r="P452">
        <v>7987.34</v>
      </c>
      <c r="Q452" t="s">
        <v>37</v>
      </c>
      <c r="R452" t="s">
        <v>48</v>
      </c>
      <c r="S452">
        <v>9</v>
      </c>
    </row>
    <row r="453" spans="1:19" x14ac:dyDescent="0.3">
      <c r="A453" t="s">
        <v>968</v>
      </c>
      <c r="B453">
        <v>45378</v>
      </c>
      <c r="C453" t="s">
        <v>40</v>
      </c>
      <c r="D453" t="s">
        <v>56</v>
      </c>
      <c r="E453" t="s">
        <v>42</v>
      </c>
      <c r="F453" t="s">
        <v>68</v>
      </c>
      <c r="G453" t="s">
        <v>24</v>
      </c>
      <c r="H453" t="s">
        <v>186</v>
      </c>
      <c r="I453" t="s">
        <v>969</v>
      </c>
      <c r="J453">
        <v>7</v>
      </c>
      <c r="K453">
        <v>3496</v>
      </c>
      <c r="L453">
        <v>0.08</v>
      </c>
      <c r="M453">
        <f>'Raw data'!$K453*(1- 'Raw data'!$L453)</f>
        <v>3216.32</v>
      </c>
      <c r="N453">
        <v>22514.240000000002</v>
      </c>
      <c r="O453">
        <v>0.25</v>
      </c>
      <c r="P453">
        <v>5628.56</v>
      </c>
      <c r="Q453" t="s">
        <v>37</v>
      </c>
      <c r="R453" t="s">
        <v>38</v>
      </c>
      <c r="S453">
        <v>1</v>
      </c>
    </row>
    <row r="454" spans="1:19" x14ac:dyDescent="0.3">
      <c r="A454" t="s">
        <v>970</v>
      </c>
      <c r="B454">
        <v>45379</v>
      </c>
      <c r="C454" t="s">
        <v>30</v>
      </c>
      <c r="D454" t="s">
        <v>56</v>
      </c>
      <c r="E454" t="s">
        <v>22</v>
      </c>
      <c r="F454" t="s">
        <v>43</v>
      </c>
      <c r="G454" t="s">
        <v>34</v>
      </c>
      <c r="H454" t="s">
        <v>35</v>
      </c>
      <c r="I454" t="s">
        <v>971</v>
      </c>
      <c r="J454">
        <v>9</v>
      </c>
      <c r="K454">
        <v>1034</v>
      </c>
      <c r="L454">
        <v>0.16</v>
      </c>
      <c r="M454">
        <f>'Raw data'!$K454*(1- 'Raw data'!$L454)</f>
        <v>868.56</v>
      </c>
      <c r="N454">
        <v>7817.04</v>
      </c>
      <c r="O454">
        <v>0.4</v>
      </c>
      <c r="P454">
        <v>3126.82</v>
      </c>
      <c r="Q454" t="s">
        <v>27</v>
      </c>
      <c r="R454" t="s">
        <v>48</v>
      </c>
      <c r="S454">
        <v>5</v>
      </c>
    </row>
    <row r="455" spans="1:19" x14ac:dyDescent="0.3">
      <c r="A455" t="s">
        <v>972</v>
      </c>
      <c r="B455">
        <v>45380</v>
      </c>
      <c r="C455" t="s">
        <v>55</v>
      </c>
      <c r="D455" t="s">
        <v>56</v>
      </c>
      <c r="E455" t="s">
        <v>67</v>
      </c>
      <c r="F455" t="s">
        <v>43</v>
      </c>
      <c r="G455" t="s">
        <v>34</v>
      </c>
      <c r="H455" t="s">
        <v>35</v>
      </c>
      <c r="I455" t="s">
        <v>973</v>
      </c>
      <c r="J455">
        <v>3</v>
      </c>
      <c r="K455">
        <v>1403</v>
      </c>
      <c r="L455">
        <v>0.06</v>
      </c>
      <c r="M455">
        <f>'Raw data'!$K455*(1- 'Raw data'!$L455)</f>
        <v>1318.82</v>
      </c>
      <c r="N455">
        <v>3956.46</v>
      </c>
      <c r="O455">
        <v>0.4</v>
      </c>
      <c r="P455">
        <v>1582.58</v>
      </c>
      <c r="Q455" t="s">
        <v>51</v>
      </c>
      <c r="R455" t="s">
        <v>48</v>
      </c>
      <c r="S455">
        <v>7</v>
      </c>
    </row>
    <row r="456" spans="1:19" x14ac:dyDescent="0.3">
      <c r="A456" t="s">
        <v>974</v>
      </c>
      <c r="B456">
        <v>45381</v>
      </c>
      <c r="C456" t="s">
        <v>63</v>
      </c>
      <c r="D456" t="s">
        <v>41</v>
      </c>
      <c r="E456" t="s">
        <v>67</v>
      </c>
      <c r="F456" t="s">
        <v>23</v>
      </c>
      <c r="G456" t="s">
        <v>24</v>
      </c>
      <c r="H456" t="s">
        <v>74</v>
      </c>
      <c r="I456" t="s">
        <v>975</v>
      </c>
      <c r="J456">
        <v>2</v>
      </c>
      <c r="K456">
        <v>10917</v>
      </c>
      <c r="L456">
        <v>0</v>
      </c>
      <c r="M456">
        <f>'Raw data'!$K456*(1- 'Raw data'!$L456)</f>
        <v>10917</v>
      </c>
      <c r="N456">
        <v>21834</v>
      </c>
      <c r="O456">
        <v>0.25</v>
      </c>
      <c r="P456">
        <v>5458.5</v>
      </c>
      <c r="Q456" t="s">
        <v>37</v>
      </c>
      <c r="R456" t="s">
        <v>48</v>
      </c>
      <c r="S456">
        <v>6</v>
      </c>
    </row>
    <row r="457" spans="1:19" x14ac:dyDescent="0.3">
      <c r="A457" t="s">
        <v>976</v>
      </c>
      <c r="B457">
        <v>45382</v>
      </c>
      <c r="C457" t="s">
        <v>20</v>
      </c>
      <c r="D457" t="s">
        <v>41</v>
      </c>
      <c r="E457" t="s">
        <v>22</v>
      </c>
      <c r="F457" t="s">
        <v>97</v>
      </c>
      <c r="G457" t="s">
        <v>57</v>
      </c>
      <c r="H457" t="s">
        <v>81</v>
      </c>
      <c r="I457" t="s">
        <v>977</v>
      </c>
      <c r="J457">
        <v>1</v>
      </c>
      <c r="K457">
        <v>5267</v>
      </c>
      <c r="L457">
        <v>0.19</v>
      </c>
      <c r="M457">
        <f>'Raw data'!$K457*(1- 'Raw data'!$L457)</f>
        <v>4266.2700000000004</v>
      </c>
      <c r="N457">
        <v>4266.2700000000004</v>
      </c>
      <c r="O457">
        <v>0.2</v>
      </c>
      <c r="P457">
        <v>853.25</v>
      </c>
      <c r="Q457" t="s">
        <v>47</v>
      </c>
      <c r="R457" t="s">
        <v>48</v>
      </c>
      <c r="S457">
        <v>6</v>
      </c>
    </row>
    <row r="458" spans="1:19" x14ac:dyDescent="0.3">
      <c r="A458" t="s">
        <v>978</v>
      </c>
      <c r="B458">
        <v>45383</v>
      </c>
      <c r="C458" t="s">
        <v>40</v>
      </c>
      <c r="D458" t="s">
        <v>41</v>
      </c>
      <c r="E458" t="s">
        <v>42</v>
      </c>
      <c r="F458" t="s">
        <v>97</v>
      </c>
      <c r="G458" t="s">
        <v>34</v>
      </c>
      <c r="H458" t="s">
        <v>71</v>
      </c>
      <c r="I458" t="s">
        <v>979</v>
      </c>
      <c r="J458">
        <v>3</v>
      </c>
      <c r="K458">
        <v>510</v>
      </c>
      <c r="L458">
        <v>0.16</v>
      </c>
      <c r="M458">
        <f>'Raw data'!$K458*(1- 'Raw data'!$L458)</f>
        <v>428.4</v>
      </c>
      <c r="N458">
        <v>1285.2</v>
      </c>
      <c r="O458">
        <v>0.4</v>
      </c>
      <c r="P458">
        <v>514.08000000000004</v>
      </c>
      <c r="Q458" t="s">
        <v>37</v>
      </c>
      <c r="R458" t="s">
        <v>48</v>
      </c>
      <c r="S458">
        <v>7</v>
      </c>
    </row>
    <row r="459" spans="1:19" x14ac:dyDescent="0.3">
      <c r="A459" t="s">
        <v>980</v>
      </c>
      <c r="B459">
        <v>45384</v>
      </c>
      <c r="C459" t="s">
        <v>63</v>
      </c>
      <c r="D459" t="s">
        <v>21</v>
      </c>
      <c r="E459" t="s">
        <v>42</v>
      </c>
      <c r="F459" t="s">
        <v>68</v>
      </c>
      <c r="G459" t="s">
        <v>44</v>
      </c>
      <c r="H459" t="s">
        <v>64</v>
      </c>
      <c r="I459" t="s">
        <v>981</v>
      </c>
      <c r="J459">
        <v>5</v>
      </c>
      <c r="K459">
        <v>761</v>
      </c>
      <c r="L459">
        <v>0.19</v>
      </c>
      <c r="M459">
        <f>'Raw data'!$K459*(1- 'Raw data'!$L459)</f>
        <v>616.41000000000008</v>
      </c>
      <c r="N459">
        <v>3082.05</v>
      </c>
      <c r="O459">
        <v>0.35</v>
      </c>
      <c r="P459">
        <v>1078.72</v>
      </c>
      <c r="Q459" t="s">
        <v>27</v>
      </c>
      <c r="R459" t="s">
        <v>48</v>
      </c>
      <c r="S459">
        <v>6</v>
      </c>
    </row>
    <row r="460" spans="1:19" x14ac:dyDescent="0.3">
      <c r="A460" t="s">
        <v>982</v>
      </c>
      <c r="B460">
        <v>45385</v>
      </c>
      <c r="C460" t="s">
        <v>96</v>
      </c>
      <c r="D460" t="s">
        <v>31</v>
      </c>
      <c r="E460" t="s">
        <v>42</v>
      </c>
      <c r="F460" t="s">
        <v>33</v>
      </c>
      <c r="G460" t="s">
        <v>57</v>
      </c>
      <c r="H460" t="s">
        <v>183</v>
      </c>
      <c r="I460" t="s">
        <v>983</v>
      </c>
      <c r="J460">
        <v>2</v>
      </c>
      <c r="K460">
        <v>19826</v>
      </c>
      <c r="L460">
        <v>0.01</v>
      </c>
      <c r="M460">
        <f>'Raw data'!$K460*(1- 'Raw data'!$L460)</f>
        <v>19627.740000000002</v>
      </c>
      <c r="N460">
        <v>39255.480000000003</v>
      </c>
      <c r="O460">
        <v>0.2</v>
      </c>
      <c r="P460">
        <v>7851.1</v>
      </c>
      <c r="Q460" t="s">
        <v>37</v>
      </c>
      <c r="R460" t="s">
        <v>48</v>
      </c>
      <c r="S460">
        <v>5</v>
      </c>
    </row>
    <row r="461" spans="1:19" x14ac:dyDescent="0.3">
      <c r="A461" t="s">
        <v>984</v>
      </c>
      <c r="B461">
        <v>45386</v>
      </c>
      <c r="C461" t="s">
        <v>40</v>
      </c>
      <c r="D461" t="s">
        <v>41</v>
      </c>
      <c r="E461" t="s">
        <v>67</v>
      </c>
      <c r="F461" t="s">
        <v>43</v>
      </c>
      <c r="G461" t="s">
        <v>44</v>
      </c>
      <c r="H461" t="s">
        <v>138</v>
      </c>
      <c r="I461" t="s">
        <v>985</v>
      </c>
      <c r="J461">
        <v>3</v>
      </c>
      <c r="K461">
        <v>905</v>
      </c>
      <c r="L461">
        <v>0.21</v>
      </c>
      <c r="M461">
        <f>'Raw data'!$K461*(1- 'Raw data'!$L461)</f>
        <v>714.95</v>
      </c>
      <c r="N461">
        <v>2144.85</v>
      </c>
      <c r="O461">
        <v>0.35</v>
      </c>
      <c r="P461">
        <v>750.7</v>
      </c>
      <c r="Q461" t="s">
        <v>51</v>
      </c>
      <c r="R461" t="s">
        <v>48</v>
      </c>
      <c r="S461">
        <v>5</v>
      </c>
    </row>
    <row r="462" spans="1:19" x14ac:dyDescent="0.3">
      <c r="A462" t="s">
        <v>986</v>
      </c>
      <c r="B462">
        <v>45387</v>
      </c>
      <c r="C462" t="s">
        <v>63</v>
      </c>
      <c r="D462" t="s">
        <v>21</v>
      </c>
      <c r="E462" t="s">
        <v>67</v>
      </c>
      <c r="F462" t="s">
        <v>23</v>
      </c>
      <c r="G462" t="s">
        <v>92</v>
      </c>
      <c r="H462" t="s">
        <v>243</v>
      </c>
      <c r="I462" t="s">
        <v>987</v>
      </c>
      <c r="J462">
        <v>4</v>
      </c>
      <c r="K462">
        <v>75450</v>
      </c>
      <c r="L462">
        <v>0.15</v>
      </c>
      <c r="M462">
        <f>'Raw data'!$K462*(1- 'Raw data'!$L462)</f>
        <v>64132.5</v>
      </c>
      <c r="N462">
        <v>256530</v>
      </c>
      <c r="O462">
        <v>0.15</v>
      </c>
      <c r="P462">
        <v>38479.5</v>
      </c>
      <c r="Q462" t="s">
        <v>37</v>
      </c>
      <c r="R462" t="s">
        <v>48</v>
      </c>
      <c r="S462">
        <v>9</v>
      </c>
    </row>
    <row r="463" spans="1:19" x14ac:dyDescent="0.3">
      <c r="A463" t="s">
        <v>988</v>
      </c>
      <c r="B463">
        <v>45388</v>
      </c>
      <c r="C463" t="s">
        <v>96</v>
      </c>
      <c r="D463" t="s">
        <v>41</v>
      </c>
      <c r="E463" t="s">
        <v>42</v>
      </c>
      <c r="F463" t="s">
        <v>68</v>
      </c>
      <c r="G463" t="s">
        <v>57</v>
      </c>
      <c r="H463" t="s">
        <v>100</v>
      </c>
      <c r="I463" t="s">
        <v>989</v>
      </c>
      <c r="J463">
        <v>7</v>
      </c>
      <c r="K463">
        <v>12382</v>
      </c>
      <c r="L463">
        <v>0.14000000000000001</v>
      </c>
      <c r="M463">
        <f>'Raw data'!$K463*(1- 'Raw data'!$L463)</f>
        <v>10648.52</v>
      </c>
      <c r="N463">
        <v>74539.64</v>
      </c>
      <c r="O463">
        <v>0.2</v>
      </c>
      <c r="P463">
        <v>14907.93</v>
      </c>
      <c r="Q463" t="s">
        <v>27</v>
      </c>
      <c r="R463" t="s">
        <v>38</v>
      </c>
      <c r="S463">
        <v>8</v>
      </c>
    </row>
    <row r="464" spans="1:19" x14ac:dyDescent="0.3">
      <c r="A464" t="s">
        <v>990</v>
      </c>
      <c r="B464">
        <v>45389</v>
      </c>
      <c r="C464" t="s">
        <v>40</v>
      </c>
      <c r="D464" t="s">
        <v>41</v>
      </c>
      <c r="E464" t="s">
        <v>32</v>
      </c>
      <c r="F464" t="s">
        <v>97</v>
      </c>
      <c r="G464" t="s">
        <v>34</v>
      </c>
      <c r="H464" t="s">
        <v>71</v>
      </c>
      <c r="I464" t="s">
        <v>991</v>
      </c>
      <c r="J464">
        <v>3</v>
      </c>
      <c r="K464">
        <v>541</v>
      </c>
      <c r="L464">
        <v>0.16</v>
      </c>
      <c r="M464">
        <f>'Raw data'!$K464*(1- 'Raw data'!$L464)</f>
        <v>454.44</v>
      </c>
      <c r="N464">
        <v>1363.32</v>
      </c>
      <c r="O464">
        <v>0.4</v>
      </c>
      <c r="P464">
        <v>545.33000000000004</v>
      </c>
      <c r="Q464" t="s">
        <v>27</v>
      </c>
      <c r="R464" t="s">
        <v>38</v>
      </c>
      <c r="S464">
        <v>4</v>
      </c>
    </row>
    <row r="465" spans="1:19" x14ac:dyDescent="0.3">
      <c r="A465" t="s">
        <v>992</v>
      </c>
      <c r="B465">
        <v>45390</v>
      </c>
      <c r="C465" t="s">
        <v>96</v>
      </c>
      <c r="D465" t="s">
        <v>56</v>
      </c>
      <c r="E465" t="s">
        <v>42</v>
      </c>
      <c r="F465" t="s">
        <v>43</v>
      </c>
      <c r="G465" t="s">
        <v>57</v>
      </c>
      <c r="H465" t="s">
        <v>81</v>
      </c>
      <c r="I465" t="s">
        <v>993</v>
      </c>
      <c r="J465">
        <v>9</v>
      </c>
      <c r="K465">
        <v>7435</v>
      </c>
      <c r="L465">
        <v>0.22</v>
      </c>
      <c r="M465">
        <f>'Raw data'!$K465*(1- 'Raw data'!$L465)</f>
        <v>5799.3</v>
      </c>
      <c r="N465">
        <v>52193.7</v>
      </c>
      <c r="O465">
        <v>0.2</v>
      </c>
      <c r="P465">
        <v>10438.74</v>
      </c>
      <c r="Q465" t="s">
        <v>47</v>
      </c>
      <c r="R465" t="s">
        <v>48</v>
      </c>
      <c r="S465">
        <v>4</v>
      </c>
    </row>
    <row r="466" spans="1:19" x14ac:dyDescent="0.3">
      <c r="A466" t="s">
        <v>994</v>
      </c>
      <c r="B466">
        <v>45391</v>
      </c>
      <c r="C466" t="s">
        <v>96</v>
      </c>
      <c r="D466" t="s">
        <v>56</v>
      </c>
      <c r="E466" t="s">
        <v>22</v>
      </c>
      <c r="F466" t="s">
        <v>23</v>
      </c>
      <c r="G466" t="s">
        <v>57</v>
      </c>
      <c r="H466" t="s">
        <v>183</v>
      </c>
      <c r="I466" t="s">
        <v>995</v>
      </c>
      <c r="J466">
        <v>8</v>
      </c>
      <c r="K466">
        <v>6107</v>
      </c>
      <c r="L466">
        <v>0.15</v>
      </c>
      <c r="M466">
        <f>'Raw data'!$K466*(1- 'Raw data'!$L466)</f>
        <v>5190.95</v>
      </c>
      <c r="N466">
        <v>41527.599999999999</v>
      </c>
      <c r="O466">
        <v>0.2</v>
      </c>
      <c r="P466">
        <v>8305.52</v>
      </c>
      <c r="Q466" t="s">
        <v>27</v>
      </c>
      <c r="R466" t="s">
        <v>48</v>
      </c>
      <c r="S466">
        <v>5</v>
      </c>
    </row>
    <row r="467" spans="1:19" x14ac:dyDescent="0.3">
      <c r="A467" t="s">
        <v>996</v>
      </c>
      <c r="B467">
        <v>45392</v>
      </c>
      <c r="C467" t="s">
        <v>40</v>
      </c>
      <c r="D467" t="s">
        <v>56</v>
      </c>
      <c r="E467" t="s">
        <v>67</v>
      </c>
      <c r="F467" t="s">
        <v>103</v>
      </c>
      <c r="G467" t="s">
        <v>57</v>
      </c>
      <c r="H467" t="s">
        <v>81</v>
      </c>
      <c r="I467" t="s">
        <v>997</v>
      </c>
      <c r="J467">
        <v>4</v>
      </c>
      <c r="K467">
        <v>2560</v>
      </c>
      <c r="L467">
        <v>0.15</v>
      </c>
      <c r="M467">
        <f>'Raw data'!$K467*(1- 'Raw data'!$L467)</f>
        <v>2176</v>
      </c>
      <c r="N467">
        <v>8704</v>
      </c>
      <c r="O467">
        <v>0.2</v>
      </c>
      <c r="P467">
        <v>1740.8</v>
      </c>
      <c r="Q467" t="s">
        <v>47</v>
      </c>
      <c r="R467" t="s">
        <v>48</v>
      </c>
      <c r="S467">
        <v>3</v>
      </c>
    </row>
    <row r="468" spans="1:19" x14ac:dyDescent="0.3">
      <c r="A468" t="s">
        <v>998</v>
      </c>
      <c r="B468">
        <v>45393</v>
      </c>
      <c r="C468" t="s">
        <v>40</v>
      </c>
      <c r="D468" t="s">
        <v>21</v>
      </c>
      <c r="E468" t="s">
        <v>22</v>
      </c>
      <c r="F468" t="s">
        <v>43</v>
      </c>
      <c r="G468" t="s">
        <v>57</v>
      </c>
      <c r="H468" t="s">
        <v>183</v>
      </c>
      <c r="I468" t="s">
        <v>999</v>
      </c>
      <c r="J468">
        <v>1</v>
      </c>
      <c r="K468">
        <v>14329</v>
      </c>
      <c r="L468">
        <v>0.25</v>
      </c>
      <c r="M468">
        <f>'Raw data'!$K468*(1- 'Raw data'!$L468)</f>
        <v>10746.75</v>
      </c>
      <c r="N468">
        <v>10746.75</v>
      </c>
      <c r="O468">
        <v>0.2</v>
      </c>
      <c r="P468">
        <v>2149.35</v>
      </c>
      <c r="Q468" t="s">
        <v>51</v>
      </c>
      <c r="R468" t="s">
        <v>48</v>
      </c>
      <c r="S468">
        <v>8</v>
      </c>
    </row>
    <row r="469" spans="1:19" x14ac:dyDescent="0.3">
      <c r="A469" t="s">
        <v>1000</v>
      </c>
      <c r="B469">
        <v>45394</v>
      </c>
      <c r="C469" t="s">
        <v>96</v>
      </c>
      <c r="D469" t="s">
        <v>31</v>
      </c>
      <c r="E469" t="s">
        <v>22</v>
      </c>
      <c r="F469" t="s">
        <v>23</v>
      </c>
      <c r="G469" t="s">
        <v>44</v>
      </c>
      <c r="H469" t="s">
        <v>138</v>
      </c>
      <c r="I469" t="s">
        <v>1001</v>
      </c>
      <c r="J469">
        <v>1</v>
      </c>
      <c r="K469">
        <v>3225</v>
      </c>
      <c r="L469">
        <v>0.19</v>
      </c>
      <c r="M469">
        <f>'Raw data'!$K469*(1- 'Raw data'!$L469)</f>
        <v>2612.25</v>
      </c>
      <c r="N469">
        <v>2612.25</v>
      </c>
      <c r="O469">
        <v>0.35</v>
      </c>
      <c r="P469">
        <v>914.29</v>
      </c>
      <c r="Q469" t="s">
        <v>27</v>
      </c>
      <c r="R469" t="s">
        <v>48</v>
      </c>
      <c r="S469">
        <v>7</v>
      </c>
    </row>
    <row r="470" spans="1:19" x14ac:dyDescent="0.3">
      <c r="A470" t="s">
        <v>1002</v>
      </c>
      <c r="B470">
        <v>45395</v>
      </c>
      <c r="C470" t="s">
        <v>55</v>
      </c>
      <c r="D470" t="s">
        <v>31</v>
      </c>
      <c r="E470" t="s">
        <v>67</v>
      </c>
      <c r="F470" t="s">
        <v>68</v>
      </c>
      <c r="G470" t="s">
        <v>92</v>
      </c>
      <c r="H470" t="s">
        <v>93</v>
      </c>
      <c r="I470" t="s">
        <v>1003</v>
      </c>
      <c r="J470">
        <v>1</v>
      </c>
      <c r="K470">
        <v>35169</v>
      </c>
      <c r="L470">
        <v>0.11</v>
      </c>
      <c r="M470">
        <f>'Raw data'!$K470*(1- 'Raw data'!$L470)</f>
        <v>31300.41</v>
      </c>
      <c r="N470">
        <v>31300.41</v>
      </c>
      <c r="O470">
        <v>0.15</v>
      </c>
      <c r="P470">
        <v>4695.0600000000004</v>
      </c>
      <c r="Q470" t="s">
        <v>37</v>
      </c>
      <c r="R470" t="s">
        <v>48</v>
      </c>
      <c r="S470">
        <v>5</v>
      </c>
    </row>
    <row r="471" spans="1:19" x14ac:dyDescent="0.3">
      <c r="A471" t="s">
        <v>1004</v>
      </c>
      <c r="B471">
        <v>45396</v>
      </c>
      <c r="C471" t="s">
        <v>40</v>
      </c>
      <c r="D471" t="s">
        <v>21</v>
      </c>
      <c r="E471" t="s">
        <v>32</v>
      </c>
      <c r="F471" t="s">
        <v>103</v>
      </c>
      <c r="G471" t="s">
        <v>24</v>
      </c>
      <c r="H471" t="s">
        <v>74</v>
      </c>
      <c r="I471" t="s">
        <v>1005</v>
      </c>
      <c r="J471">
        <v>1</v>
      </c>
      <c r="K471">
        <v>6548</v>
      </c>
      <c r="L471">
        <v>0.18</v>
      </c>
      <c r="M471">
        <f>'Raw data'!$K471*(1- 'Raw data'!$L471)</f>
        <v>5369.3600000000006</v>
      </c>
      <c r="N471">
        <v>5369.36</v>
      </c>
      <c r="O471">
        <v>0.25</v>
      </c>
      <c r="P471">
        <v>1342.34</v>
      </c>
      <c r="Q471" t="s">
        <v>51</v>
      </c>
      <c r="R471" t="s">
        <v>38</v>
      </c>
      <c r="S471">
        <v>3</v>
      </c>
    </row>
    <row r="472" spans="1:19" x14ac:dyDescent="0.3">
      <c r="A472" t="s">
        <v>1006</v>
      </c>
      <c r="B472">
        <v>45397</v>
      </c>
      <c r="C472" t="s">
        <v>63</v>
      </c>
      <c r="D472" t="s">
        <v>41</v>
      </c>
      <c r="E472" t="s">
        <v>42</v>
      </c>
      <c r="F472" t="s">
        <v>23</v>
      </c>
      <c r="G472" t="s">
        <v>57</v>
      </c>
      <c r="H472" t="s">
        <v>81</v>
      </c>
      <c r="I472" t="s">
        <v>1007</v>
      </c>
      <c r="J472">
        <v>8</v>
      </c>
      <c r="K472">
        <v>3826</v>
      </c>
      <c r="L472">
        <v>0.1</v>
      </c>
      <c r="M472">
        <f>'Raw data'!$K472*(1- 'Raw data'!$L472)</f>
        <v>3443.4</v>
      </c>
      <c r="N472">
        <v>27547.200000000001</v>
      </c>
      <c r="O472">
        <v>0.2</v>
      </c>
      <c r="P472">
        <v>5509.44</v>
      </c>
      <c r="Q472" t="s">
        <v>37</v>
      </c>
      <c r="R472" t="s">
        <v>38</v>
      </c>
      <c r="S472">
        <v>5</v>
      </c>
    </row>
    <row r="473" spans="1:19" x14ac:dyDescent="0.3">
      <c r="A473" t="s">
        <v>1008</v>
      </c>
      <c r="B473">
        <v>45398</v>
      </c>
      <c r="C473" t="s">
        <v>30</v>
      </c>
      <c r="D473" t="s">
        <v>21</v>
      </c>
      <c r="E473" t="s">
        <v>22</v>
      </c>
      <c r="F473" t="s">
        <v>23</v>
      </c>
      <c r="G473" t="s">
        <v>34</v>
      </c>
      <c r="H473" t="s">
        <v>35</v>
      </c>
      <c r="I473" t="s">
        <v>1009</v>
      </c>
      <c r="J473">
        <v>3</v>
      </c>
      <c r="K473">
        <v>1381</v>
      </c>
      <c r="L473">
        <v>0.06</v>
      </c>
      <c r="M473">
        <f>'Raw data'!$K473*(1- 'Raw data'!$L473)</f>
        <v>1298.1399999999999</v>
      </c>
      <c r="N473">
        <v>3894.42</v>
      </c>
      <c r="O473">
        <v>0.4</v>
      </c>
      <c r="P473">
        <v>1557.77</v>
      </c>
      <c r="Q473" t="s">
        <v>37</v>
      </c>
      <c r="R473" t="s">
        <v>48</v>
      </c>
      <c r="S473">
        <v>3</v>
      </c>
    </row>
    <row r="474" spans="1:19" x14ac:dyDescent="0.3">
      <c r="A474" t="s">
        <v>1010</v>
      </c>
      <c r="B474">
        <v>45399</v>
      </c>
      <c r="C474" t="s">
        <v>20</v>
      </c>
      <c r="D474" t="s">
        <v>41</v>
      </c>
      <c r="E474" t="s">
        <v>67</v>
      </c>
      <c r="F474" t="s">
        <v>97</v>
      </c>
      <c r="G474" t="s">
        <v>57</v>
      </c>
      <c r="H474" t="s">
        <v>81</v>
      </c>
      <c r="I474" t="s">
        <v>726</v>
      </c>
      <c r="J474">
        <v>6</v>
      </c>
      <c r="K474">
        <v>14265</v>
      </c>
      <c r="L474">
        <v>0.15</v>
      </c>
      <c r="M474">
        <f>'Raw data'!$K474*(1- 'Raw data'!$L474)</f>
        <v>12125.25</v>
      </c>
      <c r="N474">
        <v>72751.5</v>
      </c>
      <c r="O474">
        <v>0.2</v>
      </c>
      <c r="P474">
        <v>14550.3</v>
      </c>
      <c r="Q474" t="s">
        <v>37</v>
      </c>
      <c r="R474" t="s">
        <v>48</v>
      </c>
      <c r="S474">
        <v>5</v>
      </c>
    </row>
    <row r="475" spans="1:19" x14ac:dyDescent="0.3">
      <c r="A475" t="s">
        <v>1011</v>
      </c>
      <c r="B475">
        <v>45400</v>
      </c>
      <c r="C475" t="s">
        <v>96</v>
      </c>
      <c r="D475" t="s">
        <v>21</v>
      </c>
      <c r="E475" t="s">
        <v>22</v>
      </c>
      <c r="F475" t="s">
        <v>33</v>
      </c>
      <c r="G475" t="s">
        <v>34</v>
      </c>
      <c r="H475" t="s">
        <v>35</v>
      </c>
      <c r="I475" t="s">
        <v>1012</v>
      </c>
      <c r="J475">
        <v>3</v>
      </c>
      <c r="K475">
        <v>333</v>
      </c>
      <c r="L475">
        <v>0.23</v>
      </c>
      <c r="M475">
        <f>'Raw data'!$K475*(1- 'Raw data'!$L475)</f>
        <v>256.41000000000003</v>
      </c>
      <c r="N475">
        <v>769.23</v>
      </c>
      <c r="O475">
        <v>0.4</v>
      </c>
      <c r="P475">
        <v>307.69</v>
      </c>
      <c r="Q475" t="s">
        <v>51</v>
      </c>
      <c r="R475" t="s">
        <v>48</v>
      </c>
      <c r="S475">
        <v>1</v>
      </c>
    </row>
    <row r="476" spans="1:19" x14ac:dyDescent="0.3">
      <c r="A476" t="s">
        <v>1013</v>
      </c>
      <c r="B476">
        <v>45401</v>
      </c>
      <c r="C476" t="s">
        <v>96</v>
      </c>
      <c r="D476" t="s">
        <v>21</v>
      </c>
      <c r="E476" t="s">
        <v>42</v>
      </c>
      <c r="F476" t="s">
        <v>43</v>
      </c>
      <c r="G476" t="s">
        <v>44</v>
      </c>
      <c r="H476" t="s">
        <v>45</v>
      </c>
      <c r="I476" t="s">
        <v>1014</v>
      </c>
      <c r="J476">
        <v>5</v>
      </c>
      <c r="K476">
        <v>3638</v>
      </c>
      <c r="L476">
        <v>0.23</v>
      </c>
      <c r="M476">
        <f>'Raw data'!$K476*(1- 'Raw data'!$L476)</f>
        <v>2801.26</v>
      </c>
      <c r="N476">
        <v>14006.3</v>
      </c>
      <c r="O476">
        <v>0.35</v>
      </c>
      <c r="P476">
        <v>4902.2</v>
      </c>
      <c r="Q476" t="s">
        <v>51</v>
      </c>
      <c r="R476" t="s">
        <v>48</v>
      </c>
      <c r="S476">
        <v>6</v>
      </c>
    </row>
    <row r="477" spans="1:19" x14ac:dyDescent="0.3">
      <c r="A477" t="s">
        <v>1015</v>
      </c>
      <c r="B477">
        <v>45402</v>
      </c>
      <c r="C477" t="s">
        <v>20</v>
      </c>
      <c r="D477" t="s">
        <v>21</v>
      </c>
      <c r="E477" t="s">
        <v>32</v>
      </c>
      <c r="F477" t="s">
        <v>97</v>
      </c>
      <c r="G477" t="s">
        <v>34</v>
      </c>
      <c r="H477" t="s">
        <v>104</v>
      </c>
      <c r="I477" t="s">
        <v>1016</v>
      </c>
      <c r="J477">
        <v>7</v>
      </c>
      <c r="K477">
        <v>1230</v>
      </c>
      <c r="L477">
        <v>0.09</v>
      </c>
      <c r="M477">
        <f>'Raw data'!$K477*(1- 'Raw data'!$L477)</f>
        <v>1119.3</v>
      </c>
      <c r="N477">
        <v>7835.1</v>
      </c>
      <c r="O477">
        <v>0.4</v>
      </c>
      <c r="P477">
        <v>3134.04</v>
      </c>
      <c r="Q477" t="s">
        <v>27</v>
      </c>
      <c r="R477" t="s">
        <v>48</v>
      </c>
      <c r="S477">
        <v>4</v>
      </c>
    </row>
    <row r="478" spans="1:19" x14ac:dyDescent="0.3">
      <c r="A478" t="s">
        <v>1017</v>
      </c>
      <c r="B478">
        <v>45403</v>
      </c>
      <c r="C478" t="s">
        <v>55</v>
      </c>
      <c r="D478" t="s">
        <v>31</v>
      </c>
      <c r="E478" t="s">
        <v>32</v>
      </c>
      <c r="F478" t="s">
        <v>103</v>
      </c>
      <c r="G478" t="s">
        <v>24</v>
      </c>
      <c r="H478" t="s">
        <v>74</v>
      </c>
      <c r="I478" t="s">
        <v>1018</v>
      </c>
      <c r="J478">
        <v>2</v>
      </c>
      <c r="K478">
        <v>14235</v>
      </c>
      <c r="L478">
        <v>0.13</v>
      </c>
      <c r="M478">
        <f>'Raw data'!$K478*(1- 'Raw data'!$L478)</f>
        <v>12384.45</v>
      </c>
      <c r="N478">
        <v>24768.9</v>
      </c>
      <c r="O478">
        <v>0.25</v>
      </c>
      <c r="P478">
        <v>6192.22</v>
      </c>
      <c r="Q478" t="s">
        <v>37</v>
      </c>
      <c r="R478" t="s">
        <v>48</v>
      </c>
      <c r="S478">
        <v>4</v>
      </c>
    </row>
    <row r="479" spans="1:19" x14ac:dyDescent="0.3">
      <c r="A479" t="s">
        <v>1019</v>
      </c>
      <c r="B479">
        <v>45404</v>
      </c>
      <c r="C479" t="s">
        <v>20</v>
      </c>
      <c r="D479" t="s">
        <v>56</v>
      </c>
      <c r="E479" t="s">
        <v>32</v>
      </c>
      <c r="F479" t="s">
        <v>33</v>
      </c>
      <c r="G479" t="s">
        <v>92</v>
      </c>
      <c r="H479" t="s">
        <v>109</v>
      </c>
      <c r="I479" t="s">
        <v>1020</v>
      </c>
      <c r="J479">
        <v>6</v>
      </c>
      <c r="K479">
        <v>50461</v>
      </c>
      <c r="L479">
        <v>0.05</v>
      </c>
      <c r="M479">
        <f>'Raw data'!$K479*(1- 'Raw data'!$L479)</f>
        <v>47937.95</v>
      </c>
      <c r="N479">
        <v>287627.7</v>
      </c>
      <c r="O479">
        <v>0.15</v>
      </c>
      <c r="P479">
        <v>43144.160000000003</v>
      </c>
      <c r="Q479" t="s">
        <v>47</v>
      </c>
      <c r="R479" t="s">
        <v>38</v>
      </c>
      <c r="S479">
        <v>8</v>
      </c>
    </row>
    <row r="480" spans="1:19" x14ac:dyDescent="0.3">
      <c r="A480" t="s">
        <v>1021</v>
      </c>
      <c r="B480">
        <v>45405</v>
      </c>
      <c r="C480" t="s">
        <v>40</v>
      </c>
      <c r="D480" t="s">
        <v>21</v>
      </c>
      <c r="E480" t="s">
        <v>67</v>
      </c>
      <c r="F480" t="s">
        <v>23</v>
      </c>
      <c r="G480" t="s">
        <v>34</v>
      </c>
      <c r="H480" t="s">
        <v>104</v>
      </c>
      <c r="I480" t="s">
        <v>1022</v>
      </c>
      <c r="J480">
        <v>6</v>
      </c>
      <c r="K480">
        <v>272</v>
      </c>
      <c r="L480">
        <v>0.25</v>
      </c>
      <c r="M480">
        <f>'Raw data'!$K480*(1- 'Raw data'!$L480)</f>
        <v>204</v>
      </c>
      <c r="N480">
        <v>1224</v>
      </c>
      <c r="O480">
        <v>0.4</v>
      </c>
      <c r="P480">
        <v>489.6</v>
      </c>
      <c r="Q480" t="s">
        <v>27</v>
      </c>
      <c r="R480" t="s">
        <v>48</v>
      </c>
      <c r="S480">
        <v>2</v>
      </c>
    </row>
    <row r="481" spans="1:19" x14ac:dyDescent="0.3">
      <c r="A481" t="s">
        <v>1023</v>
      </c>
      <c r="B481">
        <v>45406</v>
      </c>
      <c r="C481" t="s">
        <v>20</v>
      </c>
      <c r="D481" t="s">
        <v>31</v>
      </c>
      <c r="E481" t="s">
        <v>67</v>
      </c>
      <c r="F481" t="s">
        <v>97</v>
      </c>
      <c r="G481" t="s">
        <v>34</v>
      </c>
      <c r="H481" t="s">
        <v>71</v>
      </c>
      <c r="I481" t="s">
        <v>1024</v>
      </c>
      <c r="J481">
        <v>3</v>
      </c>
      <c r="K481">
        <v>598</v>
      </c>
      <c r="L481">
        <v>0.25</v>
      </c>
      <c r="M481">
        <f>'Raw data'!$K481*(1- 'Raw data'!$L481)</f>
        <v>448.5</v>
      </c>
      <c r="N481">
        <v>1345.5</v>
      </c>
      <c r="O481">
        <v>0.4</v>
      </c>
      <c r="P481">
        <v>538.20000000000005</v>
      </c>
      <c r="Q481" t="s">
        <v>51</v>
      </c>
      <c r="R481" t="s">
        <v>48</v>
      </c>
      <c r="S481">
        <v>4</v>
      </c>
    </row>
    <row r="482" spans="1:19" x14ac:dyDescent="0.3">
      <c r="A482" t="s">
        <v>1025</v>
      </c>
      <c r="B482">
        <v>45407</v>
      </c>
      <c r="C482" t="s">
        <v>96</v>
      </c>
      <c r="D482" t="s">
        <v>56</v>
      </c>
      <c r="E482" t="s">
        <v>32</v>
      </c>
      <c r="F482" t="s">
        <v>33</v>
      </c>
      <c r="G482" t="s">
        <v>92</v>
      </c>
      <c r="H482" t="s">
        <v>178</v>
      </c>
      <c r="I482" t="s">
        <v>1026</v>
      </c>
      <c r="J482">
        <v>6</v>
      </c>
      <c r="K482">
        <v>34226</v>
      </c>
      <c r="L482">
        <v>0.16</v>
      </c>
      <c r="M482">
        <f>'Raw data'!$K482*(1- 'Raw data'!$L482)</f>
        <v>28749.84</v>
      </c>
      <c r="N482">
        <v>172499.04</v>
      </c>
      <c r="O482">
        <v>0.15</v>
      </c>
      <c r="P482">
        <v>25874.86</v>
      </c>
      <c r="Q482" t="s">
        <v>47</v>
      </c>
      <c r="R482" t="s">
        <v>48</v>
      </c>
      <c r="S482">
        <v>2</v>
      </c>
    </row>
    <row r="483" spans="1:19" x14ac:dyDescent="0.3">
      <c r="A483" t="s">
        <v>1027</v>
      </c>
      <c r="B483">
        <v>45408</v>
      </c>
      <c r="C483" t="s">
        <v>20</v>
      </c>
      <c r="D483" t="s">
        <v>56</v>
      </c>
      <c r="E483" t="s">
        <v>42</v>
      </c>
      <c r="F483" t="s">
        <v>43</v>
      </c>
      <c r="G483" t="s">
        <v>24</v>
      </c>
      <c r="H483" t="s">
        <v>74</v>
      </c>
      <c r="I483" t="s">
        <v>1028</v>
      </c>
      <c r="J483">
        <v>5</v>
      </c>
      <c r="K483">
        <v>7721</v>
      </c>
      <c r="L483">
        <v>0.2</v>
      </c>
      <c r="M483">
        <f>'Raw data'!$K483*(1- 'Raw data'!$L483)</f>
        <v>6176.8</v>
      </c>
      <c r="N483">
        <v>30884</v>
      </c>
      <c r="O483">
        <v>0.25</v>
      </c>
      <c r="P483">
        <v>7721</v>
      </c>
      <c r="Q483" t="s">
        <v>51</v>
      </c>
      <c r="R483" t="s">
        <v>48</v>
      </c>
      <c r="S483">
        <v>1</v>
      </c>
    </row>
    <row r="484" spans="1:19" x14ac:dyDescent="0.3">
      <c r="A484" t="s">
        <v>1029</v>
      </c>
      <c r="B484">
        <v>45409</v>
      </c>
      <c r="C484" t="s">
        <v>30</v>
      </c>
      <c r="D484" t="s">
        <v>21</v>
      </c>
      <c r="E484" t="s">
        <v>42</v>
      </c>
      <c r="F484" t="s">
        <v>103</v>
      </c>
      <c r="G484" t="s">
        <v>57</v>
      </c>
      <c r="H484" t="s">
        <v>81</v>
      </c>
      <c r="I484" t="s">
        <v>1030</v>
      </c>
      <c r="J484">
        <v>2</v>
      </c>
      <c r="K484">
        <v>9373</v>
      </c>
      <c r="L484">
        <v>0.18</v>
      </c>
      <c r="M484">
        <f>'Raw data'!$K484*(1- 'Raw data'!$L484)</f>
        <v>7685.8600000000006</v>
      </c>
      <c r="N484">
        <v>15371.72</v>
      </c>
      <c r="O484">
        <v>0.2</v>
      </c>
      <c r="P484">
        <v>3074.34</v>
      </c>
      <c r="Q484" t="s">
        <v>47</v>
      </c>
      <c r="R484" t="s">
        <v>48</v>
      </c>
      <c r="S484">
        <v>3</v>
      </c>
    </row>
    <row r="485" spans="1:19" x14ac:dyDescent="0.3">
      <c r="A485" t="s">
        <v>1031</v>
      </c>
      <c r="B485">
        <v>45410</v>
      </c>
      <c r="C485" t="s">
        <v>63</v>
      </c>
      <c r="D485" t="s">
        <v>41</v>
      </c>
      <c r="E485" t="s">
        <v>67</v>
      </c>
      <c r="F485" t="s">
        <v>68</v>
      </c>
      <c r="G485" t="s">
        <v>34</v>
      </c>
      <c r="H485" t="s">
        <v>71</v>
      </c>
      <c r="I485" t="s">
        <v>1032</v>
      </c>
      <c r="J485">
        <v>9</v>
      </c>
      <c r="K485">
        <v>465</v>
      </c>
      <c r="L485">
        <v>0.15</v>
      </c>
      <c r="M485">
        <f>'Raw data'!$K485*(1- 'Raw data'!$L485)</f>
        <v>395.25</v>
      </c>
      <c r="N485">
        <v>3557.25</v>
      </c>
      <c r="O485">
        <v>0.4</v>
      </c>
      <c r="P485">
        <v>1422.9</v>
      </c>
      <c r="Q485" t="s">
        <v>27</v>
      </c>
      <c r="R485" t="s">
        <v>38</v>
      </c>
      <c r="S485">
        <v>8</v>
      </c>
    </row>
    <row r="486" spans="1:19" x14ac:dyDescent="0.3">
      <c r="A486" t="s">
        <v>1033</v>
      </c>
      <c r="B486">
        <v>45411</v>
      </c>
      <c r="C486" t="s">
        <v>40</v>
      </c>
      <c r="D486" t="s">
        <v>41</v>
      </c>
      <c r="E486" t="s">
        <v>32</v>
      </c>
      <c r="F486" t="s">
        <v>97</v>
      </c>
      <c r="G486" t="s">
        <v>92</v>
      </c>
      <c r="H486" t="s">
        <v>178</v>
      </c>
      <c r="I486" t="s">
        <v>1034</v>
      </c>
      <c r="J486">
        <v>8</v>
      </c>
      <c r="K486">
        <v>15656</v>
      </c>
      <c r="L486">
        <v>0.01</v>
      </c>
      <c r="M486">
        <f>'Raw data'!$K486*(1- 'Raw data'!$L486)</f>
        <v>15499.44</v>
      </c>
      <c r="N486">
        <v>123995.52</v>
      </c>
      <c r="O486">
        <v>0.15</v>
      </c>
      <c r="P486">
        <v>18599.330000000002</v>
      </c>
      <c r="Q486" t="s">
        <v>47</v>
      </c>
      <c r="R486" t="s">
        <v>48</v>
      </c>
      <c r="S486">
        <v>6</v>
      </c>
    </row>
    <row r="487" spans="1:19" x14ac:dyDescent="0.3">
      <c r="A487" t="s">
        <v>1035</v>
      </c>
      <c r="B487">
        <v>45412</v>
      </c>
      <c r="C487" t="s">
        <v>20</v>
      </c>
      <c r="D487" t="s">
        <v>41</v>
      </c>
      <c r="E487" t="s">
        <v>42</v>
      </c>
      <c r="F487" t="s">
        <v>103</v>
      </c>
      <c r="G487" t="s">
        <v>44</v>
      </c>
      <c r="H487" t="s">
        <v>138</v>
      </c>
      <c r="I487" t="s">
        <v>1036</v>
      </c>
      <c r="J487">
        <v>3</v>
      </c>
      <c r="K487">
        <v>2485</v>
      </c>
      <c r="L487">
        <v>0.11</v>
      </c>
      <c r="M487">
        <f>'Raw data'!$K487*(1- 'Raw data'!$L487)</f>
        <v>2211.65</v>
      </c>
      <c r="N487">
        <v>6634.95</v>
      </c>
      <c r="O487">
        <v>0.35</v>
      </c>
      <c r="P487">
        <v>2322.23</v>
      </c>
      <c r="Q487" t="s">
        <v>27</v>
      </c>
      <c r="R487" t="s">
        <v>48</v>
      </c>
      <c r="S487">
        <v>7</v>
      </c>
    </row>
    <row r="488" spans="1:19" x14ac:dyDescent="0.3">
      <c r="A488" t="s">
        <v>1037</v>
      </c>
      <c r="B488">
        <v>45413</v>
      </c>
      <c r="C488" t="s">
        <v>96</v>
      </c>
      <c r="D488" t="s">
        <v>21</v>
      </c>
      <c r="E488" t="s">
        <v>42</v>
      </c>
      <c r="F488" t="s">
        <v>68</v>
      </c>
      <c r="G488" t="s">
        <v>92</v>
      </c>
      <c r="H488" t="s">
        <v>109</v>
      </c>
      <c r="I488" t="s">
        <v>1038</v>
      </c>
      <c r="J488">
        <v>8</v>
      </c>
      <c r="K488">
        <v>73740</v>
      </c>
      <c r="L488">
        <v>0.17</v>
      </c>
      <c r="M488">
        <f>'Raw data'!$K488*(1- 'Raw data'!$L488)</f>
        <v>61204.2</v>
      </c>
      <c r="N488">
        <v>489633.6</v>
      </c>
      <c r="O488">
        <v>0.15</v>
      </c>
      <c r="P488">
        <v>73445.039999999994</v>
      </c>
      <c r="Q488" t="s">
        <v>51</v>
      </c>
      <c r="R488" t="s">
        <v>48</v>
      </c>
      <c r="S488">
        <v>2</v>
      </c>
    </row>
    <row r="489" spans="1:19" x14ac:dyDescent="0.3">
      <c r="A489" t="s">
        <v>1039</v>
      </c>
      <c r="B489">
        <v>45414</v>
      </c>
      <c r="C489" t="s">
        <v>63</v>
      </c>
      <c r="D489" t="s">
        <v>41</v>
      </c>
      <c r="E489" t="s">
        <v>42</v>
      </c>
      <c r="F489" t="s">
        <v>97</v>
      </c>
      <c r="G489" t="s">
        <v>44</v>
      </c>
      <c r="H489" t="s">
        <v>45</v>
      </c>
      <c r="I489" t="s">
        <v>1040</v>
      </c>
      <c r="J489">
        <v>9</v>
      </c>
      <c r="K489">
        <v>4759</v>
      </c>
      <c r="L489">
        <v>0.17</v>
      </c>
      <c r="M489">
        <f>'Raw data'!$K489*(1- 'Raw data'!$L489)</f>
        <v>3949.97</v>
      </c>
      <c r="N489">
        <v>35549.730000000003</v>
      </c>
      <c r="O489">
        <v>0.35</v>
      </c>
      <c r="P489">
        <v>12442.41</v>
      </c>
      <c r="Q489" t="s">
        <v>47</v>
      </c>
      <c r="R489" t="s">
        <v>48</v>
      </c>
      <c r="S489">
        <v>6</v>
      </c>
    </row>
    <row r="490" spans="1:19" x14ac:dyDescent="0.3">
      <c r="A490" t="s">
        <v>1041</v>
      </c>
      <c r="B490">
        <v>45415</v>
      </c>
      <c r="C490" t="s">
        <v>40</v>
      </c>
      <c r="D490" t="s">
        <v>31</v>
      </c>
      <c r="E490" t="s">
        <v>67</v>
      </c>
      <c r="F490" t="s">
        <v>103</v>
      </c>
      <c r="G490" t="s">
        <v>24</v>
      </c>
      <c r="H490" t="s">
        <v>121</v>
      </c>
      <c r="I490" t="s">
        <v>1042</v>
      </c>
      <c r="J490">
        <v>3</v>
      </c>
      <c r="K490">
        <v>9286</v>
      </c>
      <c r="L490">
        <v>0.09</v>
      </c>
      <c r="M490">
        <f>'Raw data'!$K490*(1- 'Raw data'!$L490)</f>
        <v>8450.26</v>
      </c>
      <c r="N490">
        <v>25350.78</v>
      </c>
      <c r="O490">
        <v>0.25</v>
      </c>
      <c r="P490">
        <v>6337.7</v>
      </c>
      <c r="Q490" t="s">
        <v>37</v>
      </c>
      <c r="R490" t="s">
        <v>38</v>
      </c>
      <c r="S490">
        <v>8</v>
      </c>
    </row>
    <row r="491" spans="1:19" x14ac:dyDescent="0.3">
      <c r="A491" t="s">
        <v>1043</v>
      </c>
      <c r="B491">
        <v>45416</v>
      </c>
      <c r="C491" t="s">
        <v>96</v>
      </c>
      <c r="D491" t="s">
        <v>31</v>
      </c>
      <c r="E491" t="s">
        <v>32</v>
      </c>
      <c r="F491" t="s">
        <v>103</v>
      </c>
      <c r="G491" t="s">
        <v>57</v>
      </c>
      <c r="H491" t="s">
        <v>100</v>
      </c>
      <c r="I491" t="s">
        <v>1044</v>
      </c>
      <c r="J491">
        <v>3</v>
      </c>
      <c r="K491">
        <v>7901</v>
      </c>
      <c r="L491">
        <v>0.24</v>
      </c>
      <c r="M491">
        <f>'Raw data'!$K491*(1- 'Raw data'!$L491)</f>
        <v>6004.76</v>
      </c>
      <c r="N491">
        <v>18014.28</v>
      </c>
      <c r="O491">
        <v>0.2</v>
      </c>
      <c r="P491">
        <v>3602.86</v>
      </c>
      <c r="Q491" t="s">
        <v>37</v>
      </c>
      <c r="R491" t="s">
        <v>48</v>
      </c>
      <c r="S491">
        <v>8</v>
      </c>
    </row>
    <row r="492" spans="1:19" x14ac:dyDescent="0.3">
      <c r="A492" t="s">
        <v>1045</v>
      </c>
      <c r="B492">
        <v>45417</v>
      </c>
      <c r="C492" t="s">
        <v>55</v>
      </c>
      <c r="D492" t="s">
        <v>31</v>
      </c>
      <c r="E492" t="s">
        <v>22</v>
      </c>
      <c r="F492" t="s">
        <v>33</v>
      </c>
      <c r="G492" t="s">
        <v>92</v>
      </c>
      <c r="H492" t="s">
        <v>93</v>
      </c>
      <c r="I492" t="s">
        <v>1046</v>
      </c>
      <c r="J492">
        <v>2</v>
      </c>
      <c r="K492">
        <v>41552</v>
      </c>
      <c r="L492">
        <v>0.04</v>
      </c>
      <c r="M492">
        <f>'Raw data'!$K492*(1- 'Raw data'!$L492)</f>
        <v>39889.919999999998</v>
      </c>
      <c r="N492">
        <v>79779.839999999997</v>
      </c>
      <c r="O492">
        <v>0.15</v>
      </c>
      <c r="P492">
        <v>11966.98</v>
      </c>
      <c r="Q492" t="s">
        <v>51</v>
      </c>
      <c r="R492" t="s">
        <v>38</v>
      </c>
      <c r="S492">
        <v>4</v>
      </c>
    </row>
    <row r="493" spans="1:19" x14ac:dyDescent="0.3">
      <c r="A493" t="s">
        <v>1047</v>
      </c>
      <c r="B493">
        <v>45418</v>
      </c>
      <c r="C493" t="s">
        <v>30</v>
      </c>
      <c r="D493" t="s">
        <v>31</v>
      </c>
      <c r="E493" t="s">
        <v>32</v>
      </c>
      <c r="F493" t="s">
        <v>97</v>
      </c>
      <c r="G493" t="s">
        <v>34</v>
      </c>
      <c r="H493" t="s">
        <v>141</v>
      </c>
      <c r="I493" t="s">
        <v>1048</v>
      </c>
      <c r="J493">
        <v>8</v>
      </c>
      <c r="K493">
        <v>1333</v>
      </c>
      <c r="L493">
        <v>0.13</v>
      </c>
      <c r="M493">
        <f>'Raw data'!$K493*(1- 'Raw data'!$L493)</f>
        <v>1159.71</v>
      </c>
      <c r="N493">
        <v>9277.68</v>
      </c>
      <c r="O493">
        <v>0.4</v>
      </c>
      <c r="P493">
        <v>3711.07</v>
      </c>
      <c r="Q493" t="s">
        <v>47</v>
      </c>
      <c r="R493" t="s">
        <v>48</v>
      </c>
      <c r="S493">
        <v>6</v>
      </c>
    </row>
    <row r="494" spans="1:19" x14ac:dyDescent="0.3">
      <c r="A494" t="s">
        <v>1049</v>
      </c>
      <c r="B494">
        <v>45419</v>
      </c>
      <c r="C494" t="s">
        <v>55</v>
      </c>
      <c r="D494" t="s">
        <v>56</v>
      </c>
      <c r="E494" t="s">
        <v>32</v>
      </c>
      <c r="F494" t="s">
        <v>103</v>
      </c>
      <c r="G494" t="s">
        <v>24</v>
      </c>
      <c r="H494" t="s">
        <v>121</v>
      </c>
      <c r="I494" t="s">
        <v>1050</v>
      </c>
      <c r="J494">
        <v>1</v>
      </c>
      <c r="K494">
        <v>5917</v>
      </c>
      <c r="L494">
        <v>0.17</v>
      </c>
      <c r="M494">
        <f>'Raw data'!$K494*(1- 'Raw data'!$L494)</f>
        <v>4911.1099999999997</v>
      </c>
      <c r="N494">
        <v>4911.1099999999997</v>
      </c>
      <c r="O494">
        <v>0.25</v>
      </c>
      <c r="P494">
        <v>1227.78</v>
      </c>
      <c r="Q494" t="s">
        <v>37</v>
      </c>
      <c r="R494" t="s">
        <v>48</v>
      </c>
      <c r="S494">
        <v>5</v>
      </c>
    </row>
    <row r="495" spans="1:19" x14ac:dyDescent="0.3">
      <c r="A495" t="s">
        <v>1051</v>
      </c>
      <c r="B495">
        <v>45420</v>
      </c>
      <c r="C495" t="s">
        <v>30</v>
      </c>
      <c r="D495" t="s">
        <v>31</v>
      </c>
      <c r="E495" t="s">
        <v>67</v>
      </c>
      <c r="F495" t="s">
        <v>23</v>
      </c>
      <c r="G495" t="s">
        <v>92</v>
      </c>
      <c r="H495" t="s">
        <v>93</v>
      </c>
      <c r="I495" t="s">
        <v>1052</v>
      </c>
      <c r="J495">
        <v>8</v>
      </c>
      <c r="K495">
        <v>24716</v>
      </c>
      <c r="L495">
        <v>0.17</v>
      </c>
      <c r="M495">
        <f>'Raw data'!$K495*(1- 'Raw data'!$L495)</f>
        <v>20514.28</v>
      </c>
      <c r="N495">
        <v>164114.23999999999</v>
      </c>
      <c r="O495">
        <v>0.15</v>
      </c>
      <c r="P495">
        <v>24617.14</v>
      </c>
      <c r="Q495" t="s">
        <v>27</v>
      </c>
      <c r="R495" t="s">
        <v>48</v>
      </c>
      <c r="S495">
        <v>9</v>
      </c>
    </row>
    <row r="496" spans="1:19" x14ac:dyDescent="0.3">
      <c r="A496" t="s">
        <v>1053</v>
      </c>
      <c r="B496">
        <v>45421</v>
      </c>
      <c r="C496" t="s">
        <v>20</v>
      </c>
      <c r="D496" t="s">
        <v>41</v>
      </c>
      <c r="E496" t="s">
        <v>42</v>
      </c>
      <c r="F496" t="s">
        <v>97</v>
      </c>
      <c r="G496" t="s">
        <v>34</v>
      </c>
      <c r="H496" t="s">
        <v>141</v>
      </c>
      <c r="I496" t="s">
        <v>1054</v>
      </c>
      <c r="J496">
        <v>7</v>
      </c>
      <c r="K496">
        <v>1098</v>
      </c>
      <c r="L496">
        <v>0.16</v>
      </c>
      <c r="M496">
        <f>'Raw data'!$K496*(1- 'Raw data'!$L496)</f>
        <v>922.31999999999994</v>
      </c>
      <c r="N496">
        <v>6456.24</v>
      </c>
      <c r="O496">
        <v>0.4</v>
      </c>
      <c r="P496">
        <v>2582.5</v>
      </c>
      <c r="Q496" t="s">
        <v>47</v>
      </c>
      <c r="R496" t="s">
        <v>48</v>
      </c>
      <c r="S496">
        <v>8</v>
      </c>
    </row>
    <row r="497" spans="1:19" x14ac:dyDescent="0.3">
      <c r="A497" t="s">
        <v>1055</v>
      </c>
      <c r="B497">
        <v>45422</v>
      </c>
      <c r="C497" t="s">
        <v>40</v>
      </c>
      <c r="D497" t="s">
        <v>21</v>
      </c>
      <c r="E497" t="s">
        <v>42</v>
      </c>
      <c r="F497" t="s">
        <v>103</v>
      </c>
      <c r="G497" t="s">
        <v>92</v>
      </c>
      <c r="H497" t="s">
        <v>93</v>
      </c>
      <c r="I497" t="s">
        <v>1056</v>
      </c>
      <c r="J497">
        <v>7</v>
      </c>
      <c r="K497">
        <v>45298</v>
      </c>
      <c r="L497">
        <v>7.0000000000000007E-2</v>
      </c>
      <c r="M497">
        <f>'Raw data'!$K497*(1- 'Raw data'!$L497)</f>
        <v>42127.14</v>
      </c>
      <c r="N497">
        <v>294889.98</v>
      </c>
      <c r="O497">
        <v>0.15</v>
      </c>
      <c r="P497">
        <v>44233.5</v>
      </c>
      <c r="Q497" t="s">
        <v>47</v>
      </c>
      <c r="R497" t="s">
        <v>48</v>
      </c>
      <c r="S497">
        <v>2</v>
      </c>
    </row>
    <row r="498" spans="1:19" x14ac:dyDescent="0.3">
      <c r="A498" t="s">
        <v>1057</v>
      </c>
      <c r="B498">
        <v>45423</v>
      </c>
      <c r="C498" t="s">
        <v>20</v>
      </c>
      <c r="D498" t="s">
        <v>41</v>
      </c>
      <c r="E498" t="s">
        <v>67</v>
      </c>
      <c r="F498" t="s">
        <v>33</v>
      </c>
      <c r="G498" t="s">
        <v>44</v>
      </c>
      <c r="H498" t="s">
        <v>45</v>
      </c>
      <c r="I498" t="s">
        <v>1058</v>
      </c>
      <c r="J498">
        <v>3</v>
      </c>
      <c r="K498">
        <v>2460</v>
      </c>
      <c r="L498">
        <v>0.04</v>
      </c>
      <c r="M498">
        <f>'Raw data'!$K498*(1- 'Raw data'!$L498)</f>
        <v>2361.6</v>
      </c>
      <c r="N498">
        <v>7084.8</v>
      </c>
      <c r="O498">
        <v>0.35</v>
      </c>
      <c r="P498">
        <v>2479.6799999999998</v>
      </c>
      <c r="Q498" t="s">
        <v>37</v>
      </c>
      <c r="R498" t="s">
        <v>48</v>
      </c>
      <c r="S498">
        <v>7</v>
      </c>
    </row>
    <row r="499" spans="1:19" x14ac:dyDescent="0.3">
      <c r="A499" t="s">
        <v>1059</v>
      </c>
      <c r="B499">
        <v>45424</v>
      </c>
      <c r="C499" t="s">
        <v>30</v>
      </c>
      <c r="D499" t="s">
        <v>31</v>
      </c>
      <c r="E499" t="s">
        <v>67</v>
      </c>
      <c r="F499" t="s">
        <v>68</v>
      </c>
      <c r="G499" t="s">
        <v>92</v>
      </c>
      <c r="H499" t="s">
        <v>93</v>
      </c>
      <c r="I499" t="s">
        <v>602</v>
      </c>
      <c r="J499">
        <v>1</v>
      </c>
      <c r="K499">
        <v>33429</v>
      </c>
      <c r="L499">
        <v>0.16</v>
      </c>
      <c r="M499">
        <f>'Raw data'!$K499*(1- 'Raw data'!$L499)</f>
        <v>28080.36</v>
      </c>
      <c r="N499">
        <v>28080.36</v>
      </c>
      <c r="O499">
        <v>0.15</v>
      </c>
      <c r="P499">
        <v>4212.05</v>
      </c>
      <c r="Q499" t="s">
        <v>27</v>
      </c>
      <c r="R499" t="s">
        <v>48</v>
      </c>
      <c r="S499">
        <v>7</v>
      </c>
    </row>
    <row r="500" spans="1:19" x14ac:dyDescent="0.3">
      <c r="A500" t="s">
        <v>1060</v>
      </c>
      <c r="B500">
        <v>45425</v>
      </c>
      <c r="C500" t="s">
        <v>30</v>
      </c>
      <c r="D500" t="s">
        <v>56</v>
      </c>
      <c r="E500" t="s">
        <v>67</v>
      </c>
      <c r="F500" t="s">
        <v>68</v>
      </c>
      <c r="G500" t="s">
        <v>92</v>
      </c>
      <c r="H500" t="s">
        <v>243</v>
      </c>
      <c r="I500" t="s">
        <v>1061</v>
      </c>
      <c r="J500">
        <v>4</v>
      </c>
      <c r="K500">
        <v>60200</v>
      </c>
      <c r="L500">
        <v>0.15</v>
      </c>
      <c r="M500">
        <f>'Raw data'!$K500*(1- 'Raw data'!$L500)</f>
        <v>51170</v>
      </c>
      <c r="N500">
        <v>204680</v>
      </c>
      <c r="O500">
        <v>0.15</v>
      </c>
      <c r="P500">
        <v>30702</v>
      </c>
      <c r="Q500" t="s">
        <v>27</v>
      </c>
      <c r="R500" t="s">
        <v>48</v>
      </c>
      <c r="S500">
        <v>1</v>
      </c>
    </row>
    <row r="501" spans="1:19" x14ac:dyDescent="0.3">
      <c r="A501" t="s">
        <v>1062</v>
      </c>
      <c r="B501">
        <v>45426</v>
      </c>
      <c r="C501" t="s">
        <v>30</v>
      </c>
      <c r="D501" t="s">
        <v>31</v>
      </c>
      <c r="E501" t="s">
        <v>67</v>
      </c>
      <c r="F501" t="s">
        <v>23</v>
      </c>
      <c r="G501" t="s">
        <v>92</v>
      </c>
      <c r="H501" t="s">
        <v>178</v>
      </c>
      <c r="I501" t="s">
        <v>1063</v>
      </c>
      <c r="J501">
        <v>9</v>
      </c>
      <c r="K501">
        <v>58244</v>
      </c>
      <c r="L501">
        <v>0.04</v>
      </c>
      <c r="M501">
        <f>'Raw data'!$K501*(1- 'Raw data'!$L501)</f>
        <v>55914.239999999998</v>
      </c>
      <c r="N501">
        <v>503228.15999999997</v>
      </c>
      <c r="O501">
        <v>0.15</v>
      </c>
      <c r="P501">
        <v>75484.22</v>
      </c>
      <c r="Q501" t="s">
        <v>27</v>
      </c>
      <c r="R501" t="s">
        <v>48</v>
      </c>
      <c r="S501">
        <v>1</v>
      </c>
    </row>
    <row r="502" spans="1:19" x14ac:dyDescent="0.3">
      <c r="A502" t="s">
        <v>1064</v>
      </c>
      <c r="B502">
        <v>45427</v>
      </c>
      <c r="C502" t="s">
        <v>63</v>
      </c>
      <c r="D502" t="s">
        <v>21</v>
      </c>
      <c r="E502" t="s">
        <v>67</v>
      </c>
      <c r="F502" t="s">
        <v>97</v>
      </c>
      <c r="G502" t="s">
        <v>24</v>
      </c>
      <c r="H502" t="s">
        <v>74</v>
      </c>
      <c r="I502" t="s">
        <v>1065</v>
      </c>
      <c r="J502">
        <v>5</v>
      </c>
      <c r="K502">
        <v>3529</v>
      </c>
      <c r="L502">
        <v>0.18</v>
      </c>
      <c r="M502">
        <f>'Raw data'!$K502*(1- 'Raw data'!$L502)</f>
        <v>2893.78</v>
      </c>
      <c r="N502">
        <v>14468.9</v>
      </c>
      <c r="O502">
        <v>0.25</v>
      </c>
      <c r="P502">
        <v>3617.22</v>
      </c>
      <c r="Q502" t="s">
        <v>47</v>
      </c>
      <c r="R502" t="s">
        <v>48</v>
      </c>
      <c r="S502">
        <v>4</v>
      </c>
    </row>
    <row r="503" spans="1:19" x14ac:dyDescent="0.3">
      <c r="A503" t="s">
        <v>1066</v>
      </c>
      <c r="B503">
        <v>45428</v>
      </c>
      <c r="C503" t="s">
        <v>96</v>
      </c>
      <c r="D503" t="s">
        <v>41</v>
      </c>
      <c r="E503" t="s">
        <v>22</v>
      </c>
      <c r="F503" t="s">
        <v>33</v>
      </c>
      <c r="G503" t="s">
        <v>92</v>
      </c>
      <c r="H503" t="s">
        <v>243</v>
      </c>
      <c r="I503" t="s">
        <v>1067</v>
      </c>
      <c r="J503">
        <v>1</v>
      </c>
      <c r="K503">
        <v>27347</v>
      </c>
      <c r="L503">
        <v>0.11</v>
      </c>
      <c r="M503">
        <f>'Raw data'!$K503*(1- 'Raw data'!$L503)</f>
        <v>24338.83</v>
      </c>
      <c r="N503">
        <v>24338.83</v>
      </c>
      <c r="O503">
        <v>0.15</v>
      </c>
      <c r="P503">
        <v>3650.82</v>
      </c>
      <c r="Q503" t="s">
        <v>51</v>
      </c>
      <c r="R503" t="s">
        <v>48</v>
      </c>
      <c r="S503">
        <v>5</v>
      </c>
    </row>
    <row r="504" spans="1:19" x14ac:dyDescent="0.3">
      <c r="A504" t="s">
        <v>1068</v>
      </c>
      <c r="B504">
        <v>45429</v>
      </c>
      <c r="C504" t="s">
        <v>40</v>
      </c>
      <c r="D504" t="s">
        <v>21</v>
      </c>
      <c r="E504" t="s">
        <v>32</v>
      </c>
      <c r="F504" t="s">
        <v>103</v>
      </c>
      <c r="G504" t="s">
        <v>34</v>
      </c>
      <c r="H504" t="s">
        <v>71</v>
      </c>
      <c r="I504" t="s">
        <v>1069</v>
      </c>
      <c r="J504">
        <v>5</v>
      </c>
      <c r="K504">
        <v>736</v>
      </c>
      <c r="L504">
        <v>0.17</v>
      </c>
      <c r="M504">
        <f>'Raw data'!$K504*(1- 'Raw data'!$L504)</f>
        <v>610.88</v>
      </c>
      <c r="N504">
        <v>3054.4</v>
      </c>
      <c r="O504">
        <v>0.4</v>
      </c>
      <c r="P504">
        <v>1221.76</v>
      </c>
      <c r="Q504" t="s">
        <v>47</v>
      </c>
      <c r="R504" t="s">
        <v>48</v>
      </c>
      <c r="S504">
        <v>4</v>
      </c>
    </row>
    <row r="505" spans="1:19" x14ac:dyDescent="0.3">
      <c r="A505" t="s">
        <v>1070</v>
      </c>
      <c r="B505">
        <v>45430</v>
      </c>
      <c r="C505" t="s">
        <v>20</v>
      </c>
      <c r="D505" t="s">
        <v>21</v>
      </c>
      <c r="E505" t="s">
        <v>32</v>
      </c>
      <c r="F505" t="s">
        <v>103</v>
      </c>
      <c r="G505" t="s">
        <v>44</v>
      </c>
      <c r="H505" t="s">
        <v>138</v>
      </c>
      <c r="I505" t="s">
        <v>1071</v>
      </c>
      <c r="J505">
        <v>8</v>
      </c>
      <c r="K505">
        <v>4723</v>
      </c>
      <c r="L505">
        <v>0.21</v>
      </c>
      <c r="M505">
        <f>'Raw data'!$K505*(1- 'Raw data'!$L505)</f>
        <v>3731.17</v>
      </c>
      <c r="N505">
        <v>29849.360000000001</v>
      </c>
      <c r="O505">
        <v>0.35</v>
      </c>
      <c r="P505">
        <v>10447.280000000001</v>
      </c>
      <c r="Q505" t="s">
        <v>47</v>
      </c>
      <c r="R505" t="s">
        <v>48</v>
      </c>
      <c r="S505">
        <v>7</v>
      </c>
    </row>
    <row r="506" spans="1:19" x14ac:dyDescent="0.3">
      <c r="A506" t="s">
        <v>1072</v>
      </c>
      <c r="B506">
        <v>45431</v>
      </c>
      <c r="C506" t="s">
        <v>20</v>
      </c>
      <c r="D506" t="s">
        <v>21</v>
      </c>
      <c r="E506" t="s">
        <v>32</v>
      </c>
      <c r="F506" t="s">
        <v>68</v>
      </c>
      <c r="G506" t="s">
        <v>44</v>
      </c>
      <c r="H506" t="s">
        <v>116</v>
      </c>
      <c r="I506" t="s">
        <v>1073</v>
      </c>
      <c r="J506">
        <v>8</v>
      </c>
      <c r="K506">
        <v>4179</v>
      </c>
      <c r="L506">
        <v>0.04</v>
      </c>
      <c r="M506">
        <f>'Raw data'!$K506*(1- 'Raw data'!$L506)</f>
        <v>4011.8399999999997</v>
      </c>
      <c r="N506">
        <v>32094.720000000001</v>
      </c>
      <c r="O506">
        <v>0.35</v>
      </c>
      <c r="P506">
        <v>11233.15</v>
      </c>
      <c r="Q506" t="s">
        <v>37</v>
      </c>
      <c r="R506" t="s">
        <v>48</v>
      </c>
      <c r="S506">
        <v>3</v>
      </c>
    </row>
    <row r="507" spans="1:19" x14ac:dyDescent="0.3">
      <c r="A507" t="s">
        <v>1074</v>
      </c>
      <c r="B507">
        <v>45432</v>
      </c>
      <c r="C507" t="s">
        <v>55</v>
      </c>
      <c r="D507" t="s">
        <v>41</v>
      </c>
      <c r="E507" t="s">
        <v>42</v>
      </c>
      <c r="F507" t="s">
        <v>33</v>
      </c>
      <c r="G507" t="s">
        <v>92</v>
      </c>
      <c r="H507" t="s">
        <v>243</v>
      </c>
      <c r="I507" t="s">
        <v>1075</v>
      </c>
      <c r="J507">
        <v>5</v>
      </c>
      <c r="K507">
        <v>43613</v>
      </c>
      <c r="L507">
        <v>0</v>
      </c>
      <c r="M507">
        <f>'Raw data'!$K507*(1- 'Raw data'!$L507)</f>
        <v>43613</v>
      </c>
      <c r="N507">
        <v>218065</v>
      </c>
      <c r="O507">
        <v>0.15</v>
      </c>
      <c r="P507">
        <v>32709.75</v>
      </c>
      <c r="Q507" t="s">
        <v>51</v>
      </c>
      <c r="R507" t="s">
        <v>48</v>
      </c>
      <c r="S507">
        <v>7</v>
      </c>
    </row>
    <row r="508" spans="1:19" x14ac:dyDescent="0.3">
      <c r="A508" t="s">
        <v>1076</v>
      </c>
      <c r="B508">
        <v>45433</v>
      </c>
      <c r="C508" t="s">
        <v>30</v>
      </c>
      <c r="D508" t="s">
        <v>31</v>
      </c>
      <c r="E508" t="s">
        <v>22</v>
      </c>
      <c r="F508" t="s">
        <v>23</v>
      </c>
      <c r="G508" t="s">
        <v>24</v>
      </c>
      <c r="H508" t="s">
        <v>74</v>
      </c>
      <c r="I508" t="s">
        <v>1077</v>
      </c>
      <c r="J508">
        <v>9</v>
      </c>
      <c r="K508">
        <v>12795</v>
      </c>
      <c r="L508">
        <v>0.19</v>
      </c>
      <c r="M508">
        <f>'Raw data'!$K508*(1- 'Raw data'!$L508)</f>
        <v>10363.950000000001</v>
      </c>
      <c r="N508">
        <v>93275.55</v>
      </c>
      <c r="O508">
        <v>0.25</v>
      </c>
      <c r="P508">
        <v>23318.89</v>
      </c>
      <c r="Q508" t="s">
        <v>27</v>
      </c>
      <c r="R508" t="s">
        <v>48</v>
      </c>
      <c r="S508">
        <v>8</v>
      </c>
    </row>
    <row r="509" spans="1:19" x14ac:dyDescent="0.3">
      <c r="A509" t="s">
        <v>1078</v>
      </c>
      <c r="B509">
        <v>45434</v>
      </c>
      <c r="C509" t="s">
        <v>30</v>
      </c>
      <c r="D509" t="s">
        <v>21</v>
      </c>
      <c r="E509" t="s">
        <v>32</v>
      </c>
      <c r="F509" t="s">
        <v>68</v>
      </c>
      <c r="G509" t="s">
        <v>24</v>
      </c>
      <c r="H509" t="s">
        <v>186</v>
      </c>
      <c r="I509" t="s">
        <v>1079</v>
      </c>
      <c r="J509">
        <v>1</v>
      </c>
      <c r="K509">
        <v>6777</v>
      </c>
      <c r="L509">
        <v>0.15</v>
      </c>
      <c r="M509">
        <f>'Raw data'!$K509*(1- 'Raw data'!$L509)</f>
        <v>5760.45</v>
      </c>
      <c r="N509">
        <v>5760.45</v>
      </c>
      <c r="O509">
        <v>0.25</v>
      </c>
      <c r="P509">
        <v>1440.11</v>
      </c>
      <c r="Q509" t="s">
        <v>37</v>
      </c>
      <c r="R509" t="s">
        <v>48</v>
      </c>
      <c r="S509">
        <v>6</v>
      </c>
    </row>
    <row r="510" spans="1:19" x14ac:dyDescent="0.3">
      <c r="A510" t="s">
        <v>1080</v>
      </c>
      <c r="B510">
        <v>45435</v>
      </c>
      <c r="C510" t="s">
        <v>30</v>
      </c>
      <c r="D510" t="s">
        <v>41</v>
      </c>
      <c r="E510" t="s">
        <v>42</v>
      </c>
      <c r="F510" t="s">
        <v>68</v>
      </c>
      <c r="G510" t="s">
        <v>34</v>
      </c>
      <c r="H510" t="s">
        <v>71</v>
      </c>
      <c r="I510" t="s">
        <v>1081</v>
      </c>
      <c r="J510">
        <v>4</v>
      </c>
      <c r="K510">
        <v>1188</v>
      </c>
      <c r="L510">
        <v>0.17</v>
      </c>
      <c r="M510">
        <f>'Raw data'!$K510*(1- 'Raw data'!$L510)</f>
        <v>986.04</v>
      </c>
      <c r="N510">
        <v>3944.16</v>
      </c>
      <c r="O510">
        <v>0.4</v>
      </c>
      <c r="P510">
        <v>1577.66</v>
      </c>
      <c r="Q510" t="s">
        <v>47</v>
      </c>
      <c r="R510" t="s">
        <v>48</v>
      </c>
      <c r="S510">
        <v>6</v>
      </c>
    </row>
    <row r="511" spans="1:19" x14ac:dyDescent="0.3">
      <c r="A511" t="s">
        <v>1082</v>
      </c>
      <c r="B511">
        <v>45436</v>
      </c>
      <c r="C511" t="s">
        <v>20</v>
      </c>
      <c r="D511" t="s">
        <v>56</v>
      </c>
      <c r="E511" t="s">
        <v>22</v>
      </c>
      <c r="F511" t="s">
        <v>23</v>
      </c>
      <c r="G511" t="s">
        <v>92</v>
      </c>
      <c r="H511" t="s">
        <v>93</v>
      </c>
      <c r="I511" t="s">
        <v>1083</v>
      </c>
      <c r="J511">
        <v>3</v>
      </c>
      <c r="K511">
        <v>65099</v>
      </c>
      <c r="L511">
        <v>0.21</v>
      </c>
      <c r="M511">
        <f>'Raw data'!$K511*(1- 'Raw data'!$L511)</f>
        <v>51428.21</v>
      </c>
      <c r="N511">
        <v>154284.63</v>
      </c>
      <c r="O511">
        <v>0.15</v>
      </c>
      <c r="P511">
        <v>23142.69</v>
      </c>
      <c r="Q511" t="s">
        <v>51</v>
      </c>
      <c r="R511" t="s">
        <v>28</v>
      </c>
      <c r="S511">
        <v>8</v>
      </c>
    </row>
    <row r="512" spans="1:19" x14ac:dyDescent="0.3">
      <c r="A512" t="s">
        <v>1084</v>
      </c>
      <c r="B512">
        <v>45437</v>
      </c>
      <c r="C512" t="s">
        <v>55</v>
      </c>
      <c r="D512" t="s">
        <v>41</v>
      </c>
      <c r="E512" t="s">
        <v>22</v>
      </c>
      <c r="F512" t="s">
        <v>97</v>
      </c>
      <c r="G512" t="s">
        <v>44</v>
      </c>
      <c r="H512" t="s">
        <v>64</v>
      </c>
      <c r="I512" t="s">
        <v>1085</v>
      </c>
      <c r="J512">
        <v>2</v>
      </c>
      <c r="K512">
        <v>2994</v>
      </c>
      <c r="L512">
        <v>0.2</v>
      </c>
      <c r="M512">
        <f>'Raw data'!$K512*(1- 'Raw data'!$L512)</f>
        <v>2395.2000000000003</v>
      </c>
      <c r="N512">
        <v>4790.3999999999996</v>
      </c>
      <c r="O512">
        <v>0.35</v>
      </c>
      <c r="P512">
        <v>1676.64</v>
      </c>
      <c r="Q512" t="s">
        <v>27</v>
      </c>
      <c r="R512" t="s">
        <v>48</v>
      </c>
      <c r="S512">
        <v>8</v>
      </c>
    </row>
    <row r="513" spans="1:19" x14ac:dyDescent="0.3">
      <c r="A513" t="s">
        <v>1086</v>
      </c>
      <c r="B513">
        <v>45438</v>
      </c>
      <c r="C513" t="s">
        <v>96</v>
      </c>
      <c r="D513" t="s">
        <v>56</v>
      </c>
      <c r="E513" t="s">
        <v>42</v>
      </c>
      <c r="F513" t="s">
        <v>103</v>
      </c>
      <c r="G513" t="s">
        <v>24</v>
      </c>
      <c r="H513" t="s">
        <v>74</v>
      </c>
      <c r="I513" t="s">
        <v>1087</v>
      </c>
      <c r="J513">
        <v>8</v>
      </c>
      <c r="K513">
        <v>13677</v>
      </c>
      <c r="L513">
        <v>0.24</v>
      </c>
      <c r="M513">
        <f>'Raw data'!$K513*(1- 'Raw data'!$L513)</f>
        <v>10394.52</v>
      </c>
      <c r="N513">
        <v>83156.160000000003</v>
      </c>
      <c r="O513">
        <v>0.25</v>
      </c>
      <c r="P513">
        <v>20789.04</v>
      </c>
      <c r="Q513" t="s">
        <v>27</v>
      </c>
      <c r="R513" t="s">
        <v>48</v>
      </c>
      <c r="S513">
        <v>7</v>
      </c>
    </row>
    <row r="514" spans="1:19" x14ac:dyDescent="0.3">
      <c r="A514" t="s">
        <v>1088</v>
      </c>
      <c r="B514">
        <v>45439</v>
      </c>
      <c r="C514" t="s">
        <v>63</v>
      </c>
      <c r="D514" t="s">
        <v>41</v>
      </c>
      <c r="E514" t="s">
        <v>22</v>
      </c>
      <c r="F514" t="s">
        <v>97</v>
      </c>
      <c r="G514" t="s">
        <v>92</v>
      </c>
      <c r="H514" t="s">
        <v>178</v>
      </c>
      <c r="I514" t="s">
        <v>1089</v>
      </c>
      <c r="J514">
        <v>7</v>
      </c>
      <c r="K514">
        <v>28268</v>
      </c>
      <c r="L514">
        <v>0.13</v>
      </c>
      <c r="M514">
        <f>'Raw data'!$K514*(1- 'Raw data'!$L514)</f>
        <v>24593.16</v>
      </c>
      <c r="N514">
        <v>172152.12</v>
      </c>
      <c r="O514">
        <v>0.15</v>
      </c>
      <c r="P514">
        <v>25822.82</v>
      </c>
      <c r="Q514" t="s">
        <v>47</v>
      </c>
      <c r="R514" t="s">
        <v>48</v>
      </c>
      <c r="S514">
        <v>6</v>
      </c>
    </row>
    <row r="515" spans="1:19" x14ac:dyDescent="0.3">
      <c r="A515" t="s">
        <v>1090</v>
      </c>
      <c r="B515">
        <v>45440</v>
      </c>
      <c r="C515" t="s">
        <v>40</v>
      </c>
      <c r="D515" t="s">
        <v>31</v>
      </c>
      <c r="E515" t="s">
        <v>42</v>
      </c>
      <c r="F515" t="s">
        <v>33</v>
      </c>
      <c r="G515" t="s">
        <v>24</v>
      </c>
      <c r="H515" t="s">
        <v>25</v>
      </c>
      <c r="I515" t="s">
        <v>1091</v>
      </c>
      <c r="J515">
        <v>9</v>
      </c>
      <c r="K515">
        <v>13330</v>
      </c>
      <c r="L515">
        <v>0.12</v>
      </c>
      <c r="M515">
        <f>'Raw data'!$K515*(1- 'Raw data'!$L515)</f>
        <v>11730.4</v>
      </c>
      <c r="N515">
        <v>105573.6</v>
      </c>
      <c r="O515">
        <v>0.25</v>
      </c>
      <c r="P515">
        <v>26393.4</v>
      </c>
      <c r="Q515" t="s">
        <v>27</v>
      </c>
      <c r="R515" t="s">
        <v>48</v>
      </c>
      <c r="S515">
        <v>6</v>
      </c>
    </row>
    <row r="516" spans="1:19" x14ac:dyDescent="0.3">
      <c r="A516" t="s">
        <v>1092</v>
      </c>
      <c r="B516">
        <v>45441</v>
      </c>
      <c r="C516" t="s">
        <v>96</v>
      </c>
      <c r="D516" t="s">
        <v>21</v>
      </c>
      <c r="E516" t="s">
        <v>32</v>
      </c>
      <c r="F516" t="s">
        <v>43</v>
      </c>
      <c r="G516" t="s">
        <v>24</v>
      </c>
      <c r="H516" t="s">
        <v>186</v>
      </c>
      <c r="I516" t="s">
        <v>1093</v>
      </c>
      <c r="J516">
        <v>2</v>
      </c>
      <c r="K516">
        <v>5349</v>
      </c>
      <c r="L516">
        <v>0.1</v>
      </c>
      <c r="M516">
        <f>'Raw data'!$K516*(1- 'Raw data'!$L516)</f>
        <v>4814.1000000000004</v>
      </c>
      <c r="N516">
        <v>9628.2000000000007</v>
      </c>
      <c r="O516">
        <v>0.25</v>
      </c>
      <c r="P516">
        <v>2407.0500000000002</v>
      </c>
      <c r="Q516" t="s">
        <v>27</v>
      </c>
      <c r="R516" t="s">
        <v>38</v>
      </c>
      <c r="S516">
        <v>6</v>
      </c>
    </row>
    <row r="517" spans="1:19" x14ac:dyDescent="0.3">
      <c r="A517" t="s">
        <v>1094</v>
      </c>
      <c r="B517">
        <v>45442</v>
      </c>
      <c r="C517" t="s">
        <v>20</v>
      </c>
      <c r="D517" t="s">
        <v>31</v>
      </c>
      <c r="E517" t="s">
        <v>42</v>
      </c>
      <c r="F517" t="s">
        <v>43</v>
      </c>
      <c r="G517" t="s">
        <v>44</v>
      </c>
      <c r="H517" t="s">
        <v>138</v>
      </c>
      <c r="I517" t="s">
        <v>1095</v>
      </c>
      <c r="J517">
        <v>4</v>
      </c>
      <c r="K517">
        <v>3701</v>
      </c>
      <c r="L517">
        <v>0.04</v>
      </c>
      <c r="M517">
        <f>'Raw data'!$K517*(1- 'Raw data'!$L517)</f>
        <v>3552.96</v>
      </c>
      <c r="N517">
        <v>14211.84</v>
      </c>
      <c r="O517">
        <v>0.35</v>
      </c>
      <c r="P517">
        <v>4974.1400000000003</v>
      </c>
      <c r="Q517" t="s">
        <v>51</v>
      </c>
      <c r="R517" t="s">
        <v>48</v>
      </c>
      <c r="S517">
        <v>8</v>
      </c>
    </row>
    <row r="518" spans="1:19" x14ac:dyDescent="0.3">
      <c r="A518" t="s">
        <v>1096</v>
      </c>
      <c r="B518">
        <v>45443</v>
      </c>
      <c r="C518" t="s">
        <v>63</v>
      </c>
      <c r="D518" t="s">
        <v>41</v>
      </c>
      <c r="E518" t="s">
        <v>22</v>
      </c>
      <c r="F518" t="s">
        <v>43</v>
      </c>
      <c r="G518" t="s">
        <v>57</v>
      </c>
      <c r="H518" t="s">
        <v>81</v>
      </c>
      <c r="I518" t="s">
        <v>1097</v>
      </c>
      <c r="J518">
        <v>6</v>
      </c>
      <c r="K518">
        <v>7179</v>
      </c>
      <c r="L518">
        <v>0.14000000000000001</v>
      </c>
      <c r="M518">
        <f>'Raw data'!$K518*(1- 'Raw data'!$L518)</f>
        <v>6173.94</v>
      </c>
      <c r="N518">
        <v>37043.64</v>
      </c>
      <c r="O518">
        <v>0.2</v>
      </c>
      <c r="P518">
        <v>7408.73</v>
      </c>
      <c r="Q518" t="s">
        <v>37</v>
      </c>
      <c r="R518" t="s">
        <v>38</v>
      </c>
      <c r="S518">
        <v>1</v>
      </c>
    </row>
    <row r="519" spans="1:19" x14ac:dyDescent="0.3">
      <c r="A519" t="s">
        <v>1098</v>
      </c>
      <c r="B519">
        <v>45444</v>
      </c>
      <c r="C519" t="s">
        <v>63</v>
      </c>
      <c r="D519" t="s">
        <v>21</v>
      </c>
      <c r="E519" t="s">
        <v>32</v>
      </c>
      <c r="F519" t="s">
        <v>23</v>
      </c>
      <c r="G519" t="s">
        <v>34</v>
      </c>
      <c r="H519" t="s">
        <v>141</v>
      </c>
      <c r="I519" t="s">
        <v>1099</v>
      </c>
      <c r="J519">
        <v>3</v>
      </c>
      <c r="K519">
        <v>862</v>
      </c>
      <c r="L519">
        <v>7.0000000000000007E-2</v>
      </c>
      <c r="M519">
        <f>'Raw data'!$K519*(1- 'Raw data'!$L519)</f>
        <v>801.66</v>
      </c>
      <c r="N519">
        <v>2404.98</v>
      </c>
      <c r="O519">
        <v>0.4</v>
      </c>
      <c r="P519">
        <v>961.99</v>
      </c>
      <c r="Q519" t="s">
        <v>51</v>
      </c>
      <c r="R519" t="s">
        <v>38</v>
      </c>
      <c r="S519">
        <v>5</v>
      </c>
    </row>
    <row r="520" spans="1:19" x14ac:dyDescent="0.3">
      <c r="A520" t="s">
        <v>1100</v>
      </c>
      <c r="B520">
        <v>45445</v>
      </c>
      <c r="C520" t="s">
        <v>63</v>
      </c>
      <c r="D520" t="s">
        <v>56</v>
      </c>
      <c r="E520" t="s">
        <v>32</v>
      </c>
      <c r="F520" t="s">
        <v>68</v>
      </c>
      <c r="G520" t="s">
        <v>34</v>
      </c>
      <c r="H520" t="s">
        <v>35</v>
      </c>
      <c r="I520" t="s">
        <v>1101</v>
      </c>
      <c r="J520">
        <v>8</v>
      </c>
      <c r="K520">
        <v>666</v>
      </c>
      <c r="L520">
        <v>0.23</v>
      </c>
      <c r="M520">
        <f>'Raw data'!$K520*(1- 'Raw data'!$L520)</f>
        <v>512.82000000000005</v>
      </c>
      <c r="N520">
        <v>4102.5600000000004</v>
      </c>
      <c r="O520">
        <v>0.4</v>
      </c>
      <c r="P520">
        <v>1641.02</v>
      </c>
      <c r="Q520" t="s">
        <v>37</v>
      </c>
      <c r="R520" t="s">
        <v>48</v>
      </c>
      <c r="S520">
        <v>3</v>
      </c>
    </row>
    <row r="521" spans="1:19" x14ac:dyDescent="0.3">
      <c r="A521" t="s">
        <v>1102</v>
      </c>
      <c r="B521">
        <v>45446</v>
      </c>
      <c r="C521" t="s">
        <v>30</v>
      </c>
      <c r="D521" t="s">
        <v>41</v>
      </c>
      <c r="E521" t="s">
        <v>67</v>
      </c>
      <c r="F521" t="s">
        <v>97</v>
      </c>
      <c r="G521" t="s">
        <v>44</v>
      </c>
      <c r="H521" t="s">
        <v>64</v>
      </c>
      <c r="I521" t="s">
        <v>1103</v>
      </c>
      <c r="J521">
        <v>3</v>
      </c>
      <c r="K521">
        <v>2453</v>
      </c>
      <c r="L521">
        <v>0.15</v>
      </c>
      <c r="M521">
        <f>'Raw data'!$K521*(1- 'Raw data'!$L521)</f>
        <v>2085.0499999999997</v>
      </c>
      <c r="N521">
        <v>6255.15</v>
      </c>
      <c r="O521">
        <v>0.35</v>
      </c>
      <c r="P521">
        <v>2189.3000000000002</v>
      </c>
      <c r="Q521" t="s">
        <v>37</v>
      </c>
      <c r="R521" t="s">
        <v>48</v>
      </c>
      <c r="S521">
        <v>8</v>
      </c>
    </row>
    <row r="522" spans="1:19" x14ac:dyDescent="0.3">
      <c r="A522" t="s">
        <v>1104</v>
      </c>
      <c r="B522">
        <v>45447</v>
      </c>
      <c r="C522" t="s">
        <v>40</v>
      </c>
      <c r="D522" t="s">
        <v>21</v>
      </c>
      <c r="E522" t="s">
        <v>67</v>
      </c>
      <c r="F522" t="s">
        <v>103</v>
      </c>
      <c r="G522" t="s">
        <v>24</v>
      </c>
      <c r="H522" t="s">
        <v>74</v>
      </c>
      <c r="I522" t="s">
        <v>1105</v>
      </c>
      <c r="J522">
        <v>2</v>
      </c>
      <c r="K522">
        <v>7488</v>
      </c>
      <c r="L522">
        <v>0.15</v>
      </c>
      <c r="M522">
        <f>'Raw data'!$K522*(1- 'Raw data'!$L522)</f>
        <v>6364.8</v>
      </c>
      <c r="N522">
        <v>12729.6</v>
      </c>
      <c r="O522">
        <v>0.25</v>
      </c>
      <c r="P522">
        <v>3182.4</v>
      </c>
      <c r="Q522" t="s">
        <v>37</v>
      </c>
      <c r="R522" t="s">
        <v>48</v>
      </c>
      <c r="S522">
        <v>6</v>
      </c>
    </row>
    <row r="523" spans="1:19" x14ac:dyDescent="0.3">
      <c r="A523" t="s">
        <v>1106</v>
      </c>
      <c r="B523">
        <v>45448</v>
      </c>
      <c r="C523" t="s">
        <v>20</v>
      </c>
      <c r="D523" t="s">
        <v>56</v>
      </c>
      <c r="E523" t="s">
        <v>22</v>
      </c>
      <c r="F523" t="s">
        <v>43</v>
      </c>
      <c r="G523" t="s">
        <v>92</v>
      </c>
      <c r="H523" t="s">
        <v>93</v>
      </c>
      <c r="I523" t="s">
        <v>1107</v>
      </c>
      <c r="J523">
        <v>3</v>
      </c>
      <c r="K523">
        <v>65677</v>
      </c>
      <c r="L523">
        <v>0.09</v>
      </c>
      <c r="M523">
        <f>'Raw data'!$K523*(1- 'Raw data'!$L523)</f>
        <v>59766.07</v>
      </c>
      <c r="N523">
        <v>179298.21</v>
      </c>
      <c r="O523">
        <v>0.15</v>
      </c>
      <c r="P523">
        <v>26894.73</v>
      </c>
      <c r="Q523" t="s">
        <v>27</v>
      </c>
      <c r="R523" t="s">
        <v>48</v>
      </c>
      <c r="S523">
        <v>2</v>
      </c>
    </row>
    <row r="524" spans="1:19" x14ac:dyDescent="0.3">
      <c r="A524" t="s">
        <v>1108</v>
      </c>
      <c r="B524">
        <v>45449</v>
      </c>
      <c r="C524" t="s">
        <v>20</v>
      </c>
      <c r="D524" t="s">
        <v>56</v>
      </c>
      <c r="E524" t="s">
        <v>42</v>
      </c>
      <c r="F524" t="s">
        <v>97</v>
      </c>
      <c r="G524" t="s">
        <v>24</v>
      </c>
      <c r="H524" t="s">
        <v>121</v>
      </c>
      <c r="I524" t="s">
        <v>1109</v>
      </c>
      <c r="J524">
        <v>6</v>
      </c>
      <c r="K524">
        <v>4850</v>
      </c>
      <c r="L524">
        <v>0.01</v>
      </c>
      <c r="M524">
        <f>'Raw data'!$K524*(1- 'Raw data'!$L524)</f>
        <v>4801.5</v>
      </c>
      <c r="N524">
        <v>28809</v>
      </c>
      <c r="O524">
        <v>0.25</v>
      </c>
      <c r="P524">
        <v>7202.25</v>
      </c>
      <c r="Q524" t="s">
        <v>51</v>
      </c>
      <c r="R524" t="s">
        <v>48</v>
      </c>
      <c r="S524">
        <v>7</v>
      </c>
    </row>
    <row r="525" spans="1:19" x14ac:dyDescent="0.3">
      <c r="A525" t="s">
        <v>1110</v>
      </c>
      <c r="B525">
        <v>45450</v>
      </c>
      <c r="C525" t="s">
        <v>63</v>
      </c>
      <c r="D525" t="s">
        <v>31</v>
      </c>
      <c r="E525" t="s">
        <v>42</v>
      </c>
      <c r="F525" t="s">
        <v>43</v>
      </c>
      <c r="G525" t="s">
        <v>44</v>
      </c>
      <c r="H525" t="s">
        <v>116</v>
      </c>
      <c r="I525" t="s">
        <v>1111</v>
      </c>
      <c r="J525">
        <v>2</v>
      </c>
      <c r="K525">
        <v>1189</v>
      </c>
      <c r="L525">
        <v>0.01</v>
      </c>
      <c r="M525">
        <f>'Raw data'!$K525*(1- 'Raw data'!$L525)</f>
        <v>1177.1099999999999</v>
      </c>
      <c r="N525">
        <v>2354.2199999999998</v>
      </c>
      <c r="O525">
        <v>0.35</v>
      </c>
      <c r="P525">
        <v>823.98</v>
      </c>
      <c r="Q525" t="s">
        <v>27</v>
      </c>
      <c r="R525" t="s">
        <v>48</v>
      </c>
      <c r="S525">
        <v>7</v>
      </c>
    </row>
    <row r="526" spans="1:19" x14ac:dyDescent="0.3">
      <c r="A526" t="s">
        <v>1112</v>
      </c>
      <c r="B526">
        <v>45451</v>
      </c>
      <c r="C526" t="s">
        <v>20</v>
      </c>
      <c r="D526" t="s">
        <v>41</v>
      </c>
      <c r="E526" t="s">
        <v>22</v>
      </c>
      <c r="F526" t="s">
        <v>43</v>
      </c>
      <c r="G526" t="s">
        <v>34</v>
      </c>
      <c r="H526" t="s">
        <v>104</v>
      </c>
      <c r="I526" t="s">
        <v>1113</v>
      </c>
      <c r="J526">
        <v>8</v>
      </c>
      <c r="K526">
        <v>1476</v>
      </c>
      <c r="L526">
        <v>0.11</v>
      </c>
      <c r="M526">
        <f>'Raw data'!$K526*(1- 'Raw data'!$L526)</f>
        <v>1313.64</v>
      </c>
      <c r="N526">
        <v>10509.12</v>
      </c>
      <c r="O526">
        <v>0.4</v>
      </c>
      <c r="P526">
        <v>4203.6499999999996</v>
      </c>
      <c r="Q526" t="s">
        <v>47</v>
      </c>
      <c r="R526" t="s">
        <v>48</v>
      </c>
      <c r="S526">
        <v>5</v>
      </c>
    </row>
    <row r="527" spans="1:19" x14ac:dyDescent="0.3">
      <c r="A527" t="s">
        <v>1114</v>
      </c>
      <c r="B527">
        <v>45452</v>
      </c>
      <c r="C527" t="s">
        <v>40</v>
      </c>
      <c r="D527" t="s">
        <v>56</v>
      </c>
      <c r="E527" t="s">
        <v>32</v>
      </c>
      <c r="F527" t="s">
        <v>103</v>
      </c>
      <c r="G527" t="s">
        <v>24</v>
      </c>
      <c r="H527" t="s">
        <v>25</v>
      </c>
      <c r="I527" t="s">
        <v>1115</v>
      </c>
      <c r="J527">
        <v>1</v>
      </c>
      <c r="K527">
        <v>11142</v>
      </c>
      <c r="L527">
        <v>0.02</v>
      </c>
      <c r="M527">
        <f>'Raw data'!$K527*(1- 'Raw data'!$L527)</f>
        <v>10919.16</v>
      </c>
      <c r="N527">
        <v>10919.16</v>
      </c>
      <c r="O527">
        <v>0.25</v>
      </c>
      <c r="P527">
        <v>2729.79</v>
      </c>
      <c r="Q527" t="s">
        <v>51</v>
      </c>
      <c r="R527" t="s">
        <v>48</v>
      </c>
      <c r="S527">
        <v>8</v>
      </c>
    </row>
    <row r="528" spans="1:19" x14ac:dyDescent="0.3">
      <c r="A528" t="s">
        <v>1116</v>
      </c>
      <c r="B528">
        <v>45453</v>
      </c>
      <c r="C528" t="s">
        <v>40</v>
      </c>
      <c r="D528" t="s">
        <v>21</v>
      </c>
      <c r="E528" t="s">
        <v>22</v>
      </c>
      <c r="F528" t="s">
        <v>33</v>
      </c>
      <c r="G528" t="s">
        <v>34</v>
      </c>
      <c r="H528" t="s">
        <v>104</v>
      </c>
      <c r="I528" t="s">
        <v>1117</v>
      </c>
      <c r="J528">
        <v>7</v>
      </c>
      <c r="K528">
        <v>1279</v>
      </c>
      <c r="L528">
        <v>0.15</v>
      </c>
      <c r="M528">
        <f>'Raw data'!$K528*(1- 'Raw data'!$L528)</f>
        <v>1087.1499999999999</v>
      </c>
      <c r="N528">
        <v>7610.05</v>
      </c>
      <c r="O528">
        <v>0.4</v>
      </c>
      <c r="P528">
        <v>3044.02</v>
      </c>
      <c r="Q528" t="s">
        <v>37</v>
      </c>
      <c r="R528" t="s">
        <v>48</v>
      </c>
      <c r="S528">
        <v>5</v>
      </c>
    </row>
    <row r="529" spans="1:19" x14ac:dyDescent="0.3">
      <c r="A529" t="s">
        <v>1118</v>
      </c>
      <c r="B529">
        <v>45454</v>
      </c>
      <c r="C529" t="s">
        <v>55</v>
      </c>
      <c r="D529" t="s">
        <v>56</v>
      </c>
      <c r="E529" t="s">
        <v>22</v>
      </c>
      <c r="F529" t="s">
        <v>33</v>
      </c>
      <c r="G529" t="s">
        <v>92</v>
      </c>
      <c r="H529" t="s">
        <v>178</v>
      </c>
      <c r="I529" t="s">
        <v>1119</v>
      </c>
      <c r="J529">
        <v>2</v>
      </c>
      <c r="K529">
        <v>35032</v>
      </c>
      <c r="L529">
        <v>0.22</v>
      </c>
      <c r="M529">
        <f>'Raw data'!$K529*(1- 'Raw data'!$L529)</f>
        <v>27324.959999999999</v>
      </c>
      <c r="N529">
        <v>54649.919999999998</v>
      </c>
      <c r="O529">
        <v>0.15</v>
      </c>
      <c r="P529">
        <v>8197.49</v>
      </c>
      <c r="Q529" t="s">
        <v>27</v>
      </c>
      <c r="R529" t="s">
        <v>38</v>
      </c>
      <c r="S529">
        <v>1</v>
      </c>
    </row>
    <row r="530" spans="1:19" x14ac:dyDescent="0.3">
      <c r="A530" t="s">
        <v>1120</v>
      </c>
      <c r="B530">
        <v>45455</v>
      </c>
      <c r="C530" t="s">
        <v>55</v>
      </c>
      <c r="D530" t="s">
        <v>56</v>
      </c>
      <c r="E530" t="s">
        <v>32</v>
      </c>
      <c r="F530" t="s">
        <v>33</v>
      </c>
      <c r="G530" t="s">
        <v>34</v>
      </c>
      <c r="H530" t="s">
        <v>35</v>
      </c>
      <c r="I530" t="s">
        <v>1121</v>
      </c>
      <c r="J530">
        <v>6</v>
      </c>
      <c r="K530">
        <v>1182</v>
      </c>
      <c r="L530">
        <v>0.22</v>
      </c>
      <c r="M530">
        <f>'Raw data'!$K530*(1- 'Raw data'!$L530)</f>
        <v>921.96</v>
      </c>
      <c r="N530">
        <v>5531.76</v>
      </c>
      <c r="O530">
        <v>0.4</v>
      </c>
      <c r="P530">
        <v>2212.6999999999998</v>
      </c>
      <c r="Q530" t="s">
        <v>27</v>
      </c>
      <c r="R530" t="s">
        <v>48</v>
      </c>
      <c r="S530">
        <v>9</v>
      </c>
    </row>
    <row r="531" spans="1:19" x14ac:dyDescent="0.3">
      <c r="A531" t="s">
        <v>1122</v>
      </c>
      <c r="B531">
        <v>45456</v>
      </c>
      <c r="C531" t="s">
        <v>96</v>
      </c>
      <c r="D531" t="s">
        <v>31</v>
      </c>
      <c r="E531" t="s">
        <v>42</v>
      </c>
      <c r="F531" t="s">
        <v>23</v>
      </c>
      <c r="G531" t="s">
        <v>34</v>
      </c>
      <c r="H531" t="s">
        <v>35</v>
      </c>
      <c r="I531" t="s">
        <v>1123</v>
      </c>
      <c r="J531">
        <v>2</v>
      </c>
      <c r="K531">
        <v>282</v>
      </c>
      <c r="L531">
        <v>0.16</v>
      </c>
      <c r="M531">
        <f>'Raw data'!$K531*(1- 'Raw data'!$L531)</f>
        <v>236.88</v>
      </c>
      <c r="N531">
        <v>473.76</v>
      </c>
      <c r="O531">
        <v>0.4</v>
      </c>
      <c r="P531">
        <v>189.5</v>
      </c>
      <c r="Q531" t="s">
        <v>51</v>
      </c>
      <c r="R531" t="s">
        <v>38</v>
      </c>
      <c r="S531">
        <v>4</v>
      </c>
    </row>
    <row r="532" spans="1:19" x14ac:dyDescent="0.3">
      <c r="A532" t="s">
        <v>1124</v>
      </c>
      <c r="B532">
        <v>45457</v>
      </c>
      <c r="C532" t="s">
        <v>40</v>
      </c>
      <c r="D532" t="s">
        <v>31</v>
      </c>
      <c r="E532" t="s">
        <v>22</v>
      </c>
      <c r="F532" t="s">
        <v>68</v>
      </c>
      <c r="G532" t="s">
        <v>57</v>
      </c>
      <c r="H532" t="s">
        <v>81</v>
      </c>
      <c r="I532" t="s">
        <v>1125</v>
      </c>
      <c r="J532">
        <v>2</v>
      </c>
      <c r="K532">
        <v>14168</v>
      </c>
      <c r="L532">
        <v>0.05</v>
      </c>
      <c r="M532">
        <f>'Raw data'!$K532*(1- 'Raw data'!$L532)</f>
        <v>13459.599999999999</v>
      </c>
      <c r="N532">
        <v>26919.200000000001</v>
      </c>
      <c r="O532">
        <v>0.2</v>
      </c>
      <c r="P532">
        <v>5383.84</v>
      </c>
      <c r="Q532" t="s">
        <v>51</v>
      </c>
      <c r="R532" t="s">
        <v>48</v>
      </c>
      <c r="S532">
        <v>2</v>
      </c>
    </row>
    <row r="533" spans="1:19" x14ac:dyDescent="0.3">
      <c r="A533" t="s">
        <v>1126</v>
      </c>
      <c r="B533">
        <v>45458</v>
      </c>
      <c r="C533" t="s">
        <v>40</v>
      </c>
      <c r="D533" t="s">
        <v>21</v>
      </c>
      <c r="E533" t="s">
        <v>42</v>
      </c>
      <c r="F533" t="s">
        <v>23</v>
      </c>
      <c r="G533" t="s">
        <v>57</v>
      </c>
      <c r="H533" t="s">
        <v>58</v>
      </c>
      <c r="I533" t="s">
        <v>1127</v>
      </c>
      <c r="J533">
        <v>8</v>
      </c>
      <c r="K533">
        <v>7448</v>
      </c>
      <c r="L533">
        <v>0.22</v>
      </c>
      <c r="M533">
        <f>'Raw data'!$K533*(1- 'Raw data'!$L533)</f>
        <v>5809.4400000000005</v>
      </c>
      <c r="N533">
        <v>46475.519999999997</v>
      </c>
      <c r="O533">
        <v>0.2</v>
      </c>
      <c r="P533">
        <v>9295.1</v>
      </c>
      <c r="Q533" t="s">
        <v>37</v>
      </c>
      <c r="R533" t="s">
        <v>48</v>
      </c>
      <c r="S533">
        <v>4</v>
      </c>
    </row>
    <row r="534" spans="1:19" x14ac:dyDescent="0.3">
      <c r="A534" t="s">
        <v>1128</v>
      </c>
      <c r="B534">
        <v>45459</v>
      </c>
      <c r="C534" t="s">
        <v>40</v>
      </c>
      <c r="D534" t="s">
        <v>31</v>
      </c>
      <c r="E534" t="s">
        <v>22</v>
      </c>
      <c r="F534" t="s">
        <v>97</v>
      </c>
      <c r="G534" t="s">
        <v>57</v>
      </c>
      <c r="H534" t="s">
        <v>183</v>
      </c>
      <c r="I534" t="s">
        <v>1129</v>
      </c>
      <c r="J534">
        <v>2</v>
      </c>
      <c r="K534">
        <v>19563</v>
      </c>
      <c r="L534">
        <v>0.22</v>
      </c>
      <c r="M534">
        <f>'Raw data'!$K534*(1- 'Raw data'!$L534)</f>
        <v>15259.140000000001</v>
      </c>
      <c r="N534">
        <v>30518.28</v>
      </c>
      <c r="O534">
        <v>0.2</v>
      </c>
      <c r="P534">
        <v>6103.66</v>
      </c>
      <c r="Q534" t="s">
        <v>37</v>
      </c>
      <c r="R534" t="s">
        <v>48</v>
      </c>
      <c r="S534">
        <v>9</v>
      </c>
    </row>
    <row r="535" spans="1:19" x14ac:dyDescent="0.3">
      <c r="A535" t="s">
        <v>1130</v>
      </c>
      <c r="B535">
        <v>45460</v>
      </c>
      <c r="C535" t="s">
        <v>55</v>
      </c>
      <c r="D535" t="s">
        <v>56</v>
      </c>
      <c r="E535" t="s">
        <v>32</v>
      </c>
      <c r="F535" t="s">
        <v>23</v>
      </c>
      <c r="G535" t="s">
        <v>34</v>
      </c>
      <c r="H535" t="s">
        <v>141</v>
      </c>
      <c r="I535" t="s">
        <v>1131</v>
      </c>
      <c r="J535">
        <v>7</v>
      </c>
      <c r="K535">
        <v>389</v>
      </c>
      <c r="L535">
        <v>0.05</v>
      </c>
      <c r="M535">
        <f>'Raw data'!$K535*(1- 'Raw data'!$L535)</f>
        <v>369.54999999999995</v>
      </c>
      <c r="N535">
        <v>2586.85</v>
      </c>
      <c r="O535">
        <v>0.4</v>
      </c>
      <c r="P535">
        <v>1034.74</v>
      </c>
      <c r="Q535" t="s">
        <v>47</v>
      </c>
      <c r="R535" t="s">
        <v>48</v>
      </c>
      <c r="S535">
        <v>2</v>
      </c>
    </row>
    <row r="536" spans="1:19" x14ac:dyDescent="0.3">
      <c r="A536" t="s">
        <v>1132</v>
      </c>
      <c r="B536">
        <v>45461</v>
      </c>
      <c r="C536" t="s">
        <v>63</v>
      </c>
      <c r="D536" t="s">
        <v>56</v>
      </c>
      <c r="E536" t="s">
        <v>32</v>
      </c>
      <c r="F536" t="s">
        <v>97</v>
      </c>
      <c r="G536" t="s">
        <v>44</v>
      </c>
      <c r="H536" t="s">
        <v>64</v>
      </c>
      <c r="I536" t="s">
        <v>1133</v>
      </c>
      <c r="J536">
        <v>3</v>
      </c>
      <c r="K536">
        <v>4065</v>
      </c>
      <c r="L536">
        <v>0.18</v>
      </c>
      <c r="M536">
        <f>'Raw data'!$K536*(1- 'Raw data'!$L536)</f>
        <v>3333.3</v>
      </c>
      <c r="N536">
        <v>9999.9</v>
      </c>
      <c r="O536">
        <v>0.35</v>
      </c>
      <c r="P536">
        <v>3499.96</v>
      </c>
      <c r="Q536" t="s">
        <v>37</v>
      </c>
      <c r="R536" t="s">
        <v>48</v>
      </c>
      <c r="S536">
        <v>4</v>
      </c>
    </row>
    <row r="537" spans="1:19" x14ac:dyDescent="0.3">
      <c r="A537" t="s">
        <v>1134</v>
      </c>
      <c r="B537">
        <v>45462</v>
      </c>
      <c r="C537" t="s">
        <v>63</v>
      </c>
      <c r="D537" t="s">
        <v>31</v>
      </c>
      <c r="E537" t="s">
        <v>67</v>
      </c>
      <c r="F537" t="s">
        <v>97</v>
      </c>
      <c r="G537" t="s">
        <v>34</v>
      </c>
      <c r="H537" t="s">
        <v>71</v>
      </c>
      <c r="I537" t="s">
        <v>1135</v>
      </c>
      <c r="J537">
        <v>8</v>
      </c>
      <c r="K537">
        <v>1082</v>
      </c>
      <c r="L537">
        <v>7.0000000000000007E-2</v>
      </c>
      <c r="M537">
        <f>'Raw data'!$K537*(1- 'Raw data'!$L537)</f>
        <v>1006.2599999999999</v>
      </c>
      <c r="N537">
        <v>8050.08</v>
      </c>
      <c r="O537">
        <v>0.4</v>
      </c>
      <c r="P537">
        <v>3220.03</v>
      </c>
      <c r="Q537" t="s">
        <v>27</v>
      </c>
      <c r="R537" t="s">
        <v>48</v>
      </c>
      <c r="S537">
        <v>2</v>
      </c>
    </row>
    <row r="538" spans="1:19" x14ac:dyDescent="0.3">
      <c r="A538" t="s">
        <v>1136</v>
      </c>
      <c r="B538">
        <v>45463</v>
      </c>
      <c r="C538" t="s">
        <v>20</v>
      </c>
      <c r="D538" t="s">
        <v>56</v>
      </c>
      <c r="E538" t="s">
        <v>32</v>
      </c>
      <c r="F538" t="s">
        <v>68</v>
      </c>
      <c r="G538" t="s">
        <v>44</v>
      </c>
      <c r="H538" t="s">
        <v>138</v>
      </c>
      <c r="I538" t="s">
        <v>1137</v>
      </c>
      <c r="J538">
        <v>7</v>
      </c>
      <c r="K538">
        <v>899</v>
      </c>
      <c r="L538">
        <v>0.2</v>
      </c>
      <c r="M538">
        <f>'Raw data'!$K538*(1- 'Raw data'!$L538)</f>
        <v>719.2</v>
      </c>
      <c r="N538">
        <v>5034.3999999999996</v>
      </c>
      <c r="O538">
        <v>0.35</v>
      </c>
      <c r="P538">
        <v>1762.04</v>
      </c>
      <c r="Q538" t="s">
        <v>47</v>
      </c>
      <c r="R538" t="s">
        <v>38</v>
      </c>
      <c r="S538">
        <v>5</v>
      </c>
    </row>
    <row r="539" spans="1:19" x14ac:dyDescent="0.3">
      <c r="A539" t="s">
        <v>1138</v>
      </c>
      <c r="B539">
        <v>45464</v>
      </c>
      <c r="C539" t="s">
        <v>63</v>
      </c>
      <c r="D539" t="s">
        <v>56</v>
      </c>
      <c r="E539" t="s">
        <v>67</v>
      </c>
      <c r="F539" t="s">
        <v>103</v>
      </c>
      <c r="G539" t="s">
        <v>44</v>
      </c>
      <c r="H539" t="s">
        <v>45</v>
      </c>
      <c r="I539" t="s">
        <v>1139</v>
      </c>
      <c r="J539">
        <v>8</v>
      </c>
      <c r="K539">
        <v>1108</v>
      </c>
      <c r="L539">
        <v>0.25</v>
      </c>
      <c r="M539">
        <f>'Raw data'!$K539*(1- 'Raw data'!$L539)</f>
        <v>831</v>
      </c>
      <c r="N539">
        <v>6648</v>
      </c>
      <c r="O539">
        <v>0.35</v>
      </c>
      <c r="P539">
        <v>2326.8000000000002</v>
      </c>
      <c r="Q539" t="s">
        <v>47</v>
      </c>
      <c r="R539" t="s">
        <v>48</v>
      </c>
      <c r="S539">
        <v>3</v>
      </c>
    </row>
    <row r="540" spans="1:19" x14ac:dyDescent="0.3">
      <c r="A540" t="s">
        <v>1140</v>
      </c>
      <c r="B540">
        <v>45465</v>
      </c>
      <c r="C540" t="s">
        <v>30</v>
      </c>
      <c r="D540" t="s">
        <v>21</v>
      </c>
      <c r="E540" t="s">
        <v>22</v>
      </c>
      <c r="F540" t="s">
        <v>68</v>
      </c>
      <c r="G540" t="s">
        <v>57</v>
      </c>
      <c r="H540" t="s">
        <v>58</v>
      </c>
      <c r="I540" t="s">
        <v>824</v>
      </c>
      <c r="J540">
        <v>7</v>
      </c>
      <c r="K540">
        <v>16083</v>
      </c>
      <c r="L540">
        <v>0.01</v>
      </c>
      <c r="M540">
        <f>'Raw data'!$K540*(1- 'Raw data'!$L540)</f>
        <v>15922.17</v>
      </c>
      <c r="N540">
        <v>111455.19</v>
      </c>
      <c r="O540">
        <v>0.2</v>
      </c>
      <c r="P540">
        <v>22291.040000000001</v>
      </c>
      <c r="Q540" t="s">
        <v>47</v>
      </c>
      <c r="R540" t="s">
        <v>48</v>
      </c>
      <c r="S540">
        <v>2</v>
      </c>
    </row>
    <row r="541" spans="1:19" x14ac:dyDescent="0.3">
      <c r="A541" t="s">
        <v>1141</v>
      </c>
      <c r="B541">
        <v>45466</v>
      </c>
      <c r="C541" t="s">
        <v>55</v>
      </c>
      <c r="D541" t="s">
        <v>31</v>
      </c>
      <c r="E541" t="s">
        <v>42</v>
      </c>
      <c r="F541" t="s">
        <v>33</v>
      </c>
      <c r="G541" t="s">
        <v>24</v>
      </c>
      <c r="H541" t="s">
        <v>121</v>
      </c>
      <c r="I541" t="s">
        <v>1142</v>
      </c>
      <c r="J541">
        <v>6</v>
      </c>
      <c r="K541">
        <v>2638</v>
      </c>
      <c r="L541">
        <v>0.22</v>
      </c>
      <c r="M541">
        <f>'Raw data'!$K541*(1- 'Raw data'!$L541)</f>
        <v>2057.64</v>
      </c>
      <c r="N541">
        <v>12345.84</v>
      </c>
      <c r="O541">
        <v>0.25</v>
      </c>
      <c r="P541">
        <v>3086.46</v>
      </c>
      <c r="Q541" t="s">
        <v>51</v>
      </c>
      <c r="R541" t="s">
        <v>38</v>
      </c>
      <c r="S541">
        <v>9</v>
      </c>
    </row>
    <row r="542" spans="1:19" x14ac:dyDescent="0.3">
      <c r="A542" t="s">
        <v>1143</v>
      </c>
      <c r="B542">
        <v>45467</v>
      </c>
      <c r="C542" t="s">
        <v>40</v>
      </c>
      <c r="D542" t="s">
        <v>56</v>
      </c>
      <c r="E542" t="s">
        <v>32</v>
      </c>
      <c r="F542" t="s">
        <v>33</v>
      </c>
      <c r="G542" t="s">
        <v>92</v>
      </c>
      <c r="H542" t="s">
        <v>243</v>
      </c>
      <c r="I542" t="s">
        <v>1144</v>
      </c>
      <c r="J542">
        <v>7</v>
      </c>
      <c r="K542">
        <v>64823</v>
      </c>
      <c r="L542">
        <v>0.16</v>
      </c>
      <c r="M542">
        <f>'Raw data'!$K542*(1- 'Raw data'!$L542)</f>
        <v>54451.32</v>
      </c>
      <c r="N542">
        <v>381159.24</v>
      </c>
      <c r="O542">
        <v>0.15</v>
      </c>
      <c r="P542">
        <v>57173.89</v>
      </c>
      <c r="Q542" t="s">
        <v>37</v>
      </c>
      <c r="R542" t="s">
        <v>48</v>
      </c>
      <c r="S542">
        <v>5</v>
      </c>
    </row>
    <row r="543" spans="1:19" x14ac:dyDescent="0.3">
      <c r="A543" t="s">
        <v>1145</v>
      </c>
      <c r="B543">
        <v>45468</v>
      </c>
      <c r="C543" t="s">
        <v>63</v>
      </c>
      <c r="D543" t="s">
        <v>31</v>
      </c>
      <c r="E543" t="s">
        <v>32</v>
      </c>
      <c r="F543" t="s">
        <v>23</v>
      </c>
      <c r="G543" t="s">
        <v>57</v>
      </c>
      <c r="H543" t="s">
        <v>58</v>
      </c>
      <c r="I543" t="s">
        <v>1146</v>
      </c>
      <c r="J543">
        <v>5</v>
      </c>
      <c r="K543">
        <v>12340</v>
      </c>
      <c r="L543">
        <v>0.24</v>
      </c>
      <c r="M543">
        <f>'Raw data'!$K543*(1- 'Raw data'!$L543)</f>
        <v>9378.4</v>
      </c>
      <c r="N543">
        <v>46892</v>
      </c>
      <c r="O543">
        <v>0.2</v>
      </c>
      <c r="P543">
        <v>9378.4</v>
      </c>
      <c r="Q543" t="s">
        <v>47</v>
      </c>
      <c r="R543" t="s">
        <v>48</v>
      </c>
      <c r="S543">
        <v>5</v>
      </c>
    </row>
    <row r="544" spans="1:19" x14ac:dyDescent="0.3">
      <c r="A544" t="s">
        <v>1147</v>
      </c>
      <c r="B544">
        <v>45469</v>
      </c>
      <c r="C544" t="s">
        <v>55</v>
      </c>
      <c r="D544" t="s">
        <v>21</v>
      </c>
      <c r="E544" t="s">
        <v>32</v>
      </c>
      <c r="F544" t="s">
        <v>97</v>
      </c>
      <c r="G544" t="s">
        <v>57</v>
      </c>
      <c r="H544" t="s">
        <v>81</v>
      </c>
      <c r="I544" t="s">
        <v>1148</v>
      </c>
      <c r="J544">
        <v>7</v>
      </c>
      <c r="K544">
        <v>3382</v>
      </c>
      <c r="L544">
        <v>0.12</v>
      </c>
      <c r="M544">
        <f>'Raw data'!$K544*(1- 'Raw data'!$L544)</f>
        <v>2976.16</v>
      </c>
      <c r="N544">
        <v>20833.12</v>
      </c>
      <c r="O544">
        <v>0.2</v>
      </c>
      <c r="P544">
        <v>4166.62</v>
      </c>
      <c r="Q544" t="s">
        <v>51</v>
      </c>
      <c r="R544" t="s">
        <v>48</v>
      </c>
      <c r="S544">
        <v>1</v>
      </c>
    </row>
    <row r="545" spans="1:19" x14ac:dyDescent="0.3">
      <c r="A545" t="s">
        <v>1149</v>
      </c>
      <c r="B545">
        <v>45470</v>
      </c>
      <c r="C545" t="s">
        <v>63</v>
      </c>
      <c r="D545" t="s">
        <v>31</v>
      </c>
      <c r="E545" t="s">
        <v>22</v>
      </c>
      <c r="F545" t="s">
        <v>43</v>
      </c>
      <c r="G545" t="s">
        <v>24</v>
      </c>
      <c r="H545" t="s">
        <v>121</v>
      </c>
      <c r="I545" t="s">
        <v>1150</v>
      </c>
      <c r="J545">
        <v>1</v>
      </c>
      <c r="K545">
        <v>2403</v>
      </c>
      <c r="L545">
        <v>0.21</v>
      </c>
      <c r="M545">
        <f>'Raw data'!$K545*(1- 'Raw data'!$L545)</f>
        <v>1898.3700000000001</v>
      </c>
      <c r="N545">
        <v>1898.37</v>
      </c>
      <c r="O545">
        <v>0.25</v>
      </c>
      <c r="P545">
        <v>474.59</v>
      </c>
      <c r="Q545" t="s">
        <v>51</v>
      </c>
      <c r="R545" t="s">
        <v>38</v>
      </c>
      <c r="S545">
        <v>6</v>
      </c>
    </row>
    <row r="546" spans="1:19" x14ac:dyDescent="0.3">
      <c r="A546" t="s">
        <v>1151</v>
      </c>
      <c r="B546">
        <v>45471</v>
      </c>
      <c r="C546" t="s">
        <v>96</v>
      </c>
      <c r="D546" t="s">
        <v>56</v>
      </c>
      <c r="E546" t="s">
        <v>67</v>
      </c>
      <c r="F546" t="s">
        <v>43</v>
      </c>
      <c r="G546" t="s">
        <v>92</v>
      </c>
      <c r="H546" t="s">
        <v>243</v>
      </c>
      <c r="I546" t="s">
        <v>1152</v>
      </c>
      <c r="J546">
        <v>1</v>
      </c>
      <c r="K546">
        <v>51779</v>
      </c>
      <c r="L546">
        <v>0.02</v>
      </c>
      <c r="M546">
        <f>'Raw data'!$K546*(1- 'Raw data'!$L546)</f>
        <v>50743.42</v>
      </c>
      <c r="N546">
        <v>50743.42</v>
      </c>
      <c r="O546">
        <v>0.15</v>
      </c>
      <c r="P546">
        <v>7611.51</v>
      </c>
      <c r="Q546" t="s">
        <v>47</v>
      </c>
      <c r="R546" t="s">
        <v>48</v>
      </c>
      <c r="S546">
        <v>7</v>
      </c>
    </row>
    <row r="547" spans="1:19" x14ac:dyDescent="0.3">
      <c r="A547" t="s">
        <v>1153</v>
      </c>
      <c r="B547">
        <v>45472</v>
      </c>
      <c r="C547" t="s">
        <v>40</v>
      </c>
      <c r="D547" t="s">
        <v>31</v>
      </c>
      <c r="E547" t="s">
        <v>22</v>
      </c>
      <c r="F547" t="s">
        <v>97</v>
      </c>
      <c r="G547" t="s">
        <v>34</v>
      </c>
      <c r="H547" t="s">
        <v>35</v>
      </c>
      <c r="I547" t="s">
        <v>1154</v>
      </c>
      <c r="J547">
        <v>9</v>
      </c>
      <c r="K547">
        <v>1444</v>
      </c>
      <c r="L547">
        <v>0.08</v>
      </c>
      <c r="M547">
        <f>'Raw data'!$K547*(1- 'Raw data'!$L547)</f>
        <v>1328.48</v>
      </c>
      <c r="N547">
        <v>11956.32</v>
      </c>
      <c r="O547">
        <v>0.4</v>
      </c>
      <c r="P547">
        <v>4782.53</v>
      </c>
      <c r="Q547" t="s">
        <v>47</v>
      </c>
      <c r="R547" t="s">
        <v>48</v>
      </c>
      <c r="S547">
        <v>1</v>
      </c>
    </row>
    <row r="548" spans="1:19" x14ac:dyDescent="0.3">
      <c r="A548" t="s">
        <v>1155</v>
      </c>
      <c r="B548">
        <v>45473</v>
      </c>
      <c r="C548" t="s">
        <v>96</v>
      </c>
      <c r="D548" t="s">
        <v>56</v>
      </c>
      <c r="E548" t="s">
        <v>42</v>
      </c>
      <c r="F548" t="s">
        <v>68</v>
      </c>
      <c r="G548" t="s">
        <v>34</v>
      </c>
      <c r="H548" t="s">
        <v>141</v>
      </c>
      <c r="I548" t="s">
        <v>1156</v>
      </c>
      <c r="J548">
        <v>5</v>
      </c>
      <c r="K548">
        <v>1019</v>
      </c>
      <c r="L548">
        <v>0.02</v>
      </c>
      <c r="M548">
        <f>'Raw data'!$K548*(1- 'Raw data'!$L548)</f>
        <v>998.62</v>
      </c>
      <c r="N548">
        <v>4993.1000000000004</v>
      </c>
      <c r="O548">
        <v>0.4</v>
      </c>
      <c r="P548">
        <v>1997.24</v>
      </c>
      <c r="Q548" t="s">
        <v>27</v>
      </c>
      <c r="R548" t="s">
        <v>48</v>
      </c>
      <c r="S548">
        <v>9</v>
      </c>
    </row>
    <row r="549" spans="1:19" x14ac:dyDescent="0.3">
      <c r="A549" t="s">
        <v>1157</v>
      </c>
      <c r="B549">
        <v>45474</v>
      </c>
      <c r="C549" t="s">
        <v>40</v>
      </c>
      <c r="D549" t="s">
        <v>56</v>
      </c>
      <c r="E549" t="s">
        <v>22</v>
      </c>
      <c r="F549" t="s">
        <v>103</v>
      </c>
      <c r="G549" t="s">
        <v>57</v>
      </c>
      <c r="H549" t="s">
        <v>183</v>
      </c>
      <c r="I549" t="s">
        <v>1158</v>
      </c>
      <c r="J549">
        <v>5</v>
      </c>
      <c r="K549">
        <v>2419</v>
      </c>
      <c r="L549">
        <v>0.24</v>
      </c>
      <c r="M549">
        <f>'Raw data'!$K549*(1- 'Raw data'!$L549)</f>
        <v>1838.44</v>
      </c>
      <c r="N549">
        <v>9192.2000000000007</v>
      </c>
      <c r="O549">
        <v>0.2</v>
      </c>
      <c r="P549">
        <v>1838.44</v>
      </c>
      <c r="Q549" t="s">
        <v>47</v>
      </c>
      <c r="R549" t="s">
        <v>38</v>
      </c>
      <c r="S549">
        <v>8</v>
      </c>
    </row>
    <row r="550" spans="1:19" x14ac:dyDescent="0.3">
      <c r="A550" t="s">
        <v>1159</v>
      </c>
      <c r="B550">
        <v>45475</v>
      </c>
      <c r="C550" t="s">
        <v>55</v>
      </c>
      <c r="D550" t="s">
        <v>56</v>
      </c>
      <c r="E550" t="s">
        <v>42</v>
      </c>
      <c r="F550" t="s">
        <v>68</v>
      </c>
      <c r="G550" t="s">
        <v>92</v>
      </c>
      <c r="H550" t="s">
        <v>178</v>
      </c>
      <c r="I550" t="s">
        <v>1160</v>
      </c>
      <c r="J550">
        <v>3</v>
      </c>
      <c r="K550">
        <v>22411</v>
      </c>
      <c r="L550">
        <v>0.2</v>
      </c>
      <c r="M550">
        <f>'Raw data'!$K550*(1- 'Raw data'!$L550)</f>
        <v>17928.8</v>
      </c>
      <c r="N550">
        <v>53786.400000000001</v>
      </c>
      <c r="O550">
        <v>0.15</v>
      </c>
      <c r="P550">
        <v>8067.96</v>
      </c>
      <c r="Q550" t="s">
        <v>27</v>
      </c>
      <c r="R550" t="s">
        <v>48</v>
      </c>
      <c r="S550">
        <v>8</v>
      </c>
    </row>
    <row r="551" spans="1:19" x14ac:dyDescent="0.3">
      <c r="A551" t="s">
        <v>1161</v>
      </c>
      <c r="B551">
        <v>45476</v>
      </c>
      <c r="C551" t="s">
        <v>20</v>
      </c>
      <c r="D551" t="s">
        <v>21</v>
      </c>
      <c r="E551" t="s">
        <v>32</v>
      </c>
      <c r="F551" t="s">
        <v>97</v>
      </c>
      <c r="G551" t="s">
        <v>57</v>
      </c>
      <c r="H551" t="s">
        <v>183</v>
      </c>
      <c r="I551" t="s">
        <v>1162</v>
      </c>
      <c r="J551">
        <v>5</v>
      </c>
      <c r="K551">
        <v>6517</v>
      </c>
      <c r="L551">
        <v>0.21</v>
      </c>
      <c r="M551">
        <f>'Raw data'!$K551*(1- 'Raw data'!$L551)</f>
        <v>5148.43</v>
      </c>
      <c r="N551">
        <v>25742.15</v>
      </c>
      <c r="O551">
        <v>0.2</v>
      </c>
      <c r="P551">
        <v>5148.43</v>
      </c>
      <c r="Q551" t="s">
        <v>47</v>
      </c>
      <c r="R551" t="s">
        <v>28</v>
      </c>
      <c r="S551">
        <v>7</v>
      </c>
    </row>
    <row r="552" spans="1:19" x14ac:dyDescent="0.3">
      <c r="A552" t="s">
        <v>1163</v>
      </c>
      <c r="B552">
        <v>45477</v>
      </c>
      <c r="C552" t="s">
        <v>63</v>
      </c>
      <c r="D552" t="s">
        <v>31</v>
      </c>
      <c r="E552" t="s">
        <v>42</v>
      </c>
      <c r="F552" t="s">
        <v>97</v>
      </c>
      <c r="G552" t="s">
        <v>44</v>
      </c>
      <c r="H552" t="s">
        <v>116</v>
      </c>
      <c r="I552" t="s">
        <v>1164</v>
      </c>
      <c r="J552">
        <v>3</v>
      </c>
      <c r="K552">
        <v>3802</v>
      </c>
      <c r="L552">
        <v>0.23</v>
      </c>
      <c r="M552">
        <f>'Raw data'!$K552*(1- 'Raw data'!$L552)</f>
        <v>2927.54</v>
      </c>
      <c r="N552">
        <v>8782.6200000000008</v>
      </c>
      <c r="O552">
        <v>0.35</v>
      </c>
      <c r="P552">
        <v>3073.92</v>
      </c>
      <c r="Q552" t="s">
        <v>47</v>
      </c>
      <c r="R552" t="s">
        <v>48</v>
      </c>
      <c r="S552">
        <v>5</v>
      </c>
    </row>
    <row r="553" spans="1:19" x14ac:dyDescent="0.3">
      <c r="A553" t="s">
        <v>1165</v>
      </c>
      <c r="B553">
        <v>45478</v>
      </c>
      <c r="C553" t="s">
        <v>63</v>
      </c>
      <c r="D553" t="s">
        <v>21</v>
      </c>
      <c r="E553" t="s">
        <v>42</v>
      </c>
      <c r="F553" t="s">
        <v>103</v>
      </c>
      <c r="G553" t="s">
        <v>57</v>
      </c>
      <c r="H553" t="s">
        <v>58</v>
      </c>
      <c r="I553" t="s">
        <v>1166</v>
      </c>
      <c r="J553">
        <v>9</v>
      </c>
      <c r="K553">
        <v>17422</v>
      </c>
      <c r="L553">
        <v>0.02</v>
      </c>
      <c r="M553">
        <f>'Raw data'!$K553*(1- 'Raw data'!$L553)</f>
        <v>17073.560000000001</v>
      </c>
      <c r="N553">
        <v>153662.04</v>
      </c>
      <c r="O553">
        <v>0.2</v>
      </c>
      <c r="P553">
        <v>30732.41</v>
      </c>
      <c r="Q553" t="s">
        <v>37</v>
      </c>
      <c r="R553" t="s">
        <v>48</v>
      </c>
      <c r="S553">
        <v>3</v>
      </c>
    </row>
    <row r="554" spans="1:19" x14ac:dyDescent="0.3">
      <c r="A554" t="s">
        <v>1167</v>
      </c>
      <c r="B554">
        <v>45479</v>
      </c>
      <c r="C554" t="s">
        <v>30</v>
      </c>
      <c r="D554" t="s">
        <v>31</v>
      </c>
      <c r="E554" t="s">
        <v>67</v>
      </c>
      <c r="F554" t="s">
        <v>23</v>
      </c>
      <c r="G554" t="s">
        <v>57</v>
      </c>
      <c r="H554" t="s">
        <v>58</v>
      </c>
      <c r="I554" t="s">
        <v>1168</v>
      </c>
      <c r="J554">
        <v>9</v>
      </c>
      <c r="K554">
        <v>11700</v>
      </c>
      <c r="L554">
        <v>0.1</v>
      </c>
      <c r="M554">
        <f>'Raw data'!$K554*(1- 'Raw data'!$L554)</f>
        <v>10530</v>
      </c>
      <c r="N554">
        <v>94770</v>
      </c>
      <c r="O554">
        <v>0.2</v>
      </c>
      <c r="P554">
        <v>18954</v>
      </c>
      <c r="Q554" t="s">
        <v>47</v>
      </c>
      <c r="R554" t="s">
        <v>48</v>
      </c>
      <c r="S554">
        <v>9</v>
      </c>
    </row>
    <row r="555" spans="1:19" x14ac:dyDescent="0.3">
      <c r="A555" t="s">
        <v>1169</v>
      </c>
      <c r="B555">
        <v>45480</v>
      </c>
      <c r="C555" t="s">
        <v>96</v>
      </c>
      <c r="D555" t="s">
        <v>21</v>
      </c>
      <c r="E555" t="s">
        <v>42</v>
      </c>
      <c r="F555" t="s">
        <v>23</v>
      </c>
      <c r="G555" t="s">
        <v>34</v>
      </c>
      <c r="H555" t="s">
        <v>35</v>
      </c>
      <c r="I555" t="s">
        <v>1170</v>
      </c>
      <c r="J555">
        <v>6</v>
      </c>
      <c r="K555">
        <v>967</v>
      </c>
      <c r="L555">
        <v>0.02</v>
      </c>
      <c r="M555">
        <f>'Raw data'!$K555*(1- 'Raw data'!$L555)</f>
        <v>947.66</v>
      </c>
      <c r="N555">
        <v>5685.96</v>
      </c>
      <c r="O555">
        <v>0.4</v>
      </c>
      <c r="P555">
        <v>2274.38</v>
      </c>
      <c r="Q555" t="s">
        <v>47</v>
      </c>
      <c r="R555" t="s">
        <v>48</v>
      </c>
      <c r="S555">
        <v>7</v>
      </c>
    </row>
    <row r="556" spans="1:19" x14ac:dyDescent="0.3">
      <c r="A556" t="s">
        <v>1171</v>
      </c>
      <c r="B556">
        <v>45481</v>
      </c>
      <c r="C556" t="s">
        <v>63</v>
      </c>
      <c r="D556" t="s">
        <v>41</v>
      </c>
      <c r="E556" t="s">
        <v>42</v>
      </c>
      <c r="F556" t="s">
        <v>103</v>
      </c>
      <c r="G556" t="s">
        <v>34</v>
      </c>
      <c r="H556" t="s">
        <v>104</v>
      </c>
      <c r="I556" t="s">
        <v>1172</v>
      </c>
      <c r="J556">
        <v>1</v>
      </c>
      <c r="K556">
        <v>682</v>
      </c>
      <c r="L556">
        <v>0.05</v>
      </c>
      <c r="M556">
        <f>'Raw data'!$K556*(1- 'Raw data'!$L556)</f>
        <v>647.9</v>
      </c>
      <c r="N556">
        <v>647.9</v>
      </c>
      <c r="O556">
        <v>0.4</v>
      </c>
      <c r="P556">
        <v>259.16000000000003</v>
      </c>
      <c r="Q556" t="s">
        <v>27</v>
      </c>
      <c r="R556" t="s">
        <v>38</v>
      </c>
      <c r="S556">
        <v>8</v>
      </c>
    </row>
    <row r="557" spans="1:19" x14ac:dyDescent="0.3">
      <c r="A557" t="s">
        <v>1173</v>
      </c>
      <c r="B557">
        <v>45482</v>
      </c>
      <c r="C557" t="s">
        <v>55</v>
      </c>
      <c r="D557" t="s">
        <v>56</v>
      </c>
      <c r="E557" t="s">
        <v>22</v>
      </c>
      <c r="F557" t="s">
        <v>23</v>
      </c>
      <c r="G557" t="s">
        <v>34</v>
      </c>
      <c r="H557" t="s">
        <v>104</v>
      </c>
      <c r="I557" t="s">
        <v>1174</v>
      </c>
      <c r="J557">
        <v>7</v>
      </c>
      <c r="K557">
        <v>718</v>
      </c>
      <c r="L557">
        <v>0.06</v>
      </c>
      <c r="M557">
        <f>'Raw data'!$K557*(1- 'Raw data'!$L557)</f>
        <v>674.92</v>
      </c>
      <c r="N557">
        <v>4724.4399999999996</v>
      </c>
      <c r="O557">
        <v>0.4</v>
      </c>
      <c r="P557">
        <v>1889.78</v>
      </c>
      <c r="Q557" t="s">
        <v>27</v>
      </c>
      <c r="R557" t="s">
        <v>48</v>
      </c>
      <c r="S557">
        <v>6</v>
      </c>
    </row>
    <row r="558" spans="1:19" x14ac:dyDescent="0.3">
      <c r="A558" t="s">
        <v>1175</v>
      </c>
      <c r="B558">
        <v>45483</v>
      </c>
      <c r="C558" t="s">
        <v>20</v>
      </c>
      <c r="D558" t="s">
        <v>56</v>
      </c>
      <c r="E558" t="s">
        <v>32</v>
      </c>
      <c r="F558" t="s">
        <v>43</v>
      </c>
      <c r="G558" t="s">
        <v>44</v>
      </c>
      <c r="H558" t="s">
        <v>116</v>
      </c>
      <c r="I558" t="s">
        <v>1176</v>
      </c>
      <c r="J558">
        <v>7</v>
      </c>
      <c r="K558">
        <v>2639</v>
      </c>
      <c r="L558">
        <v>0.12</v>
      </c>
      <c r="M558">
        <f>'Raw data'!$K558*(1- 'Raw data'!$L558)</f>
        <v>2322.3200000000002</v>
      </c>
      <c r="N558">
        <v>16256.24</v>
      </c>
      <c r="O558">
        <v>0.35</v>
      </c>
      <c r="P558">
        <v>5689.68</v>
      </c>
      <c r="Q558" t="s">
        <v>37</v>
      </c>
      <c r="R558" t="s">
        <v>48</v>
      </c>
      <c r="S558">
        <v>5</v>
      </c>
    </row>
    <row r="559" spans="1:19" x14ac:dyDescent="0.3">
      <c r="A559" t="s">
        <v>1177</v>
      </c>
      <c r="B559">
        <v>45484</v>
      </c>
      <c r="C559" t="s">
        <v>55</v>
      </c>
      <c r="D559" t="s">
        <v>21</v>
      </c>
      <c r="E559" t="s">
        <v>22</v>
      </c>
      <c r="F559" t="s">
        <v>23</v>
      </c>
      <c r="G559" t="s">
        <v>34</v>
      </c>
      <c r="H559" t="s">
        <v>71</v>
      </c>
      <c r="I559" t="s">
        <v>1178</v>
      </c>
      <c r="J559">
        <v>4</v>
      </c>
      <c r="K559">
        <v>1181</v>
      </c>
      <c r="L559">
        <v>7.0000000000000007E-2</v>
      </c>
      <c r="M559">
        <f>'Raw data'!$K559*(1- 'Raw data'!$L559)</f>
        <v>1098.33</v>
      </c>
      <c r="N559">
        <v>4393.32</v>
      </c>
      <c r="O559">
        <v>0.4</v>
      </c>
      <c r="P559">
        <v>1757.33</v>
      </c>
      <c r="Q559" t="s">
        <v>47</v>
      </c>
      <c r="R559" t="s">
        <v>48</v>
      </c>
      <c r="S559">
        <v>8</v>
      </c>
    </row>
    <row r="560" spans="1:19" x14ac:dyDescent="0.3">
      <c r="A560" t="s">
        <v>1179</v>
      </c>
      <c r="B560">
        <v>45485</v>
      </c>
      <c r="C560" t="s">
        <v>96</v>
      </c>
      <c r="D560" t="s">
        <v>41</v>
      </c>
      <c r="E560" t="s">
        <v>22</v>
      </c>
      <c r="F560" t="s">
        <v>23</v>
      </c>
      <c r="G560" t="s">
        <v>92</v>
      </c>
      <c r="H560" t="s">
        <v>93</v>
      </c>
      <c r="I560" t="s">
        <v>1180</v>
      </c>
      <c r="J560">
        <v>8</v>
      </c>
      <c r="K560">
        <v>41174</v>
      </c>
      <c r="L560">
        <v>0.03</v>
      </c>
      <c r="M560">
        <f>'Raw data'!$K560*(1- 'Raw data'!$L560)</f>
        <v>39938.78</v>
      </c>
      <c r="N560">
        <v>319510.24</v>
      </c>
      <c r="O560">
        <v>0.15</v>
      </c>
      <c r="P560">
        <v>47926.54</v>
      </c>
      <c r="Q560" t="s">
        <v>47</v>
      </c>
      <c r="R560" t="s">
        <v>48</v>
      </c>
      <c r="S560">
        <v>3</v>
      </c>
    </row>
    <row r="561" spans="1:19" x14ac:dyDescent="0.3">
      <c r="A561" t="s">
        <v>1181</v>
      </c>
      <c r="B561">
        <v>45486</v>
      </c>
      <c r="C561" t="s">
        <v>30</v>
      </c>
      <c r="D561" t="s">
        <v>56</v>
      </c>
      <c r="E561" t="s">
        <v>32</v>
      </c>
      <c r="F561" t="s">
        <v>23</v>
      </c>
      <c r="G561" t="s">
        <v>24</v>
      </c>
      <c r="H561" t="s">
        <v>186</v>
      </c>
      <c r="I561" t="s">
        <v>1182</v>
      </c>
      <c r="J561">
        <v>6</v>
      </c>
      <c r="K561">
        <v>10956</v>
      </c>
      <c r="L561">
        <v>0.04</v>
      </c>
      <c r="M561">
        <f>'Raw data'!$K561*(1- 'Raw data'!$L561)</f>
        <v>10517.76</v>
      </c>
      <c r="N561">
        <v>63106.559999999998</v>
      </c>
      <c r="O561">
        <v>0.25</v>
      </c>
      <c r="P561">
        <v>15776.64</v>
      </c>
      <c r="Q561" t="s">
        <v>27</v>
      </c>
      <c r="R561" t="s">
        <v>48</v>
      </c>
      <c r="S561">
        <v>7</v>
      </c>
    </row>
    <row r="562" spans="1:19" x14ac:dyDescent="0.3">
      <c r="A562" t="s">
        <v>1183</v>
      </c>
      <c r="B562">
        <v>45487</v>
      </c>
      <c r="C562" t="s">
        <v>63</v>
      </c>
      <c r="D562" t="s">
        <v>31</v>
      </c>
      <c r="E562" t="s">
        <v>32</v>
      </c>
      <c r="F562" t="s">
        <v>43</v>
      </c>
      <c r="G562" t="s">
        <v>92</v>
      </c>
      <c r="H562" t="s">
        <v>93</v>
      </c>
      <c r="I562" t="s">
        <v>1184</v>
      </c>
      <c r="J562">
        <v>4</v>
      </c>
      <c r="K562">
        <v>79252</v>
      </c>
      <c r="L562">
        <v>0.04</v>
      </c>
      <c r="M562">
        <f>'Raw data'!$K562*(1- 'Raw data'!$L562)</f>
        <v>76081.919999999998</v>
      </c>
      <c r="N562">
        <v>304327.67999999999</v>
      </c>
      <c r="O562">
        <v>0.15</v>
      </c>
      <c r="P562">
        <v>45649.15</v>
      </c>
      <c r="Q562" t="s">
        <v>51</v>
      </c>
      <c r="R562" t="s">
        <v>48</v>
      </c>
      <c r="S562">
        <v>2</v>
      </c>
    </row>
    <row r="563" spans="1:19" x14ac:dyDescent="0.3">
      <c r="A563" t="s">
        <v>1185</v>
      </c>
      <c r="B563">
        <v>45488</v>
      </c>
      <c r="C563" t="s">
        <v>55</v>
      </c>
      <c r="D563" t="s">
        <v>21</v>
      </c>
      <c r="E563" t="s">
        <v>42</v>
      </c>
      <c r="F563" t="s">
        <v>23</v>
      </c>
      <c r="G563" t="s">
        <v>92</v>
      </c>
      <c r="H563" t="s">
        <v>93</v>
      </c>
      <c r="I563" t="s">
        <v>1186</v>
      </c>
      <c r="J563">
        <v>4</v>
      </c>
      <c r="K563">
        <v>71949</v>
      </c>
      <c r="L563">
        <v>0.24</v>
      </c>
      <c r="M563">
        <f>'Raw data'!$K563*(1- 'Raw data'!$L563)</f>
        <v>54681.24</v>
      </c>
      <c r="N563">
        <v>218724.96</v>
      </c>
      <c r="O563">
        <v>0.15</v>
      </c>
      <c r="P563">
        <v>32808.74</v>
      </c>
      <c r="Q563" t="s">
        <v>51</v>
      </c>
      <c r="R563" t="s">
        <v>48</v>
      </c>
      <c r="S563">
        <v>3</v>
      </c>
    </row>
    <row r="564" spans="1:19" x14ac:dyDescent="0.3">
      <c r="A564" t="s">
        <v>1187</v>
      </c>
      <c r="B564">
        <v>45489</v>
      </c>
      <c r="C564" t="s">
        <v>40</v>
      </c>
      <c r="D564" t="s">
        <v>56</v>
      </c>
      <c r="E564" t="s">
        <v>42</v>
      </c>
      <c r="F564" t="s">
        <v>33</v>
      </c>
      <c r="G564" t="s">
        <v>34</v>
      </c>
      <c r="H564" t="s">
        <v>35</v>
      </c>
      <c r="I564" t="s">
        <v>1188</v>
      </c>
      <c r="J564">
        <v>2</v>
      </c>
      <c r="K564">
        <v>1406</v>
      </c>
      <c r="L564">
        <v>0.19</v>
      </c>
      <c r="M564">
        <f>'Raw data'!$K564*(1- 'Raw data'!$L564)</f>
        <v>1138.8600000000001</v>
      </c>
      <c r="N564">
        <v>2277.7199999999998</v>
      </c>
      <c r="O564">
        <v>0.4</v>
      </c>
      <c r="P564">
        <v>911.09</v>
      </c>
      <c r="Q564" t="s">
        <v>51</v>
      </c>
      <c r="R564" t="s">
        <v>48</v>
      </c>
      <c r="S564">
        <v>2</v>
      </c>
    </row>
    <row r="565" spans="1:19" x14ac:dyDescent="0.3">
      <c r="A565" t="s">
        <v>1189</v>
      </c>
      <c r="B565">
        <v>45490</v>
      </c>
      <c r="C565" t="s">
        <v>20</v>
      </c>
      <c r="D565" t="s">
        <v>56</v>
      </c>
      <c r="E565" t="s">
        <v>67</v>
      </c>
      <c r="F565" t="s">
        <v>43</v>
      </c>
      <c r="G565" t="s">
        <v>24</v>
      </c>
      <c r="H565" t="s">
        <v>25</v>
      </c>
      <c r="I565" t="s">
        <v>1190</v>
      </c>
      <c r="J565">
        <v>2</v>
      </c>
      <c r="K565">
        <v>5481</v>
      </c>
      <c r="L565">
        <v>0.24</v>
      </c>
      <c r="M565">
        <f>'Raw data'!$K565*(1- 'Raw data'!$L565)</f>
        <v>4165.5600000000004</v>
      </c>
      <c r="N565">
        <v>8331.1200000000008</v>
      </c>
      <c r="O565">
        <v>0.25</v>
      </c>
      <c r="P565">
        <v>2082.7800000000002</v>
      </c>
      <c r="Q565" t="s">
        <v>27</v>
      </c>
      <c r="R565" t="s">
        <v>48</v>
      </c>
      <c r="S565">
        <v>5</v>
      </c>
    </row>
    <row r="566" spans="1:19" x14ac:dyDescent="0.3">
      <c r="A566" t="s">
        <v>1191</v>
      </c>
      <c r="B566">
        <v>45491</v>
      </c>
      <c r="C566" t="s">
        <v>55</v>
      </c>
      <c r="D566" t="s">
        <v>21</v>
      </c>
      <c r="E566" t="s">
        <v>22</v>
      </c>
      <c r="F566" t="s">
        <v>103</v>
      </c>
      <c r="G566" t="s">
        <v>24</v>
      </c>
      <c r="H566" t="s">
        <v>25</v>
      </c>
      <c r="I566" t="s">
        <v>1192</v>
      </c>
      <c r="J566">
        <v>4</v>
      </c>
      <c r="K566">
        <v>14885</v>
      </c>
      <c r="L566">
        <v>0.11</v>
      </c>
      <c r="M566">
        <f>'Raw data'!$K566*(1- 'Raw data'!$L566)</f>
        <v>13247.65</v>
      </c>
      <c r="N566">
        <v>52990.6</v>
      </c>
      <c r="O566">
        <v>0.25</v>
      </c>
      <c r="P566">
        <v>13247.65</v>
      </c>
      <c r="Q566" t="s">
        <v>27</v>
      </c>
      <c r="R566" t="s">
        <v>48</v>
      </c>
      <c r="S566">
        <v>7</v>
      </c>
    </row>
    <row r="567" spans="1:19" x14ac:dyDescent="0.3">
      <c r="A567" t="s">
        <v>1193</v>
      </c>
      <c r="B567">
        <v>45492</v>
      </c>
      <c r="C567" t="s">
        <v>20</v>
      </c>
      <c r="D567" t="s">
        <v>21</v>
      </c>
      <c r="E567" t="s">
        <v>32</v>
      </c>
      <c r="F567" t="s">
        <v>68</v>
      </c>
      <c r="G567" t="s">
        <v>24</v>
      </c>
      <c r="H567" t="s">
        <v>186</v>
      </c>
      <c r="I567" t="s">
        <v>1194</v>
      </c>
      <c r="J567">
        <v>5</v>
      </c>
      <c r="K567">
        <v>8898</v>
      </c>
      <c r="L567">
        <v>7.0000000000000007E-2</v>
      </c>
      <c r="M567">
        <f>'Raw data'!$K567*(1- 'Raw data'!$L567)</f>
        <v>8275.14</v>
      </c>
      <c r="N567">
        <v>41375.699999999997</v>
      </c>
      <c r="O567">
        <v>0.25</v>
      </c>
      <c r="P567">
        <v>10343.92</v>
      </c>
      <c r="Q567" t="s">
        <v>51</v>
      </c>
      <c r="R567" t="s">
        <v>48</v>
      </c>
      <c r="S567">
        <v>1</v>
      </c>
    </row>
    <row r="568" spans="1:19" x14ac:dyDescent="0.3">
      <c r="A568" t="s">
        <v>1195</v>
      </c>
      <c r="B568">
        <v>45493</v>
      </c>
      <c r="C568" t="s">
        <v>63</v>
      </c>
      <c r="D568" t="s">
        <v>31</v>
      </c>
      <c r="E568" t="s">
        <v>42</v>
      </c>
      <c r="F568" t="s">
        <v>103</v>
      </c>
      <c r="G568" t="s">
        <v>44</v>
      </c>
      <c r="H568" t="s">
        <v>116</v>
      </c>
      <c r="I568" t="s">
        <v>1196</v>
      </c>
      <c r="J568">
        <v>8</v>
      </c>
      <c r="K568">
        <v>2793</v>
      </c>
      <c r="L568">
        <v>0.2</v>
      </c>
      <c r="M568">
        <f>'Raw data'!$K568*(1- 'Raw data'!$L568)</f>
        <v>2234.4</v>
      </c>
      <c r="N568">
        <v>17875.2</v>
      </c>
      <c r="O568">
        <v>0.35</v>
      </c>
      <c r="P568">
        <v>6256.32</v>
      </c>
      <c r="Q568" t="s">
        <v>51</v>
      </c>
      <c r="R568" t="s">
        <v>48</v>
      </c>
      <c r="S568">
        <v>9</v>
      </c>
    </row>
    <row r="569" spans="1:19" x14ac:dyDescent="0.3">
      <c r="A569" t="s">
        <v>1197</v>
      </c>
      <c r="B569">
        <v>45494</v>
      </c>
      <c r="C569" t="s">
        <v>40</v>
      </c>
      <c r="D569" t="s">
        <v>31</v>
      </c>
      <c r="E569" t="s">
        <v>32</v>
      </c>
      <c r="F569" t="s">
        <v>68</v>
      </c>
      <c r="G569" t="s">
        <v>34</v>
      </c>
      <c r="H569" t="s">
        <v>104</v>
      </c>
      <c r="I569" t="s">
        <v>1198</v>
      </c>
      <c r="J569">
        <v>6</v>
      </c>
      <c r="K569">
        <v>941</v>
      </c>
      <c r="L569">
        <v>0.08</v>
      </c>
      <c r="M569">
        <f>'Raw data'!$K569*(1- 'Raw data'!$L569)</f>
        <v>865.72</v>
      </c>
      <c r="N569">
        <v>5194.32</v>
      </c>
      <c r="O569">
        <v>0.4</v>
      </c>
      <c r="P569">
        <v>2077.73</v>
      </c>
      <c r="Q569" t="s">
        <v>47</v>
      </c>
      <c r="R569" t="s">
        <v>48</v>
      </c>
      <c r="S569">
        <v>1</v>
      </c>
    </row>
    <row r="570" spans="1:19" x14ac:dyDescent="0.3">
      <c r="A570" t="s">
        <v>1199</v>
      </c>
      <c r="B570">
        <v>45495</v>
      </c>
      <c r="C570" t="s">
        <v>30</v>
      </c>
      <c r="D570" t="s">
        <v>56</v>
      </c>
      <c r="E570" t="s">
        <v>42</v>
      </c>
      <c r="F570" t="s">
        <v>103</v>
      </c>
      <c r="G570" t="s">
        <v>24</v>
      </c>
      <c r="H570" t="s">
        <v>121</v>
      </c>
      <c r="I570" t="s">
        <v>1200</v>
      </c>
      <c r="J570">
        <v>4</v>
      </c>
      <c r="K570">
        <v>8758</v>
      </c>
      <c r="L570">
        <v>7.0000000000000007E-2</v>
      </c>
      <c r="M570">
        <f>'Raw data'!$K570*(1- 'Raw data'!$L570)</f>
        <v>8144.94</v>
      </c>
      <c r="N570">
        <v>32579.759999999998</v>
      </c>
      <c r="O570">
        <v>0.25</v>
      </c>
      <c r="P570">
        <v>8144.94</v>
      </c>
      <c r="Q570" t="s">
        <v>27</v>
      </c>
      <c r="R570" t="s">
        <v>38</v>
      </c>
      <c r="S570">
        <v>1</v>
      </c>
    </row>
    <row r="571" spans="1:19" x14ac:dyDescent="0.3">
      <c r="A571" t="s">
        <v>1201</v>
      </c>
      <c r="B571">
        <v>45496</v>
      </c>
      <c r="C571" t="s">
        <v>30</v>
      </c>
      <c r="D571" t="s">
        <v>56</v>
      </c>
      <c r="E571" t="s">
        <v>67</v>
      </c>
      <c r="F571" t="s">
        <v>33</v>
      </c>
      <c r="G571" t="s">
        <v>44</v>
      </c>
      <c r="H571" t="s">
        <v>64</v>
      </c>
      <c r="I571" t="s">
        <v>1202</v>
      </c>
      <c r="J571">
        <v>7</v>
      </c>
      <c r="K571">
        <v>3208</v>
      </c>
      <c r="L571">
        <v>0.06</v>
      </c>
      <c r="M571">
        <f>'Raw data'!$K571*(1- 'Raw data'!$L571)</f>
        <v>3015.52</v>
      </c>
      <c r="N571">
        <v>21108.639999999999</v>
      </c>
      <c r="O571">
        <v>0.35</v>
      </c>
      <c r="P571">
        <v>7388.02</v>
      </c>
      <c r="Q571" t="s">
        <v>27</v>
      </c>
      <c r="R571" t="s">
        <v>48</v>
      </c>
      <c r="S571">
        <v>8</v>
      </c>
    </row>
    <row r="572" spans="1:19" x14ac:dyDescent="0.3">
      <c r="A572" t="s">
        <v>1203</v>
      </c>
      <c r="B572">
        <v>45497</v>
      </c>
      <c r="C572" t="s">
        <v>40</v>
      </c>
      <c r="D572" t="s">
        <v>21</v>
      </c>
      <c r="E572" t="s">
        <v>67</v>
      </c>
      <c r="F572" t="s">
        <v>68</v>
      </c>
      <c r="G572" t="s">
        <v>57</v>
      </c>
      <c r="H572" t="s">
        <v>81</v>
      </c>
      <c r="I572" t="s">
        <v>1204</v>
      </c>
      <c r="J572">
        <v>8</v>
      </c>
      <c r="K572">
        <v>9993</v>
      </c>
      <c r="L572">
        <v>0.03</v>
      </c>
      <c r="M572">
        <f>'Raw data'!$K572*(1- 'Raw data'!$L572)</f>
        <v>9693.2099999999991</v>
      </c>
      <c r="N572">
        <v>77545.679999999993</v>
      </c>
      <c r="O572">
        <v>0.2</v>
      </c>
      <c r="P572">
        <v>15509.14</v>
      </c>
      <c r="Q572" t="s">
        <v>51</v>
      </c>
      <c r="R572" t="s">
        <v>38</v>
      </c>
      <c r="S572">
        <v>6</v>
      </c>
    </row>
    <row r="573" spans="1:19" x14ac:dyDescent="0.3">
      <c r="A573" t="s">
        <v>1205</v>
      </c>
      <c r="B573">
        <v>45498</v>
      </c>
      <c r="C573" t="s">
        <v>20</v>
      </c>
      <c r="D573" t="s">
        <v>56</v>
      </c>
      <c r="E573" t="s">
        <v>32</v>
      </c>
      <c r="F573" t="s">
        <v>68</v>
      </c>
      <c r="G573" t="s">
        <v>57</v>
      </c>
      <c r="H573" t="s">
        <v>100</v>
      </c>
      <c r="I573" t="s">
        <v>1206</v>
      </c>
      <c r="J573">
        <v>2</v>
      </c>
      <c r="K573">
        <v>7542</v>
      </c>
      <c r="L573">
        <v>0.06</v>
      </c>
      <c r="M573">
        <f>'Raw data'!$K573*(1- 'Raw data'!$L573)</f>
        <v>7089.48</v>
      </c>
      <c r="N573">
        <v>14178.96</v>
      </c>
      <c r="O573">
        <v>0.2</v>
      </c>
      <c r="P573">
        <v>2835.79</v>
      </c>
      <c r="Q573" t="s">
        <v>51</v>
      </c>
      <c r="R573" t="s">
        <v>38</v>
      </c>
      <c r="S573">
        <v>6</v>
      </c>
    </row>
    <row r="574" spans="1:19" x14ac:dyDescent="0.3">
      <c r="A574" t="s">
        <v>1207</v>
      </c>
      <c r="B574">
        <v>45499</v>
      </c>
      <c r="C574" t="s">
        <v>63</v>
      </c>
      <c r="D574" t="s">
        <v>56</v>
      </c>
      <c r="E574" t="s">
        <v>67</v>
      </c>
      <c r="F574" t="s">
        <v>97</v>
      </c>
      <c r="G574" t="s">
        <v>44</v>
      </c>
      <c r="H574" t="s">
        <v>116</v>
      </c>
      <c r="I574" t="s">
        <v>1208</v>
      </c>
      <c r="J574">
        <v>7</v>
      </c>
      <c r="K574">
        <v>1400</v>
      </c>
      <c r="L574">
        <v>0.09</v>
      </c>
      <c r="M574">
        <f>'Raw data'!$K574*(1- 'Raw data'!$L574)</f>
        <v>1274</v>
      </c>
      <c r="N574">
        <v>8918</v>
      </c>
      <c r="O574">
        <v>0.35</v>
      </c>
      <c r="P574">
        <v>3121.3</v>
      </c>
      <c r="Q574" t="s">
        <v>37</v>
      </c>
      <c r="R574" t="s">
        <v>48</v>
      </c>
      <c r="S574">
        <v>9</v>
      </c>
    </row>
    <row r="575" spans="1:19" x14ac:dyDescent="0.3">
      <c r="A575" t="s">
        <v>1209</v>
      </c>
      <c r="B575">
        <v>45500</v>
      </c>
      <c r="C575" t="s">
        <v>55</v>
      </c>
      <c r="D575" t="s">
        <v>21</v>
      </c>
      <c r="E575" t="s">
        <v>32</v>
      </c>
      <c r="F575" t="s">
        <v>68</v>
      </c>
      <c r="G575" t="s">
        <v>44</v>
      </c>
      <c r="H575" t="s">
        <v>138</v>
      </c>
      <c r="I575" t="s">
        <v>1210</v>
      </c>
      <c r="J575">
        <v>2</v>
      </c>
      <c r="K575">
        <v>3584</v>
      </c>
      <c r="L575">
        <v>0.17</v>
      </c>
      <c r="M575">
        <f>'Raw data'!$K575*(1- 'Raw data'!$L575)</f>
        <v>2974.72</v>
      </c>
      <c r="N575">
        <v>5949.44</v>
      </c>
      <c r="O575">
        <v>0.35</v>
      </c>
      <c r="P575">
        <v>2082.3000000000002</v>
      </c>
      <c r="Q575" t="s">
        <v>27</v>
      </c>
      <c r="R575" t="s">
        <v>48</v>
      </c>
      <c r="S575">
        <v>4</v>
      </c>
    </row>
    <row r="576" spans="1:19" x14ac:dyDescent="0.3">
      <c r="A576" t="s">
        <v>1211</v>
      </c>
      <c r="B576">
        <v>45501</v>
      </c>
      <c r="C576" t="s">
        <v>40</v>
      </c>
      <c r="D576" t="s">
        <v>56</v>
      </c>
      <c r="E576" t="s">
        <v>42</v>
      </c>
      <c r="F576" t="s">
        <v>68</v>
      </c>
      <c r="G576" t="s">
        <v>34</v>
      </c>
      <c r="H576" t="s">
        <v>35</v>
      </c>
      <c r="I576" t="s">
        <v>1212</v>
      </c>
      <c r="J576">
        <v>2</v>
      </c>
      <c r="K576">
        <v>412</v>
      </c>
      <c r="L576">
        <v>0.02</v>
      </c>
      <c r="M576">
        <f>'Raw data'!$K576*(1- 'Raw data'!$L576)</f>
        <v>403.76</v>
      </c>
      <c r="N576">
        <v>807.52</v>
      </c>
      <c r="O576">
        <v>0.4</v>
      </c>
      <c r="P576">
        <v>323.01</v>
      </c>
      <c r="Q576" t="s">
        <v>37</v>
      </c>
      <c r="R576" t="s">
        <v>38</v>
      </c>
      <c r="S576">
        <v>8</v>
      </c>
    </row>
    <row r="577" spans="1:19" x14ac:dyDescent="0.3">
      <c r="A577" t="s">
        <v>1213</v>
      </c>
      <c r="B577">
        <v>45502</v>
      </c>
      <c r="C577" t="s">
        <v>96</v>
      </c>
      <c r="D577" t="s">
        <v>56</v>
      </c>
      <c r="E577" t="s">
        <v>22</v>
      </c>
      <c r="F577" t="s">
        <v>97</v>
      </c>
      <c r="G577" t="s">
        <v>34</v>
      </c>
      <c r="H577" t="s">
        <v>71</v>
      </c>
      <c r="I577" t="s">
        <v>1214</v>
      </c>
      <c r="J577">
        <v>8</v>
      </c>
      <c r="K577">
        <v>441</v>
      </c>
      <c r="L577">
        <v>0.05</v>
      </c>
      <c r="M577">
        <f>'Raw data'!$K577*(1- 'Raw data'!$L577)</f>
        <v>418.95</v>
      </c>
      <c r="N577">
        <v>3351.6</v>
      </c>
      <c r="O577">
        <v>0.4</v>
      </c>
      <c r="P577">
        <v>1340.64</v>
      </c>
      <c r="Q577" t="s">
        <v>47</v>
      </c>
      <c r="R577" t="s">
        <v>48</v>
      </c>
      <c r="S577">
        <v>4</v>
      </c>
    </row>
    <row r="578" spans="1:19" x14ac:dyDescent="0.3">
      <c r="A578" t="s">
        <v>1215</v>
      </c>
      <c r="B578">
        <v>45503</v>
      </c>
      <c r="C578" t="s">
        <v>20</v>
      </c>
      <c r="D578" t="s">
        <v>41</v>
      </c>
      <c r="E578" t="s">
        <v>67</v>
      </c>
      <c r="F578" t="s">
        <v>23</v>
      </c>
      <c r="G578" t="s">
        <v>57</v>
      </c>
      <c r="H578" t="s">
        <v>183</v>
      </c>
      <c r="I578" t="s">
        <v>1216</v>
      </c>
      <c r="J578">
        <v>2</v>
      </c>
      <c r="K578">
        <v>16828</v>
      </c>
      <c r="L578">
        <v>0.2</v>
      </c>
      <c r="M578">
        <f>'Raw data'!$K578*(1- 'Raw data'!$L578)</f>
        <v>13462.400000000001</v>
      </c>
      <c r="N578">
        <v>26924.799999999999</v>
      </c>
      <c r="O578">
        <v>0.2</v>
      </c>
      <c r="P578">
        <v>5384.96</v>
      </c>
      <c r="Q578" t="s">
        <v>37</v>
      </c>
      <c r="R578" t="s">
        <v>48</v>
      </c>
      <c r="S578">
        <v>2</v>
      </c>
    </row>
    <row r="579" spans="1:19" x14ac:dyDescent="0.3">
      <c r="A579" t="s">
        <v>1217</v>
      </c>
      <c r="B579">
        <v>45504</v>
      </c>
      <c r="C579" t="s">
        <v>30</v>
      </c>
      <c r="D579" t="s">
        <v>31</v>
      </c>
      <c r="E579" t="s">
        <v>42</v>
      </c>
      <c r="F579" t="s">
        <v>23</v>
      </c>
      <c r="G579" t="s">
        <v>24</v>
      </c>
      <c r="H579" t="s">
        <v>25</v>
      </c>
      <c r="I579" t="s">
        <v>1218</v>
      </c>
      <c r="J579">
        <v>9</v>
      </c>
      <c r="K579">
        <v>8380</v>
      </c>
      <c r="L579">
        <v>0.04</v>
      </c>
      <c r="M579">
        <f>'Raw data'!$K579*(1- 'Raw data'!$L579)</f>
        <v>8044.7999999999993</v>
      </c>
      <c r="N579">
        <v>72403.199999999997</v>
      </c>
      <c r="O579">
        <v>0.25</v>
      </c>
      <c r="P579">
        <v>18100.8</v>
      </c>
      <c r="Q579" t="s">
        <v>51</v>
      </c>
      <c r="R579" t="s">
        <v>48</v>
      </c>
      <c r="S579">
        <v>8</v>
      </c>
    </row>
    <row r="580" spans="1:19" x14ac:dyDescent="0.3">
      <c r="A580" t="s">
        <v>1219</v>
      </c>
      <c r="B580">
        <v>45505</v>
      </c>
      <c r="C580" t="s">
        <v>40</v>
      </c>
      <c r="D580" t="s">
        <v>21</v>
      </c>
      <c r="E580" t="s">
        <v>22</v>
      </c>
      <c r="F580" t="s">
        <v>97</v>
      </c>
      <c r="G580" t="s">
        <v>57</v>
      </c>
      <c r="H580" t="s">
        <v>81</v>
      </c>
      <c r="I580" t="s">
        <v>1220</v>
      </c>
      <c r="J580">
        <v>1</v>
      </c>
      <c r="K580">
        <v>18052</v>
      </c>
      <c r="L580">
        <v>0.09</v>
      </c>
      <c r="M580">
        <f>'Raw data'!$K580*(1- 'Raw data'!$L580)</f>
        <v>16427.32</v>
      </c>
      <c r="N580">
        <v>16427.32</v>
      </c>
      <c r="O580">
        <v>0.2</v>
      </c>
      <c r="P580">
        <v>3285.46</v>
      </c>
      <c r="Q580" t="s">
        <v>27</v>
      </c>
      <c r="R580" t="s">
        <v>48</v>
      </c>
      <c r="S580">
        <v>7</v>
      </c>
    </row>
    <row r="581" spans="1:19" x14ac:dyDescent="0.3">
      <c r="A581" t="s">
        <v>1221</v>
      </c>
      <c r="B581">
        <v>45506</v>
      </c>
      <c r="C581" t="s">
        <v>30</v>
      </c>
      <c r="D581" t="s">
        <v>41</v>
      </c>
      <c r="E581" t="s">
        <v>22</v>
      </c>
      <c r="F581" t="s">
        <v>43</v>
      </c>
      <c r="G581" t="s">
        <v>24</v>
      </c>
      <c r="H581" t="s">
        <v>74</v>
      </c>
      <c r="I581" t="s">
        <v>1222</v>
      </c>
      <c r="J581">
        <v>9</v>
      </c>
      <c r="K581">
        <v>3385</v>
      </c>
      <c r="L581">
        <v>0.22</v>
      </c>
      <c r="M581">
        <f>'Raw data'!$K581*(1- 'Raw data'!$L581)</f>
        <v>2640.3</v>
      </c>
      <c r="N581">
        <v>23762.7</v>
      </c>
      <c r="O581">
        <v>0.25</v>
      </c>
      <c r="P581">
        <v>5940.68</v>
      </c>
      <c r="Q581" t="s">
        <v>27</v>
      </c>
      <c r="R581" t="s">
        <v>48</v>
      </c>
      <c r="S581">
        <v>4</v>
      </c>
    </row>
    <row r="582" spans="1:19" x14ac:dyDescent="0.3">
      <c r="A582" t="s">
        <v>1223</v>
      </c>
      <c r="B582">
        <v>45507</v>
      </c>
      <c r="C582" t="s">
        <v>20</v>
      </c>
      <c r="D582" t="s">
        <v>31</v>
      </c>
      <c r="E582" t="s">
        <v>22</v>
      </c>
      <c r="F582" t="s">
        <v>68</v>
      </c>
      <c r="G582" t="s">
        <v>24</v>
      </c>
      <c r="H582" t="s">
        <v>121</v>
      </c>
      <c r="I582" t="s">
        <v>1224</v>
      </c>
      <c r="J582">
        <v>1</v>
      </c>
      <c r="K582">
        <v>5268</v>
      </c>
      <c r="L582">
        <v>0.04</v>
      </c>
      <c r="M582">
        <f>'Raw data'!$K582*(1- 'Raw data'!$L582)</f>
        <v>5057.28</v>
      </c>
      <c r="N582">
        <v>5057.28</v>
      </c>
      <c r="O582">
        <v>0.25</v>
      </c>
      <c r="P582">
        <v>1264.32</v>
      </c>
      <c r="Q582" t="s">
        <v>37</v>
      </c>
      <c r="R582" t="s">
        <v>48</v>
      </c>
      <c r="S582">
        <v>9</v>
      </c>
    </row>
    <row r="583" spans="1:19" x14ac:dyDescent="0.3">
      <c r="A583" t="s">
        <v>1225</v>
      </c>
      <c r="B583">
        <v>45508</v>
      </c>
      <c r="C583" t="s">
        <v>30</v>
      </c>
      <c r="D583" t="s">
        <v>31</v>
      </c>
      <c r="E583" t="s">
        <v>42</v>
      </c>
      <c r="F583" t="s">
        <v>68</v>
      </c>
      <c r="G583" t="s">
        <v>34</v>
      </c>
      <c r="H583" t="s">
        <v>141</v>
      </c>
      <c r="I583" t="s">
        <v>1226</v>
      </c>
      <c r="J583">
        <v>2</v>
      </c>
      <c r="K583">
        <v>871</v>
      </c>
      <c r="L583">
        <v>0.02</v>
      </c>
      <c r="M583">
        <f>'Raw data'!$K583*(1- 'Raw data'!$L583)</f>
        <v>853.58</v>
      </c>
      <c r="N583">
        <v>1707.16</v>
      </c>
      <c r="O583">
        <v>0.4</v>
      </c>
      <c r="P583">
        <v>682.86</v>
      </c>
      <c r="Q583" t="s">
        <v>37</v>
      </c>
      <c r="R583" t="s">
        <v>48</v>
      </c>
      <c r="S583">
        <v>9</v>
      </c>
    </row>
    <row r="584" spans="1:19" x14ac:dyDescent="0.3">
      <c r="A584" t="s">
        <v>1227</v>
      </c>
      <c r="B584">
        <v>45509</v>
      </c>
      <c r="C584" t="s">
        <v>40</v>
      </c>
      <c r="D584" t="s">
        <v>31</v>
      </c>
      <c r="E584" t="s">
        <v>42</v>
      </c>
      <c r="F584" t="s">
        <v>97</v>
      </c>
      <c r="G584" t="s">
        <v>92</v>
      </c>
      <c r="H584" t="s">
        <v>93</v>
      </c>
      <c r="I584" t="s">
        <v>1228</v>
      </c>
      <c r="J584">
        <v>6</v>
      </c>
      <c r="K584">
        <v>10163</v>
      </c>
      <c r="L584">
        <v>0.12</v>
      </c>
      <c r="M584">
        <f>'Raw data'!$K584*(1- 'Raw data'!$L584)</f>
        <v>8943.44</v>
      </c>
      <c r="N584">
        <v>53660.639999999999</v>
      </c>
      <c r="O584">
        <v>0.15</v>
      </c>
      <c r="P584">
        <v>8049.1</v>
      </c>
      <c r="Q584" t="s">
        <v>47</v>
      </c>
      <c r="R584" t="s">
        <v>48</v>
      </c>
      <c r="S584">
        <v>8</v>
      </c>
    </row>
    <row r="585" spans="1:19" x14ac:dyDescent="0.3">
      <c r="A585" t="s">
        <v>1229</v>
      </c>
      <c r="B585">
        <v>45510</v>
      </c>
      <c r="C585" t="s">
        <v>20</v>
      </c>
      <c r="D585" t="s">
        <v>41</v>
      </c>
      <c r="E585" t="s">
        <v>32</v>
      </c>
      <c r="F585" t="s">
        <v>97</v>
      </c>
      <c r="G585" t="s">
        <v>92</v>
      </c>
      <c r="H585" t="s">
        <v>109</v>
      </c>
      <c r="I585" t="s">
        <v>1230</v>
      </c>
      <c r="J585">
        <v>6</v>
      </c>
      <c r="K585">
        <v>51424</v>
      </c>
      <c r="L585">
        <v>0.08</v>
      </c>
      <c r="M585">
        <f>'Raw data'!$K585*(1- 'Raw data'!$L585)</f>
        <v>47310.080000000002</v>
      </c>
      <c r="N585">
        <v>283860.47999999998</v>
      </c>
      <c r="O585">
        <v>0.15</v>
      </c>
      <c r="P585">
        <v>42579.07</v>
      </c>
      <c r="Q585" t="s">
        <v>47</v>
      </c>
      <c r="R585" t="s">
        <v>48</v>
      </c>
      <c r="S585">
        <v>1</v>
      </c>
    </row>
    <row r="586" spans="1:19" x14ac:dyDescent="0.3">
      <c r="A586" t="s">
        <v>1231</v>
      </c>
      <c r="B586">
        <v>45511</v>
      </c>
      <c r="C586" t="s">
        <v>96</v>
      </c>
      <c r="D586" t="s">
        <v>41</v>
      </c>
      <c r="E586" t="s">
        <v>22</v>
      </c>
      <c r="F586" t="s">
        <v>43</v>
      </c>
      <c r="G586" t="s">
        <v>44</v>
      </c>
      <c r="H586" t="s">
        <v>45</v>
      </c>
      <c r="I586" t="s">
        <v>1232</v>
      </c>
      <c r="J586">
        <v>1</v>
      </c>
      <c r="K586">
        <v>3542</v>
      </c>
      <c r="L586">
        <v>0.14000000000000001</v>
      </c>
      <c r="M586">
        <f>'Raw data'!$K586*(1- 'Raw data'!$L586)</f>
        <v>3046.12</v>
      </c>
      <c r="N586">
        <v>3046.12</v>
      </c>
      <c r="O586">
        <v>0.35</v>
      </c>
      <c r="P586">
        <v>1066.1400000000001</v>
      </c>
      <c r="Q586" t="s">
        <v>51</v>
      </c>
      <c r="R586" t="s">
        <v>48</v>
      </c>
      <c r="S586">
        <v>7</v>
      </c>
    </row>
    <row r="587" spans="1:19" x14ac:dyDescent="0.3">
      <c r="A587" t="s">
        <v>1233</v>
      </c>
      <c r="B587">
        <v>45512</v>
      </c>
      <c r="C587" t="s">
        <v>40</v>
      </c>
      <c r="D587" t="s">
        <v>31</v>
      </c>
      <c r="E587" t="s">
        <v>22</v>
      </c>
      <c r="F587" t="s">
        <v>33</v>
      </c>
      <c r="G587" t="s">
        <v>34</v>
      </c>
      <c r="H587" t="s">
        <v>35</v>
      </c>
      <c r="I587" t="s">
        <v>1234</v>
      </c>
      <c r="J587">
        <v>7</v>
      </c>
      <c r="K587">
        <v>696</v>
      </c>
      <c r="L587">
        <v>0.2</v>
      </c>
      <c r="M587">
        <f>'Raw data'!$K587*(1- 'Raw data'!$L587)</f>
        <v>556.80000000000007</v>
      </c>
      <c r="N587">
        <v>3897.6</v>
      </c>
      <c r="O587">
        <v>0.4</v>
      </c>
      <c r="P587">
        <v>1559.04</v>
      </c>
      <c r="Q587" t="s">
        <v>51</v>
      </c>
      <c r="R587" t="s">
        <v>48</v>
      </c>
      <c r="S587">
        <v>5</v>
      </c>
    </row>
    <row r="588" spans="1:19" x14ac:dyDescent="0.3">
      <c r="A588" t="s">
        <v>1235</v>
      </c>
      <c r="B588">
        <v>45513</v>
      </c>
      <c r="C588" t="s">
        <v>55</v>
      </c>
      <c r="D588" t="s">
        <v>56</v>
      </c>
      <c r="E588" t="s">
        <v>22</v>
      </c>
      <c r="F588" t="s">
        <v>23</v>
      </c>
      <c r="G588" t="s">
        <v>24</v>
      </c>
      <c r="H588" t="s">
        <v>186</v>
      </c>
      <c r="I588" t="s">
        <v>1236</v>
      </c>
      <c r="J588">
        <v>8</v>
      </c>
      <c r="K588">
        <v>5795</v>
      </c>
      <c r="L588">
        <v>0.03</v>
      </c>
      <c r="M588">
        <f>'Raw data'!$K588*(1- 'Raw data'!$L588)</f>
        <v>5621.15</v>
      </c>
      <c r="N588">
        <v>44969.2</v>
      </c>
      <c r="O588">
        <v>0.25</v>
      </c>
      <c r="P588">
        <v>11242.3</v>
      </c>
      <c r="Q588" t="s">
        <v>51</v>
      </c>
      <c r="R588" t="s">
        <v>38</v>
      </c>
      <c r="S588">
        <v>7</v>
      </c>
    </row>
    <row r="589" spans="1:19" x14ac:dyDescent="0.3">
      <c r="A589" t="s">
        <v>1237</v>
      </c>
      <c r="B589">
        <v>45514</v>
      </c>
      <c r="C589" t="s">
        <v>63</v>
      </c>
      <c r="D589" t="s">
        <v>56</v>
      </c>
      <c r="E589" t="s">
        <v>32</v>
      </c>
      <c r="F589" t="s">
        <v>103</v>
      </c>
      <c r="G589" t="s">
        <v>92</v>
      </c>
      <c r="H589" t="s">
        <v>178</v>
      </c>
      <c r="I589" t="s">
        <v>1238</v>
      </c>
      <c r="J589">
        <v>2</v>
      </c>
      <c r="K589">
        <v>20634</v>
      </c>
      <c r="L589">
        <v>0.15</v>
      </c>
      <c r="M589">
        <f>'Raw data'!$K589*(1- 'Raw data'!$L589)</f>
        <v>17538.899999999998</v>
      </c>
      <c r="N589">
        <v>35077.800000000003</v>
      </c>
      <c r="O589">
        <v>0.15</v>
      </c>
      <c r="P589">
        <v>5261.67</v>
      </c>
      <c r="Q589" t="s">
        <v>37</v>
      </c>
      <c r="R589" t="s">
        <v>48</v>
      </c>
      <c r="S589">
        <v>9</v>
      </c>
    </row>
    <row r="590" spans="1:19" x14ac:dyDescent="0.3">
      <c r="A590" t="s">
        <v>1239</v>
      </c>
      <c r="B590">
        <v>45515</v>
      </c>
      <c r="C590" t="s">
        <v>40</v>
      </c>
      <c r="D590" t="s">
        <v>41</v>
      </c>
      <c r="E590" t="s">
        <v>22</v>
      </c>
      <c r="F590" t="s">
        <v>33</v>
      </c>
      <c r="G590" t="s">
        <v>24</v>
      </c>
      <c r="H590" t="s">
        <v>25</v>
      </c>
      <c r="I590" t="s">
        <v>1240</v>
      </c>
      <c r="J590">
        <v>8</v>
      </c>
      <c r="K590">
        <v>5798</v>
      </c>
      <c r="L590">
        <v>0.13</v>
      </c>
      <c r="M590">
        <f>'Raw data'!$K590*(1- 'Raw data'!$L590)</f>
        <v>5044.26</v>
      </c>
      <c r="N590">
        <v>40354.080000000002</v>
      </c>
      <c r="O590">
        <v>0.25</v>
      </c>
      <c r="P590">
        <v>10088.52</v>
      </c>
      <c r="Q590" t="s">
        <v>37</v>
      </c>
      <c r="R590" t="s">
        <v>48</v>
      </c>
      <c r="S590">
        <v>2</v>
      </c>
    </row>
    <row r="591" spans="1:19" x14ac:dyDescent="0.3">
      <c r="A591" t="s">
        <v>1241</v>
      </c>
      <c r="B591">
        <v>45516</v>
      </c>
      <c r="C591" t="s">
        <v>20</v>
      </c>
      <c r="D591" t="s">
        <v>41</v>
      </c>
      <c r="E591" t="s">
        <v>42</v>
      </c>
      <c r="F591" t="s">
        <v>23</v>
      </c>
      <c r="G591" t="s">
        <v>92</v>
      </c>
      <c r="H591" t="s">
        <v>93</v>
      </c>
      <c r="I591" t="s">
        <v>1242</v>
      </c>
      <c r="J591">
        <v>9</v>
      </c>
      <c r="K591">
        <v>32420</v>
      </c>
      <c r="L591">
        <v>0.04</v>
      </c>
      <c r="M591">
        <f>'Raw data'!$K591*(1- 'Raw data'!$L591)</f>
        <v>31123.199999999997</v>
      </c>
      <c r="N591">
        <v>280108.79999999999</v>
      </c>
      <c r="O591">
        <v>0.15</v>
      </c>
      <c r="P591">
        <v>42016.32</v>
      </c>
      <c r="Q591" t="s">
        <v>27</v>
      </c>
      <c r="R591" t="s">
        <v>48</v>
      </c>
      <c r="S591">
        <v>4</v>
      </c>
    </row>
    <row r="592" spans="1:19" x14ac:dyDescent="0.3">
      <c r="A592" t="s">
        <v>1243</v>
      </c>
      <c r="B592">
        <v>45517</v>
      </c>
      <c r="C592" t="s">
        <v>63</v>
      </c>
      <c r="D592" t="s">
        <v>41</v>
      </c>
      <c r="E592" t="s">
        <v>22</v>
      </c>
      <c r="F592" t="s">
        <v>68</v>
      </c>
      <c r="G592" t="s">
        <v>92</v>
      </c>
      <c r="H592" t="s">
        <v>109</v>
      </c>
      <c r="I592" t="s">
        <v>112</v>
      </c>
      <c r="J592">
        <v>6</v>
      </c>
      <c r="K592">
        <v>39300</v>
      </c>
      <c r="L592">
        <v>0.16</v>
      </c>
      <c r="M592">
        <f>'Raw data'!$K592*(1- 'Raw data'!$L592)</f>
        <v>33012</v>
      </c>
      <c r="N592">
        <v>198072</v>
      </c>
      <c r="O592">
        <v>0.15</v>
      </c>
      <c r="P592">
        <v>29710.799999999999</v>
      </c>
      <c r="Q592" t="s">
        <v>51</v>
      </c>
      <c r="R592" t="s">
        <v>48</v>
      </c>
      <c r="S592">
        <v>4</v>
      </c>
    </row>
    <row r="593" spans="1:19" x14ac:dyDescent="0.3">
      <c r="A593" t="s">
        <v>1244</v>
      </c>
      <c r="B593">
        <v>45518</v>
      </c>
      <c r="C593" t="s">
        <v>40</v>
      </c>
      <c r="D593" t="s">
        <v>31</v>
      </c>
      <c r="E593" t="s">
        <v>67</v>
      </c>
      <c r="F593" t="s">
        <v>33</v>
      </c>
      <c r="G593" t="s">
        <v>92</v>
      </c>
      <c r="H593" t="s">
        <v>243</v>
      </c>
      <c r="I593" t="s">
        <v>1245</v>
      </c>
      <c r="J593">
        <v>5</v>
      </c>
      <c r="K593">
        <v>20749</v>
      </c>
      <c r="L593">
        <v>7.0000000000000007E-2</v>
      </c>
      <c r="M593">
        <f>'Raw data'!$K593*(1- 'Raw data'!$L593)</f>
        <v>19296.57</v>
      </c>
      <c r="N593">
        <v>96482.85</v>
      </c>
      <c r="O593">
        <v>0.15</v>
      </c>
      <c r="P593">
        <v>14472.43</v>
      </c>
      <c r="Q593" t="s">
        <v>37</v>
      </c>
      <c r="R593" t="s">
        <v>48</v>
      </c>
      <c r="S593">
        <v>2</v>
      </c>
    </row>
    <row r="594" spans="1:19" x14ac:dyDescent="0.3">
      <c r="A594" t="s">
        <v>1246</v>
      </c>
      <c r="B594">
        <v>45519</v>
      </c>
      <c r="C594" t="s">
        <v>96</v>
      </c>
      <c r="D594" t="s">
        <v>56</v>
      </c>
      <c r="E594" t="s">
        <v>42</v>
      </c>
      <c r="F594" t="s">
        <v>97</v>
      </c>
      <c r="G594" t="s">
        <v>34</v>
      </c>
      <c r="H594" t="s">
        <v>104</v>
      </c>
      <c r="I594" t="s">
        <v>1247</v>
      </c>
      <c r="J594">
        <v>9</v>
      </c>
      <c r="K594">
        <v>745</v>
      </c>
      <c r="L594">
        <v>0.12</v>
      </c>
      <c r="M594">
        <f>'Raw data'!$K594*(1- 'Raw data'!$L594)</f>
        <v>655.6</v>
      </c>
      <c r="N594">
        <v>5900.4</v>
      </c>
      <c r="O594">
        <v>0.4</v>
      </c>
      <c r="P594">
        <v>2360.16</v>
      </c>
      <c r="Q594" t="s">
        <v>27</v>
      </c>
      <c r="R594" t="s">
        <v>38</v>
      </c>
      <c r="S594">
        <v>3</v>
      </c>
    </row>
    <row r="595" spans="1:19" x14ac:dyDescent="0.3">
      <c r="A595" t="s">
        <v>1248</v>
      </c>
      <c r="B595">
        <v>45520</v>
      </c>
      <c r="C595" t="s">
        <v>96</v>
      </c>
      <c r="D595" t="s">
        <v>41</v>
      </c>
      <c r="E595" t="s">
        <v>32</v>
      </c>
      <c r="F595" t="s">
        <v>43</v>
      </c>
      <c r="G595" t="s">
        <v>57</v>
      </c>
      <c r="H595" t="s">
        <v>81</v>
      </c>
      <c r="I595" t="s">
        <v>1249</v>
      </c>
      <c r="J595">
        <v>9</v>
      </c>
      <c r="K595">
        <v>6719</v>
      </c>
      <c r="L595">
        <v>0.02</v>
      </c>
      <c r="M595">
        <f>'Raw data'!$K595*(1- 'Raw data'!$L595)</f>
        <v>6584.62</v>
      </c>
      <c r="N595">
        <v>59261.58</v>
      </c>
      <c r="O595">
        <v>0.2</v>
      </c>
      <c r="P595">
        <v>11852.32</v>
      </c>
      <c r="Q595" t="s">
        <v>51</v>
      </c>
      <c r="R595" t="s">
        <v>48</v>
      </c>
      <c r="S595">
        <v>8</v>
      </c>
    </row>
    <row r="596" spans="1:19" x14ac:dyDescent="0.3">
      <c r="A596" t="s">
        <v>1250</v>
      </c>
      <c r="B596">
        <v>45521</v>
      </c>
      <c r="C596" t="s">
        <v>55</v>
      </c>
      <c r="D596" t="s">
        <v>41</v>
      </c>
      <c r="E596" t="s">
        <v>22</v>
      </c>
      <c r="F596" t="s">
        <v>23</v>
      </c>
      <c r="G596" t="s">
        <v>24</v>
      </c>
      <c r="H596" t="s">
        <v>121</v>
      </c>
      <c r="I596" t="s">
        <v>1251</v>
      </c>
      <c r="J596">
        <v>1</v>
      </c>
      <c r="K596">
        <v>13027</v>
      </c>
      <c r="L596">
        <v>0.11</v>
      </c>
      <c r="M596">
        <f>'Raw data'!$K596*(1- 'Raw data'!$L596)</f>
        <v>11594.03</v>
      </c>
      <c r="N596">
        <v>11594.03</v>
      </c>
      <c r="O596">
        <v>0.25</v>
      </c>
      <c r="P596">
        <v>2898.51</v>
      </c>
      <c r="Q596" t="s">
        <v>47</v>
      </c>
      <c r="R596" t="s">
        <v>28</v>
      </c>
      <c r="S596">
        <v>9</v>
      </c>
    </row>
    <row r="597" spans="1:19" x14ac:dyDescent="0.3">
      <c r="A597" t="s">
        <v>1252</v>
      </c>
      <c r="B597">
        <v>45522</v>
      </c>
      <c r="C597" t="s">
        <v>30</v>
      </c>
      <c r="D597" t="s">
        <v>21</v>
      </c>
      <c r="E597" t="s">
        <v>67</v>
      </c>
      <c r="F597" t="s">
        <v>43</v>
      </c>
      <c r="G597" t="s">
        <v>34</v>
      </c>
      <c r="H597" t="s">
        <v>141</v>
      </c>
      <c r="I597" t="s">
        <v>1253</v>
      </c>
      <c r="J597">
        <v>3</v>
      </c>
      <c r="K597">
        <v>793</v>
      </c>
      <c r="L597">
        <v>0.08</v>
      </c>
      <c r="M597">
        <f>'Raw data'!$K597*(1- 'Raw data'!$L597)</f>
        <v>729.56000000000006</v>
      </c>
      <c r="N597">
        <v>2188.6799999999998</v>
      </c>
      <c r="O597">
        <v>0.4</v>
      </c>
      <c r="P597">
        <v>875.47</v>
      </c>
      <c r="Q597" t="s">
        <v>47</v>
      </c>
      <c r="R597" t="s">
        <v>48</v>
      </c>
      <c r="S597">
        <v>6</v>
      </c>
    </row>
    <row r="598" spans="1:19" x14ac:dyDescent="0.3">
      <c r="A598" t="s">
        <v>1254</v>
      </c>
      <c r="B598">
        <v>45523</v>
      </c>
      <c r="C598" t="s">
        <v>63</v>
      </c>
      <c r="D598" t="s">
        <v>31</v>
      </c>
      <c r="E598" t="s">
        <v>32</v>
      </c>
      <c r="F598" t="s">
        <v>23</v>
      </c>
      <c r="G598" t="s">
        <v>34</v>
      </c>
      <c r="H598" t="s">
        <v>141</v>
      </c>
      <c r="I598" t="s">
        <v>1255</v>
      </c>
      <c r="J598">
        <v>9</v>
      </c>
      <c r="K598">
        <v>943</v>
      </c>
      <c r="L598">
        <v>0.21</v>
      </c>
      <c r="M598">
        <f>'Raw data'!$K598*(1- 'Raw data'!$L598)</f>
        <v>744.97</v>
      </c>
      <c r="N598">
        <v>6704.73</v>
      </c>
      <c r="O598">
        <v>0.4</v>
      </c>
      <c r="P598">
        <v>2681.89</v>
      </c>
      <c r="Q598" t="s">
        <v>37</v>
      </c>
      <c r="R598" t="s">
        <v>48</v>
      </c>
      <c r="S598">
        <v>2</v>
      </c>
    </row>
    <row r="599" spans="1:19" x14ac:dyDescent="0.3">
      <c r="A599" t="s">
        <v>1256</v>
      </c>
      <c r="B599">
        <v>45524</v>
      </c>
      <c r="C599" t="s">
        <v>20</v>
      </c>
      <c r="D599" t="s">
        <v>21</v>
      </c>
      <c r="E599" t="s">
        <v>32</v>
      </c>
      <c r="F599" t="s">
        <v>33</v>
      </c>
      <c r="G599" t="s">
        <v>34</v>
      </c>
      <c r="H599" t="s">
        <v>71</v>
      </c>
      <c r="I599" t="s">
        <v>1257</v>
      </c>
      <c r="J599">
        <v>2</v>
      </c>
      <c r="K599">
        <v>1450</v>
      </c>
      <c r="L599">
        <v>0.01</v>
      </c>
      <c r="M599">
        <f>'Raw data'!$K599*(1- 'Raw data'!$L599)</f>
        <v>1435.5</v>
      </c>
      <c r="N599">
        <v>2871</v>
      </c>
      <c r="O599">
        <v>0.4</v>
      </c>
      <c r="P599">
        <v>1148.4000000000001</v>
      </c>
      <c r="Q599" t="s">
        <v>27</v>
      </c>
      <c r="R599" t="s">
        <v>48</v>
      </c>
      <c r="S599">
        <v>2</v>
      </c>
    </row>
    <row r="600" spans="1:19" x14ac:dyDescent="0.3">
      <c r="A600" t="s">
        <v>1258</v>
      </c>
      <c r="B600">
        <v>45525</v>
      </c>
      <c r="C600" t="s">
        <v>20</v>
      </c>
      <c r="D600" t="s">
        <v>56</v>
      </c>
      <c r="E600" t="s">
        <v>42</v>
      </c>
      <c r="F600" t="s">
        <v>68</v>
      </c>
      <c r="G600" t="s">
        <v>34</v>
      </c>
      <c r="H600" t="s">
        <v>141</v>
      </c>
      <c r="I600" t="s">
        <v>1259</v>
      </c>
      <c r="J600">
        <v>4</v>
      </c>
      <c r="K600">
        <v>753</v>
      </c>
      <c r="L600">
        <v>0.1</v>
      </c>
      <c r="M600">
        <f>'Raw data'!$K600*(1- 'Raw data'!$L600)</f>
        <v>677.7</v>
      </c>
      <c r="N600">
        <v>2710.8</v>
      </c>
      <c r="O600">
        <v>0.4</v>
      </c>
      <c r="P600">
        <v>1084.32</v>
      </c>
      <c r="Q600" t="s">
        <v>47</v>
      </c>
      <c r="R600" t="s">
        <v>38</v>
      </c>
      <c r="S600">
        <v>7</v>
      </c>
    </row>
    <row r="601" spans="1:19" x14ac:dyDescent="0.3">
      <c r="A601" t="s">
        <v>1260</v>
      </c>
      <c r="B601">
        <v>45526</v>
      </c>
      <c r="C601" t="s">
        <v>30</v>
      </c>
      <c r="D601" t="s">
        <v>21</v>
      </c>
      <c r="E601" t="s">
        <v>32</v>
      </c>
      <c r="F601" t="s">
        <v>103</v>
      </c>
      <c r="G601" t="s">
        <v>34</v>
      </c>
      <c r="H601" t="s">
        <v>104</v>
      </c>
      <c r="I601" t="s">
        <v>1261</v>
      </c>
      <c r="J601">
        <v>4</v>
      </c>
      <c r="K601">
        <v>220</v>
      </c>
      <c r="L601">
        <v>0.11</v>
      </c>
      <c r="M601">
        <f>'Raw data'!$K601*(1- 'Raw data'!$L601)</f>
        <v>195.8</v>
      </c>
      <c r="N601">
        <v>783.2</v>
      </c>
      <c r="O601">
        <v>0.4</v>
      </c>
      <c r="P601">
        <v>313.27999999999997</v>
      </c>
      <c r="Q601" t="s">
        <v>27</v>
      </c>
      <c r="R601" t="s">
        <v>48</v>
      </c>
      <c r="S601">
        <v>8</v>
      </c>
    </row>
    <row r="602" spans="1:19" x14ac:dyDescent="0.3">
      <c r="A602" t="s">
        <v>1262</v>
      </c>
      <c r="B602">
        <v>45527</v>
      </c>
      <c r="C602" t="s">
        <v>96</v>
      </c>
      <c r="D602" t="s">
        <v>21</v>
      </c>
      <c r="E602" t="s">
        <v>32</v>
      </c>
      <c r="F602" t="s">
        <v>43</v>
      </c>
      <c r="G602" t="s">
        <v>44</v>
      </c>
      <c r="H602" t="s">
        <v>116</v>
      </c>
      <c r="I602" t="s">
        <v>1263</v>
      </c>
      <c r="J602">
        <v>2</v>
      </c>
      <c r="K602">
        <v>2944</v>
      </c>
      <c r="L602">
        <v>0.18</v>
      </c>
      <c r="M602">
        <f>'Raw data'!$K602*(1- 'Raw data'!$L602)</f>
        <v>2414.0800000000004</v>
      </c>
      <c r="N602">
        <v>4828.16</v>
      </c>
      <c r="O602">
        <v>0.35</v>
      </c>
      <c r="P602">
        <v>1689.86</v>
      </c>
      <c r="Q602" t="s">
        <v>27</v>
      </c>
      <c r="R602" t="s">
        <v>48</v>
      </c>
      <c r="S602">
        <v>8</v>
      </c>
    </row>
    <row r="603" spans="1:19" x14ac:dyDescent="0.3">
      <c r="A603" t="s">
        <v>1264</v>
      </c>
      <c r="B603">
        <v>45528</v>
      </c>
      <c r="C603" t="s">
        <v>96</v>
      </c>
      <c r="D603" t="s">
        <v>21</v>
      </c>
      <c r="E603" t="s">
        <v>32</v>
      </c>
      <c r="F603" t="s">
        <v>43</v>
      </c>
      <c r="G603" t="s">
        <v>24</v>
      </c>
      <c r="H603" t="s">
        <v>121</v>
      </c>
      <c r="I603" t="s">
        <v>1265</v>
      </c>
      <c r="J603">
        <v>3</v>
      </c>
      <c r="K603">
        <v>3672</v>
      </c>
      <c r="L603">
        <v>0.14000000000000001</v>
      </c>
      <c r="M603">
        <f>'Raw data'!$K603*(1- 'Raw data'!$L603)</f>
        <v>3157.92</v>
      </c>
      <c r="N603">
        <v>9473.76</v>
      </c>
      <c r="O603">
        <v>0.25</v>
      </c>
      <c r="P603">
        <v>2368.44</v>
      </c>
      <c r="Q603" t="s">
        <v>47</v>
      </c>
      <c r="R603" t="s">
        <v>38</v>
      </c>
      <c r="S603">
        <v>6</v>
      </c>
    </row>
    <row r="604" spans="1:19" x14ac:dyDescent="0.3">
      <c r="A604" t="s">
        <v>1266</v>
      </c>
      <c r="B604">
        <v>45529</v>
      </c>
      <c r="C604" t="s">
        <v>40</v>
      </c>
      <c r="D604" t="s">
        <v>31</v>
      </c>
      <c r="E604" t="s">
        <v>32</v>
      </c>
      <c r="F604" t="s">
        <v>103</v>
      </c>
      <c r="G604" t="s">
        <v>34</v>
      </c>
      <c r="H604" t="s">
        <v>104</v>
      </c>
      <c r="I604" t="s">
        <v>1267</v>
      </c>
      <c r="J604">
        <v>3</v>
      </c>
      <c r="K604">
        <v>304</v>
      </c>
      <c r="L604">
        <v>0.17</v>
      </c>
      <c r="M604">
        <f>'Raw data'!$K604*(1- 'Raw data'!$L604)</f>
        <v>252.32</v>
      </c>
      <c r="N604">
        <v>756.96</v>
      </c>
      <c r="O604">
        <v>0.4</v>
      </c>
      <c r="P604">
        <v>302.77999999999997</v>
      </c>
      <c r="Q604" t="s">
        <v>27</v>
      </c>
      <c r="R604" t="s">
        <v>48</v>
      </c>
      <c r="S604">
        <v>8</v>
      </c>
    </row>
    <row r="605" spans="1:19" x14ac:dyDescent="0.3">
      <c r="A605" t="s">
        <v>1268</v>
      </c>
      <c r="B605">
        <v>45530</v>
      </c>
      <c r="C605" t="s">
        <v>55</v>
      </c>
      <c r="D605" t="s">
        <v>56</v>
      </c>
      <c r="E605" t="s">
        <v>22</v>
      </c>
      <c r="F605" t="s">
        <v>43</v>
      </c>
      <c r="G605" t="s">
        <v>24</v>
      </c>
      <c r="H605" t="s">
        <v>74</v>
      </c>
      <c r="I605" t="s">
        <v>1105</v>
      </c>
      <c r="J605">
        <v>1</v>
      </c>
      <c r="K605">
        <v>1016</v>
      </c>
      <c r="L605">
        <v>0.19</v>
      </c>
      <c r="M605">
        <f>'Raw data'!$K605*(1- 'Raw data'!$L605)</f>
        <v>822.96</v>
      </c>
      <c r="N605">
        <v>822.96</v>
      </c>
      <c r="O605">
        <v>0.25</v>
      </c>
      <c r="P605">
        <v>205.74</v>
      </c>
      <c r="Q605" t="s">
        <v>47</v>
      </c>
      <c r="R605" t="s">
        <v>48</v>
      </c>
      <c r="S605">
        <v>1</v>
      </c>
    </row>
    <row r="606" spans="1:19" x14ac:dyDescent="0.3">
      <c r="A606" t="s">
        <v>1269</v>
      </c>
      <c r="B606">
        <v>45531</v>
      </c>
      <c r="C606" t="s">
        <v>63</v>
      </c>
      <c r="D606" t="s">
        <v>21</v>
      </c>
      <c r="E606" t="s">
        <v>22</v>
      </c>
      <c r="F606" t="s">
        <v>43</v>
      </c>
      <c r="G606" t="s">
        <v>44</v>
      </c>
      <c r="H606" t="s">
        <v>138</v>
      </c>
      <c r="I606" t="s">
        <v>1270</v>
      </c>
      <c r="J606">
        <v>6</v>
      </c>
      <c r="K606">
        <v>3691</v>
      </c>
      <c r="L606">
        <v>0.22</v>
      </c>
      <c r="M606">
        <f>'Raw data'!$K606*(1- 'Raw data'!$L606)</f>
        <v>2878.98</v>
      </c>
      <c r="N606">
        <v>17273.88</v>
      </c>
      <c r="O606">
        <v>0.35</v>
      </c>
      <c r="P606">
        <v>6045.86</v>
      </c>
      <c r="Q606" t="s">
        <v>37</v>
      </c>
      <c r="R606" t="s">
        <v>38</v>
      </c>
      <c r="S606">
        <v>9</v>
      </c>
    </row>
    <row r="607" spans="1:19" x14ac:dyDescent="0.3">
      <c r="A607" t="s">
        <v>1271</v>
      </c>
      <c r="B607">
        <v>45532</v>
      </c>
      <c r="C607" t="s">
        <v>55</v>
      </c>
      <c r="D607" t="s">
        <v>31</v>
      </c>
      <c r="E607" t="s">
        <v>22</v>
      </c>
      <c r="F607" t="s">
        <v>23</v>
      </c>
      <c r="G607" t="s">
        <v>44</v>
      </c>
      <c r="H607" t="s">
        <v>45</v>
      </c>
      <c r="I607" t="s">
        <v>1272</v>
      </c>
      <c r="J607">
        <v>8</v>
      </c>
      <c r="K607">
        <v>892</v>
      </c>
      <c r="L607">
        <v>0.08</v>
      </c>
      <c r="M607">
        <f>'Raw data'!$K607*(1- 'Raw data'!$L607)</f>
        <v>820.64</v>
      </c>
      <c r="N607">
        <v>6565.12</v>
      </c>
      <c r="O607">
        <v>0.35</v>
      </c>
      <c r="P607">
        <v>2297.79</v>
      </c>
      <c r="Q607" t="s">
        <v>51</v>
      </c>
      <c r="R607" t="s">
        <v>48</v>
      </c>
      <c r="S607">
        <v>1</v>
      </c>
    </row>
    <row r="608" spans="1:19" x14ac:dyDescent="0.3">
      <c r="A608" t="s">
        <v>1273</v>
      </c>
      <c r="B608">
        <v>45533</v>
      </c>
      <c r="C608" t="s">
        <v>55</v>
      </c>
      <c r="D608" t="s">
        <v>56</v>
      </c>
      <c r="E608" t="s">
        <v>22</v>
      </c>
      <c r="F608" t="s">
        <v>23</v>
      </c>
      <c r="G608" t="s">
        <v>24</v>
      </c>
      <c r="H608" t="s">
        <v>74</v>
      </c>
      <c r="I608" t="s">
        <v>1274</v>
      </c>
      <c r="J608">
        <v>3</v>
      </c>
      <c r="K608">
        <v>9616</v>
      </c>
      <c r="L608">
        <v>0.13</v>
      </c>
      <c r="M608">
        <f>'Raw data'!$K608*(1- 'Raw data'!$L608)</f>
        <v>8365.92</v>
      </c>
      <c r="N608">
        <v>25097.759999999998</v>
      </c>
      <c r="O608">
        <v>0.25</v>
      </c>
      <c r="P608">
        <v>6274.44</v>
      </c>
      <c r="Q608" t="s">
        <v>51</v>
      </c>
      <c r="R608" t="s">
        <v>48</v>
      </c>
      <c r="S608">
        <v>3</v>
      </c>
    </row>
    <row r="609" spans="1:19" x14ac:dyDescent="0.3">
      <c r="A609" t="s">
        <v>1275</v>
      </c>
      <c r="B609">
        <v>45534</v>
      </c>
      <c r="C609" t="s">
        <v>40</v>
      </c>
      <c r="D609" t="s">
        <v>41</v>
      </c>
      <c r="E609" t="s">
        <v>67</v>
      </c>
      <c r="F609" t="s">
        <v>103</v>
      </c>
      <c r="G609" t="s">
        <v>92</v>
      </c>
      <c r="H609" t="s">
        <v>93</v>
      </c>
      <c r="I609" t="s">
        <v>1276</v>
      </c>
      <c r="J609">
        <v>5</v>
      </c>
      <c r="K609">
        <v>74641</v>
      </c>
      <c r="L609">
        <v>0.21</v>
      </c>
      <c r="M609">
        <f>'Raw data'!$K609*(1- 'Raw data'!$L609)</f>
        <v>58966.39</v>
      </c>
      <c r="N609">
        <v>294831.95</v>
      </c>
      <c r="O609">
        <v>0.15</v>
      </c>
      <c r="P609">
        <v>44224.79</v>
      </c>
      <c r="Q609" t="s">
        <v>37</v>
      </c>
      <c r="R609" t="s">
        <v>48</v>
      </c>
      <c r="S609">
        <v>9</v>
      </c>
    </row>
    <row r="610" spans="1:19" x14ac:dyDescent="0.3">
      <c r="A610" t="s">
        <v>1277</v>
      </c>
      <c r="B610">
        <v>45535</v>
      </c>
      <c r="C610" t="s">
        <v>55</v>
      </c>
      <c r="D610" t="s">
        <v>21</v>
      </c>
      <c r="E610" t="s">
        <v>22</v>
      </c>
      <c r="F610" t="s">
        <v>68</v>
      </c>
      <c r="G610" t="s">
        <v>57</v>
      </c>
      <c r="H610" t="s">
        <v>58</v>
      </c>
      <c r="I610" t="s">
        <v>1278</v>
      </c>
      <c r="J610">
        <v>1</v>
      </c>
      <c r="K610">
        <v>18955</v>
      </c>
      <c r="L610">
        <v>0.25</v>
      </c>
      <c r="M610">
        <f>'Raw data'!$K610*(1- 'Raw data'!$L610)</f>
        <v>14216.25</v>
      </c>
      <c r="N610">
        <v>14216.25</v>
      </c>
      <c r="O610">
        <v>0.2</v>
      </c>
      <c r="P610">
        <v>2843.25</v>
      </c>
      <c r="Q610" t="s">
        <v>47</v>
      </c>
      <c r="R610" t="s">
        <v>48</v>
      </c>
      <c r="S610">
        <v>5</v>
      </c>
    </row>
    <row r="611" spans="1:19" x14ac:dyDescent="0.3">
      <c r="A611" t="s">
        <v>1279</v>
      </c>
      <c r="B611">
        <v>45536</v>
      </c>
      <c r="C611" t="s">
        <v>30</v>
      </c>
      <c r="D611" t="s">
        <v>56</v>
      </c>
      <c r="E611" t="s">
        <v>32</v>
      </c>
      <c r="F611" t="s">
        <v>33</v>
      </c>
      <c r="G611" t="s">
        <v>92</v>
      </c>
      <c r="H611" t="s">
        <v>243</v>
      </c>
      <c r="I611" t="s">
        <v>1280</v>
      </c>
      <c r="J611">
        <v>7</v>
      </c>
      <c r="K611">
        <v>13631</v>
      </c>
      <c r="L611">
        <v>0.22</v>
      </c>
      <c r="M611">
        <f>'Raw data'!$K611*(1- 'Raw data'!$L611)</f>
        <v>10632.18</v>
      </c>
      <c r="N611">
        <v>74425.259999999995</v>
      </c>
      <c r="O611">
        <v>0.15</v>
      </c>
      <c r="P611">
        <v>11163.79</v>
      </c>
      <c r="Q611" t="s">
        <v>47</v>
      </c>
      <c r="R611" t="s">
        <v>48</v>
      </c>
      <c r="S611">
        <v>9</v>
      </c>
    </row>
    <row r="612" spans="1:19" x14ac:dyDescent="0.3">
      <c r="A612" t="s">
        <v>1281</v>
      </c>
      <c r="B612">
        <v>45537</v>
      </c>
      <c r="C612" t="s">
        <v>40</v>
      </c>
      <c r="D612" t="s">
        <v>21</v>
      </c>
      <c r="E612" t="s">
        <v>22</v>
      </c>
      <c r="F612" t="s">
        <v>33</v>
      </c>
      <c r="G612" t="s">
        <v>92</v>
      </c>
      <c r="H612" t="s">
        <v>109</v>
      </c>
      <c r="I612" t="s">
        <v>1282</v>
      </c>
      <c r="J612">
        <v>1</v>
      </c>
      <c r="K612">
        <v>16172</v>
      </c>
      <c r="L612">
        <v>0.09</v>
      </c>
      <c r="M612">
        <f>'Raw data'!$K612*(1- 'Raw data'!$L612)</f>
        <v>14716.52</v>
      </c>
      <c r="N612">
        <v>14716.52</v>
      </c>
      <c r="O612">
        <v>0.15</v>
      </c>
      <c r="P612">
        <v>2207.48</v>
      </c>
      <c r="Q612" t="s">
        <v>47</v>
      </c>
      <c r="R612" t="s">
        <v>48</v>
      </c>
      <c r="S612">
        <v>9</v>
      </c>
    </row>
    <row r="613" spans="1:19" x14ac:dyDescent="0.3">
      <c r="A613" t="s">
        <v>1283</v>
      </c>
      <c r="B613">
        <v>45538</v>
      </c>
      <c r="C613" t="s">
        <v>30</v>
      </c>
      <c r="D613" t="s">
        <v>41</v>
      </c>
      <c r="E613" t="s">
        <v>22</v>
      </c>
      <c r="F613" t="s">
        <v>43</v>
      </c>
      <c r="G613" t="s">
        <v>92</v>
      </c>
      <c r="H613" t="s">
        <v>109</v>
      </c>
      <c r="I613" t="s">
        <v>1284</v>
      </c>
      <c r="J613">
        <v>9</v>
      </c>
      <c r="K613">
        <v>52080</v>
      </c>
      <c r="L613">
        <v>0.05</v>
      </c>
      <c r="M613">
        <f>'Raw data'!$K613*(1- 'Raw data'!$L613)</f>
        <v>49476</v>
      </c>
      <c r="N613">
        <v>445284</v>
      </c>
      <c r="O613">
        <v>0.15</v>
      </c>
      <c r="P613">
        <v>66792.600000000006</v>
      </c>
      <c r="Q613" t="s">
        <v>47</v>
      </c>
      <c r="R613" t="s">
        <v>48</v>
      </c>
      <c r="S613">
        <v>6</v>
      </c>
    </row>
    <row r="614" spans="1:19" x14ac:dyDescent="0.3">
      <c r="A614" t="s">
        <v>1285</v>
      </c>
      <c r="B614">
        <v>45539</v>
      </c>
      <c r="C614" t="s">
        <v>40</v>
      </c>
      <c r="D614" t="s">
        <v>56</v>
      </c>
      <c r="E614" t="s">
        <v>42</v>
      </c>
      <c r="F614" t="s">
        <v>68</v>
      </c>
      <c r="G614" t="s">
        <v>34</v>
      </c>
      <c r="H614" t="s">
        <v>104</v>
      </c>
      <c r="I614" t="s">
        <v>1286</v>
      </c>
      <c r="J614">
        <v>8</v>
      </c>
      <c r="K614">
        <v>1233</v>
      </c>
      <c r="L614">
        <v>0.12</v>
      </c>
      <c r="M614">
        <f>'Raw data'!$K614*(1- 'Raw data'!$L614)</f>
        <v>1085.04</v>
      </c>
      <c r="N614">
        <v>8680.32</v>
      </c>
      <c r="O614">
        <v>0.4</v>
      </c>
      <c r="P614">
        <v>3472.13</v>
      </c>
      <c r="Q614" t="s">
        <v>37</v>
      </c>
      <c r="R614" t="s">
        <v>48</v>
      </c>
      <c r="S614">
        <v>1</v>
      </c>
    </row>
    <row r="615" spans="1:19" x14ac:dyDescent="0.3">
      <c r="A615" t="s">
        <v>1287</v>
      </c>
      <c r="B615">
        <v>45540</v>
      </c>
      <c r="C615" t="s">
        <v>55</v>
      </c>
      <c r="D615" t="s">
        <v>31</v>
      </c>
      <c r="E615" t="s">
        <v>32</v>
      </c>
      <c r="F615" t="s">
        <v>103</v>
      </c>
      <c r="G615" t="s">
        <v>44</v>
      </c>
      <c r="H615" t="s">
        <v>64</v>
      </c>
      <c r="I615" t="s">
        <v>1288</v>
      </c>
      <c r="J615">
        <v>7</v>
      </c>
      <c r="K615">
        <v>741</v>
      </c>
      <c r="L615">
        <v>0.19</v>
      </c>
      <c r="M615">
        <f>'Raw data'!$K615*(1- 'Raw data'!$L615)</f>
        <v>600.21</v>
      </c>
      <c r="N615">
        <v>4201.47</v>
      </c>
      <c r="O615">
        <v>0.35</v>
      </c>
      <c r="P615">
        <v>1470.51</v>
      </c>
      <c r="Q615" t="s">
        <v>51</v>
      </c>
      <c r="R615" t="s">
        <v>38</v>
      </c>
      <c r="S615">
        <v>7</v>
      </c>
    </row>
    <row r="616" spans="1:19" x14ac:dyDescent="0.3">
      <c r="A616" t="s">
        <v>1289</v>
      </c>
      <c r="B616">
        <v>45541</v>
      </c>
      <c r="C616" t="s">
        <v>30</v>
      </c>
      <c r="D616" t="s">
        <v>56</v>
      </c>
      <c r="E616" t="s">
        <v>22</v>
      </c>
      <c r="F616" t="s">
        <v>103</v>
      </c>
      <c r="G616" t="s">
        <v>92</v>
      </c>
      <c r="H616" t="s">
        <v>109</v>
      </c>
      <c r="I616" t="s">
        <v>1290</v>
      </c>
      <c r="J616">
        <v>7</v>
      </c>
      <c r="K616">
        <v>30281</v>
      </c>
      <c r="L616">
        <v>0.12</v>
      </c>
      <c r="M616">
        <f>'Raw data'!$K616*(1- 'Raw data'!$L616)</f>
        <v>26647.279999999999</v>
      </c>
      <c r="N616">
        <v>186530.96</v>
      </c>
      <c r="O616">
        <v>0.15</v>
      </c>
      <c r="P616">
        <v>27979.64</v>
      </c>
      <c r="Q616" t="s">
        <v>27</v>
      </c>
      <c r="R616" t="s">
        <v>28</v>
      </c>
      <c r="S616">
        <v>6</v>
      </c>
    </row>
    <row r="617" spans="1:19" x14ac:dyDescent="0.3">
      <c r="A617" t="s">
        <v>1291</v>
      </c>
      <c r="B617">
        <v>45542</v>
      </c>
      <c r="C617" t="s">
        <v>30</v>
      </c>
      <c r="D617" t="s">
        <v>31</v>
      </c>
      <c r="E617" t="s">
        <v>22</v>
      </c>
      <c r="F617" t="s">
        <v>23</v>
      </c>
      <c r="G617" t="s">
        <v>44</v>
      </c>
      <c r="H617" t="s">
        <v>45</v>
      </c>
      <c r="I617" t="s">
        <v>1292</v>
      </c>
      <c r="J617">
        <v>5</v>
      </c>
      <c r="K617">
        <v>4595</v>
      </c>
      <c r="L617">
        <v>0.12</v>
      </c>
      <c r="M617">
        <f>'Raw data'!$K617*(1- 'Raw data'!$L617)</f>
        <v>4043.6</v>
      </c>
      <c r="N617">
        <v>20218</v>
      </c>
      <c r="O617">
        <v>0.35</v>
      </c>
      <c r="P617">
        <v>7076.3</v>
      </c>
      <c r="Q617" t="s">
        <v>27</v>
      </c>
      <c r="R617" t="s">
        <v>48</v>
      </c>
      <c r="S617">
        <v>9</v>
      </c>
    </row>
    <row r="618" spans="1:19" x14ac:dyDescent="0.3">
      <c r="A618" t="s">
        <v>1293</v>
      </c>
      <c r="B618">
        <v>45543</v>
      </c>
      <c r="C618" t="s">
        <v>30</v>
      </c>
      <c r="D618" t="s">
        <v>56</v>
      </c>
      <c r="E618" t="s">
        <v>22</v>
      </c>
      <c r="F618" t="s">
        <v>43</v>
      </c>
      <c r="G618" t="s">
        <v>24</v>
      </c>
      <c r="H618" t="s">
        <v>74</v>
      </c>
      <c r="I618" t="s">
        <v>1294</v>
      </c>
      <c r="J618">
        <v>5</v>
      </c>
      <c r="K618">
        <v>9123</v>
      </c>
      <c r="L618">
        <v>0.21</v>
      </c>
      <c r="M618">
        <f>'Raw data'!$K618*(1- 'Raw data'!$L618)</f>
        <v>7207.17</v>
      </c>
      <c r="N618">
        <v>36035.85</v>
      </c>
      <c r="O618">
        <v>0.25</v>
      </c>
      <c r="P618">
        <v>9008.9599999999991</v>
      </c>
      <c r="Q618" t="s">
        <v>51</v>
      </c>
      <c r="R618" t="s">
        <v>48</v>
      </c>
      <c r="S618">
        <v>7</v>
      </c>
    </row>
    <row r="619" spans="1:19" x14ac:dyDescent="0.3">
      <c r="A619" t="s">
        <v>1295</v>
      </c>
      <c r="B619">
        <v>45544</v>
      </c>
      <c r="C619" t="s">
        <v>40</v>
      </c>
      <c r="D619" t="s">
        <v>31</v>
      </c>
      <c r="E619" t="s">
        <v>67</v>
      </c>
      <c r="F619" t="s">
        <v>97</v>
      </c>
      <c r="G619" t="s">
        <v>57</v>
      </c>
      <c r="H619" t="s">
        <v>58</v>
      </c>
      <c r="I619" t="s">
        <v>1296</v>
      </c>
      <c r="J619">
        <v>5</v>
      </c>
      <c r="K619">
        <v>10906</v>
      </c>
      <c r="L619">
        <v>0.09</v>
      </c>
      <c r="M619">
        <f>'Raw data'!$K619*(1- 'Raw data'!$L619)</f>
        <v>9924.4600000000009</v>
      </c>
      <c r="N619">
        <v>49622.3</v>
      </c>
      <c r="O619">
        <v>0.2</v>
      </c>
      <c r="P619">
        <v>9924.4599999999991</v>
      </c>
      <c r="Q619" t="s">
        <v>37</v>
      </c>
      <c r="R619" t="s">
        <v>38</v>
      </c>
      <c r="S619">
        <v>4</v>
      </c>
    </row>
    <row r="620" spans="1:19" x14ac:dyDescent="0.3">
      <c r="A620" t="s">
        <v>1297</v>
      </c>
      <c r="B620">
        <v>45545</v>
      </c>
      <c r="C620" t="s">
        <v>20</v>
      </c>
      <c r="D620" t="s">
        <v>41</v>
      </c>
      <c r="E620" t="s">
        <v>22</v>
      </c>
      <c r="F620" t="s">
        <v>103</v>
      </c>
      <c r="G620" t="s">
        <v>24</v>
      </c>
      <c r="H620" t="s">
        <v>121</v>
      </c>
      <c r="I620" t="s">
        <v>1298</v>
      </c>
      <c r="J620">
        <v>1</v>
      </c>
      <c r="K620">
        <v>14046</v>
      </c>
      <c r="L620">
        <v>0.21</v>
      </c>
      <c r="M620">
        <f>'Raw data'!$K620*(1- 'Raw data'!$L620)</f>
        <v>11096.34</v>
      </c>
      <c r="N620">
        <v>11096.34</v>
      </c>
      <c r="O620">
        <v>0.25</v>
      </c>
      <c r="P620">
        <v>2774.08</v>
      </c>
      <c r="Q620" t="s">
        <v>27</v>
      </c>
      <c r="R620" t="s">
        <v>48</v>
      </c>
      <c r="S620">
        <v>7</v>
      </c>
    </row>
    <row r="621" spans="1:19" x14ac:dyDescent="0.3">
      <c r="A621" t="s">
        <v>1299</v>
      </c>
      <c r="B621">
        <v>45546</v>
      </c>
      <c r="C621" t="s">
        <v>55</v>
      </c>
      <c r="D621" t="s">
        <v>41</v>
      </c>
      <c r="E621" t="s">
        <v>42</v>
      </c>
      <c r="F621" t="s">
        <v>43</v>
      </c>
      <c r="G621" t="s">
        <v>24</v>
      </c>
      <c r="H621" t="s">
        <v>186</v>
      </c>
      <c r="I621" t="s">
        <v>1300</v>
      </c>
      <c r="J621">
        <v>8</v>
      </c>
      <c r="K621">
        <v>12041</v>
      </c>
      <c r="L621">
        <v>0.1</v>
      </c>
      <c r="M621">
        <f>'Raw data'!$K621*(1- 'Raw data'!$L621)</f>
        <v>10836.9</v>
      </c>
      <c r="N621">
        <v>86695.2</v>
      </c>
      <c r="O621">
        <v>0.25</v>
      </c>
      <c r="P621">
        <v>21673.8</v>
      </c>
      <c r="Q621" t="s">
        <v>51</v>
      </c>
      <c r="R621" t="s">
        <v>48</v>
      </c>
      <c r="S621">
        <v>2</v>
      </c>
    </row>
    <row r="622" spans="1:19" x14ac:dyDescent="0.3">
      <c r="A622" t="s">
        <v>1301</v>
      </c>
      <c r="B622">
        <v>45547</v>
      </c>
      <c r="C622" t="s">
        <v>30</v>
      </c>
      <c r="D622" t="s">
        <v>41</v>
      </c>
      <c r="E622" t="s">
        <v>32</v>
      </c>
      <c r="F622" t="s">
        <v>68</v>
      </c>
      <c r="G622" t="s">
        <v>34</v>
      </c>
      <c r="H622" t="s">
        <v>141</v>
      </c>
      <c r="I622" t="s">
        <v>1302</v>
      </c>
      <c r="J622">
        <v>1</v>
      </c>
      <c r="K622">
        <v>975</v>
      </c>
      <c r="L622">
        <v>0.08</v>
      </c>
      <c r="M622">
        <f>'Raw data'!$K622*(1- 'Raw data'!$L622)</f>
        <v>897</v>
      </c>
      <c r="N622">
        <v>897</v>
      </c>
      <c r="O622">
        <v>0.4</v>
      </c>
      <c r="P622">
        <v>358.8</v>
      </c>
      <c r="Q622" t="s">
        <v>37</v>
      </c>
      <c r="R622" t="s">
        <v>38</v>
      </c>
      <c r="S622">
        <v>6</v>
      </c>
    </row>
    <row r="623" spans="1:19" x14ac:dyDescent="0.3">
      <c r="A623" t="s">
        <v>1303</v>
      </c>
      <c r="B623">
        <v>45548</v>
      </c>
      <c r="C623" t="s">
        <v>63</v>
      </c>
      <c r="D623" t="s">
        <v>56</v>
      </c>
      <c r="E623" t="s">
        <v>32</v>
      </c>
      <c r="F623" t="s">
        <v>23</v>
      </c>
      <c r="G623" t="s">
        <v>57</v>
      </c>
      <c r="H623" t="s">
        <v>81</v>
      </c>
      <c r="I623" t="s">
        <v>1304</v>
      </c>
      <c r="J623">
        <v>4</v>
      </c>
      <c r="K623">
        <v>18462</v>
      </c>
      <c r="L623">
        <v>0.11</v>
      </c>
      <c r="M623">
        <f>'Raw data'!$K623*(1- 'Raw data'!$L623)</f>
        <v>16431.18</v>
      </c>
      <c r="N623">
        <v>65724.72</v>
      </c>
      <c r="O623">
        <v>0.2</v>
      </c>
      <c r="P623">
        <v>13144.94</v>
      </c>
      <c r="Q623" t="s">
        <v>27</v>
      </c>
      <c r="R623" t="s">
        <v>48</v>
      </c>
      <c r="S623">
        <v>6</v>
      </c>
    </row>
    <row r="624" spans="1:19" x14ac:dyDescent="0.3">
      <c r="A624" t="s">
        <v>1305</v>
      </c>
      <c r="B624">
        <v>45549</v>
      </c>
      <c r="C624" t="s">
        <v>20</v>
      </c>
      <c r="D624" t="s">
        <v>41</v>
      </c>
      <c r="E624" t="s">
        <v>22</v>
      </c>
      <c r="F624" t="s">
        <v>33</v>
      </c>
      <c r="G624" t="s">
        <v>24</v>
      </c>
      <c r="H624" t="s">
        <v>74</v>
      </c>
      <c r="I624" t="s">
        <v>1306</v>
      </c>
      <c r="J624">
        <v>9</v>
      </c>
      <c r="K624">
        <v>9080</v>
      </c>
      <c r="L624">
        <v>0.19</v>
      </c>
      <c r="M624">
        <f>'Raw data'!$K624*(1- 'Raw data'!$L624)</f>
        <v>7354.8</v>
      </c>
      <c r="N624">
        <v>66193.2</v>
      </c>
      <c r="O624">
        <v>0.25</v>
      </c>
      <c r="P624">
        <v>16548.3</v>
      </c>
      <c r="Q624" t="s">
        <v>47</v>
      </c>
      <c r="R624" t="s">
        <v>48</v>
      </c>
      <c r="S624">
        <v>2</v>
      </c>
    </row>
    <row r="625" spans="1:19" x14ac:dyDescent="0.3">
      <c r="A625" t="s">
        <v>1307</v>
      </c>
      <c r="B625">
        <v>45550</v>
      </c>
      <c r="C625" t="s">
        <v>63</v>
      </c>
      <c r="D625" t="s">
        <v>21</v>
      </c>
      <c r="E625" t="s">
        <v>22</v>
      </c>
      <c r="F625" t="s">
        <v>68</v>
      </c>
      <c r="G625" t="s">
        <v>24</v>
      </c>
      <c r="H625" t="s">
        <v>74</v>
      </c>
      <c r="I625" t="s">
        <v>1308</v>
      </c>
      <c r="J625">
        <v>9</v>
      </c>
      <c r="K625">
        <v>8099</v>
      </c>
      <c r="L625">
        <v>0.03</v>
      </c>
      <c r="M625">
        <f>'Raw data'!$K625*(1- 'Raw data'!$L625)</f>
        <v>7856.03</v>
      </c>
      <c r="N625">
        <v>70704.27</v>
      </c>
      <c r="O625">
        <v>0.25</v>
      </c>
      <c r="P625">
        <v>17676.07</v>
      </c>
      <c r="Q625" t="s">
        <v>47</v>
      </c>
      <c r="R625" t="s">
        <v>48</v>
      </c>
      <c r="S625">
        <v>4</v>
      </c>
    </row>
    <row r="626" spans="1:19" x14ac:dyDescent="0.3">
      <c r="A626" t="s">
        <v>1309</v>
      </c>
      <c r="B626">
        <v>45551</v>
      </c>
      <c r="C626" t="s">
        <v>55</v>
      </c>
      <c r="D626" t="s">
        <v>41</v>
      </c>
      <c r="E626" t="s">
        <v>22</v>
      </c>
      <c r="F626" t="s">
        <v>103</v>
      </c>
      <c r="G626" t="s">
        <v>57</v>
      </c>
      <c r="H626" t="s">
        <v>183</v>
      </c>
      <c r="I626" t="s">
        <v>1310</v>
      </c>
      <c r="J626">
        <v>5</v>
      </c>
      <c r="K626">
        <v>16916</v>
      </c>
      <c r="L626">
        <v>0.05</v>
      </c>
      <c r="M626">
        <f>'Raw data'!$K626*(1- 'Raw data'!$L626)</f>
        <v>16070.199999999999</v>
      </c>
      <c r="N626">
        <v>80351</v>
      </c>
      <c r="O626">
        <v>0.2</v>
      </c>
      <c r="P626">
        <v>16070.2</v>
      </c>
      <c r="Q626" t="s">
        <v>37</v>
      </c>
      <c r="R626" t="s">
        <v>48</v>
      </c>
      <c r="S626">
        <v>8</v>
      </c>
    </row>
    <row r="627" spans="1:19" x14ac:dyDescent="0.3">
      <c r="A627" t="s">
        <v>1311</v>
      </c>
      <c r="B627">
        <v>45552</v>
      </c>
      <c r="C627" t="s">
        <v>55</v>
      </c>
      <c r="D627" t="s">
        <v>31</v>
      </c>
      <c r="E627" t="s">
        <v>32</v>
      </c>
      <c r="F627" t="s">
        <v>103</v>
      </c>
      <c r="G627" t="s">
        <v>57</v>
      </c>
      <c r="H627" t="s">
        <v>58</v>
      </c>
      <c r="I627" t="s">
        <v>1312</v>
      </c>
      <c r="J627">
        <v>4</v>
      </c>
      <c r="K627">
        <v>9083</v>
      </c>
      <c r="L627">
        <v>0.24</v>
      </c>
      <c r="M627">
        <f>'Raw data'!$K627*(1- 'Raw data'!$L627)</f>
        <v>6903.08</v>
      </c>
      <c r="N627">
        <v>27612.32</v>
      </c>
      <c r="O627">
        <v>0.2</v>
      </c>
      <c r="P627">
        <v>5522.46</v>
      </c>
      <c r="Q627" t="s">
        <v>47</v>
      </c>
      <c r="R627" t="s">
        <v>48</v>
      </c>
      <c r="S627">
        <v>8</v>
      </c>
    </row>
    <row r="628" spans="1:19" x14ac:dyDescent="0.3">
      <c r="A628" t="s">
        <v>1313</v>
      </c>
      <c r="B628">
        <v>45553</v>
      </c>
      <c r="C628" t="s">
        <v>30</v>
      </c>
      <c r="D628" t="s">
        <v>31</v>
      </c>
      <c r="E628" t="s">
        <v>32</v>
      </c>
      <c r="F628" t="s">
        <v>68</v>
      </c>
      <c r="G628" t="s">
        <v>24</v>
      </c>
      <c r="H628" t="s">
        <v>25</v>
      </c>
      <c r="I628" t="s">
        <v>1314</v>
      </c>
      <c r="J628">
        <v>3</v>
      </c>
      <c r="K628">
        <v>7230</v>
      </c>
      <c r="L628">
        <v>0.04</v>
      </c>
      <c r="M628">
        <f>'Raw data'!$K628*(1- 'Raw data'!$L628)</f>
        <v>6940.8</v>
      </c>
      <c r="N628">
        <v>20822.400000000001</v>
      </c>
      <c r="O628">
        <v>0.25</v>
      </c>
      <c r="P628">
        <v>5205.6000000000004</v>
      </c>
      <c r="Q628" t="s">
        <v>37</v>
      </c>
      <c r="R628" t="s">
        <v>48</v>
      </c>
      <c r="S628">
        <v>8</v>
      </c>
    </row>
    <row r="629" spans="1:19" x14ac:dyDescent="0.3">
      <c r="A629" t="s">
        <v>1315</v>
      </c>
      <c r="B629">
        <v>45554</v>
      </c>
      <c r="C629" t="s">
        <v>30</v>
      </c>
      <c r="D629" t="s">
        <v>31</v>
      </c>
      <c r="E629" t="s">
        <v>67</v>
      </c>
      <c r="F629" t="s">
        <v>103</v>
      </c>
      <c r="G629" t="s">
        <v>57</v>
      </c>
      <c r="H629" t="s">
        <v>81</v>
      </c>
      <c r="I629" t="s">
        <v>1316</v>
      </c>
      <c r="J629">
        <v>3</v>
      </c>
      <c r="K629">
        <v>11223</v>
      </c>
      <c r="L629">
        <v>0.14000000000000001</v>
      </c>
      <c r="M629">
        <f>'Raw data'!$K629*(1- 'Raw data'!$L629)</f>
        <v>9651.7800000000007</v>
      </c>
      <c r="N629">
        <v>28955.34</v>
      </c>
      <c r="O629">
        <v>0.2</v>
      </c>
      <c r="P629">
        <v>5791.07</v>
      </c>
      <c r="Q629" t="s">
        <v>51</v>
      </c>
      <c r="R629" t="s">
        <v>48</v>
      </c>
      <c r="S629">
        <v>8</v>
      </c>
    </row>
    <row r="630" spans="1:19" x14ac:dyDescent="0.3">
      <c r="A630" t="s">
        <v>1317</v>
      </c>
      <c r="B630">
        <v>45555</v>
      </c>
      <c r="C630" t="s">
        <v>40</v>
      </c>
      <c r="D630" t="s">
        <v>56</v>
      </c>
      <c r="E630" t="s">
        <v>42</v>
      </c>
      <c r="F630" t="s">
        <v>43</v>
      </c>
      <c r="G630" t="s">
        <v>24</v>
      </c>
      <c r="H630" t="s">
        <v>25</v>
      </c>
      <c r="I630" t="s">
        <v>1318</v>
      </c>
      <c r="J630">
        <v>5</v>
      </c>
      <c r="K630">
        <v>5940</v>
      </c>
      <c r="L630">
        <v>0.14000000000000001</v>
      </c>
      <c r="M630">
        <f>'Raw data'!$K630*(1- 'Raw data'!$L630)</f>
        <v>5108.3999999999996</v>
      </c>
      <c r="N630">
        <v>25542</v>
      </c>
      <c r="O630">
        <v>0.25</v>
      </c>
      <c r="P630">
        <v>6385.5</v>
      </c>
      <c r="Q630" t="s">
        <v>51</v>
      </c>
      <c r="R630" t="s">
        <v>48</v>
      </c>
      <c r="S630">
        <v>1</v>
      </c>
    </row>
    <row r="631" spans="1:19" x14ac:dyDescent="0.3">
      <c r="A631" t="s">
        <v>1319</v>
      </c>
      <c r="B631">
        <v>45556</v>
      </c>
      <c r="C631" t="s">
        <v>20</v>
      </c>
      <c r="D631" t="s">
        <v>21</v>
      </c>
      <c r="E631" t="s">
        <v>67</v>
      </c>
      <c r="F631" t="s">
        <v>103</v>
      </c>
      <c r="G631" t="s">
        <v>24</v>
      </c>
      <c r="H631" t="s">
        <v>186</v>
      </c>
      <c r="I631" t="s">
        <v>1320</v>
      </c>
      <c r="J631">
        <v>1</v>
      </c>
      <c r="K631">
        <v>4271</v>
      </c>
      <c r="L631">
        <v>0.12</v>
      </c>
      <c r="M631">
        <f>'Raw data'!$K631*(1- 'Raw data'!$L631)</f>
        <v>3758.48</v>
      </c>
      <c r="N631">
        <v>3758.48</v>
      </c>
      <c r="O631">
        <v>0.25</v>
      </c>
      <c r="P631">
        <v>939.62</v>
      </c>
      <c r="Q631" t="s">
        <v>27</v>
      </c>
      <c r="R631" t="s">
        <v>48</v>
      </c>
      <c r="S631">
        <v>2</v>
      </c>
    </row>
    <row r="632" spans="1:19" x14ac:dyDescent="0.3">
      <c r="A632" t="s">
        <v>1321</v>
      </c>
      <c r="B632">
        <v>45557</v>
      </c>
      <c r="C632" t="s">
        <v>20</v>
      </c>
      <c r="D632" t="s">
        <v>41</v>
      </c>
      <c r="E632" t="s">
        <v>42</v>
      </c>
      <c r="F632" t="s">
        <v>23</v>
      </c>
      <c r="G632" t="s">
        <v>34</v>
      </c>
      <c r="H632" t="s">
        <v>141</v>
      </c>
      <c r="I632" t="s">
        <v>1322</v>
      </c>
      <c r="J632">
        <v>5</v>
      </c>
      <c r="K632">
        <v>286</v>
      </c>
      <c r="L632">
        <v>0.16</v>
      </c>
      <c r="M632">
        <f>'Raw data'!$K632*(1- 'Raw data'!$L632)</f>
        <v>240.23999999999998</v>
      </c>
      <c r="N632">
        <v>1201.2</v>
      </c>
      <c r="O632">
        <v>0.4</v>
      </c>
      <c r="P632">
        <v>480.48</v>
      </c>
      <c r="Q632" t="s">
        <v>37</v>
      </c>
      <c r="R632" t="s">
        <v>48</v>
      </c>
      <c r="S632">
        <v>4</v>
      </c>
    </row>
    <row r="633" spans="1:19" x14ac:dyDescent="0.3">
      <c r="A633" t="s">
        <v>1323</v>
      </c>
      <c r="B633">
        <v>45558</v>
      </c>
      <c r="C633" t="s">
        <v>30</v>
      </c>
      <c r="D633" t="s">
        <v>21</v>
      </c>
      <c r="E633" t="s">
        <v>67</v>
      </c>
      <c r="F633" t="s">
        <v>43</v>
      </c>
      <c r="G633" t="s">
        <v>92</v>
      </c>
      <c r="H633" t="s">
        <v>93</v>
      </c>
      <c r="I633" t="s">
        <v>1324</v>
      </c>
      <c r="J633">
        <v>6</v>
      </c>
      <c r="K633">
        <v>73530</v>
      </c>
      <c r="L633">
        <v>0.06</v>
      </c>
      <c r="M633">
        <f>'Raw data'!$K633*(1- 'Raw data'!$L633)</f>
        <v>69118.2</v>
      </c>
      <c r="N633">
        <v>414709.2</v>
      </c>
      <c r="O633">
        <v>0.15</v>
      </c>
      <c r="P633">
        <v>62206.38</v>
      </c>
      <c r="Q633" t="s">
        <v>27</v>
      </c>
      <c r="R633" t="s">
        <v>48</v>
      </c>
      <c r="S633">
        <v>9</v>
      </c>
    </row>
    <row r="634" spans="1:19" x14ac:dyDescent="0.3">
      <c r="A634" t="s">
        <v>1325</v>
      </c>
      <c r="B634">
        <v>45559</v>
      </c>
      <c r="C634" t="s">
        <v>55</v>
      </c>
      <c r="D634" t="s">
        <v>21</v>
      </c>
      <c r="E634" t="s">
        <v>32</v>
      </c>
      <c r="F634" t="s">
        <v>97</v>
      </c>
      <c r="G634" t="s">
        <v>24</v>
      </c>
      <c r="H634" t="s">
        <v>25</v>
      </c>
      <c r="I634" t="s">
        <v>1326</v>
      </c>
      <c r="J634">
        <v>7</v>
      </c>
      <c r="K634">
        <v>4456</v>
      </c>
      <c r="L634">
        <v>0.14000000000000001</v>
      </c>
      <c r="M634">
        <f>'Raw data'!$K634*(1- 'Raw data'!$L634)</f>
        <v>3832.16</v>
      </c>
      <c r="N634">
        <v>26825.119999999999</v>
      </c>
      <c r="O634">
        <v>0.25</v>
      </c>
      <c r="P634">
        <v>6706.28</v>
      </c>
      <c r="Q634" t="s">
        <v>27</v>
      </c>
      <c r="R634" t="s">
        <v>48</v>
      </c>
      <c r="S634">
        <v>3</v>
      </c>
    </row>
    <row r="635" spans="1:19" x14ac:dyDescent="0.3">
      <c r="A635" t="s">
        <v>1327</v>
      </c>
      <c r="B635">
        <v>45560</v>
      </c>
      <c r="C635" t="s">
        <v>30</v>
      </c>
      <c r="D635" t="s">
        <v>31</v>
      </c>
      <c r="E635" t="s">
        <v>67</v>
      </c>
      <c r="F635" t="s">
        <v>103</v>
      </c>
      <c r="G635" t="s">
        <v>44</v>
      </c>
      <c r="H635" t="s">
        <v>64</v>
      </c>
      <c r="I635" t="s">
        <v>1328</v>
      </c>
      <c r="J635">
        <v>9</v>
      </c>
      <c r="K635">
        <v>4006</v>
      </c>
      <c r="L635">
        <v>0.09</v>
      </c>
      <c r="M635">
        <f>'Raw data'!$K635*(1- 'Raw data'!$L635)</f>
        <v>3645.46</v>
      </c>
      <c r="N635">
        <v>32809.14</v>
      </c>
      <c r="O635">
        <v>0.35</v>
      </c>
      <c r="P635">
        <v>11483.2</v>
      </c>
      <c r="Q635" t="s">
        <v>51</v>
      </c>
      <c r="R635" t="s">
        <v>38</v>
      </c>
      <c r="S635">
        <v>6</v>
      </c>
    </row>
    <row r="636" spans="1:19" x14ac:dyDescent="0.3">
      <c r="A636" t="s">
        <v>1329</v>
      </c>
      <c r="B636">
        <v>45561</v>
      </c>
      <c r="C636" t="s">
        <v>55</v>
      </c>
      <c r="D636" t="s">
        <v>31</v>
      </c>
      <c r="E636" t="s">
        <v>42</v>
      </c>
      <c r="F636" t="s">
        <v>103</v>
      </c>
      <c r="G636" t="s">
        <v>92</v>
      </c>
      <c r="H636" t="s">
        <v>109</v>
      </c>
      <c r="I636" t="s">
        <v>1330</v>
      </c>
      <c r="J636">
        <v>3</v>
      </c>
      <c r="K636">
        <v>26531</v>
      </c>
      <c r="L636">
        <v>0.17</v>
      </c>
      <c r="M636">
        <f>'Raw data'!$K636*(1- 'Raw data'!$L636)</f>
        <v>22020.73</v>
      </c>
      <c r="N636">
        <v>66062.19</v>
      </c>
      <c r="O636">
        <v>0.15</v>
      </c>
      <c r="P636">
        <v>9909.33</v>
      </c>
      <c r="Q636" t="s">
        <v>27</v>
      </c>
      <c r="R636" t="s">
        <v>48</v>
      </c>
      <c r="S636">
        <v>7</v>
      </c>
    </row>
    <row r="637" spans="1:19" x14ac:dyDescent="0.3">
      <c r="A637" t="s">
        <v>1331</v>
      </c>
      <c r="B637">
        <v>45562</v>
      </c>
      <c r="C637" t="s">
        <v>55</v>
      </c>
      <c r="D637" t="s">
        <v>31</v>
      </c>
      <c r="E637" t="s">
        <v>22</v>
      </c>
      <c r="F637" t="s">
        <v>23</v>
      </c>
      <c r="G637" t="s">
        <v>92</v>
      </c>
      <c r="H637" t="s">
        <v>93</v>
      </c>
      <c r="I637" t="s">
        <v>1332</v>
      </c>
      <c r="J637">
        <v>2</v>
      </c>
      <c r="K637">
        <v>54857</v>
      </c>
      <c r="L637">
        <v>0.04</v>
      </c>
      <c r="M637">
        <f>'Raw data'!$K637*(1- 'Raw data'!$L637)</f>
        <v>52662.720000000001</v>
      </c>
      <c r="N637">
        <v>105325.44</v>
      </c>
      <c r="O637">
        <v>0.15</v>
      </c>
      <c r="P637">
        <v>15798.82</v>
      </c>
      <c r="Q637" t="s">
        <v>47</v>
      </c>
      <c r="R637" t="s">
        <v>48</v>
      </c>
      <c r="S637">
        <v>8</v>
      </c>
    </row>
    <row r="638" spans="1:19" x14ac:dyDescent="0.3">
      <c r="A638" t="s">
        <v>1333</v>
      </c>
      <c r="B638">
        <v>45563</v>
      </c>
      <c r="C638" t="s">
        <v>30</v>
      </c>
      <c r="D638" t="s">
        <v>56</v>
      </c>
      <c r="E638" t="s">
        <v>42</v>
      </c>
      <c r="F638" t="s">
        <v>23</v>
      </c>
      <c r="G638" t="s">
        <v>92</v>
      </c>
      <c r="H638" t="s">
        <v>93</v>
      </c>
      <c r="I638" t="s">
        <v>1334</v>
      </c>
      <c r="J638">
        <v>3</v>
      </c>
      <c r="K638">
        <v>20142</v>
      </c>
      <c r="L638">
        <v>0.14000000000000001</v>
      </c>
      <c r="M638">
        <f>'Raw data'!$K638*(1- 'Raw data'!$L638)</f>
        <v>17322.12</v>
      </c>
      <c r="N638">
        <v>51966.36</v>
      </c>
      <c r="O638">
        <v>0.15</v>
      </c>
      <c r="P638">
        <v>7794.95</v>
      </c>
      <c r="Q638" t="s">
        <v>27</v>
      </c>
      <c r="R638" t="s">
        <v>48</v>
      </c>
      <c r="S638">
        <v>7</v>
      </c>
    </row>
    <row r="639" spans="1:19" x14ac:dyDescent="0.3">
      <c r="A639" t="s">
        <v>1335</v>
      </c>
      <c r="B639">
        <v>45564</v>
      </c>
      <c r="C639" t="s">
        <v>96</v>
      </c>
      <c r="D639" t="s">
        <v>21</v>
      </c>
      <c r="E639" t="s">
        <v>22</v>
      </c>
      <c r="F639" t="s">
        <v>33</v>
      </c>
      <c r="G639" t="s">
        <v>34</v>
      </c>
      <c r="H639" t="s">
        <v>35</v>
      </c>
      <c r="I639" t="s">
        <v>1336</v>
      </c>
      <c r="J639">
        <v>9</v>
      </c>
      <c r="K639">
        <v>565</v>
      </c>
      <c r="L639">
        <v>0.05</v>
      </c>
      <c r="M639">
        <f>'Raw data'!$K639*(1- 'Raw data'!$L639)</f>
        <v>536.75</v>
      </c>
      <c r="N639">
        <v>4830.75</v>
      </c>
      <c r="O639">
        <v>0.4</v>
      </c>
      <c r="P639">
        <v>1932.3</v>
      </c>
      <c r="Q639" t="s">
        <v>37</v>
      </c>
      <c r="R639" t="s">
        <v>48</v>
      </c>
      <c r="S639">
        <v>3</v>
      </c>
    </row>
    <row r="640" spans="1:19" x14ac:dyDescent="0.3">
      <c r="A640" t="s">
        <v>1337</v>
      </c>
      <c r="B640">
        <v>45565</v>
      </c>
      <c r="C640" t="s">
        <v>20</v>
      </c>
      <c r="D640" t="s">
        <v>21</v>
      </c>
      <c r="E640" t="s">
        <v>32</v>
      </c>
      <c r="F640" t="s">
        <v>68</v>
      </c>
      <c r="G640" t="s">
        <v>24</v>
      </c>
      <c r="H640" t="s">
        <v>74</v>
      </c>
      <c r="I640" t="s">
        <v>1338</v>
      </c>
      <c r="J640">
        <v>7</v>
      </c>
      <c r="K640">
        <v>10866</v>
      </c>
      <c r="L640">
        <v>7.0000000000000007E-2</v>
      </c>
      <c r="M640">
        <f>'Raw data'!$K640*(1- 'Raw data'!$L640)</f>
        <v>10105.379999999999</v>
      </c>
      <c r="N640">
        <v>70737.66</v>
      </c>
      <c r="O640">
        <v>0.25</v>
      </c>
      <c r="P640">
        <v>17684.419999999998</v>
      </c>
      <c r="Q640" t="s">
        <v>47</v>
      </c>
      <c r="R640" t="s">
        <v>48</v>
      </c>
      <c r="S640">
        <v>6</v>
      </c>
    </row>
    <row r="641" spans="1:19" x14ac:dyDescent="0.3">
      <c r="A641" t="s">
        <v>1339</v>
      </c>
      <c r="B641">
        <v>45566</v>
      </c>
      <c r="C641" t="s">
        <v>63</v>
      </c>
      <c r="D641" t="s">
        <v>56</v>
      </c>
      <c r="E641" t="s">
        <v>42</v>
      </c>
      <c r="F641" t="s">
        <v>68</v>
      </c>
      <c r="G641" t="s">
        <v>34</v>
      </c>
      <c r="H641" t="s">
        <v>104</v>
      </c>
      <c r="I641" t="s">
        <v>1340</v>
      </c>
      <c r="J641">
        <v>9</v>
      </c>
      <c r="K641">
        <v>635</v>
      </c>
      <c r="L641">
        <v>0.05</v>
      </c>
      <c r="M641">
        <f>'Raw data'!$K641*(1- 'Raw data'!$L641)</f>
        <v>603.25</v>
      </c>
      <c r="N641">
        <v>5429.25</v>
      </c>
      <c r="O641">
        <v>0.4</v>
      </c>
      <c r="P641">
        <v>2171.6999999999998</v>
      </c>
      <c r="Q641" t="s">
        <v>51</v>
      </c>
      <c r="R641" t="s">
        <v>48</v>
      </c>
      <c r="S641">
        <v>5</v>
      </c>
    </row>
    <row r="642" spans="1:19" x14ac:dyDescent="0.3">
      <c r="A642" t="s">
        <v>1341</v>
      </c>
      <c r="B642">
        <v>45567</v>
      </c>
      <c r="C642" t="s">
        <v>55</v>
      </c>
      <c r="D642" t="s">
        <v>56</v>
      </c>
      <c r="E642" t="s">
        <v>67</v>
      </c>
      <c r="F642" t="s">
        <v>68</v>
      </c>
      <c r="G642" t="s">
        <v>24</v>
      </c>
      <c r="H642" t="s">
        <v>74</v>
      </c>
      <c r="I642" t="s">
        <v>1342</v>
      </c>
      <c r="J642">
        <v>2</v>
      </c>
      <c r="K642">
        <v>13686</v>
      </c>
      <c r="L642">
        <v>0.05</v>
      </c>
      <c r="M642">
        <f>'Raw data'!$K642*(1- 'Raw data'!$L642)</f>
        <v>13001.699999999999</v>
      </c>
      <c r="N642">
        <v>26003.4</v>
      </c>
      <c r="O642">
        <v>0.25</v>
      </c>
      <c r="P642">
        <v>6500.85</v>
      </c>
      <c r="Q642" t="s">
        <v>37</v>
      </c>
      <c r="R642" t="s">
        <v>48</v>
      </c>
      <c r="S642">
        <v>4</v>
      </c>
    </row>
    <row r="643" spans="1:19" x14ac:dyDescent="0.3">
      <c r="A643" t="s">
        <v>1343</v>
      </c>
      <c r="B643">
        <v>45568</v>
      </c>
      <c r="C643" t="s">
        <v>55</v>
      </c>
      <c r="D643" t="s">
        <v>56</v>
      </c>
      <c r="E643" t="s">
        <v>42</v>
      </c>
      <c r="F643" t="s">
        <v>23</v>
      </c>
      <c r="G643" t="s">
        <v>34</v>
      </c>
      <c r="H643" t="s">
        <v>71</v>
      </c>
      <c r="I643" t="s">
        <v>1344</v>
      </c>
      <c r="J643">
        <v>5</v>
      </c>
      <c r="K643">
        <v>1434</v>
      </c>
      <c r="L643">
        <v>0.21</v>
      </c>
      <c r="M643">
        <f>'Raw data'!$K643*(1- 'Raw data'!$L643)</f>
        <v>1132.8600000000001</v>
      </c>
      <c r="N643">
        <v>5664.3</v>
      </c>
      <c r="O643">
        <v>0.4</v>
      </c>
      <c r="P643">
        <v>2265.7199999999998</v>
      </c>
      <c r="Q643" t="s">
        <v>47</v>
      </c>
      <c r="R643" t="s">
        <v>48</v>
      </c>
      <c r="S643">
        <v>1</v>
      </c>
    </row>
    <row r="644" spans="1:19" x14ac:dyDescent="0.3">
      <c r="A644" t="s">
        <v>1345</v>
      </c>
      <c r="B644">
        <v>45569</v>
      </c>
      <c r="C644" t="s">
        <v>96</v>
      </c>
      <c r="D644" t="s">
        <v>21</v>
      </c>
      <c r="E644" t="s">
        <v>22</v>
      </c>
      <c r="F644" t="s">
        <v>68</v>
      </c>
      <c r="G644" t="s">
        <v>34</v>
      </c>
      <c r="H644" t="s">
        <v>104</v>
      </c>
      <c r="I644" t="s">
        <v>1346</v>
      </c>
      <c r="J644">
        <v>4</v>
      </c>
      <c r="K644">
        <v>698</v>
      </c>
      <c r="L644">
        <v>7.0000000000000007E-2</v>
      </c>
      <c r="M644">
        <f>'Raw data'!$K644*(1- 'Raw data'!$L644)</f>
        <v>649.14</v>
      </c>
      <c r="N644">
        <v>2596.56</v>
      </c>
      <c r="O644">
        <v>0.4</v>
      </c>
      <c r="P644">
        <v>1038.6199999999999</v>
      </c>
      <c r="Q644" t="s">
        <v>37</v>
      </c>
      <c r="R644" t="s">
        <v>38</v>
      </c>
      <c r="S644">
        <v>7</v>
      </c>
    </row>
    <row r="645" spans="1:19" x14ac:dyDescent="0.3">
      <c r="A645" t="s">
        <v>1347</v>
      </c>
      <c r="B645">
        <v>45570</v>
      </c>
      <c r="C645" t="s">
        <v>63</v>
      </c>
      <c r="D645" t="s">
        <v>21</v>
      </c>
      <c r="E645" t="s">
        <v>32</v>
      </c>
      <c r="F645" t="s">
        <v>68</v>
      </c>
      <c r="G645" t="s">
        <v>44</v>
      </c>
      <c r="H645" t="s">
        <v>45</v>
      </c>
      <c r="I645" t="s">
        <v>1348</v>
      </c>
      <c r="J645">
        <v>2</v>
      </c>
      <c r="K645">
        <v>1062</v>
      </c>
      <c r="L645">
        <v>0.23</v>
      </c>
      <c r="M645">
        <f>'Raw data'!$K645*(1- 'Raw data'!$L645)</f>
        <v>817.74</v>
      </c>
      <c r="N645">
        <v>1635.48</v>
      </c>
      <c r="O645">
        <v>0.35</v>
      </c>
      <c r="P645">
        <v>572.41999999999996</v>
      </c>
      <c r="Q645" t="s">
        <v>47</v>
      </c>
      <c r="R645" t="s">
        <v>48</v>
      </c>
      <c r="S645">
        <v>8</v>
      </c>
    </row>
    <row r="646" spans="1:19" x14ac:dyDescent="0.3">
      <c r="A646" t="s">
        <v>1349</v>
      </c>
      <c r="B646">
        <v>45571</v>
      </c>
      <c r="C646" t="s">
        <v>40</v>
      </c>
      <c r="D646" t="s">
        <v>31</v>
      </c>
      <c r="E646" t="s">
        <v>67</v>
      </c>
      <c r="F646" t="s">
        <v>97</v>
      </c>
      <c r="G646" t="s">
        <v>34</v>
      </c>
      <c r="H646" t="s">
        <v>71</v>
      </c>
      <c r="I646" t="s">
        <v>1350</v>
      </c>
      <c r="J646">
        <v>9</v>
      </c>
      <c r="K646">
        <v>641</v>
      </c>
      <c r="L646">
        <v>0.24</v>
      </c>
      <c r="M646">
        <f>'Raw data'!$K646*(1- 'Raw data'!$L646)</f>
        <v>487.16</v>
      </c>
      <c r="N646">
        <v>4384.4399999999996</v>
      </c>
      <c r="O646">
        <v>0.4</v>
      </c>
      <c r="P646">
        <v>1753.78</v>
      </c>
      <c r="Q646" t="s">
        <v>37</v>
      </c>
      <c r="R646" t="s">
        <v>48</v>
      </c>
      <c r="S646">
        <v>2</v>
      </c>
    </row>
    <row r="647" spans="1:19" x14ac:dyDescent="0.3">
      <c r="A647" t="s">
        <v>1351</v>
      </c>
      <c r="B647">
        <v>45572</v>
      </c>
      <c r="C647" t="s">
        <v>96</v>
      </c>
      <c r="D647" t="s">
        <v>31</v>
      </c>
      <c r="E647" t="s">
        <v>42</v>
      </c>
      <c r="F647" t="s">
        <v>68</v>
      </c>
      <c r="G647" t="s">
        <v>57</v>
      </c>
      <c r="H647" t="s">
        <v>81</v>
      </c>
      <c r="I647" t="s">
        <v>1352</v>
      </c>
      <c r="J647">
        <v>9</v>
      </c>
      <c r="K647">
        <v>10964</v>
      </c>
      <c r="L647">
        <v>0.14000000000000001</v>
      </c>
      <c r="M647">
        <f>'Raw data'!$K647*(1- 'Raw data'!$L647)</f>
        <v>9429.0399999999991</v>
      </c>
      <c r="N647">
        <v>84861.36</v>
      </c>
      <c r="O647">
        <v>0.2</v>
      </c>
      <c r="P647">
        <v>16972.27</v>
      </c>
      <c r="Q647" t="s">
        <v>37</v>
      </c>
      <c r="R647" t="s">
        <v>48</v>
      </c>
      <c r="S647">
        <v>7</v>
      </c>
    </row>
    <row r="648" spans="1:19" x14ac:dyDescent="0.3">
      <c r="A648" t="s">
        <v>1353</v>
      </c>
      <c r="B648">
        <v>45573</v>
      </c>
      <c r="C648" t="s">
        <v>63</v>
      </c>
      <c r="D648" t="s">
        <v>21</v>
      </c>
      <c r="E648" t="s">
        <v>22</v>
      </c>
      <c r="F648" t="s">
        <v>103</v>
      </c>
      <c r="G648" t="s">
        <v>44</v>
      </c>
      <c r="H648" t="s">
        <v>45</v>
      </c>
      <c r="I648" t="s">
        <v>1354</v>
      </c>
      <c r="J648">
        <v>6</v>
      </c>
      <c r="K648">
        <v>2537</v>
      </c>
      <c r="L648">
        <v>0.04</v>
      </c>
      <c r="M648">
        <f>'Raw data'!$K648*(1- 'Raw data'!$L648)</f>
        <v>2435.52</v>
      </c>
      <c r="N648">
        <v>14613.12</v>
      </c>
      <c r="O648">
        <v>0.35</v>
      </c>
      <c r="P648">
        <v>5114.59</v>
      </c>
      <c r="Q648" t="s">
        <v>47</v>
      </c>
      <c r="R648" t="s">
        <v>48</v>
      </c>
      <c r="S648">
        <v>6</v>
      </c>
    </row>
    <row r="649" spans="1:19" x14ac:dyDescent="0.3">
      <c r="A649" t="s">
        <v>1355</v>
      </c>
      <c r="B649">
        <v>45574</v>
      </c>
      <c r="C649" t="s">
        <v>96</v>
      </c>
      <c r="D649" t="s">
        <v>31</v>
      </c>
      <c r="E649" t="s">
        <v>67</v>
      </c>
      <c r="F649" t="s">
        <v>33</v>
      </c>
      <c r="G649" t="s">
        <v>34</v>
      </c>
      <c r="H649" t="s">
        <v>104</v>
      </c>
      <c r="I649" t="s">
        <v>1356</v>
      </c>
      <c r="J649">
        <v>6</v>
      </c>
      <c r="K649">
        <v>719</v>
      </c>
      <c r="L649">
        <v>0.09</v>
      </c>
      <c r="M649">
        <f>'Raw data'!$K649*(1- 'Raw data'!$L649)</f>
        <v>654.29000000000008</v>
      </c>
      <c r="N649">
        <v>3925.74</v>
      </c>
      <c r="O649">
        <v>0.4</v>
      </c>
      <c r="P649">
        <v>1570.3</v>
      </c>
      <c r="Q649" t="s">
        <v>51</v>
      </c>
      <c r="R649" t="s">
        <v>38</v>
      </c>
      <c r="S649">
        <v>5</v>
      </c>
    </row>
    <row r="650" spans="1:19" x14ac:dyDescent="0.3">
      <c r="A650" t="s">
        <v>1357</v>
      </c>
      <c r="B650">
        <v>45575</v>
      </c>
      <c r="C650" t="s">
        <v>55</v>
      </c>
      <c r="D650" t="s">
        <v>56</v>
      </c>
      <c r="E650" t="s">
        <v>32</v>
      </c>
      <c r="F650" t="s">
        <v>23</v>
      </c>
      <c r="G650" t="s">
        <v>92</v>
      </c>
      <c r="H650" t="s">
        <v>93</v>
      </c>
      <c r="I650" t="s">
        <v>1358</v>
      </c>
      <c r="J650">
        <v>8</v>
      </c>
      <c r="K650">
        <v>15439</v>
      </c>
      <c r="L650">
        <v>0.2</v>
      </c>
      <c r="M650">
        <f>'Raw data'!$K650*(1- 'Raw data'!$L650)</f>
        <v>12351.2</v>
      </c>
      <c r="N650">
        <v>98809.600000000006</v>
      </c>
      <c r="O650">
        <v>0.15</v>
      </c>
      <c r="P650">
        <v>14821.44</v>
      </c>
      <c r="Q650" t="s">
        <v>51</v>
      </c>
      <c r="R650" t="s">
        <v>48</v>
      </c>
      <c r="S650">
        <v>4</v>
      </c>
    </row>
    <row r="651" spans="1:19" x14ac:dyDescent="0.3">
      <c r="A651" t="s">
        <v>1359</v>
      </c>
      <c r="B651">
        <v>45576</v>
      </c>
      <c r="C651" t="s">
        <v>20</v>
      </c>
      <c r="D651" t="s">
        <v>41</v>
      </c>
      <c r="E651" t="s">
        <v>67</v>
      </c>
      <c r="F651" t="s">
        <v>43</v>
      </c>
      <c r="G651" t="s">
        <v>57</v>
      </c>
      <c r="H651" t="s">
        <v>81</v>
      </c>
      <c r="I651" t="s">
        <v>588</v>
      </c>
      <c r="J651">
        <v>6</v>
      </c>
      <c r="K651">
        <v>16473</v>
      </c>
      <c r="L651">
        <v>0.09</v>
      </c>
      <c r="M651">
        <f>'Raw data'!$K651*(1- 'Raw data'!$L651)</f>
        <v>14990.43</v>
      </c>
      <c r="N651">
        <v>89942.58</v>
      </c>
      <c r="O651">
        <v>0.2</v>
      </c>
      <c r="P651">
        <v>17988.52</v>
      </c>
      <c r="Q651" t="s">
        <v>37</v>
      </c>
      <c r="R651" t="s">
        <v>48</v>
      </c>
      <c r="S651">
        <v>2</v>
      </c>
    </row>
    <row r="652" spans="1:19" x14ac:dyDescent="0.3">
      <c r="A652" t="s">
        <v>1360</v>
      </c>
      <c r="B652">
        <v>45577</v>
      </c>
      <c r="C652" t="s">
        <v>96</v>
      </c>
      <c r="D652" t="s">
        <v>31</v>
      </c>
      <c r="E652" t="s">
        <v>32</v>
      </c>
      <c r="F652" t="s">
        <v>33</v>
      </c>
      <c r="G652" t="s">
        <v>57</v>
      </c>
      <c r="H652" t="s">
        <v>58</v>
      </c>
      <c r="I652" t="s">
        <v>1361</v>
      </c>
      <c r="J652">
        <v>1</v>
      </c>
      <c r="K652">
        <v>11765</v>
      </c>
      <c r="L652">
        <v>0.02</v>
      </c>
      <c r="M652">
        <f>'Raw data'!$K652*(1- 'Raw data'!$L652)</f>
        <v>11529.699999999999</v>
      </c>
      <c r="N652">
        <v>11529.7</v>
      </c>
      <c r="O652">
        <v>0.2</v>
      </c>
      <c r="P652">
        <v>2305.94</v>
      </c>
      <c r="Q652" t="s">
        <v>37</v>
      </c>
      <c r="R652" t="s">
        <v>48</v>
      </c>
      <c r="S652">
        <v>6</v>
      </c>
    </row>
    <row r="653" spans="1:19" x14ac:dyDescent="0.3">
      <c r="A653" t="s">
        <v>1362</v>
      </c>
      <c r="B653">
        <v>45578</v>
      </c>
      <c r="C653" t="s">
        <v>40</v>
      </c>
      <c r="D653" t="s">
        <v>21</v>
      </c>
      <c r="E653" t="s">
        <v>67</v>
      </c>
      <c r="F653" t="s">
        <v>97</v>
      </c>
      <c r="G653" t="s">
        <v>57</v>
      </c>
      <c r="H653" t="s">
        <v>183</v>
      </c>
      <c r="I653" t="s">
        <v>189</v>
      </c>
      <c r="J653">
        <v>4</v>
      </c>
      <c r="K653">
        <v>15279</v>
      </c>
      <c r="L653">
        <v>0.14000000000000001</v>
      </c>
      <c r="M653">
        <f>'Raw data'!$K653*(1- 'Raw data'!$L653)</f>
        <v>13139.94</v>
      </c>
      <c r="N653">
        <v>52559.76</v>
      </c>
      <c r="O653">
        <v>0.2</v>
      </c>
      <c r="P653">
        <v>10511.95</v>
      </c>
      <c r="Q653" t="s">
        <v>51</v>
      </c>
      <c r="R653" t="s">
        <v>48</v>
      </c>
      <c r="S653">
        <v>5</v>
      </c>
    </row>
    <row r="654" spans="1:19" x14ac:dyDescent="0.3">
      <c r="A654" t="s">
        <v>1363</v>
      </c>
      <c r="B654">
        <v>45579</v>
      </c>
      <c r="C654" t="s">
        <v>30</v>
      </c>
      <c r="D654" t="s">
        <v>31</v>
      </c>
      <c r="E654" t="s">
        <v>42</v>
      </c>
      <c r="F654" t="s">
        <v>23</v>
      </c>
      <c r="G654" t="s">
        <v>44</v>
      </c>
      <c r="H654" t="s">
        <v>45</v>
      </c>
      <c r="I654" t="s">
        <v>1364</v>
      </c>
      <c r="J654">
        <v>7</v>
      </c>
      <c r="K654">
        <v>3791</v>
      </c>
      <c r="L654">
        <v>0.21</v>
      </c>
      <c r="M654">
        <f>'Raw data'!$K654*(1- 'Raw data'!$L654)</f>
        <v>2994.8900000000003</v>
      </c>
      <c r="N654">
        <v>20964.23</v>
      </c>
      <c r="O654">
        <v>0.35</v>
      </c>
      <c r="P654">
        <v>7337.48</v>
      </c>
      <c r="Q654" t="s">
        <v>51</v>
      </c>
      <c r="R654" t="s">
        <v>48</v>
      </c>
      <c r="S654">
        <v>2</v>
      </c>
    </row>
    <row r="655" spans="1:19" x14ac:dyDescent="0.3">
      <c r="A655" t="s">
        <v>1365</v>
      </c>
      <c r="B655">
        <v>45580</v>
      </c>
      <c r="C655" t="s">
        <v>63</v>
      </c>
      <c r="D655" t="s">
        <v>31</v>
      </c>
      <c r="E655" t="s">
        <v>22</v>
      </c>
      <c r="F655" t="s">
        <v>23</v>
      </c>
      <c r="G655" t="s">
        <v>34</v>
      </c>
      <c r="H655" t="s">
        <v>141</v>
      </c>
      <c r="I655" t="s">
        <v>1366</v>
      </c>
      <c r="J655">
        <v>2</v>
      </c>
      <c r="K655">
        <v>1446</v>
      </c>
      <c r="L655">
        <v>0.2</v>
      </c>
      <c r="M655">
        <f>'Raw data'!$K655*(1- 'Raw data'!$L655)</f>
        <v>1156.8</v>
      </c>
      <c r="N655">
        <v>2313.6</v>
      </c>
      <c r="O655">
        <v>0.4</v>
      </c>
      <c r="P655">
        <v>925.44</v>
      </c>
      <c r="Q655" t="s">
        <v>27</v>
      </c>
      <c r="R655" t="s">
        <v>48</v>
      </c>
      <c r="S655">
        <v>7</v>
      </c>
    </row>
    <row r="656" spans="1:19" x14ac:dyDescent="0.3">
      <c r="A656" t="s">
        <v>1367</v>
      </c>
      <c r="B656">
        <v>45581</v>
      </c>
      <c r="C656" t="s">
        <v>96</v>
      </c>
      <c r="D656" t="s">
        <v>31</v>
      </c>
      <c r="E656" t="s">
        <v>42</v>
      </c>
      <c r="F656" t="s">
        <v>103</v>
      </c>
      <c r="G656" t="s">
        <v>34</v>
      </c>
      <c r="H656" t="s">
        <v>104</v>
      </c>
      <c r="I656" t="s">
        <v>1368</v>
      </c>
      <c r="J656">
        <v>9</v>
      </c>
      <c r="K656">
        <v>559</v>
      </c>
      <c r="L656">
        <v>0.04</v>
      </c>
      <c r="M656">
        <f>'Raw data'!$K656*(1- 'Raw data'!$L656)</f>
        <v>536.64</v>
      </c>
      <c r="N656">
        <v>4829.76</v>
      </c>
      <c r="O656">
        <v>0.4</v>
      </c>
      <c r="P656">
        <v>1931.9</v>
      </c>
      <c r="Q656" t="s">
        <v>51</v>
      </c>
      <c r="R656" t="s">
        <v>38</v>
      </c>
      <c r="S656">
        <v>6</v>
      </c>
    </row>
    <row r="657" spans="1:19" x14ac:dyDescent="0.3">
      <c r="A657" t="s">
        <v>1369</v>
      </c>
      <c r="B657">
        <v>45582</v>
      </c>
      <c r="C657" t="s">
        <v>96</v>
      </c>
      <c r="D657" t="s">
        <v>41</v>
      </c>
      <c r="E657" t="s">
        <v>42</v>
      </c>
      <c r="F657" t="s">
        <v>33</v>
      </c>
      <c r="G657" t="s">
        <v>92</v>
      </c>
      <c r="H657" t="s">
        <v>109</v>
      </c>
      <c r="I657" t="s">
        <v>1370</v>
      </c>
      <c r="J657">
        <v>8</v>
      </c>
      <c r="K657">
        <v>45144</v>
      </c>
      <c r="L657">
        <v>0.17</v>
      </c>
      <c r="M657">
        <f>'Raw data'!$K657*(1- 'Raw data'!$L657)</f>
        <v>37469.519999999997</v>
      </c>
      <c r="N657">
        <v>299756.15999999997</v>
      </c>
      <c r="O657">
        <v>0.15</v>
      </c>
      <c r="P657">
        <v>44963.42</v>
      </c>
      <c r="Q657" t="s">
        <v>37</v>
      </c>
      <c r="R657" t="s">
        <v>48</v>
      </c>
      <c r="S657">
        <v>9</v>
      </c>
    </row>
    <row r="658" spans="1:19" x14ac:dyDescent="0.3">
      <c r="A658" t="s">
        <v>1371</v>
      </c>
      <c r="B658">
        <v>45583</v>
      </c>
      <c r="C658" t="s">
        <v>40</v>
      </c>
      <c r="D658" t="s">
        <v>56</v>
      </c>
      <c r="E658" t="s">
        <v>32</v>
      </c>
      <c r="F658" t="s">
        <v>33</v>
      </c>
      <c r="G658" t="s">
        <v>92</v>
      </c>
      <c r="H658" t="s">
        <v>178</v>
      </c>
      <c r="I658" t="s">
        <v>1372</v>
      </c>
      <c r="J658">
        <v>8</v>
      </c>
      <c r="K658">
        <v>62161</v>
      </c>
      <c r="L658">
        <v>0.06</v>
      </c>
      <c r="M658">
        <f>'Raw data'!$K658*(1- 'Raw data'!$L658)</f>
        <v>58431.34</v>
      </c>
      <c r="N658">
        <v>467450.72</v>
      </c>
      <c r="O658">
        <v>0.15</v>
      </c>
      <c r="P658">
        <v>70117.61</v>
      </c>
      <c r="Q658" t="s">
        <v>47</v>
      </c>
      <c r="R658" t="s">
        <v>48</v>
      </c>
      <c r="S658">
        <v>5</v>
      </c>
    </row>
    <row r="659" spans="1:19" x14ac:dyDescent="0.3">
      <c r="A659" t="s">
        <v>1373</v>
      </c>
      <c r="B659">
        <v>45584</v>
      </c>
      <c r="C659" t="s">
        <v>20</v>
      </c>
      <c r="D659" t="s">
        <v>21</v>
      </c>
      <c r="E659" t="s">
        <v>32</v>
      </c>
      <c r="F659" t="s">
        <v>68</v>
      </c>
      <c r="G659" t="s">
        <v>57</v>
      </c>
      <c r="H659" t="s">
        <v>58</v>
      </c>
      <c r="I659" t="s">
        <v>1374</v>
      </c>
      <c r="J659">
        <v>7</v>
      </c>
      <c r="K659">
        <v>13824</v>
      </c>
      <c r="L659">
        <v>0.05</v>
      </c>
      <c r="M659">
        <f>'Raw data'!$K659*(1- 'Raw data'!$L659)</f>
        <v>13132.8</v>
      </c>
      <c r="N659">
        <v>91929.600000000006</v>
      </c>
      <c r="O659">
        <v>0.2</v>
      </c>
      <c r="P659">
        <v>18385.919999999998</v>
      </c>
      <c r="Q659" t="s">
        <v>51</v>
      </c>
      <c r="R659" t="s">
        <v>48</v>
      </c>
      <c r="S659">
        <v>9</v>
      </c>
    </row>
    <row r="660" spans="1:19" x14ac:dyDescent="0.3">
      <c r="A660" t="s">
        <v>1375</v>
      </c>
      <c r="B660">
        <v>45585</v>
      </c>
      <c r="C660" t="s">
        <v>96</v>
      </c>
      <c r="D660" t="s">
        <v>41</v>
      </c>
      <c r="E660" t="s">
        <v>32</v>
      </c>
      <c r="F660" t="s">
        <v>103</v>
      </c>
      <c r="G660" t="s">
        <v>92</v>
      </c>
      <c r="H660" t="s">
        <v>93</v>
      </c>
      <c r="I660" t="s">
        <v>1376</v>
      </c>
      <c r="J660">
        <v>4</v>
      </c>
      <c r="K660">
        <v>60979</v>
      </c>
      <c r="L660">
        <v>0.22</v>
      </c>
      <c r="M660">
        <f>'Raw data'!$K660*(1- 'Raw data'!$L660)</f>
        <v>47563.62</v>
      </c>
      <c r="N660">
        <v>190254.48</v>
      </c>
      <c r="O660">
        <v>0.15</v>
      </c>
      <c r="P660">
        <v>28538.17</v>
      </c>
      <c r="Q660" t="s">
        <v>27</v>
      </c>
      <c r="R660" t="s">
        <v>48</v>
      </c>
      <c r="S660">
        <v>9</v>
      </c>
    </row>
    <row r="661" spans="1:19" x14ac:dyDescent="0.3">
      <c r="A661" t="s">
        <v>1377</v>
      </c>
      <c r="B661">
        <v>45586</v>
      </c>
      <c r="C661" t="s">
        <v>96</v>
      </c>
      <c r="D661" t="s">
        <v>21</v>
      </c>
      <c r="E661" t="s">
        <v>42</v>
      </c>
      <c r="F661" t="s">
        <v>68</v>
      </c>
      <c r="G661" t="s">
        <v>44</v>
      </c>
      <c r="H661" t="s">
        <v>138</v>
      </c>
      <c r="I661" t="s">
        <v>1378</v>
      </c>
      <c r="J661">
        <v>2</v>
      </c>
      <c r="K661">
        <v>2113</v>
      </c>
      <c r="L661">
        <v>0.06</v>
      </c>
      <c r="M661">
        <f>'Raw data'!$K661*(1- 'Raw data'!$L661)</f>
        <v>1986.2199999999998</v>
      </c>
      <c r="N661">
        <v>3972.44</v>
      </c>
      <c r="O661">
        <v>0.35</v>
      </c>
      <c r="P661">
        <v>1390.35</v>
      </c>
      <c r="Q661" t="s">
        <v>27</v>
      </c>
      <c r="R661" t="s">
        <v>48</v>
      </c>
      <c r="S661">
        <v>1</v>
      </c>
    </row>
    <row r="662" spans="1:19" x14ac:dyDescent="0.3">
      <c r="A662" t="s">
        <v>1379</v>
      </c>
      <c r="B662">
        <v>45587</v>
      </c>
      <c r="C662" t="s">
        <v>20</v>
      </c>
      <c r="D662" t="s">
        <v>21</v>
      </c>
      <c r="E662" t="s">
        <v>67</v>
      </c>
      <c r="F662" t="s">
        <v>68</v>
      </c>
      <c r="G662" t="s">
        <v>34</v>
      </c>
      <c r="H662" t="s">
        <v>71</v>
      </c>
      <c r="I662" t="s">
        <v>1380</v>
      </c>
      <c r="J662">
        <v>3</v>
      </c>
      <c r="K662">
        <v>368</v>
      </c>
      <c r="L662">
        <v>7.0000000000000007E-2</v>
      </c>
      <c r="M662">
        <f>'Raw data'!$K662*(1- 'Raw data'!$L662)</f>
        <v>342.23999999999995</v>
      </c>
      <c r="N662">
        <v>1026.72</v>
      </c>
      <c r="O662">
        <v>0.4</v>
      </c>
      <c r="P662">
        <v>410.69</v>
      </c>
      <c r="Q662" t="s">
        <v>27</v>
      </c>
      <c r="R662" t="s">
        <v>48</v>
      </c>
      <c r="S662">
        <v>5</v>
      </c>
    </row>
    <row r="663" spans="1:19" x14ac:dyDescent="0.3">
      <c r="A663" t="s">
        <v>1381</v>
      </c>
      <c r="B663">
        <v>45588</v>
      </c>
      <c r="C663" t="s">
        <v>40</v>
      </c>
      <c r="D663" t="s">
        <v>21</v>
      </c>
      <c r="E663" t="s">
        <v>67</v>
      </c>
      <c r="F663" t="s">
        <v>23</v>
      </c>
      <c r="G663" t="s">
        <v>57</v>
      </c>
      <c r="H663" t="s">
        <v>183</v>
      </c>
      <c r="I663" t="s">
        <v>1382</v>
      </c>
      <c r="J663">
        <v>6</v>
      </c>
      <c r="K663">
        <v>14504</v>
      </c>
      <c r="L663">
        <v>0</v>
      </c>
      <c r="M663">
        <f>'Raw data'!$K663*(1- 'Raw data'!$L663)</f>
        <v>14504</v>
      </c>
      <c r="N663">
        <v>87024</v>
      </c>
      <c r="O663">
        <v>0.2</v>
      </c>
      <c r="P663">
        <v>17404.8</v>
      </c>
      <c r="Q663" t="s">
        <v>47</v>
      </c>
      <c r="R663" t="s">
        <v>48</v>
      </c>
      <c r="S663">
        <v>9</v>
      </c>
    </row>
    <row r="664" spans="1:19" x14ac:dyDescent="0.3">
      <c r="A664" t="s">
        <v>1383</v>
      </c>
      <c r="B664">
        <v>45589</v>
      </c>
      <c r="C664" t="s">
        <v>63</v>
      </c>
      <c r="D664" t="s">
        <v>41</v>
      </c>
      <c r="E664" t="s">
        <v>42</v>
      </c>
      <c r="F664" t="s">
        <v>33</v>
      </c>
      <c r="G664" t="s">
        <v>92</v>
      </c>
      <c r="H664" t="s">
        <v>178</v>
      </c>
      <c r="I664" t="s">
        <v>1384</v>
      </c>
      <c r="J664">
        <v>5</v>
      </c>
      <c r="K664">
        <v>71558</v>
      </c>
      <c r="L664">
        <v>0.22</v>
      </c>
      <c r="M664">
        <f>'Raw data'!$K664*(1- 'Raw data'!$L664)</f>
        <v>55815.240000000005</v>
      </c>
      <c r="N664">
        <v>279076.2</v>
      </c>
      <c r="O664">
        <v>0.15</v>
      </c>
      <c r="P664">
        <v>41861.43</v>
      </c>
      <c r="Q664" t="s">
        <v>51</v>
      </c>
      <c r="R664" t="s">
        <v>48</v>
      </c>
      <c r="S664">
        <v>7</v>
      </c>
    </row>
    <row r="665" spans="1:19" x14ac:dyDescent="0.3">
      <c r="A665" t="s">
        <v>1385</v>
      </c>
      <c r="B665">
        <v>45590</v>
      </c>
      <c r="C665" t="s">
        <v>63</v>
      </c>
      <c r="D665" t="s">
        <v>56</v>
      </c>
      <c r="E665" t="s">
        <v>42</v>
      </c>
      <c r="F665" t="s">
        <v>68</v>
      </c>
      <c r="G665" t="s">
        <v>44</v>
      </c>
      <c r="H665" t="s">
        <v>45</v>
      </c>
      <c r="I665" t="s">
        <v>1386</v>
      </c>
      <c r="J665">
        <v>8</v>
      </c>
      <c r="K665">
        <v>4785</v>
      </c>
      <c r="L665">
        <v>0.2</v>
      </c>
      <c r="M665">
        <f>'Raw data'!$K665*(1- 'Raw data'!$L665)</f>
        <v>3828</v>
      </c>
      <c r="N665">
        <v>30624</v>
      </c>
      <c r="O665">
        <v>0.35</v>
      </c>
      <c r="P665">
        <v>10718.4</v>
      </c>
      <c r="Q665" t="s">
        <v>51</v>
      </c>
      <c r="R665" t="s">
        <v>38</v>
      </c>
      <c r="S665">
        <v>6</v>
      </c>
    </row>
    <row r="666" spans="1:19" x14ac:dyDescent="0.3">
      <c r="A666" t="s">
        <v>1387</v>
      </c>
      <c r="B666">
        <v>45591</v>
      </c>
      <c r="C666" t="s">
        <v>96</v>
      </c>
      <c r="D666" t="s">
        <v>21</v>
      </c>
      <c r="E666" t="s">
        <v>22</v>
      </c>
      <c r="F666" t="s">
        <v>97</v>
      </c>
      <c r="G666" t="s">
        <v>44</v>
      </c>
      <c r="H666" t="s">
        <v>138</v>
      </c>
      <c r="I666" t="s">
        <v>139</v>
      </c>
      <c r="J666">
        <v>6</v>
      </c>
      <c r="K666">
        <v>869</v>
      </c>
      <c r="L666">
        <v>0.16</v>
      </c>
      <c r="M666">
        <f>'Raw data'!$K666*(1- 'Raw data'!$L666)</f>
        <v>729.95999999999992</v>
      </c>
      <c r="N666">
        <v>4379.76</v>
      </c>
      <c r="O666">
        <v>0.35</v>
      </c>
      <c r="P666">
        <v>1532.92</v>
      </c>
      <c r="Q666" t="s">
        <v>51</v>
      </c>
      <c r="R666" t="s">
        <v>48</v>
      </c>
      <c r="S666">
        <v>6</v>
      </c>
    </row>
    <row r="667" spans="1:19" x14ac:dyDescent="0.3">
      <c r="A667" t="s">
        <v>1388</v>
      </c>
      <c r="B667">
        <v>45592</v>
      </c>
      <c r="C667" t="s">
        <v>20</v>
      </c>
      <c r="D667" t="s">
        <v>56</v>
      </c>
      <c r="E667" t="s">
        <v>32</v>
      </c>
      <c r="F667" t="s">
        <v>97</v>
      </c>
      <c r="G667" t="s">
        <v>92</v>
      </c>
      <c r="H667" t="s">
        <v>243</v>
      </c>
      <c r="I667" t="s">
        <v>520</v>
      </c>
      <c r="J667">
        <v>6</v>
      </c>
      <c r="K667">
        <v>56857</v>
      </c>
      <c r="L667">
        <v>0.19</v>
      </c>
      <c r="M667">
        <f>'Raw data'!$K667*(1- 'Raw data'!$L667)</f>
        <v>46054.170000000006</v>
      </c>
      <c r="N667">
        <v>276325.02</v>
      </c>
      <c r="O667">
        <v>0.15</v>
      </c>
      <c r="P667">
        <v>41448.75</v>
      </c>
      <c r="Q667" t="s">
        <v>47</v>
      </c>
      <c r="R667" t="s">
        <v>38</v>
      </c>
      <c r="S667">
        <v>7</v>
      </c>
    </row>
    <row r="668" spans="1:19" x14ac:dyDescent="0.3">
      <c r="A668" t="s">
        <v>1389</v>
      </c>
      <c r="B668">
        <v>45593</v>
      </c>
      <c r="C668" t="s">
        <v>96</v>
      </c>
      <c r="D668" t="s">
        <v>56</v>
      </c>
      <c r="E668" t="s">
        <v>32</v>
      </c>
      <c r="F668" t="s">
        <v>33</v>
      </c>
      <c r="G668" t="s">
        <v>34</v>
      </c>
      <c r="H668" t="s">
        <v>35</v>
      </c>
      <c r="I668" t="s">
        <v>1390</v>
      </c>
      <c r="J668">
        <v>1</v>
      </c>
      <c r="K668">
        <v>348</v>
      </c>
      <c r="L668">
        <v>0.04</v>
      </c>
      <c r="M668">
        <f>'Raw data'!$K668*(1- 'Raw data'!$L668)</f>
        <v>334.08</v>
      </c>
      <c r="N668">
        <v>334.08</v>
      </c>
      <c r="O668">
        <v>0.4</v>
      </c>
      <c r="P668">
        <v>133.63</v>
      </c>
      <c r="Q668" t="s">
        <v>47</v>
      </c>
      <c r="R668" t="s">
        <v>38</v>
      </c>
      <c r="S668">
        <v>1</v>
      </c>
    </row>
    <row r="669" spans="1:19" x14ac:dyDescent="0.3">
      <c r="A669" t="s">
        <v>1391</v>
      </c>
      <c r="B669">
        <v>45594</v>
      </c>
      <c r="C669" t="s">
        <v>30</v>
      </c>
      <c r="D669" t="s">
        <v>31</v>
      </c>
      <c r="E669" t="s">
        <v>42</v>
      </c>
      <c r="F669" t="s">
        <v>97</v>
      </c>
      <c r="G669" t="s">
        <v>92</v>
      </c>
      <c r="H669" t="s">
        <v>109</v>
      </c>
      <c r="I669" t="s">
        <v>1392</v>
      </c>
      <c r="J669">
        <v>4</v>
      </c>
      <c r="K669">
        <v>35227</v>
      </c>
      <c r="L669">
        <v>0.11</v>
      </c>
      <c r="M669">
        <f>'Raw data'!$K669*(1- 'Raw data'!$L669)</f>
        <v>31352.03</v>
      </c>
      <c r="N669">
        <v>125408.12</v>
      </c>
      <c r="O669">
        <v>0.15</v>
      </c>
      <c r="P669">
        <v>18811.22</v>
      </c>
      <c r="Q669" t="s">
        <v>37</v>
      </c>
      <c r="R669" t="s">
        <v>48</v>
      </c>
      <c r="S669">
        <v>4</v>
      </c>
    </row>
    <row r="670" spans="1:19" x14ac:dyDescent="0.3">
      <c r="A670" t="s">
        <v>1393</v>
      </c>
      <c r="B670">
        <v>45595</v>
      </c>
      <c r="C670" t="s">
        <v>63</v>
      </c>
      <c r="D670" t="s">
        <v>41</v>
      </c>
      <c r="E670" t="s">
        <v>42</v>
      </c>
      <c r="F670" t="s">
        <v>23</v>
      </c>
      <c r="G670" t="s">
        <v>57</v>
      </c>
      <c r="H670" t="s">
        <v>58</v>
      </c>
      <c r="I670" t="s">
        <v>1394</v>
      </c>
      <c r="J670">
        <v>5</v>
      </c>
      <c r="K670">
        <v>7978</v>
      </c>
      <c r="L670">
        <v>0.09</v>
      </c>
      <c r="M670">
        <f>'Raw data'!$K670*(1- 'Raw data'!$L670)</f>
        <v>7259.9800000000005</v>
      </c>
      <c r="N670">
        <v>36299.9</v>
      </c>
      <c r="O670">
        <v>0.2</v>
      </c>
      <c r="P670">
        <v>7259.98</v>
      </c>
      <c r="Q670" t="s">
        <v>27</v>
      </c>
      <c r="R670" t="s">
        <v>48</v>
      </c>
      <c r="S670">
        <v>1</v>
      </c>
    </row>
    <row r="671" spans="1:19" x14ac:dyDescent="0.3">
      <c r="A671" t="s">
        <v>1395</v>
      </c>
      <c r="B671">
        <v>45596</v>
      </c>
      <c r="C671" t="s">
        <v>55</v>
      </c>
      <c r="D671" t="s">
        <v>41</v>
      </c>
      <c r="E671" t="s">
        <v>67</v>
      </c>
      <c r="F671" t="s">
        <v>103</v>
      </c>
      <c r="G671" t="s">
        <v>92</v>
      </c>
      <c r="H671" t="s">
        <v>178</v>
      </c>
      <c r="I671" t="s">
        <v>1396</v>
      </c>
      <c r="J671">
        <v>3</v>
      </c>
      <c r="K671">
        <v>27153</v>
      </c>
      <c r="L671">
        <v>0.02</v>
      </c>
      <c r="M671">
        <f>'Raw data'!$K671*(1- 'Raw data'!$L671)</f>
        <v>26609.94</v>
      </c>
      <c r="N671">
        <v>79829.820000000007</v>
      </c>
      <c r="O671">
        <v>0.15</v>
      </c>
      <c r="P671">
        <v>11974.47</v>
      </c>
      <c r="Q671" t="s">
        <v>27</v>
      </c>
      <c r="R671" t="s">
        <v>48</v>
      </c>
      <c r="S671">
        <v>6</v>
      </c>
    </row>
    <row r="672" spans="1:19" x14ac:dyDescent="0.3">
      <c r="A672" t="s">
        <v>1397</v>
      </c>
      <c r="B672">
        <v>45597</v>
      </c>
      <c r="C672" t="s">
        <v>30</v>
      </c>
      <c r="D672" t="s">
        <v>31</v>
      </c>
      <c r="E672" t="s">
        <v>42</v>
      </c>
      <c r="F672" t="s">
        <v>43</v>
      </c>
      <c r="G672" t="s">
        <v>44</v>
      </c>
      <c r="H672" t="s">
        <v>116</v>
      </c>
      <c r="I672" t="s">
        <v>1398</v>
      </c>
      <c r="J672">
        <v>9</v>
      </c>
      <c r="K672">
        <v>2921</v>
      </c>
      <c r="L672">
        <v>0.12</v>
      </c>
      <c r="M672">
        <f>'Raw data'!$K672*(1- 'Raw data'!$L672)</f>
        <v>2570.48</v>
      </c>
      <c r="N672">
        <v>23134.32</v>
      </c>
      <c r="O672">
        <v>0.35</v>
      </c>
      <c r="P672">
        <v>8097.01</v>
      </c>
      <c r="Q672" t="s">
        <v>51</v>
      </c>
      <c r="R672" t="s">
        <v>38</v>
      </c>
      <c r="S672">
        <v>4</v>
      </c>
    </row>
    <row r="673" spans="1:19" x14ac:dyDescent="0.3">
      <c r="A673" t="s">
        <v>1399</v>
      </c>
      <c r="B673">
        <v>45598</v>
      </c>
      <c r="C673" t="s">
        <v>96</v>
      </c>
      <c r="D673" t="s">
        <v>31</v>
      </c>
      <c r="E673" t="s">
        <v>67</v>
      </c>
      <c r="F673" t="s">
        <v>68</v>
      </c>
      <c r="G673" t="s">
        <v>92</v>
      </c>
      <c r="H673" t="s">
        <v>243</v>
      </c>
      <c r="I673" t="s">
        <v>1400</v>
      </c>
      <c r="J673">
        <v>1</v>
      </c>
      <c r="K673">
        <v>49071</v>
      </c>
      <c r="L673">
        <v>0.23</v>
      </c>
      <c r="M673">
        <f>'Raw data'!$K673*(1- 'Raw data'!$L673)</f>
        <v>37784.67</v>
      </c>
      <c r="N673">
        <v>37784.67</v>
      </c>
      <c r="O673">
        <v>0.15</v>
      </c>
      <c r="P673">
        <v>5667.7</v>
      </c>
      <c r="Q673" t="s">
        <v>47</v>
      </c>
      <c r="R673" t="s">
        <v>48</v>
      </c>
      <c r="S673">
        <v>1</v>
      </c>
    </row>
    <row r="674" spans="1:19" x14ac:dyDescent="0.3">
      <c r="A674" t="s">
        <v>1401</v>
      </c>
      <c r="B674">
        <v>45599</v>
      </c>
      <c r="C674" t="s">
        <v>40</v>
      </c>
      <c r="D674" t="s">
        <v>56</v>
      </c>
      <c r="E674" t="s">
        <v>42</v>
      </c>
      <c r="F674" t="s">
        <v>43</v>
      </c>
      <c r="G674" t="s">
        <v>34</v>
      </c>
      <c r="H674" t="s">
        <v>141</v>
      </c>
      <c r="I674" t="s">
        <v>1402</v>
      </c>
      <c r="J674">
        <v>6</v>
      </c>
      <c r="K674">
        <v>550</v>
      </c>
      <c r="L674">
        <v>0.01</v>
      </c>
      <c r="M674">
        <f>'Raw data'!$K674*(1- 'Raw data'!$L674)</f>
        <v>544.5</v>
      </c>
      <c r="N674">
        <v>3267</v>
      </c>
      <c r="O674">
        <v>0.4</v>
      </c>
      <c r="P674">
        <v>1306.8</v>
      </c>
      <c r="Q674" t="s">
        <v>47</v>
      </c>
      <c r="R674" t="s">
        <v>48</v>
      </c>
      <c r="S674">
        <v>9</v>
      </c>
    </row>
    <row r="675" spans="1:19" x14ac:dyDescent="0.3">
      <c r="A675" t="s">
        <v>1403</v>
      </c>
      <c r="B675">
        <v>45600</v>
      </c>
      <c r="C675" t="s">
        <v>63</v>
      </c>
      <c r="D675" t="s">
        <v>21</v>
      </c>
      <c r="E675" t="s">
        <v>22</v>
      </c>
      <c r="F675" t="s">
        <v>103</v>
      </c>
      <c r="G675" t="s">
        <v>24</v>
      </c>
      <c r="H675" t="s">
        <v>121</v>
      </c>
      <c r="I675" t="s">
        <v>1404</v>
      </c>
      <c r="J675">
        <v>6</v>
      </c>
      <c r="K675">
        <v>4983</v>
      </c>
      <c r="L675">
        <v>7.0000000000000007E-2</v>
      </c>
      <c r="M675">
        <f>'Raw data'!$K675*(1- 'Raw data'!$L675)</f>
        <v>4634.1899999999996</v>
      </c>
      <c r="N675">
        <v>27805.14</v>
      </c>
      <c r="O675">
        <v>0.25</v>
      </c>
      <c r="P675">
        <v>6951.28</v>
      </c>
      <c r="Q675" t="s">
        <v>51</v>
      </c>
      <c r="R675" t="s">
        <v>38</v>
      </c>
      <c r="S675">
        <v>4</v>
      </c>
    </row>
    <row r="676" spans="1:19" x14ac:dyDescent="0.3">
      <c r="A676" t="s">
        <v>1405</v>
      </c>
      <c r="B676">
        <v>45601</v>
      </c>
      <c r="C676" t="s">
        <v>55</v>
      </c>
      <c r="D676" t="s">
        <v>41</v>
      </c>
      <c r="E676" t="s">
        <v>22</v>
      </c>
      <c r="F676" t="s">
        <v>103</v>
      </c>
      <c r="G676" t="s">
        <v>92</v>
      </c>
      <c r="H676" t="s">
        <v>178</v>
      </c>
      <c r="I676" t="s">
        <v>1406</v>
      </c>
      <c r="J676">
        <v>5</v>
      </c>
      <c r="K676">
        <v>19503</v>
      </c>
      <c r="L676">
        <v>0.05</v>
      </c>
      <c r="M676">
        <f>'Raw data'!$K676*(1- 'Raw data'!$L676)</f>
        <v>18527.849999999999</v>
      </c>
      <c r="N676">
        <v>92639.25</v>
      </c>
      <c r="O676">
        <v>0.15</v>
      </c>
      <c r="P676">
        <v>13895.89</v>
      </c>
      <c r="Q676" t="s">
        <v>51</v>
      </c>
      <c r="R676" t="s">
        <v>48</v>
      </c>
      <c r="S676">
        <v>6</v>
      </c>
    </row>
    <row r="677" spans="1:19" x14ac:dyDescent="0.3">
      <c r="A677" t="s">
        <v>1407</v>
      </c>
      <c r="B677">
        <v>45602</v>
      </c>
      <c r="C677" t="s">
        <v>30</v>
      </c>
      <c r="D677" t="s">
        <v>21</v>
      </c>
      <c r="E677" t="s">
        <v>67</v>
      </c>
      <c r="F677" t="s">
        <v>23</v>
      </c>
      <c r="G677" t="s">
        <v>34</v>
      </c>
      <c r="H677" t="s">
        <v>35</v>
      </c>
      <c r="I677" t="s">
        <v>1408</v>
      </c>
      <c r="J677">
        <v>5</v>
      </c>
      <c r="K677">
        <v>1091</v>
      </c>
      <c r="L677">
        <v>0.06</v>
      </c>
      <c r="M677">
        <f>'Raw data'!$K677*(1- 'Raw data'!$L677)</f>
        <v>1025.54</v>
      </c>
      <c r="N677">
        <v>5127.7</v>
      </c>
      <c r="O677">
        <v>0.4</v>
      </c>
      <c r="P677">
        <v>2051.08</v>
      </c>
      <c r="Q677" t="s">
        <v>37</v>
      </c>
      <c r="R677" t="s">
        <v>48</v>
      </c>
      <c r="S677">
        <v>7</v>
      </c>
    </row>
    <row r="678" spans="1:19" x14ac:dyDescent="0.3">
      <c r="A678" t="s">
        <v>1409</v>
      </c>
      <c r="B678">
        <v>45603</v>
      </c>
      <c r="C678" t="s">
        <v>63</v>
      </c>
      <c r="D678" t="s">
        <v>21</v>
      </c>
      <c r="E678" t="s">
        <v>32</v>
      </c>
      <c r="F678" t="s">
        <v>97</v>
      </c>
      <c r="G678" t="s">
        <v>34</v>
      </c>
      <c r="H678" t="s">
        <v>104</v>
      </c>
      <c r="I678" t="s">
        <v>1410</v>
      </c>
      <c r="J678">
        <v>5</v>
      </c>
      <c r="K678">
        <v>1449</v>
      </c>
      <c r="L678">
        <v>0.23</v>
      </c>
      <c r="M678">
        <f>'Raw data'!$K678*(1- 'Raw data'!$L678)</f>
        <v>1115.73</v>
      </c>
      <c r="N678">
        <v>5578.65</v>
      </c>
      <c r="O678">
        <v>0.4</v>
      </c>
      <c r="P678">
        <v>2231.46</v>
      </c>
      <c r="Q678" t="s">
        <v>27</v>
      </c>
      <c r="R678" t="s">
        <v>48</v>
      </c>
      <c r="S678">
        <v>8</v>
      </c>
    </row>
    <row r="679" spans="1:19" x14ac:dyDescent="0.3">
      <c r="A679" t="s">
        <v>1411</v>
      </c>
      <c r="B679">
        <v>45604</v>
      </c>
      <c r="C679" t="s">
        <v>20</v>
      </c>
      <c r="D679" t="s">
        <v>31</v>
      </c>
      <c r="E679" t="s">
        <v>22</v>
      </c>
      <c r="F679" t="s">
        <v>97</v>
      </c>
      <c r="G679" t="s">
        <v>44</v>
      </c>
      <c r="H679" t="s">
        <v>45</v>
      </c>
      <c r="I679" t="s">
        <v>1412</v>
      </c>
      <c r="J679">
        <v>6</v>
      </c>
      <c r="K679">
        <v>1022</v>
      </c>
      <c r="L679">
        <v>0.12</v>
      </c>
      <c r="M679">
        <f>'Raw data'!$K679*(1- 'Raw data'!$L679)</f>
        <v>899.36</v>
      </c>
      <c r="N679">
        <v>5396.16</v>
      </c>
      <c r="O679">
        <v>0.35</v>
      </c>
      <c r="P679">
        <v>1888.66</v>
      </c>
      <c r="Q679" t="s">
        <v>27</v>
      </c>
      <c r="R679" t="s">
        <v>48</v>
      </c>
      <c r="S679">
        <v>9</v>
      </c>
    </row>
    <row r="680" spans="1:19" x14ac:dyDescent="0.3">
      <c r="A680" t="s">
        <v>1413</v>
      </c>
      <c r="B680">
        <v>45605</v>
      </c>
      <c r="C680" t="s">
        <v>40</v>
      </c>
      <c r="D680" t="s">
        <v>21</v>
      </c>
      <c r="E680" t="s">
        <v>67</v>
      </c>
      <c r="F680" t="s">
        <v>103</v>
      </c>
      <c r="G680" t="s">
        <v>34</v>
      </c>
      <c r="H680" t="s">
        <v>104</v>
      </c>
      <c r="I680" t="s">
        <v>1414</v>
      </c>
      <c r="J680">
        <v>8</v>
      </c>
      <c r="K680">
        <v>721</v>
      </c>
      <c r="L680">
        <v>0.12</v>
      </c>
      <c r="M680">
        <f>'Raw data'!$K680*(1- 'Raw data'!$L680)</f>
        <v>634.48</v>
      </c>
      <c r="N680">
        <v>5075.84</v>
      </c>
      <c r="O680">
        <v>0.4</v>
      </c>
      <c r="P680">
        <v>2030.34</v>
      </c>
      <c r="Q680" t="s">
        <v>27</v>
      </c>
      <c r="R680" t="s">
        <v>48</v>
      </c>
      <c r="S680">
        <v>9</v>
      </c>
    </row>
    <row r="681" spans="1:19" x14ac:dyDescent="0.3">
      <c r="A681" t="s">
        <v>1415</v>
      </c>
      <c r="B681">
        <v>45606</v>
      </c>
      <c r="C681" t="s">
        <v>30</v>
      </c>
      <c r="D681" t="s">
        <v>56</v>
      </c>
      <c r="E681" t="s">
        <v>42</v>
      </c>
      <c r="F681" t="s">
        <v>23</v>
      </c>
      <c r="G681" t="s">
        <v>34</v>
      </c>
      <c r="H681" t="s">
        <v>104</v>
      </c>
      <c r="I681" t="s">
        <v>1416</v>
      </c>
      <c r="J681">
        <v>2</v>
      </c>
      <c r="K681">
        <v>982</v>
      </c>
      <c r="L681">
        <v>0.19</v>
      </c>
      <c r="M681">
        <f>'Raw data'!$K681*(1- 'Raw data'!$L681)</f>
        <v>795.42000000000007</v>
      </c>
      <c r="N681">
        <v>1590.84</v>
      </c>
      <c r="O681">
        <v>0.4</v>
      </c>
      <c r="P681">
        <v>636.34</v>
      </c>
      <c r="Q681" t="s">
        <v>37</v>
      </c>
      <c r="R681" t="s">
        <v>48</v>
      </c>
      <c r="S681">
        <v>8</v>
      </c>
    </row>
    <row r="682" spans="1:19" x14ac:dyDescent="0.3">
      <c r="A682" t="s">
        <v>1417</v>
      </c>
      <c r="B682">
        <v>45607</v>
      </c>
      <c r="C682" t="s">
        <v>20</v>
      </c>
      <c r="D682" t="s">
        <v>31</v>
      </c>
      <c r="E682" t="s">
        <v>42</v>
      </c>
      <c r="F682" t="s">
        <v>23</v>
      </c>
      <c r="G682" t="s">
        <v>34</v>
      </c>
      <c r="H682" t="s">
        <v>104</v>
      </c>
      <c r="I682" t="s">
        <v>1418</v>
      </c>
      <c r="J682">
        <v>6</v>
      </c>
      <c r="K682">
        <v>472</v>
      </c>
      <c r="L682">
        <v>0.04</v>
      </c>
      <c r="M682">
        <f>'Raw data'!$K682*(1- 'Raw data'!$L682)</f>
        <v>453.12</v>
      </c>
      <c r="N682">
        <v>2718.72</v>
      </c>
      <c r="O682">
        <v>0.4</v>
      </c>
      <c r="P682">
        <v>1087.49</v>
      </c>
      <c r="Q682" t="s">
        <v>51</v>
      </c>
      <c r="R682" t="s">
        <v>48</v>
      </c>
      <c r="S682">
        <v>3</v>
      </c>
    </row>
    <row r="683" spans="1:19" x14ac:dyDescent="0.3">
      <c r="A683" t="s">
        <v>1419</v>
      </c>
      <c r="B683">
        <v>45608</v>
      </c>
      <c r="C683" t="s">
        <v>96</v>
      </c>
      <c r="D683" t="s">
        <v>21</v>
      </c>
      <c r="E683" t="s">
        <v>67</v>
      </c>
      <c r="F683" t="s">
        <v>33</v>
      </c>
      <c r="G683" t="s">
        <v>34</v>
      </c>
      <c r="H683" t="s">
        <v>141</v>
      </c>
      <c r="I683" t="s">
        <v>1420</v>
      </c>
      <c r="J683">
        <v>1</v>
      </c>
      <c r="K683">
        <v>1135</v>
      </c>
      <c r="L683">
        <v>0.12</v>
      </c>
      <c r="M683">
        <f>'Raw data'!$K683*(1- 'Raw data'!$L683)</f>
        <v>998.8</v>
      </c>
      <c r="N683">
        <v>998.8</v>
      </c>
      <c r="O683">
        <v>0.4</v>
      </c>
      <c r="P683">
        <v>399.52</v>
      </c>
      <c r="Q683" t="s">
        <v>51</v>
      </c>
      <c r="R683" t="s">
        <v>38</v>
      </c>
      <c r="S683">
        <v>2</v>
      </c>
    </row>
    <row r="684" spans="1:19" x14ac:dyDescent="0.3">
      <c r="A684" t="s">
        <v>1421</v>
      </c>
      <c r="B684">
        <v>45609</v>
      </c>
      <c r="C684" t="s">
        <v>20</v>
      </c>
      <c r="D684" t="s">
        <v>31</v>
      </c>
      <c r="E684" t="s">
        <v>32</v>
      </c>
      <c r="F684" t="s">
        <v>68</v>
      </c>
      <c r="G684" t="s">
        <v>57</v>
      </c>
      <c r="H684" t="s">
        <v>100</v>
      </c>
      <c r="I684" t="s">
        <v>1422</v>
      </c>
      <c r="J684">
        <v>4</v>
      </c>
      <c r="K684">
        <v>14232</v>
      </c>
      <c r="L684">
        <v>0.11</v>
      </c>
      <c r="M684">
        <f>'Raw data'!$K684*(1- 'Raw data'!$L684)</f>
        <v>12666.48</v>
      </c>
      <c r="N684">
        <v>50665.919999999998</v>
      </c>
      <c r="O684">
        <v>0.2</v>
      </c>
      <c r="P684">
        <v>10133.18</v>
      </c>
      <c r="Q684" t="s">
        <v>27</v>
      </c>
      <c r="R684" t="s">
        <v>48</v>
      </c>
      <c r="S684">
        <v>5</v>
      </c>
    </row>
    <row r="685" spans="1:19" x14ac:dyDescent="0.3">
      <c r="A685" t="s">
        <v>1423</v>
      </c>
      <c r="B685">
        <v>45610</v>
      </c>
      <c r="C685" t="s">
        <v>30</v>
      </c>
      <c r="D685" t="s">
        <v>56</v>
      </c>
      <c r="E685" t="s">
        <v>67</v>
      </c>
      <c r="F685" t="s">
        <v>97</v>
      </c>
      <c r="G685" t="s">
        <v>57</v>
      </c>
      <c r="H685" t="s">
        <v>58</v>
      </c>
      <c r="I685" t="s">
        <v>1424</v>
      </c>
      <c r="J685">
        <v>3</v>
      </c>
      <c r="K685">
        <v>6583</v>
      </c>
      <c r="L685">
        <v>0.15</v>
      </c>
      <c r="M685">
        <f>'Raw data'!$K685*(1- 'Raw data'!$L685)</f>
        <v>5595.55</v>
      </c>
      <c r="N685">
        <v>16786.650000000001</v>
      </c>
      <c r="O685">
        <v>0.2</v>
      </c>
      <c r="P685">
        <v>3357.33</v>
      </c>
      <c r="Q685" t="s">
        <v>27</v>
      </c>
      <c r="R685" t="s">
        <v>28</v>
      </c>
      <c r="S685">
        <v>1</v>
      </c>
    </row>
    <row r="686" spans="1:19" x14ac:dyDescent="0.3">
      <c r="A686" t="s">
        <v>1425</v>
      </c>
      <c r="B686">
        <v>45611</v>
      </c>
      <c r="C686" t="s">
        <v>30</v>
      </c>
      <c r="D686" t="s">
        <v>56</v>
      </c>
      <c r="E686" t="s">
        <v>67</v>
      </c>
      <c r="F686" t="s">
        <v>103</v>
      </c>
      <c r="G686" t="s">
        <v>44</v>
      </c>
      <c r="H686" t="s">
        <v>45</v>
      </c>
      <c r="I686" t="s">
        <v>1426</v>
      </c>
      <c r="J686">
        <v>9</v>
      </c>
      <c r="K686">
        <v>4197</v>
      </c>
      <c r="L686">
        <v>0.25</v>
      </c>
      <c r="M686">
        <f>'Raw data'!$K686*(1- 'Raw data'!$L686)</f>
        <v>3147.75</v>
      </c>
      <c r="N686">
        <v>28329.75</v>
      </c>
      <c r="O686">
        <v>0.35</v>
      </c>
      <c r="P686">
        <v>9915.41</v>
      </c>
      <c r="Q686" t="s">
        <v>37</v>
      </c>
      <c r="R686" t="s">
        <v>28</v>
      </c>
      <c r="S686">
        <v>3</v>
      </c>
    </row>
    <row r="687" spans="1:19" x14ac:dyDescent="0.3">
      <c r="A687" t="s">
        <v>1427</v>
      </c>
      <c r="B687">
        <v>45612</v>
      </c>
      <c r="C687" t="s">
        <v>96</v>
      </c>
      <c r="D687" t="s">
        <v>21</v>
      </c>
      <c r="E687" t="s">
        <v>22</v>
      </c>
      <c r="F687" t="s">
        <v>33</v>
      </c>
      <c r="G687" t="s">
        <v>92</v>
      </c>
      <c r="H687" t="s">
        <v>243</v>
      </c>
      <c r="I687" t="s">
        <v>1428</v>
      </c>
      <c r="J687">
        <v>3</v>
      </c>
      <c r="K687">
        <v>12461</v>
      </c>
      <c r="L687">
        <v>0.19</v>
      </c>
      <c r="M687">
        <f>'Raw data'!$K687*(1- 'Raw data'!$L687)</f>
        <v>10093.41</v>
      </c>
      <c r="N687">
        <v>30280.23</v>
      </c>
      <c r="O687">
        <v>0.15</v>
      </c>
      <c r="P687">
        <v>4542.03</v>
      </c>
      <c r="Q687" t="s">
        <v>47</v>
      </c>
      <c r="R687" t="s">
        <v>48</v>
      </c>
      <c r="S687">
        <v>1</v>
      </c>
    </row>
    <row r="688" spans="1:19" x14ac:dyDescent="0.3">
      <c r="A688" t="s">
        <v>1429</v>
      </c>
      <c r="B688">
        <v>45613</v>
      </c>
      <c r="C688" t="s">
        <v>20</v>
      </c>
      <c r="D688" t="s">
        <v>31</v>
      </c>
      <c r="E688" t="s">
        <v>67</v>
      </c>
      <c r="F688" t="s">
        <v>43</v>
      </c>
      <c r="G688" t="s">
        <v>34</v>
      </c>
      <c r="H688" t="s">
        <v>104</v>
      </c>
      <c r="I688" t="s">
        <v>1430</v>
      </c>
      <c r="J688">
        <v>6</v>
      </c>
      <c r="K688">
        <v>1395</v>
      </c>
      <c r="L688">
        <v>0.1</v>
      </c>
      <c r="M688">
        <f>'Raw data'!$K688*(1- 'Raw data'!$L688)</f>
        <v>1255.5</v>
      </c>
      <c r="N688">
        <v>7533</v>
      </c>
      <c r="O688">
        <v>0.4</v>
      </c>
      <c r="P688">
        <v>3013.2</v>
      </c>
      <c r="Q688" t="s">
        <v>47</v>
      </c>
      <c r="R688" t="s">
        <v>48</v>
      </c>
      <c r="S688">
        <v>3</v>
      </c>
    </row>
    <row r="689" spans="1:19" x14ac:dyDescent="0.3">
      <c r="A689" t="s">
        <v>1431</v>
      </c>
      <c r="B689">
        <v>45614</v>
      </c>
      <c r="C689" t="s">
        <v>20</v>
      </c>
      <c r="D689" t="s">
        <v>21</v>
      </c>
      <c r="E689" t="s">
        <v>67</v>
      </c>
      <c r="F689" t="s">
        <v>97</v>
      </c>
      <c r="G689" t="s">
        <v>92</v>
      </c>
      <c r="H689" t="s">
        <v>109</v>
      </c>
      <c r="I689" t="s">
        <v>1432</v>
      </c>
      <c r="J689">
        <v>1</v>
      </c>
      <c r="K689">
        <v>74946</v>
      </c>
      <c r="L689">
        <v>0.21</v>
      </c>
      <c r="M689">
        <f>'Raw data'!$K689*(1- 'Raw data'!$L689)</f>
        <v>59207.340000000004</v>
      </c>
      <c r="N689">
        <v>59207.34</v>
      </c>
      <c r="O689">
        <v>0.15</v>
      </c>
      <c r="P689">
        <v>8881.1</v>
      </c>
      <c r="Q689" t="s">
        <v>27</v>
      </c>
      <c r="R689" t="s">
        <v>48</v>
      </c>
      <c r="S689">
        <v>4</v>
      </c>
    </row>
    <row r="690" spans="1:19" x14ac:dyDescent="0.3">
      <c r="A690" t="s">
        <v>1433</v>
      </c>
      <c r="B690">
        <v>45615</v>
      </c>
      <c r="C690" t="s">
        <v>96</v>
      </c>
      <c r="D690" t="s">
        <v>21</v>
      </c>
      <c r="E690" t="s">
        <v>42</v>
      </c>
      <c r="F690" t="s">
        <v>68</v>
      </c>
      <c r="G690" t="s">
        <v>92</v>
      </c>
      <c r="H690" t="s">
        <v>243</v>
      </c>
      <c r="I690" t="s">
        <v>1434</v>
      </c>
      <c r="J690">
        <v>6</v>
      </c>
      <c r="K690">
        <v>71332</v>
      </c>
      <c r="L690">
        <v>0.04</v>
      </c>
      <c r="M690">
        <f>'Raw data'!$K690*(1- 'Raw data'!$L690)</f>
        <v>68478.720000000001</v>
      </c>
      <c r="N690">
        <v>410872.32000000001</v>
      </c>
      <c r="O690">
        <v>0.15</v>
      </c>
      <c r="P690">
        <v>61630.85</v>
      </c>
      <c r="Q690" t="s">
        <v>37</v>
      </c>
      <c r="R690" t="s">
        <v>48</v>
      </c>
      <c r="S690">
        <v>7</v>
      </c>
    </row>
    <row r="691" spans="1:19" x14ac:dyDescent="0.3">
      <c r="A691" t="s">
        <v>1435</v>
      </c>
      <c r="B691">
        <v>45616</v>
      </c>
      <c r="C691" t="s">
        <v>20</v>
      </c>
      <c r="D691" t="s">
        <v>31</v>
      </c>
      <c r="E691" t="s">
        <v>22</v>
      </c>
      <c r="F691" t="s">
        <v>23</v>
      </c>
      <c r="G691" t="s">
        <v>44</v>
      </c>
      <c r="H691" t="s">
        <v>138</v>
      </c>
      <c r="I691" t="s">
        <v>1436</v>
      </c>
      <c r="J691">
        <v>4</v>
      </c>
      <c r="K691">
        <v>4566</v>
      </c>
      <c r="L691">
        <v>0.01</v>
      </c>
      <c r="M691">
        <f>'Raw data'!$K691*(1- 'Raw data'!$L691)</f>
        <v>4520.34</v>
      </c>
      <c r="N691">
        <v>18081.36</v>
      </c>
      <c r="O691">
        <v>0.35</v>
      </c>
      <c r="P691">
        <v>6328.48</v>
      </c>
      <c r="Q691" t="s">
        <v>27</v>
      </c>
      <c r="R691" t="s">
        <v>48</v>
      </c>
      <c r="S691">
        <v>5</v>
      </c>
    </row>
    <row r="692" spans="1:19" x14ac:dyDescent="0.3">
      <c r="A692" t="s">
        <v>1437</v>
      </c>
      <c r="B692">
        <v>45617</v>
      </c>
      <c r="C692" t="s">
        <v>63</v>
      </c>
      <c r="D692" t="s">
        <v>21</v>
      </c>
      <c r="E692" t="s">
        <v>42</v>
      </c>
      <c r="F692" t="s">
        <v>103</v>
      </c>
      <c r="G692" t="s">
        <v>34</v>
      </c>
      <c r="H692" t="s">
        <v>35</v>
      </c>
      <c r="I692" t="s">
        <v>1438</v>
      </c>
      <c r="J692">
        <v>8</v>
      </c>
      <c r="K692">
        <v>321</v>
      </c>
      <c r="L692">
        <v>0.05</v>
      </c>
      <c r="M692">
        <f>'Raw data'!$K692*(1- 'Raw data'!$L692)</f>
        <v>304.95</v>
      </c>
      <c r="N692">
        <v>2439.6</v>
      </c>
      <c r="O692">
        <v>0.4</v>
      </c>
      <c r="P692">
        <v>975.84</v>
      </c>
      <c r="Q692" t="s">
        <v>47</v>
      </c>
      <c r="R692" t="s">
        <v>48</v>
      </c>
      <c r="S692">
        <v>5</v>
      </c>
    </row>
    <row r="693" spans="1:19" x14ac:dyDescent="0.3">
      <c r="A693" t="s">
        <v>1439</v>
      </c>
      <c r="B693">
        <v>45618</v>
      </c>
      <c r="C693" t="s">
        <v>96</v>
      </c>
      <c r="D693" t="s">
        <v>56</v>
      </c>
      <c r="E693" t="s">
        <v>42</v>
      </c>
      <c r="F693" t="s">
        <v>97</v>
      </c>
      <c r="G693" t="s">
        <v>34</v>
      </c>
      <c r="H693" t="s">
        <v>35</v>
      </c>
      <c r="I693" t="s">
        <v>1440</v>
      </c>
      <c r="J693">
        <v>9</v>
      </c>
      <c r="K693">
        <v>1445</v>
      </c>
      <c r="L693">
        <v>0.09</v>
      </c>
      <c r="M693">
        <f>'Raw data'!$K693*(1- 'Raw data'!$L693)</f>
        <v>1314.95</v>
      </c>
      <c r="N693">
        <v>11834.55</v>
      </c>
      <c r="O693">
        <v>0.4</v>
      </c>
      <c r="P693">
        <v>4733.82</v>
      </c>
      <c r="Q693" t="s">
        <v>27</v>
      </c>
      <c r="R693" t="s">
        <v>48</v>
      </c>
      <c r="S693">
        <v>1</v>
      </c>
    </row>
    <row r="694" spans="1:19" x14ac:dyDescent="0.3">
      <c r="A694" t="s">
        <v>1441</v>
      </c>
      <c r="B694">
        <v>45619</v>
      </c>
      <c r="C694" t="s">
        <v>40</v>
      </c>
      <c r="D694" t="s">
        <v>31</v>
      </c>
      <c r="E694" t="s">
        <v>32</v>
      </c>
      <c r="F694" t="s">
        <v>43</v>
      </c>
      <c r="G694" t="s">
        <v>24</v>
      </c>
      <c r="H694" t="s">
        <v>74</v>
      </c>
      <c r="I694" t="s">
        <v>1442</v>
      </c>
      <c r="J694">
        <v>4</v>
      </c>
      <c r="K694">
        <v>1038</v>
      </c>
      <c r="L694">
        <v>0.13</v>
      </c>
      <c r="M694">
        <f>'Raw data'!$K694*(1- 'Raw data'!$L694)</f>
        <v>903.06</v>
      </c>
      <c r="N694">
        <v>3612.24</v>
      </c>
      <c r="O694">
        <v>0.25</v>
      </c>
      <c r="P694">
        <v>903.06</v>
      </c>
      <c r="Q694" t="s">
        <v>47</v>
      </c>
      <c r="R694" t="s">
        <v>38</v>
      </c>
      <c r="S694">
        <v>8</v>
      </c>
    </row>
    <row r="695" spans="1:19" x14ac:dyDescent="0.3">
      <c r="A695" t="s">
        <v>1443</v>
      </c>
      <c r="B695">
        <v>45620</v>
      </c>
      <c r="C695" t="s">
        <v>30</v>
      </c>
      <c r="D695" t="s">
        <v>31</v>
      </c>
      <c r="E695" t="s">
        <v>32</v>
      </c>
      <c r="F695" t="s">
        <v>68</v>
      </c>
      <c r="G695" t="s">
        <v>92</v>
      </c>
      <c r="H695" t="s">
        <v>178</v>
      </c>
      <c r="I695" t="s">
        <v>1444</v>
      </c>
      <c r="J695">
        <v>6</v>
      </c>
      <c r="K695">
        <v>47643</v>
      </c>
      <c r="L695">
        <v>0.15</v>
      </c>
      <c r="M695">
        <f>'Raw data'!$K695*(1- 'Raw data'!$L695)</f>
        <v>40496.549999999996</v>
      </c>
      <c r="N695">
        <v>242979.3</v>
      </c>
      <c r="O695">
        <v>0.15</v>
      </c>
      <c r="P695">
        <v>36446.89</v>
      </c>
      <c r="Q695" t="s">
        <v>47</v>
      </c>
      <c r="R695" t="s">
        <v>48</v>
      </c>
      <c r="S695">
        <v>4</v>
      </c>
    </row>
    <row r="696" spans="1:19" x14ac:dyDescent="0.3">
      <c r="A696" t="s">
        <v>1445</v>
      </c>
      <c r="B696">
        <v>45621</v>
      </c>
      <c r="C696" t="s">
        <v>40</v>
      </c>
      <c r="D696" t="s">
        <v>31</v>
      </c>
      <c r="E696" t="s">
        <v>22</v>
      </c>
      <c r="F696" t="s">
        <v>68</v>
      </c>
      <c r="G696" t="s">
        <v>92</v>
      </c>
      <c r="H696" t="s">
        <v>109</v>
      </c>
      <c r="I696" t="s">
        <v>1446</v>
      </c>
      <c r="J696">
        <v>1</v>
      </c>
      <c r="K696">
        <v>60408</v>
      </c>
      <c r="L696">
        <v>0.23</v>
      </c>
      <c r="M696">
        <f>'Raw data'!$K696*(1- 'Raw data'!$L696)</f>
        <v>46514.16</v>
      </c>
      <c r="N696">
        <v>46514.16</v>
      </c>
      <c r="O696">
        <v>0.15</v>
      </c>
      <c r="P696">
        <v>6977.12</v>
      </c>
      <c r="Q696" t="s">
        <v>47</v>
      </c>
      <c r="R696" t="s">
        <v>48</v>
      </c>
      <c r="S696">
        <v>5</v>
      </c>
    </row>
    <row r="697" spans="1:19" x14ac:dyDescent="0.3">
      <c r="A697" t="s">
        <v>1447</v>
      </c>
      <c r="B697">
        <v>45622</v>
      </c>
      <c r="C697" t="s">
        <v>63</v>
      </c>
      <c r="D697" t="s">
        <v>31</v>
      </c>
      <c r="E697" t="s">
        <v>22</v>
      </c>
      <c r="F697" t="s">
        <v>33</v>
      </c>
      <c r="G697" t="s">
        <v>57</v>
      </c>
      <c r="H697" t="s">
        <v>58</v>
      </c>
      <c r="I697" t="s">
        <v>1448</v>
      </c>
      <c r="J697">
        <v>4</v>
      </c>
      <c r="K697">
        <v>13182</v>
      </c>
      <c r="L697">
        <v>0.13</v>
      </c>
      <c r="M697">
        <f>'Raw data'!$K697*(1- 'Raw data'!$L697)</f>
        <v>11468.34</v>
      </c>
      <c r="N697">
        <v>45873.36</v>
      </c>
      <c r="O697">
        <v>0.2</v>
      </c>
      <c r="P697">
        <v>9174.67</v>
      </c>
      <c r="Q697" t="s">
        <v>51</v>
      </c>
      <c r="R697" t="s">
        <v>48</v>
      </c>
      <c r="S697">
        <v>2</v>
      </c>
    </row>
    <row r="698" spans="1:19" x14ac:dyDescent="0.3">
      <c r="A698" t="s">
        <v>1449</v>
      </c>
      <c r="B698">
        <v>45623</v>
      </c>
      <c r="C698" t="s">
        <v>63</v>
      </c>
      <c r="D698" t="s">
        <v>21</v>
      </c>
      <c r="E698" t="s">
        <v>32</v>
      </c>
      <c r="F698" t="s">
        <v>97</v>
      </c>
      <c r="G698" t="s">
        <v>24</v>
      </c>
      <c r="H698" t="s">
        <v>121</v>
      </c>
      <c r="I698" t="s">
        <v>1450</v>
      </c>
      <c r="J698">
        <v>7</v>
      </c>
      <c r="K698">
        <v>8697</v>
      </c>
      <c r="L698">
        <v>0.13</v>
      </c>
      <c r="M698">
        <f>'Raw data'!$K698*(1- 'Raw data'!$L698)</f>
        <v>7566.39</v>
      </c>
      <c r="N698">
        <v>52964.73</v>
      </c>
      <c r="O698">
        <v>0.25</v>
      </c>
      <c r="P698">
        <v>13241.18</v>
      </c>
      <c r="Q698" t="s">
        <v>51</v>
      </c>
      <c r="R698" t="s">
        <v>28</v>
      </c>
      <c r="S698">
        <v>1</v>
      </c>
    </row>
    <row r="699" spans="1:19" x14ac:dyDescent="0.3">
      <c r="A699" t="s">
        <v>1451</v>
      </c>
      <c r="B699">
        <v>45624</v>
      </c>
      <c r="C699" t="s">
        <v>55</v>
      </c>
      <c r="D699" t="s">
        <v>21</v>
      </c>
      <c r="E699" t="s">
        <v>32</v>
      </c>
      <c r="F699" t="s">
        <v>43</v>
      </c>
      <c r="G699" t="s">
        <v>57</v>
      </c>
      <c r="H699" t="s">
        <v>58</v>
      </c>
      <c r="I699" t="s">
        <v>1452</v>
      </c>
      <c r="J699">
        <v>1</v>
      </c>
      <c r="K699">
        <v>4196</v>
      </c>
      <c r="L699">
        <v>0.01</v>
      </c>
      <c r="M699">
        <f>'Raw data'!$K699*(1- 'Raw data'!$L699)</f>
        <v>4154.04</v>
      </c>
      <c r="N699">
        <v>4154.04</v>
      </c>
      <c r="O699">
        <v>0.2</v>
      </c>
      <c r="P699">
        <v>830.81</v>
      </c>
      <c r="Q699" t="s">
        <v>27</v>
      </c>
      <c r="R699" t="s">
        <v>48</v>
      </c>
      <c r="S699">
        <v>9</v>
      </c>
    </row>
    <row r="700" spans="1:19" x14ac:dyDescent="0.3">
      <c r="A700" t="s">
        <v>1453</v>
      </c>
      <c r="B700">
        <v>45625</v>
      </c>
      <c r="C700" t="s">
        <v>55</v>
      </c>
      <c r="D700" t="s">
        <v>56</v>
      </c>
      <c r="E700" t="s">
        <v>32</v>
      </c>
      <c r="F700" t="s">
        <v>68</v>
      </c>
      <c r="G700" t="s">
        <v>57</v>
      </c>
      <c r="H700" t="s">
        <v>183</v>
      </c>
      <c r="I700" t="s">
        <v>1454</v>
      </c>
      <c r="J700">
        <v>8</v>
      </c>
      <c r="K700">
        <v>9165</v>
      </c>
      <c r="L700">
        <v>0.01</v>
      </c>
      <c r="M700">
        <f>'Raw data'!$K700*(1- 'Raw data'!$L700)</f>
        <v>9073.35</v>
      </c>
      <c r="N700">
        <v>72586.8</v>
      </c>
      <c r="O700">
        <v>0.2</v>
      </c>
      <c r="P700">
        <v>14517.36</v>
      </c>
      <c r="Q700" t="s">
        <v>47</v>
      </c>
      <c r="R700" t="s">
        <v>38</v>
      </c>
      <c r="S700">
        <v>2</v>
      </c>
    </row>
    <row r="701" spans="1:19" x14ac:dyDescent="0.3">
      <c r="A701" t="s">
        <v>1455</v>
      </c>
      <c r="B701">
        <v>45626</v>
      </c>
      <c r="C701" t="s">
        <v>55</v>
      </c>
      <c r="D701" t="s">
        <v>41</v>
      </c>
      <c r="E701" t="s">
        <v>32</v>
      </c>
      <c r="F701" t="s">
        <v>103</v>
      </c>
      <c r="G701" t="s">
        <v>57</v>
      </c>
      <c r="H701" t="s">
        <v>100</v>
      </c>
      <c r="I701" t="s">
        <v>1456</v>
      </c>
      <c r="J701">
        <v>6</v>
      </c>
      <c r="K701">
        <v>17997</v>
      </c>
      <c r="L701">
        <v>0.14000000000000001</v>
      </c>
      <c r="M701">
        <f>'Raw data'!$K701*(1- 'Raw data'!$L701)</f>
        <v>15477.42</v>
      </c>
      <c r="N701">
        <v>92864.52</v>
      </c>
      <c r="O701">
        <v>0.2</v>
      </c>
      <c r="P701">
        <v>18572.900000000001</v>
      </c>
      <c r="Q701" t="s">
        <v>51</v>
      </c>
      <c r="R701" t="s">
        <v>48</v>
      </c>
      <c r="S701">
        <v>6</v>
      </c>
    </row>
    <row r="702" spans="1:19" x14ac:dyDescent="0.3">
      <c r="A702" t="s">
        <v>1457</v>
      </c>
      <c r="B702">
        <v>45627</v>
      </c>
      <c r="C702" t="s">
        <v>96</v>
      </c>
      <c r="D702" t="s">
        <v>41</v>
      </c>
      <c r="E702" t="s">
        <v>32</v>
      </c>
      <c r="F702" t="s">
        <v>68</v>
      </c>
      <c r="G702" t="s">
        <v>44</v>
      </c>
      <c r="H702" t="s">
        <v>138</v>
      </c>
      <c r="I702" t="s">
        <v>1458</v>
      </c>
      <c r="J702">
        <v>5</v>
      </c>
      <c r="K702">
        <v>801</v>
      </c>
      <c r="L702">
        <v>0.11</v>
      </c>
      <c r="M702">
        <f>'Raw data'!$K702*(1- 'Raw data'!$L702)</f>
        <v>712.89</v>
      </c>
      <c r="N702">
        <v>3564.45</v>
      </c>
      <c r="O702">
        <v>0.35</v>
      </c>
      <c r="P702">
        <v>1247.56</v>
      </c>
      <c r="Q702" t="s">
        <v>27</v>
      </c>
      <c r="R702" t="s">
        <v>48</v>
      </c>
      <c r="S702">
        <v>1</v>
      </c>
    </row>
    <row r="703" spans="1:19" x14ac:dyDescent="0.3">
      <c r="A703" t="s">
        <v>1459</v>
      </c>
      <c r="B703">
        <v>45628</v>
      </c>
      <c r="C703" t="s">
        <v>20</v>
      </c>
      <c r="D703" t="s">
        <v>56</v>
      </c>
      <c r="E703" t="s">
        <v>42</v>
      </c>
      <c r="F703" t="s">
        <v>43</v>
      </c>
      <c r="G703" t="s">
        <v>44</v>
      </c>
      <c r="H703" t="s">
        <v>45</v>
      </c>
      <c r="I703" t="s">
        <v>1460</v>
      </c>
      <c r="J703">
        <v>9</v>
      </c>
      <c r="K703">
        <v>1146</v>
      </c>
      <c r="L703">
        <v>0.21</v>
      </c>
      <c r="M703">
        <f>'Raw data'!$K703*(1- 'Raw data'!$L703)</f>
        <v>905.34</v>
      </c>
      <c r="N703">
        <v>8148.06</v>
      </c>
      <c r="O703">
        <v>0.35</v>
      </c>
      <c r="P703">
        <v>2851.82</v>
      </c>
      <c r="Q703" t="s">
        <v>27</v>
      </c>
      <c r="R703" t="s">
        <v>48</v>
      </c>
      <c r="S703">
        <v>1</v>
      </c>
    </row>
    <row r="704" spans="1:19" x14ac:dyDescent="0.3">
      <c r="A704" t="s">
        <v>1461</v>
      </c>
      <c r="B704">
        <v>45629</v>
      </c>
      <c r="C704" t="s">
        <v>63</v>
      </c>
      <c r="D704" t="s">
        <v>41</v>
      </c>
      <c r="E704" t="s">
        <v>22</v>
      </c>
      <c r="F704" t="s">
        <v>23</v>
      </c>
      <c r="G704" t="s">
        <v>57</v>
      </c>
      <c r="H704" t="s">
        <v>100</v>
      </c>
      <c r="I704" t="s">
        <v>1462</v>
      </c>
      <c r="J704">
        <v>2</v>
      </c>
      <c r="K704">
        <v>16571</v>
      </c>
      <c r="L704">
        <v>0.04</v>
      </c>
      <c r="M704">
        <f>'Raw data'!$K704*(1- 'Raw data'!$L704)</f>
        <v>15908.16</v>
      </c>
      <c r="N704">
        <v>31816.32</v>
      </c>
      <c r="O704">
        <v>0.2</v>
      </c>
      <c r="P704">
        <v>6363.26</v>
      </c>
      <c r="Q704" t="s">
        <v>27</v>
      </c>
      <c r="R704" t="s">
        <v>48</v>
      </c>
      <c r="S704">
        <v>9</v>
      </c>
    </row>
    <row r="705" spans="1:19" x14ac:dyDescent="0.3">
      <c r="A705" t="s">
        <v>1463</v>
      </c>
      <c r="B705">
        <v>45630</v>
      </c>
      <c r="C705" t="s">
        <v>40</v>
      </c>
      <c r="D705" t="s">
        <v>56</v>
      </c>
      <c r="E705" t="s">
        <v>42</v>
      </c>
      <c r="F705" t="s">
        <v>23</v>
      </c>
      <c r="G705" t="s">
        <v>24</v>
      </c>
      <c r="H705" t="s">
        <v>25</v>
      </c>
      <c r="I705" t="s">
        <v>1464</v>
      </c>
      <c r="J705">
        <v>5</v>
      </c>
      <c r="K705">
        <v>10951</v>
      </c>
      <c r="L705">
        <v>0.01</v>
      </c>
      <c r="M705">
        <f>'Raw data'!$K705*(1- 'Raw data'!$L705)</f>
        <v>10841.49</v>
      </c>
      <c r="N705">
        <v>54207.45</v>
      </c>
      <c r="O705">
        <v>0.25</v>
      </c>
      <c r="P705">
        <v>13551.86</v>
      </c>
      <c r="Q705" t="s">
        <v>27</v>
      </c>
      <c r="R705" t="s">
        <v>48</v>
      </c>
      <c r="S705">
        <v>4</v>
      </c>
    </row>
    <row r="706" spans="1:19" x14ac:dyDescent="0.3">
      <c r="A706" t="s">
        <v>1465</v>
      </c>
      <c r="B706">
        <v>45631</v>
      </c>
      <c r="C706" t="s">
        <v>40</v>
      </c>
      <c r="D706" t="s">
        <v>21</v>
      </c>
      <c r="E706" t="s">
        <v>42</v>
      </c>
      <c r="F706" t="s">
        <v>33</v>
      </c>
      <c r="G706" t="s">
        <v>92</v>
      </c>
      <c r="H706" t="s">
        <v>93</v>
      </c>
      <c r="I706" t="s">
        <v>1466</v>
      </c>
      <c r="J706">
        <v>6</v>
      </c>
      <c r="K706">
        <v>67941</v>
      </c>
      <c r="L706">
        <v>0.11</v>
      </c>
      <c r="M706">
        <f>'Raw data'!$K706*(1- 'Raw data'!$L706)</f>
        <v>60467.49</v>
      </c>
      <c r="N706">
        <v>362804.94</v>
      </c>
      <c r="O706">
        <v>0.15</v>
      </c>
      <c r="P706">
        <v>54420.74</v>
      </c>
      <c r="Q706" t="s">
        <v>27</v>
      </c>
      <c r="R706" t="s">
        <v>48</v>
      </c>
      <c r="S706">
        <v>9</v>
      </c>
    </row>
    <row r="707" spans="1:19" x14ac:dyDescent="0.3">
      <c r="A707" t="s">
        <v>1467</v>
      </c>
      <c r="B707">
        <v>45632</v>
      </c>
      <c r="C707" t="s">
        <v>40</v>
      </c>
      <c r="D707" t="s">
        <v>31</v>
      </c>
      <c r="E707" t="s">
        <v>67</v>
      </c>
      <c r="F707" t="s">
        <v>97</v>
      </c>
      <c r="G707" t="s">
        <v>24</v>
      </c>
      <c r="H707" t="s">
        <v>186</v>
      </c>
      <c r="I707" t="s">
        <v>1079</v>
      </c>
      <c r="J707">
        <v>7</v>
      </c>
      <c r="K707">
        <v>9853</v>
      </c>
      <c r="L707">
        <v>0.06</v>
      </c>
      <c r="M707">
        <f>'Raw data'!$K707*(1- 'Raw data'!$L707)</f>
        <v>9261.82</v>
      </c>
      <c r="N707">
        <v>64832.74</v>
      </c>
      <c r="O707">
        <v>0.25</v>
      </c>
      <c r="P707">
        <v>16208.18</v>
      </c>
      <c r="Q707" t="s">
        <v>37</v>
      </c>
      <c r="R707" t="s">
        <v>48</v>
      </c>
      <c r="S707">
        <v>5</v>
      </c>
    </row>
    <row r="708" spans="1:19" x14ac:dyDescent="0.3">
      <c r="A708" t="s">
        <v>1468</v>
      </c>
      <c r="B708">
        <v>45633</v>
      </c>
      <c r="C708" t="s">
        <v>40</v>
      </c>
      <c r="D708" t="s">
        <v>31</v>
      </c>
      <c r="E708" t="s">
        <v>42</v>
      </c>
      <c r="F708" t="s">
        <v>43</v>
      </c>
      <c r="G708" t="s">
        <v>34</v>
      </c>
      <c r="H708" t="s">
        <v>71</v>
      </c>
      <c r="I708" t="s">
        <v>1469</v>
      </c>
      <c r="J708">
        <v>5</v>
      </c>
      <c r="K708">
        <v>434</v>
      </c>
      <c r="L708">
        <v>0.01</v>
      </c>
      <c r="M708">
        <f>'Raw data'!$K708*(1- 'Raw data'!$L708)</f>
        <v>429.65999999999997</v>
      </c>
      <c r="N708">
        <v>2148.3000000000002</v>
      </c>
      <c r="O708">
        <v>0.4</v>
      </c>
      <c r="P708">
        <v>859.32</v>
      </c>
      <c r="Q708" t="s">
        <v>47</v>
      </c>
      <c r="R708" t="s">
        <v>38</v>
      </c>
      <c r="S708">
        <v>7</v>
      </c>
    </row>
    <row r="709" spans="1:19" x14ac:dyDescent="0.3">
      <c r="A709" t="s">
        <v>1470</v>
      </c>
      <c r="B709">
        <v>45634</v>
      </c>
      <c r="C709" t="s">
        <v>55</v>
      </c>
      <c r="D709" t="s">
        <v>21</v>
      </c>
      <c r="E709" t="s">
        <v>32</v>
      </c>
      <c r="F709" t="s">
        <v>33</v>
      </c>
      <c r="G709" t="s">
        <v>44</v>
      </c>
      <c r="H709" t="s">
        <v>45</v>
      </c>
      <c r="I709" t="s">
        <v>1471</v>
      </c>
      <c r="J709">
        <v>9</v>
      </c>
      <c r="K709">
        <v>1868</v>
      </c>
      <c r="L709">
        <v>0.18</v>
      </c>
      <c r="M709">
        <f>'Raw data'!$K709*(1- 'Raw data'!$L709)</f>
        <v>1531.7600000000002</v>
      </c>
      <c r="N709">
        <v>13785.84</v>
      </c>
      <c r="O709">
        <v>0.35</v>
      </c>
      <c r="P709">
        <v>4825.04</v>
      </c>
      <c r="Q709" t="s">
        <v>27</v>
      </c>
      <c r="R709" t="s">
        <v>48</v>
      </c>
      <c r="S709">
        <v>1</v>
      </c>
    </row>
    <row r="710" spans="1:19" x14ac:dyDescent="0.3">
      <c r="A710" t="s">
        <v>1472</v>
      </c>
      <c r="B710">
        <v>45635</v>
      </c>
      <c r="C710" t="s">
        <v>40</v>
      </c>
      <c r="D710" t="s">
        <v>31</v>
      </c>
      <c r="E710" t="s">
        <v>32</v>
      </c>
      <c r="F710" t="s">
        <v>68</v>
      </c>
      <c r="G710" t="s">
        <v>92</v>
      </c>
      <c r="H710" t="s">
        <v>93</v>
      </c>
      <c r="I710" t="s">
        <v>1473</v>
      </c>
      <c r="J710">
        <v>1</v>
      </c>
      <c r="K710">
        <v>53541</v>
      </c>
      <c r="L710">
        <v>0.03</v>
      </c>
      <c r="M710">
        <f>'Raw data'!$K710*(1- 'Raw data'!$L710)</f>
        <v>51934.77</v>
      </c>
      <c r="N710">
        <v>51934.77</v>
      </c>
      <c r="O710">
        <v>0.15</v>
      </c>
      <c r="P710">
        <v>7790.22</v>
      </c>
      <c r="Q710" t="s">
        <v>37</v>
      </c>
      <c r="R710" t="s">
        <v>28</v>
      </c>
      <c r="S710">
        <v>6</v>
      </c>
    </row>
    <row r="711" spans="1:19" x14ac:dyDescent="0.3">
      <c r="A711" t="s">
        <v>1474</v>
      </c>
      <c r="B711">
        <v>45636</v>
      </c>
      <c r="C711" t="s">
        <v>20</v>
      </c>
      <c r="D711" t="s">
        <v>31</v>
      </c>
      <c r="E711" t="s">
        <v>67</v>
      </c>
      <c r="F711" t="s">
        <v>68</v>
      </c>
      <c r="G711" t="s">
        <v>92</v>
      </c>
      <c r="H711" t="s">
        <v>93</v>
      </c>
      <c r="I711" t="s">
        <v>1475</v>
      </c>
      <c r="J711">
        <v>7</v>
      </c>
      <c r="K711">
        <v>33387</v>
      </c>
      <c r="L711">
        <v>0.15</v>
      </c>
      <c r="M711">
        <f>'Raw data'!$K711*(1- 'Raw data'!$L711)</f>
        <v>28378.95</v>
      </c>
      <c r="N711">
        <v>198652.65</v>
      </c>
      <c r="O711">
        <v>0.15</v>
      </c>
      <c r="P711">
        <v>29797.9</v>
      </c>
      <c r="Q711" t="s">
        <v>47</v>
      </c>
      <c r="R711" t="s">
        <v>48</v>
      </c>
      <c r="S711">
        <v>8</v>
      </c>
    </row>
    <row r="712" spans="1:19" x14ac:dyDescent="0.3">
      <c r="A712" t="s">
        <v>1476</v>
      </c>
      <c r="B712">
        <v>45637</v>
      </c>
      <c r="C712" t="s">
        <v>55</v>
      </c>
      <c r="D712" t="s">
        <v>41</v>
      </c>
      <c r="E712" t="s">
        <v>67</v>
      </c>
      <c r="F712" t="s">
        <v>23</v>
      </c>
      <c r="G712" t="s">
        <v>34</v>
      </c>
      <c r="H712" t="s">
        <v>71</v>
      </c>
      <c r="I712" t="s">
        <v>1477</v>
      </c>
      <c r="J712">
        <v>7</v>
      </c>
      <c r="K712">
        <v>969</v>
      </c>
      <c r="L712">
        <v>7.0000000000000007E-2</v>
      </c>
      <c r="M712">
        <f>'Raw data'!$K712*(1- 'Raw data'!$L712)</f>
        <v>901.17</v>
      </c>
      <c r="N712">
        <v>6308.19</v>
      </c>
      <c r="O712">
        <v>0.4</v>
      </c>
      <c r="P712">
        <v>2523.2800000000002</v>
      </c>
      <c r="Q712" t="s">
        <v>51</v>
      </c>
      <c r="R712" t="s">
        <v>48</v>
      </c>
      <c r="S712">
        <v>1</v>
      </c>
    </row>
    <row r="713" spans="1:19" x14ac:dyDescent="0.3">
      <c r="A713" t="s">
        <v>1478</v>
      </c>
      <c r="B713">
        <v>45638</v>
      </c>
      <c r="C713" t="s">
        <v>40</v>
      </c>
      <c r="D713" t="s">
        <v>21</v>
      </c>
      <c r="E713" t="s">
        <v>67</v>
      </c>
      <c r="F713" t="s">
        <v>33</v>
      </c>
      <c r="G713" t="s">
        <v>34</v>
      </c>
      <c r="H713" t="s">
        <v>104</v>
      </c>
      <c r="I713" t="s">
        <v>1479</v>
      </c>
      <c r="J713">
        <v>4</v>
      </c>
      <c r="K713">
        <v>740</v>
      </c>
      <c r="L713">
        <v>0.04</v>
      </c>
      <c r="M713">
        <f>'Raw data'!$K713*(1- 'Raw data'!$L713)</f>
        <v>710.4</v>
      </c>
      <c r="N713">
        <v>2841.6</v>
      </c>
      <c r="O713">
        <v>0.4</v>
      </c>
      <c r="P713">
        <v>1136.6400000000001</v>
      </c>
      <c r="Q713" t="s">
        <v>27</v>
      </c>
      <c r="R713" t="s">
        <v>48</v>
      </c>
      <c r="S713">
        <v>9</v>
      </c>
    </row>
    <row r="714" spans="1:19" x14ac:dyDescent="0.3">
      <c r="A714" t="s">
        <v>1480</v>
      </c>
      <c r="B714">
        <v>45639</v>
      </c>
      <c r="C714" t="s">
        <v>96</v>
      </c>
      <c r="D714" t="s">
        <v>41</v>
      </c>
      <c r="E714" t="s">
        <v>67</v>
      </c>
      <c r="F714" t="s">
        <v>23</v>
      </c>
      <c r="G714" t="s">
        <v>57</v>
      </c>
      <c r="H714" t="s">
        <v>58</v>
      </c>
      <c r="I714" t="s">
        <v>1481</v>
      </c>
      <c r="J714">
        <v>9</v>
      </c>
      <c r="K714">
        <v>14500</v>
      </c>
      <c r="L714">
        <v>0.09</v>
      </c>
      <c r="M714">
        <f>'Raw data'!$K714*(1- 'Raw data'!$L714)</f>
        <v>13195</v>
      </c>
      <c r="N714">
        <v>118755</v>
      </c>
      <c r="O714">
        <v>0.2</v>
      </c>
      <c r="P714">
        <v>23751</v>
      </c>
      <c r="Q714" t="s">
        <v>37</v>
      </c>
      <c r="R714" t="s">
        <v>48</v>
      </c>
      <c r="S714">
        <v>3</v>
      </c>
    </row>
    <row r="715" spans="1:19" x14ac:dyDescent="0.3">
      <c r="A715" t="s">
        <v>1482</v>
      </c>
      <c r="B715">
        <v>45640</v>
      </c>
      <c r="C715" t="s">
        <v>30</v>
      </c>
      <c r="D715" t="s">
        <v>41</v>
      </c>
      <c r="E715" t="s">
        <v>67</v>
      </c>
      <c r="F715" t="s">
        <v>103</v>
      </c>
      <c r="G715" t="s">
        <v>44</v>
      </c>
      <c r="H715" t="s">
        <v>64</v>
      </c>
      <c r="I715" t="s">
        <v>1483</v>
      </c>
      <c r="J715">
        <v>5</v>
      </c>
      <c r="K715">
        <v>782</v>
      </c>
      <c r="L715">
        <v>0.2</v>
      </c>
      <c r="M715">
        <f>'Raw data'!$K715*(1- 'Raw data'!$L715)</f>
        <v>625.6</v>
      </c>
      <c r="N715">
        <v>3128</v>
      </c>
      <c r="O715">
        <v>0.35</v>
      </c>
      <c r="P715">
        <v>1094.8</v>
      </c>
      <c r="Q715" t="s">
        <v>51</v>
      </c>
      <c r="R715" t="s">
        <v>48</v>
      </c>
      <c r="S715">
        <v>1</v>
      </c>
    </row>
    <row r="716" spans="1:19" x14ac:dyDescent="0.3">
      <c r="A716" t="s">
        <v>1484</v>
      </c>
      <c r="B716">
        <v>45641</v>
      </c>
      <c r="C716" t="s">
        <v>30</v>
      </c>
      <c r="D716" t="s">
        <v>31</v>
      </c>
      <c r="E716" t="s">
        <v>42</v>
      </c>
      <c r="F716" t="s">
        <v>23</v>
      </c>
      <c r="G716" t="s">
        <v>44</v>
      </c>
      <c r="H716" t="s">
        <v>116</v>
      </c>
      <c r="I716" t="s">
        <v>1485</v>
      </c>
      <c r="J716">
        <v>4</v>
      </c>
      <c r="K716">
        <v>4178</v>
      </c>
      <c r="L716">
        <v>0.1</v>
      </c>
      <c r="M716">
        <f>'Raw data'!$K716*(1- 'Raw data'!$L716)</f>
        <v>3760.2000000000003</v>
      </c>
      <c r="N716">
        <v>15040.8</v>
      </c>
      <c r="O716">
        <v>0.35</v>
      </c>
      <c r="P716">
        <v>5264.28</v>
      </c>
      <c r="Q716" t="s">
        <v>37</v>
      </c>
      <c r="R716" t="s">
        <v>48</v>
      </c>
      <c r="S716">
        <v>1</v>
      </c>
    </row>
    <row r="717" spans="1:19" x14ac:dyDescent="0.3">
      <c r="A717" t="s">
        <v>1486</v>
      </c>
      <c r="B717">
        <v>45642</v>
      </c>
      <c r="C717" t="s">
        <v>30</v>
      </c>
      <c r="D717" t="s">
        <v>31</v>
      </c>
      <c r="E717" t="s">
        <v>67</v>
      </c>
      <c r="F717" t="s">
        <v>103</v>
      </c>
      <c r="G717" t="s">
        <v>24</v>
      </c>
      <c r="H717" t="s">
        <v>25</v>
      </c>
      <c r="I717" t="s">
        <v>1487</v>
      </c>
      <c r="J717">
        <v>7</v>
      </c>
      <c r="K717">
        <v>10678</v>
      </c>
      <c r="L717">
        <v>0.19</v>
      </c>
      <c r="M717">
        <f>'Raw data'!$K717*(1- 'Raw data'!$L717)</f>
        <v>8649.18</v>
      </c>
      <c r="N717">
        <v>60544.26</v>
      </c>
      <c r="O717">
        <v>0.25</v>
      </c>
      <c r="P717">
        <v>15136.06</v>
      </c>
      <c r="Q717" t="s">
        <v>47</v>
      </c>
      <c r="R717" t="s">
        <v>48</v>
      </c>
      <c r="S717">
        <v>6</v>
      </c>
    </row>
    <row r="718" spans="1:19" x14ac:dyDescent="0.3">
      <c r="A718" t="s">
        <v>1488</v>
      </c>
      <c r="B718">
        <v>45643</v>
      </c>
      <c r="C718" t="s">
        <v>55</v>
      </c>
      <c r="D718" t="s">
        <v>21</v>
      </c>
      <c r="E718" t="s">
        <v>42</v>
      </c>
      <c r="F718" t="s">
        <v>68</v>
      </c>
      <c r="G718" t="s">
        <v>57</v>
      </c>
      <c r="H718" t="s">
        <v>81</v>
      </c>
      <c r="I718" t="s">
        <v>1489</v>
      </c>
      <c r="J718">
        <v>4</v>
      </c>
      <c r="K718">
        <v>6082</v>
      </c>
      <c r="L718">
        <v>0.03</v>
      </c>
      <c r="M718">
        <f>'Raw data'!$K718*(1- 'Raw data'!$L718)</f>
        <v>5899.54</v>
      </c>
      <c r="N718">
        <v>23598.16</v>
      </c>
      <c r="O718">
        <v>0.2</v>
      </c>
      <c r="P718">
        <v>4719.63</v>
      </c>
      <c r="Q718" t="s">
        <v>47</v>
      </c>
      <c r="R718" t="s">
        <v>48</v>
      </c>
      <c r="S718">
        <v>6</v>
      </c>
    </row>
    <row r="719" spans="1:19" x14ac:dyDescent="0.3">
      <c r="A719" t="s">
        <v>1490</v>
      </c>
      <c r="B719">
        <v>45644</v>
      </c>
      <c r="C719" t="s">
        <v>40</v>
      </c>
      <c r="D719" t="s">
        <v>31</v>
      </c>
      <c r="E719" t="s">
        <v>22</v>
      </c>
      <c r="F719" t="s">
        <v>33</v>
      </c>
      <c r="G719" t="s">
        <v>57</v>
      </c>
      <c r="H719" t="s">
        <v>81</v>
      </c>
      <c r="I719" t="s">
        <v>1491</v>
      </c>
      <c r="J719">
        <v>3</v>
      </c>
      <c r="K719">
        <v>15718</v>
      </c>
      <c r="L719">
        <v>0.19</v>
      </c>
      <c r="M719">
        <f>'Raw data'!$K719*(1- 'Raw data'!$L719)</f>
        <v>12731.580000000002</v>
      </c>
      <c r="N719">
        <v>38194.74</v>
      </c>
      <c r="O719">
        <v>0.2</v>
      </c>
      <c r="P719">
        <v>7638.95</v>
      </c>
      <c r="Q719" t="s">
        <v>51</v>
      </c>
      <c r="R719" t="s">
        <v>48</v>
      </c>
      <c r="S719">
        <v>1</v>
      </c>
    </row>
    <row r="720" spans="1:19" x14ac:dyDescent="0.3">
      <c r="A720" t="s">
        <v>1492</v>
      </c>
      <c r="B720">
        <v>45645</v>
      </c>
      <c r="C720" t="s">
        <v>63</v>
      </c>
      <c r="D720" t="s">
        <v>31</v>
      </c>
      <c r="E720" t="s">
        <v>67</v>
      </c>
      <c r="F720" t="s">
        <v>103</v>
      </c>
      <c r="G720" t="s">
        <v>57</v>
      </c>
      <c r="H720" t="s">
        <v>183</v>
      </c>
      <c r="I720" t="s">
        <v>1493</v>
      </c>
      <c r="J720">
        <v>9</v>
      </c>
      <c r="K720">
        <v>12517</v>
      </c>
      <c r="L720">
        <v>0.06</v>
      </c>
      <c r="M720">
        <f>'Raw data'!$K720*(1- 'Raw data'!$L720)</f>
        <v>11765.98</v>
      </c>
      <c r="N720">
        <v>105893.82</v>
      </c>
      <c r="O720">
        <v>0.2</v>
      </c>
      <c r="P720">
        <v>21178.76</v>
      </c>
      <c r="Q720" t="s">
        <v>37</v>
      </c>
      <c r="R720" t="s">
        <v>38</v>
      </c>
      <c r="S720">
        <v>3</v>
      </c>
    </row>
    <row r="721" spans="1:19" x14ac:dyDescent="0.3">
      <c r="A721" t="s">
        <v>1494</v>
      </c>
      <c r="B721">
        <v>45646</v>
      </c>
      <c r="C721" t="s">
        <v>63</v>
      </c>
      <c r="D721" t="s">
        <v>21</v>
      </c>
      <c r="E721" t="s">
        <v>67</v>
      </c>
      <c r="F721" t="s">
        <v>33</v>
      </c>
      <c r="G721" t="s">
        <v>57</v>
      </c>
      <c r="H721" t="s">
        <v>100</v>
      </c>
      <c r="I721" t="s">
        <v>1495</v>
      </c>
      <c r="J721">
        <v>8</v>
      </c>
      <c r="K721">
        <v>5754</v>
      </c>
      <c r="L721">
        <v>0.17</v>
      </c>
      <c r="M721">
        <f>'Raw data'!$K721*(1- 'Raw data'!$L721)</f>
        <v>4775.82</v>
      </c>
      <c r="N721">
        <v>38206.559999999998</v>
      </c>
      <c r="O721">
        <v>0.2</v>
      </c>
      <c r="P721">
        <v>7641.31</v>
      </c>
      <c r="Q721" t="s">
        <v>27</v>
      </c>
      <c r="R721" t="s">
        <v>48</v>
      </c>
      <c r="S721">
        <v>7</v>
      </c>
    </row>
    <row r="722" spans="1:19" x14ac:dyDescent="0.3">
      <c r="A722" t="s">
        <v>1496</v>
      </c>
      <c r="B722">
        <v>45647</v>
      </c>
      <c r="C722" t="s">
        <v>63</v>
      </c>
      <c r="D722" t="s">
        <v>31</v>
      </c>
      <c r="E722" t="s">
        <v>42</v>
      </c>
      <c r="F722" t="s">
        <v>33</v>
      </c>
      <c r="G722" t="s">
        <v>44</v>
      </c>
      <c r="H722" t="s">
        <v>138</v>
      </c>
      <c r="I722" t="s">
        <v>1497</v>
      </c>
      <c r="J722">
        <v>1</v>
      </c>
      <c r="K722">
        <v>2968</v>
      </c>
      <c r="L722">
        <v>0.14000000000000001</v>
      </c>
      <c r="M722">
        <f>'Raw data'!$K722*(1- 'Raw data'!$L722)</f>
        <v>2552.48</v>
      </c>
      <c r="N722">
        <v>2552.48</v>
      </c>
      <c r="O722">
        <v>0.35</v>
      </c>
      <c r="P722">
        <v>893.37</v>
      </c>
      <c r="Q722" t="s">
        <v>27</v>
      </c>
      <c r="R722" t="s">
        <v>48</v>
      </c>
      <c r="S722">
        <v>3</v>
      </c>
    </row>
    <row r="723" spans="1:19" x14ac:dyDescent="0.3">
      <c r="A723" t="s">
        <v>1498</v>
      </c>
      <c r="B723">
        <v>45648</v>
      </c>
      <c r="C723" t="s">
        <v>55</v>
      </c>
      <c r="D723" t="s">
        <v>41</v>
      </c>
      <c r="E723" t="s">
        <v>22</v>
      </c>
      <c r="F723" t="s">
        <v>103</v>
      </c>
      <c r="G723" t="s">
        <v>44</v>
      </c>
      <c r="H723" t="s">
        <v>64</v>
      </c>
      <c r="I723" t="s">
        <v>1499</v>
      </c>
      <c r="J723">
        <v>7</v>
      </c>
      <c r="K723">
        <v>2224</v>
      </c>
      <c r="L723">
        <v>0.23</v>
      </c>
      <c r="M723">
        <f>'Raw data'!$K723*(1- 'Raw data'!$L723)</f>
        <v>1712.48</v>
      </c>
      <c r="N723">
        <v>11987.36</v>
      </c>
      <c r="O723">
        <v>0.35</v>
      </c>
      <c r="P723">
        <v>4195.58</v>
      </c>
      <c r="Q723" t="s">
        <v>51</v>
      </c>
      <c r="R723" t="s">
        <v>48</v>
      </c>
      <c r="S723">
        <v>3</v>
      </c>
    </row>
    <row r="724" spans="1:19" x14ac:dyDescent="0.3">
      <c r="A724" t="s">
        <v>1500</v>
      </c>
      <c r="B724">
        <v>45649</v>
      </c>
      <c r="C724" t="s">
        <v>20</v>
      </c>
      <c r="D724" t="s">
        <v>21</v>
      </c>
      <c r="E724" t="s">
        <v>42</v>
      </c>
      <c r="F724" t="s">
        <v>97</v>
      </c>
      <c r="G724" t="s">
        <v>57</v>
      </c>
      <c r="H724" t="s">
        <v>81</v>
      </c>
      <c r="I724" t="s">
        <v>1501</v>
      </c>
      <c r="J724">
        <v>9</v>
      </c>
      <c r="K724">
        <v>3376</v>
      </c>
      <c r="L724">
        <v>0.1</v>
      </c>
      <c r="M724">
        <f>'Raw data'!$K724*(1- 'Raw data'!$L724)</f>
        <v>3038.4</v>
      </c>
      <c r="N724">
        <v>27345.599999999999</v>
      </c>
      <c r="O724">
        <v>0.2</v>
      </c>
      <c r="P724">
        <v>5469.12</v>
      </c>
      <c r="Q724" t="s">
        <v>51</v>
      </c>
      <c r="R724" t="s">
        <v>48</v>
      </c>
      <c r="S724">
        <v>3</v>
      </c>
    </row>
    <row r="725" spans="1:19" x14ac:dyDescent="0.3">
      <c r="A725" t="s">
        <v>1502</v>
      </c>
      <c r="B725">
        <v>45650</v>
      </c>
      <c r="C725" t="s">
        <v>96</v>
      </c>
      <c r="D725" t="s">
        <v>31</v>
      </c>
      <c r="E725" t="s">
        <v>42</v>
      </c>
      <c r="F725" t="s">
        <v>23</v>
      </c>
      <c r="G725" t="s">
        <v>24</v>
      </c>
      <c r="H725" t="s">
        <v>121</v>
      </c>
      <c r="I725" t="s">
        <v>1503</v>
      </c>
      <c r="J725">
        <v>8</v>
      </c>
      <c r="K725">
        <v>11935</v>
      </c>
      <c r="L725">
        <v>0.02</v>
      </c>
      <c r="M725">
        <f>'Raw data'!$K725*(1- 'Raw data'!$L725)</f>
        <v>11696.3</v>
      </c>
      <c r="N725">
        <v>93570.4</v>
      </c>
      <c r="O725">
        <v>0.25</v>
      </c>
      <c r="P725">
        <v>23392.6</v>
      </c>
      <c r="Q725" t="s">
        <v>51</v>
      </c>
      <c r="R725" t="s">
        <v>48</v>
      </c>
      <c r="S725">
        <v>7</v>
      </c>
    </row>
    <row r="726" spans="1:19" x14ac:dyDescent="0.3">
      <c r="A726" t="s">
        <v>1504</v>
      </c>
      <c r="B726">
        <v>45651</v>
      </c>
      <c r="C726" t="s">
        <v>96</v>
      </c>
      <c r="D726" t="s">
        <v>56</v>
      </c>
      <c r="E726" t="s">
        <v>67</v>
      </c>
      <c r="F726" t="s">
        <v>103</v>
      </c>
      <c r="G726" t="s">
        <v>92</v>
      </c>
      <c r="H726" t="s">
        <v>243</v>
      </c>
      <c r="I726" t="s">
        <v>1505</v>
      </c>
      <c r="J726">
        <v>8</v>
      </c>
      <c r="K726">
        <v>18706</v>
      </c>
      <c r="L726">
        <v>0</v>
      </c>
      <c r="M726">
        <f>'Raw data'!$K726*(1- 'Raw data'!$L726)</f>
        <v>18706</v>
      </c>
      <c r="N726">
        <v>149648</v>
      </c>
      <c r="O726">
        <v>0.15</v>
      </c>
      <c r="P726">
        <v>22447.200000000001</v>
      </c>
      <c r="Q726" t="s">
        <v>37</v>
      </c>
      <c r="R726" t="s">
        <v>48</v>
      </c>
      <c r="S726">
        <v>4</v>
      </c>
    </row>
    <row r="727" spans="1:19" x14ac:dyDescent="0.3">
      <c r="A727" t="s">
        <v>1506</v>
      </c>
      <c r="B727">
        <v>45652</v>
      </c>
      <c r="C727" t="s">
        <v>30</v>
      </c>
      <c r="D727" t="s">
        <v>21</v>
      </c>
      <c r="E727" t="s">
        <v>32</v>
      </c>
      <c r="F727" t="s">
        <v>68</v>
      </c>
      <c r="G727" t="s">
        <v>92</v>
      </c>
      <c r="H727" t="s">
        <v>93</v>
      </c>
      <c r="I727" t="s">
        <v>1507</v>
      </c>
      <c r="J727">
        <v>6</v>
      </c>
      <c r="K727">
        <v>18894</v>
      </c>
      <c r="L727">
        <v>0.21</v>
      </c>
      <c r="M727">
        <f>'Raw data'!$K727*(1- 'Raw data'!$L727)</f>
        <v>14926.26</v>
      </c>
      <c r="N727">
        <v>89557.56</v>
      </c>
      <c r="O727">
        <v>0.15</v>
      </c>
      <c r="P727">
        <v>13433.63</v>
      </c>
      <c r="Q727" t="s">
        <v>27</v>
      </c>
      <c r="R727" t="s">
        <v>48</v>
      </c>
      <c r="S727">
        <v>4</v>
      </c>
    </row>
    <row r="728" spans="1:19" x14ac:dyDescent="0.3">
      <c r="A728" t="s">
        <v>1508</v>
      </c>
      <c r="B728">
        <v>45653</v>
      </c>
      <c r="C728" t="s">
        <v>30</v>
      </c>
      <c r="D728" t="s">
        <v>21</v>
      </c>
      <c r="E728" t="s">
        <v>32</v>
      </c>
      <c r="F728" t="s">
        <v>33</v>
      </c>
      <c r="G728" t="s">
        <v>24</v>
      </c>
      <c r="H728" t="s">
        <v>186</v>
      </c>
      <c r="I728" t="s">
        <v>488</v>
      </c>
      <c r="J728">
        <v>4</v>
      </c>
      <c r="K728">
        <v>2653</v>
      </c>
      <c r="L728">
        <v>0.13</v>
      </c>
      <c r="M728">
        <f>'Raw data'!$K728*(1- 'Raw data'!$L728)</f>
        <v>2308.11</v>
      </c>
      <c r="N728">
        <v>9232.44</v>
      </c>
      <c r="O728">
        <v>0.25</v>
      </c>
      <c r="P728">
        <v>2308.11</v>
      </c>
      <c r="Q728" t="s">
        <v>27</v>
      </c>
      <c r="R728" t="s">
        <v>48</v>
      </c>
      <c r="S728">
        <v>3</v>
      </c>
    </row>
    <row r="729" spans="1:19" x14ac:dyDescent="0.3">
      <c r="A729" t="s">
        <v>1509</v>
      </c>
      <c r="B729">
        <v>45654</v>
      </c>
      <c r="C729" t="s">
        <v>63</v>
      </c>
      <c r="D729" t="s">
        <v>56</v>
      </c>
      <c r="E729" t="s">
        <v>42</v>
      </c>
      <c r="F729" t="s">
        <v>43</v>
      </c>
      <c r="G729" t="s">
        <v>57</v>
      </c>
      <c r="H729" t="s">
        <v>81</v>
      </c>
      <c r="I729" t="s">
        <v>1510</v>
      </c>
      <c r="J729">
        <v>8</v>
      </c>
      <c r="K729">
        <v>18406</v>
      </c>
      <c r="L729">
        <v>0.19</v>
      </c>
      <c r="M729">
        <f>'Raw data'!$K729*(1- 'Raw data'!$L729)</f>
        <v>14908.86</v>
      </c>
      <c r="N729">
        <v>119270.88</v>
      </c>
      <c r="O729">
        <v>0.2</v>
      </c>
      <c r="P729">
        <v>23854.18</v>
      </c>
      <c r="Q729" t="s">
        <v>27</v>
      </c>
      <c r="R729" t="s">
        <v>48</v>
      </c>
      <c r="S729">
        <v>9</v>
      </c>
    </row>
    <row r="730" spans="1:19" x14ac:dyDescent="0.3">
      <c r="A730" t="s">
        <v>1511</v>
      </c>
      <c r="B730">
        <v>45655</v>
      </c>
      <c r="C730" t="s">
        <v>63</v>
      </c>
      <c r="D730" t="s">
        <v>31</v>
      </c>
      <c r="E730" t="s">
        <v>67</v>
      </c>
      <c r="F730" t="s">
        <v>103</v>
      </c>
      <c r="G730" t="s">
        <v>44</v>
      </c>
      <c r="H730" t="s">
        <v>138</v>
      </c>
      <c r="I730" t="s">
        <v>1512</v>
      </c>
      <c r="J730">
        <v>3</v>
      </c>
      <c r="K730">
        <v>2960</v>
      </c>
      <c r="L730">
        <v>0.06</v>
      </c>
      <c r="M730">
        <f>'Raw data'!$K730*(1- 'Raw data'!$L730)</f>
        <v>2782.3999999999996</v>
      </c>
      <c r="N730">
        <v>8347.2000000000007</v>
      </c>
      <c r="O730">
        <v>0.35</v>
      </c>
      <c r="P730">
        <v>2921.52</v>
      </c>
      <c r="Q730" t="s">
        <v>51</v>
      </c>
      <c r="R730" t="s">
        <v>48</v>
      </c>
      <c r="S730">
        <v>2</v>
      </c>
    </row>
    <row r="731" spans="1:19" x14ac:dyDescent="0.3">
      <c r="A731" t="s">
        <v>1513</v>
      </c>
      <c r="B731">
        <v>45656</v>
      </c>
      <c r="C731" t="s">
        <v>30</v>
      </c>
      <c r="D731" t="s">
        <v>31</v>
      </c>
      <c r="E731" t="s">
        <v>22</v>
      </c>
      <c r="F731" t="s">
        <v>23</v>
      </c>
      <c r="G731" t="s">
        <v>92</v>
      </c>
      <c r="H731" t="s">
        <v>243</v>
      </c>
      <c r="I731" t="s">
        <v>1514</v>
      </c>
      <c r="J731">
        <v>9</v>
      </c>
      <c r="K731">
        <v>39725</v>
      </c>
      <c r="L731">
        <v>0.09</v>
      </c>
      <c r="M731">
        <f>'Raw data'!$K731*(1- 'Raw data'!$L731)</f>
        <v>36149.75</v>
      </c>
      <c r="N731">
        <v>325347.75</v>
      </c>
      <c r="O731">
        <v>0.15</v>
      </c>
      <c r="P731">
        <v>48802.16</v>
      </c>
      <c r="Q731" t="s">
        <v>27</v>
      </c>
      <c r="R731" t="s">
        <v>48</v>
      </c>
      <c r="S731">
        <v>4</v>
      </c>
    </row>
    <row r="732" spans="1:19" x14ac:dyDescent="0.3">
      <c r="A732" t="s">
        <v>1515</v>
      </c>
      <c r="B732">
        <v>45657</v>
      </c>
      <c r="C732" t="s">
        <v>40</v>
      </c>
      <c r="D732" t="s">
        <v>21</v>
      </c>
      <c r="E732" t="s">
        <v>32</v>
      </c>
      <c r="F732" t="s">
        <v>33</v>
      </c>
      <c r="G732" t="s">
        <v>34</v>
      </c>
      <c r="H732" t="s">
        <v>141</v>
      </c>
      <c r="I732" t="s">
        <v>1516</v>
      </c>
      <c r="J732">
        <v>2</v>
      </c>
      <c r="K732">
        <v>307</v>
      </c>
      <c r="L732">
        <v>0.01</v>
      </c>
      <c r="M732">
        <f>'Raw data'!$K732*(1- 'Raw data'!$L732)</f>
        <v>303.93</v>
      </c>
      <c r="N732">
        <v>607.86</v>
      </c>
      <c r="O732">
        <v>0.4</v>
      </c>
      <c r="P732">
        <v>243.14</v>
      </c>
      <c r="Q732" t="s">
        <v>47</v>
      </c>
      <c r="R732" t="s">
        <v>28</v>
      </c>
      <c r="S732">
        <v>8</v>
      </c>
    </row>
    <row r="733" spans="1:19" x14ac:dyDescent="0.3">
      <c r="A733" t="s">
        <v>1517</v>
      </c>
      <c r="B733">
        <v>45658</v>
      </c>
      <c r="C733" t="s">
        <v>20</v>
      </c>
      <c r="D733" t="s">
        <v>21</v>
      </c>
      <c r="E733" t="s">
        <v>22</v>
      </c>
      <c r="F733" t="s">
        <v>97</v>
      </c>
      <c r="G733" t="s">
        <v>34</v>
      </c>
      <c r="H733" t="s">
        <v>35</v>
      </c>
      <c r="I733" t="s">
        <v>1518</v>
      </c>
      <c r="J733">
        <v>2</v>
      </c>
      <c r="K733">
        <v>1351</v>
      </c>
      <c r="L733">
        <v>0.24</v>
      </c>
      <c r="M733">
        <f>'Raw data'!$K733*(1- 'Raw data'!$L733)</f>
        <v>1026.76</v>
      </c>
      <c r="N733">
        <v>2053.52</v>
      </c>
      <c r="O733">
        <v>0.4</v>
      </c>
      <c r="P733">
        <v>821.41</v>
      </c>
      <c r="Q733" t="s">
        <v>51</v>
      </c>
      <c r="R733" t="s">
        <v>48</v>
      </c>
      <c r="S733">
        <v>6</v>
      </c>
    </row>
    <row r="734" spans="1:19" x14ac:dyDescent="0.3">
      <c r="A734" t="s">
        <v>1519</v>
      </c>
      <c r="B734">
        <v>45659</v>
      </c>
      <c r="C734" t="s">
        <v>20</v>
      </c>
      <c r="D734" t="s">
        <v>31</v>
      </c>
      <c r="E734" t="s">
        <v>32</v>
      </c>
      <c r="F734" t="s">
        <v>68</v>
      </c>
      <c r="G734" t="s">
        <v>24</v>
      </c>
      <c r="H734" t="s">
        <v>186</v>
      </c>
      <c r="I734" t="s">
        <v>1520</v>
      </c>
      <c r="J734">
        <v>7</v>
      </c>
      <c r="K734">
        <v>4300</v>
      </c>
      <c r="L734">
        <v>0.17</v>
      </c>
      <c r="M734">
        <f>'Raw data'!$K734*(1- 'Raw data'!$L734)</f>
        <v>3569</v>
      </c>
      <c r="N734">
        <v>24983</v>
      </c>
      <c r="O734">
        <v>0.25</v>
      </c>
      <c r="P734">
        <v>6245.75</v>
      </c>
      <c r="Q734" t="s">
        <v>27</v>
      </c>
      <c r="R734" t="s">
        <v>48</v>
      </c>
      <c r="S734">
        <v>7</v>
      </c>
    </row>
    <row r="735" spans="1:19" x14ac:dyDescent="0.3">
      <c r="A735" t="s">
        <v>1521</v>
      </c>
      <c r="B735">
        <v>45660</v>
      </c>
      <c r="C735" t="s">
        <v>20</v>
      </c>
      <c r="D735" t="s">
        <v>31</v>
      </c>
      <c r="E735" t="s">
        <v>67</v>
      </c>
      <c r="F735" t="s">
        <v>97</v>
      </c>
      <c r="G735" t="s">
        <v>57</v>
      </c>
      <c r="H735" t="s">
        <v>58</v>
      </c>
      <c r="I735" t="s">
        <v>1522</v>
      </c>
      <c r="J735">
        <v>4</v>
      </c>
      <c r="K735">
        <v>10553</v>
      </c>
      <c r="L735">
        <v>0.23</v>
      </c>
      <c r="M735">
        <f>'Raw data'!$K735*(1- 'Raw data'!$L735)</f>
        <v>8125.81</v>
      </c>
      <c r="N735">
        <v>32503.24</v>
      </c>
      <c r="O735">
        <v>0.2</v>
      </c>
      <c r="P735">
        <v>6500.65</v>
      </c>
      <c r="Q735" t="s">
        <v>37</v>
      </c>
      <c r="R735" t="s">
        <v>38</v>
      </c>
      <c r="S735">
        <v>7</v>
      </c>
    </row>
    <row r="736" spans="1:19" x14ac:dyDescent="0.3">
      <c r="A736" t="s">
        <v>1523</v>
      </c>
      <c r="B736">
        <v>45661</v>
      </c>
      <c r="C736" t="s">
        <v>20</v>
      </c>
      <c r="D736" t="s">
        <v>41</v>
      </c>
      <c r="E736" t="s">
        <v>42</v>
      </c>
      <c r="F736" t="s">
        <v>43</v>
      </c>
      <c r="G736" t="s">
        <v>92</v>
      </c>
      <c r="H736" t="s">
        <v>243</v>
      </c>
      <c r="I736" t="s">
        <v>1524</v>
      </c>
      <c r="J736">
        <v>8</v>
      </c>
      <c r="K736">
        <v>75095</v>
      </c>
      <c r="L736">
        <v>7.0000000000000007E-2</v>
      </c>
      <c r="M736">
        <f>'Raw data'!$K736*(1- 'Raw data'!$L736)</f>
        <v>69838.349999999991</v>
      </c>
      <c r="N736">
        <v>558706.80000000005</v>
      </c>
      <c r="O736">
        <v>0.15</v>
      </c>
      <c r="P736">
        <v>83806.02</v>
      </c>
      <c r="Q736" t="s">
        <v>51</v>
      </c>
      <c r="R736" t="s">
        <v>38</v>
      </c>
      <c r="S736">
        <v>2</v>
      </c>
    </row>
    <row r="737" spans="1:19" x14ac:dyDescent="0.3">
      <c r="A737" t="s">
        <v>1525</v>
      </c>
      <c r="B737">
        <v>45662</v>
      </c>
      <c r="C737" t="s">
        <v>30</v>
      </c>
      <c r="D737" t="s">
        <v>21</v>
      </c>
      <c r="E737" t="s">
        <v>22</v>
      </c>
      <c r="F737" t="s">
        <v>103</v>
      </c>
      <c r="G737" t="s">
        <v>57</v>
      </c>
      <c r="H737" t="s">
        <v>81</v>
      </c>
      <c r="I737" t="s">
        <v>1526</v>
      </c>
      <c r="J737">
        <v>9</v>
      </c>
      <c r="K737">
        <v>18898</v>
      </c>
      <c r="L737">
        <v>0.15</v>
      </c>
      <c r="M737">
        <f>'Raw data'!$K737*(1- 'Raw data'!$L737)</f>
        <v>16063.3</v>
      </c>
      <c r="N737">
        <v>144569.70000000001</v>
      </c>
      <c r="O737">
        <v>0.2</v>
      </c>
      <c r="P737">
        <v>28913.94</v>
      </c>
      <c r="Q737" t="s">
        <v>47</v>
      </c>
      <c r="R737" t="s">
        <v>48</v>
      </c>
      <c r="S737">
        <v>4</v>
      </c>
    </row>
    <row r="738" spans="1:19" x14ac:dyDescent="0.3">
      <c r="A738" t="s">
        <v>1527</v>
      </c>
      <c r="B738">
        <v>45663</v>
      </c>
      <c r="C738" t="s">
        <v>96</v>
      </c>
      <c r="D738" t="s">
        <v>21</v>
      </c>
      <c r="E738" t="s">
        <v>22</v>
      </c>
      <c r="F738" t="s">
        <v>33</v>
      </c>
      <c r="G738" t="s">
        <v>92</v>
      </c>
      <c r="H738" t="s">
        <v>109</v>
      </c>
      <c r="I738" t="s">
        <v>1528</v>
      </c>
      <c r="J738">
        <v>7</v>
      </c>
      <c r="K738">
        <v>48787</v>
      </c>
      <c r="L738">
        <v>0.17</v>
      </c>
      <c r="M738">
        <f>'Raw data'!$K738*(1- 'Raw data'!$L738)</f>
        <v>40493.21</v>
      </c>
      <c r="N738">
        <v>283452.46999999997</v>
      </c>
      <c r="O738">
        <v>0.15</v>
      </c>
      <c r="P738">
        <v>42517.87</v>
      </c>
      <c r="Q738" t="s">
        <v>47</v>
      </c>
      <c r="R738" t="s">
        <v>48</v>
      </c>
      <c r="S738">
        <v>6</v>
      </c>
    </row>
    <row r="739" spans="1:19" x14ac:dyDescent="0.3">
      <c r="A739" t="s">
        <v>1529</v>
      </c>
      <c r="B739">
        <v>45664</v>
      </c>
      <c r="C739" t="s">
        <v>30</v>
      </c>
      <c r="D739" t="s">
        <v>56</v>
      </c>
      <c r="E739" t="s">
        <v>42</v>
      </c>
      <c r="F739" t="s">
        <v>103</v>
      </c>
      <c r="G739" t="s">
        <v>24</v>
      </c>
      <c r="H739" t="s">
        <v>74</v>
      </c>
      <c r="I739" t="s">
        <v>1530</v>
      </c>
      <c r="J739">
        <v>5</v>
      </c>
      <c r="K739">
        <v>14794</v>
      </c>
      <c r="L739">
        <v>0.08</v>
      </c>
      <c r="M739">
        <f>'Raw data'!$K739*(1- 'Raw data'!$L739)</f>
        <v>13610.480000000001</v>
      </c>
      <c r="N739">
        <v>68052.399999999994</v>
      </c>
      <c r="O739">
        <v>0.25</v>
      </c>
      <c r="P739">
        <v>17013.099999999999</v>
      </c>
      <c r="Q739" t="s">
        <v>37</v>
      </c>
      <c r="R739" t="s">
        <v>28</v>
      </c>
      <c r="S739">
        <v>3</v>
      </c>
    </row>
    <row r="740" spans="1:19" x14ac:dyDescent="0.3">
      <c r="A740" t="s">
        <v>1531</v>
      </c>
      <c r="B740">
        <v>45665</v>
      </c>
      <c r="C740" t="s">
        <v>20</v>
      </c>
      <c r="D740" t="s">
        <v>41</v>
      </c>
      <c r="E740" t="s">
        <v>22</v>
      </c>
      <c r="F740" t="s">
        <v>23</v>
      </c>
      <c r="G740" t="s">
        <v>24</v>
      </c>
      <c r="H740" t="s">
        <v>25</v>
      </c>
      <c r="I740" t="s">
        <v>1532</v>
      </c>
      <c r="J740">
        <v>8</v>
      </c>
      <c r="K740">
        <v>6343</v>
      </c>
      <c r="L740">
        <v>0.21</v>
      </c>
      <c r="M740">
        <f>'Raw data'!$K740*(1- 'Raw data'!$L740)</f>
        <v>5010.97</v>
      </c>
      <c r="N740">
        <v>40087.760000000002</v>
      </c>
      <c r="O740">
        <v>0.25</v>
      </c>
      <c r="P740">
        <v>10021.94</v>
      </c>
      <c r="Q740" t="s">
        <v>37</v>
      </c>
      <c r="R740" t="s">
        <v>48</v>
      </c>
      <c r="S740">
        <v>9</v>
      </c>
    </row>
    <row r="741" spans="1:19" x14ac:dyDescent="0.3">
      <c r="A741" t="s">
        <v>1533</v>
      </c>
      <c r="B741">
        <v>45666</v>
      </c>
      <c r="C741" t="s">
        <v>30</v>
      </c>
      <c r="D741" t="s">
        <v>31</v>
      </c>
      <c r="E741" t="s">
        <v>32</v>
      </c>
      <c r="F741" t="s">
        <v>103</v>
      </c>
      <c r="G741" t="s">
        <v>34</v>
      </c>
      <c r="H741" t="s">
        <v>141</v>
      </c>
      <c r="I741" t="s">
        <v>1534</v>
      </c>
      <c r="J741">
        <v>4</v>
      </c>
      <c r="K741">
        <v>1073</v>
      </c>
      <c r="L741">
        <v>0.24</v>
      </c>
      <c r="M741">
        <f>'Raw data'!$K741*(1- 'Raw data'!$L741)</f>
        <v>815.48</v>
      </c>
      <c r="N741">
        <v>3261.92</v>
      </c>
      <c r="O741">
        <v>0.4</v>
      </c>
      <c r="P741">
        <v>1304.77</v>
      </c>
      <c r="Q741" t="s">
        <v>51</v>
      </c>
      <c r="R741" t="s">
        <v>38</v>
      </c>
      <c r="S741">
        <v>4</v>
      </c>
    </row>
    <row r="742" spans="1:19" x14ac:dyDescent="0.3">
      <c r="A742" t="s">
        <v>1535</v>
      </c>
      <c r="B742">
        <v>45667</v>
      </c>
      <c r="C742" t="s">
        <v>20</v>
      </c>
      <c r="D742" t="s">
        <v>41</v>
      </c>
      <c r="E742" t="s">
        <v>42</v>
      </c>
      <c r="F742" t="s">
        <v>68</v>
      </c>
      <c r="G742" t="s">
        <v>57</v>
      </c>
      <c r="H742" t="s">
        <v>183</v>
      </c>
      <c r="I742" t="s">
        <v>1536</v>
      </c>
      <c r="J742">
        <v>2</v>
      </c>
      <c r="K742">
        <v>13754</v>
      </c>
      <c r="L742">
        <v>0.22</v>
      </c>
      <c r="M742">
        <f>'Raw data'!$K742*(1- 'Raw data'!$L742)</f>
        <v>10728.12</v>
      </c>
      <c r="N742">
        <v>21456.240000000002</v>
      </c>
      <c r="O742">
        <v>0.2</v>
      </c>
      <c r="P742">
        <v>4291.25</v>
      </c>
      <c r="Q742" t="s">
        <v>51</v>
      </c>
      <c r="R742" t="s">
        <v>48</v>
      </c>
      <c r="S742">
        <v>2</v>
      </c>
    </row>
    <row r="743" spans="1:19" x14ac:dyDescent="0.3">
      <c r="A743" t="s">
        <v>1537</v>
      </c>
      <c r="B743">
        <v>45668</v>
      </c>
      <c r="C743" t="s">
        <v>55</v>
      </c>
      <c r="D743" t="s">
        <v>31</v>
      </c>
      <c r="E743" t="s">
        <v>32</v>
      </c>
      <c r="F743" t="s">
        <v>43</v>
      </c>
      <c r="G743" t="s">
        <v>34</v>
      </c>
      <c r="H743" t="s">
        <v>104</v>
      </c>
      <c r="I743" t="s">
        <v>1538</v>
      </c>
      <c r="J743">
        <v>6</v>
      </c>
      <c r="K743">
        <v>672</v>
      </c>
      <c r="L743">
        <v>0.18</v>
      </c>
      <c r="M743">
        <f>'Raw data'!$K743*(1- 'Raw data'!$L743)</f>
        <v>551.04000000000008</v>
      </c>
      <c r="N743">
        <v>3306.24</v>
      </c>
      <c r="O743">
        <v>0.4</v>
      </c>
      <c r="P743">
        <v>1322.5</v>
      </c>
      <c r="Q743" t="s">
        <v>47</v>
      </c>
      <c r="R743" t="s">
        <v>48</v>
      </c>
      <c r="S743">
        <v>6</v>
      </c>
    </row>
    <row r="744" spans="1:19" x14ac:dyDescent="0.3">
      <c r="A744" t="s">
        <v>1539</v>
      </c>
      <c r="B744">
        <v>45669</v>
      </c>
      <c r="C744" t="s">
        <v>63</v>
      </c>
      <c r="D744" t="s">
        <v>31</v>
      </c>
      <c r="E744" t="s">
        <v>32</v>
      </c>
      <c r="F744" t="s">
        <v>97</v>
      </c>
      <c r="G744" t="s">
        <v>57</v>
      </c>
      <c r="H744" t="s">
        <v>58</v>
      </c>
      <c r="I744" t="s">
        <v>1540</v>
      </c>
      <c r="J744">
        <v>9</v>
      </c>
      <c r="K744">
        <v>5081</v>
      </c>
      <c r="L744">
        <v>7.0000000000000007E-2</v>
      </c>
      <c r="M744">
        <f>'Raw data'!$K744*(1- 'Raw data'!$L744)</f>
        <v>4725.33</v>
      </c>
      <c r="N744">
        <v>42527.97</v>
      </c>
      <c r="O744">
        <v>0.2</v>
      </c>
      <c r="P744">
        <v>8505.59</v>
      </c>
      <c r="Q744" t="s">
        <v>37</v>
      </c>
      <c r="R744" t="s">
        <v>48</v>
      </c>
      <c r="S744">
        <v>1</v>
      </c>
    </row>
    <row r="745" spans="1:19" x14ac:dyDescent="0.3">
      <c r="A745" t="s">
        <v>1541</v>
      </c>
      <c r="B745">
        <v>45670</v>
      </c>
      <c r="C745" t="s">
        <v>96</v>
      </c>
      <c r="D745" t="s">
        <v>41</v>
      </c>
      <c r="E745" t="s">
        <v>67</v>
      </c>
      <c r="F745" t="s">
        <v>43</v>
      </c>
      <c r="G745" t="s">
        <v>34</v>
      </c>
      <c r="H745" t="s">
        <v>35</v>
      </c>
      <c r="I745" t="s">
        <v>830</v>
      </c>
      <c r="J745">
        <v>1</v>
      </c>
      <c r="K745">
        <v>501</v>
      </c>
      <c r="L745">
        <v>7.0000000000000007E-2</v>
      </c>
      <c r="M745">
        <f>'Raw data'!$K745*(1- 'Raw data'!$L745)</f>
        <v>465.92999999999995</v>
      </c>
      <c r="N745">
        <v>465.93</v>
      </c>
      <c r="O745">
        <v>0.4</v>
      </c>
      <c r="P745">
        <v>186.37</v>
      </c>
      <c r="Q745" t="s">
        <v>51</v>
      </c>
      <c r="R745" t="s">
        <v>48</v>
      </c>
      <c r="S745">
        <v>6</v>
      </c>
    </row>
    <row r="746" spans="1:19" x14ac:dyDescent="0.3">
      <c r="A746" t="s">
        <v>1542</v>
      </c>
      <c r="B746">
        <v>45671</v>
      </c>
      <c r="C746" t="s">
        <v>55</v>
      </c>
      <c r="D746" t="s">
        <v>21</v>
      </c>
      <c r="E746" t="s">
        <v>32</v>
      </c>
      <c r="F746" t="s">
        <v>33</v>
      </c>
      <c r="G746" t="s">
        <v>44</v>
      </c>
      <c r="H746" t="s">
        <v>138</v>
      </c>
      <c r="I746" t="s">
        <v>1543</v>
      </c>
      <c r="J746">
        <v>7</v>
      </c>
      <c r="K746">
        <v>1422</v>
      </c>
      <c r="L746">
        <v>0.24</v>
      </c>
      <c r="M746">
        <f>'Raw data'!$K746*(1- 'Raw data'!$L746)</f>
        <v>1080.72</v>
      </c>
      <c r="N746">
        <v>7565.04</v>
      </c>
      <c r="O746">
        <v>0.35</v>
      </c>
      <c r="P746">
        <v>2647.76</v>
      </c>
      <c r="Q746" t="s">
        <v>47</v>
      </c>
      <c r="R746" t="s">
        <v>38</v>
      </c>
      <c r="S746">
        <v>1</v>
      </c>
    </row>
    <row r="747" spans="1:19" x14ac:dyDescent="0.3">
      <c r="A747" t="s">
        <v>1544</v>
      </c>
      <c r="B747">
        <v>45672</v>
      </c>
      <c r="C747" t="s">
        <v>40</v>
      </c>
      <c r="D747" t="s">
        <v>31</v>
      </c>
      <c r="E747" t="s">
        <v>67</v>
      </c>
      <c r="F747" t="s">
        <v>103</v>
      </c>
      <c r="G747" t="s">
        <v>44</v>
      </c>
      <c r="H747" t="s">
        <v>116</v>
      </c>
      <c r="I747" t="s">
        <v>1545</v>
      </c>
      <c r="J747">
        <v>9</v>
      </c>
      <c r="K747">
        <v>3637</v>
      </c>
      <c r="L747">
        <v>0</v>
      </c>
      <c r="M747">
        <f>'Raw data'!$K747*(1- 'Raw data'!$L747)</f>
        <v>3637</v>
      </c>
      <c r="N747">
        <v>32733</v>
      </c>
      <c r="O747">
        <v>0.35</v>
      </c>
      <c r="P747">
        <v>11456.55</v>
      </c>
      <c r="Q747" t="s">
        <v>37</v>
      </c>
      <c r="R747" t="s">
        <v>28</v>
      </c>
      <c r="S747">
        <v>8</v>
      </c>
    </row>
    <row r="748" spans="1:19" x14ac:dyDescent="0.3">
      <c r="A748" t="s">
        <v>1546</v>
      </c>
      <c r="B748">
        <v>45673</v>
      </c>
      <c r="C748" t="s">
        <v>30</v>
      </c>
      <c r="D748" t="s">
        <v>41</v>
      </c>
      <c r="E748" t="s">
        <v>22</v>
      </c>
      <c r="F748" t="s">
        <v>33</v>
      </c>
      <c r="G748" t="s">
        <v>44</v>
      </c>
      <c r="H748" t="s">
        <v>45</v>
      </c>
      <c r="I748" t="s">
        <v>1547</v>
      </c>
      <c r="J748">
        <v>9</v>
      </c>
      <c r="K748">
        <v>2659</v>
      </c>
      <c r="L748">
        <v>0.18</v>
      </c>
      <c r="M748">
        <f>'Raw data'!$K748*(1- 'Raw data'!$L748)</f>
        <v>2180.38</v>
      </c>
      <c r="N748">
        <v>19623.419999999998</v>
      </c>
      <c r="O748">
        <v>0.35</v>
      </c>
      <c r="P748">
        <v>6868.2</v>
      </c>
      <c r="Q748" t="s">
        <v>47</v>
      </c>
      <c r="R748" t="s">
        <v>48</v>
      </c>
      <c r="S748">
        <v>5</v>
      </c>
    </row>
    <row r="749" spans="1:19" x14ac:dyDescent="0.3">
      <c r="A749" t="s">
        <v>1548</v>
      </c>
      <c r="B749">
        <v>45674</v>
      </c>
      <c r="C749" t="s">
        <v>40</v>
      </c>
      <c r="D749" t="s">
        <v>56</v>
      </c>
      <c r="E749" t="s">
        <v>22</v>
      </c>
      <c r="F749" t="s">
        <v>97</v>
      </c>
      <c r="G749" t="s">
        <v>44</v>
      </c>
      <c r="H749" t="s">
        <v>64</v>
      </c>
      <c r="I749" t="s">
        <v>1549</v>
      </c>
      <c r="J749">
        <v>3</v>
      </c>
      <c r="K749">
        <v>3047</v>
      </c>
      <c r="L749">
        <v>0.18</v>
      </c>
      <c r="M749">
        <f>'Raw data'!$K749*(1- 'Raw data'!$L749)</f>
        <v>2498.54</v>
      </c>
      <c r="N749">
        <v>7495.62</v>
      </c>
      <c r="O749">
        <v>0.35</v>
      </c>
      <c r="P749">
        <v>2623.47</v>
      </c>
      <c r="Q749" t="s">
        <v>27</v>
      </c>
      <c r="R749" t="s">
        <v>48</v>
      </c>
      <c r="S749">
        <v>6</v>
      </c>
    </row>
    <row r="750" spans="1:19" x14ac:dyDescent="0.3">
      <c r="A750" t="s">
        <v>1550</v>
      </c>
      <c r="B750">
        <v>45675</v>
      </c>
      <c r="C750" t="s">
        <v>30</v>
      </c>
      <c r="D750" t="s">
        <v>41</v>
      </c>
      <c r="E750" t="s">
        <v>67</v>
      </c>
      <c r="F750" t="s">
        <v>33</v>
      </c>
      <c r="G750" t="s">
        <v>92</v>
      </c>
      <c r="H750" t="s">
        <v>243</v>
      </c>
      <c r="I750" t="s">
        <v>1551</v>
      </c>
      <c r="J750">
        <v>5</v>
      </c>
      <c r="K750">
        <v>57701</v>
      </c>
      <c r="L750">
        <v>0.16</v>
      </c>
      <c r="M750">
        <f>'Raw data'!$K750*(1- 'Raw data'!$L750)</f>
        <v>48468.84</v>
      </c>
      <c r="N750">
        <v>242344.2</v>
      </c>
      <c r="O750">
        <v>0.15</v>
      </c>
      <c r="P750">
        <v>36351.629999999997</v>
      </c>
      <c r="Q750" t="s">
        <v>37</v>
      </c>
      <c r="R750" t="s">
        <v>38</v>
      </c>
      <c r="S750">
        <v>2</v>
      </c>
    </row>
    <row r="751" spans="1:19" x14ac:dyDescent="0.3">
      <c r="A751" t="s">
        <v>1552</v>
      </c>
      <c r="B751">
        <v>45676</v>
      </c>
      <c r="C751" t="s">
        <v>63</v>
      </c>
      <c r="D751" t="s">
        <v>56</v>
      </c>
      <c r="E751" t="s">
        <v>32</v>
      </c>
      <c r="F751" t="s">
        <v>23</v>
      </c>
      <c r="G751" t="s">
        <v>44</v>
      </c>
      <c r="H751" t="s">
        <v>138</v>
      </c>
      <c r="I751" t="s">
        <v>1553</v>
      </c>
      <c r="J751">
        <v>8</v>
      </c>
      <c r="K751">
        <v>2781</v>
      </c>
      <c r="L751">
        <v>0.25</v>
      </c>
      <c r="M751">
        <f>'Raw data'!$K751*(1- 'Raw data'!$L751)</f>
        <v>2085.75</v>
      </c>
      <c r="N751">
        <v>16686</v>
      </c>
      <c r="O751">
        <v>0.35</v>
      </c>
      <c r="P751">
        <v>5840.1</v>
      </c>
      <c r="Q751" t="s">
        <v>51</v>
      </c>
      <c r="R751" t="s">
        <v>48</v>
      </c>
      <c r="S751">
        <v>2</v>
      </c>
    </row>
    <row r="752" spans="1:19" x14ac:dyDescent="0.3">
      <c r="A752" t="s">
        <v>1554</v>
      </c>
      <c r="B752">
        <v>45677</v>
      </c>
      <c r="C752" t="s">
        <v>55</v>
      </c>
      <c r="D752" t="s">
        <v>31</v>
      </c>
      <c r="E752" t="s">
        <v>42</v>
      </c>
      <c r="F752" t="s">
        <v>43</v>
      </c>
      <c r="G752" t="s">
        <v>24</v>
      </c>
      <c r="H752" t="s">
        <v>121</v>
      </c>
      <c r="I752" t="s">
        <v>1555</v>
      </c>
      <c r="J752">
        <v>8</v>
      </c>
      <c r="K752">
        <v>3649</v>
      </c>
      <c r="L752">
        <v>0.08</v>
      </c>
      <c r="M752">
        <f>'Raw data'!$K752*(1- 'Raw data'!$L752)</f>
        <v>3357.08</v>
      </c>
      <c r="N752">
        <v>26856.639999999999</v>
      </c>
      <c r="O752">
        <v>0.25</v>
      </c>
      <c r="P752">
        <v>6714.16</v>
      </c>
      <c r="Q752" t="s">
        <v>51</v>
      </c>
      <c r="R752" t="s">
        <v>48</v>
      </c>
      <c r="S752">
        <v>9</v>
      </c>
    </row>
    <row r="753" spans="1:19" x14ac:dyDescent="0.3">
      <c r="A753" t="s">
        <v>1556</v>
      </c>
      <c r="B753">
        <v>45678</v>
      </c>
      <c r="C753" t="s">
        <v>63</v>
      </c>
      <c r="D753" t="s">
        <v>41</v>
      </c>
      <c r="E753" t="s">
        <v>42</v>
      </c>
      <c r="F753" t="s">
        <v>97</v>
      </c>
      <c r="G753" t="s">
        <v>24</v>
      </c>
      <c r="H753" t="s">
        <v>121</v>
      </c>
      <c r="I753" t="s">
        <v>1557</v>
      </c>
      <c r="J753">
        <v>4</v>
      </c>
      <c r="K753">
        <v>9505</v>
      </c>
      <c r="L753">
        <v>0.08</v>
      </c>
      <c r="M753">
        <f>'Raw data'!$K753*(1- 'Raw data'!$L753)</f>
        <v>8744.6</v>
      </c>
      <c r="N753">
        <v>34978.400000000001</v>
      </c>
      <c r="O753">
        <v>0.25</v>
      </c>
      <c r="P753">
        <v>8744.6</v>
      </c>
      <c r="Q753" t="s">
        <v>27</v>
      </c>
      <c r="R753" t="s">
        <v>48</v>
      </c>
      <c r="S753">
        <v>3</v>
      </c>
    </row>
    <row r="754" spans="1:19" x14ac:dyDescent="0.3">
      <c r="A754" t="s">
        <v>1558</v>
      </c>
      <c r="B754">
        <v>45679</v>
      </c>
      <c r="C754" t="s">
        <v>20</v>
      </c>
      <c r="D754" t="s">
        <v>41</v>
      </c>
      <c r="E754" t="s">
        <v>67</v>
      </c>
      <c r="F754" t="s">
        <v>97</v>
      </c>
      <c r="G754" t="s">
        <v>92</v>
      </c>
      <c r="H754" t="s">
        <v>93</v>
      </c>
      <c r="I754" t="s">
        <v>1559</v>
      </c>
      <c r="J754">
        <v>1</v>
      </c>
      <c r="K754">
        <v>20805</v>
      </c>
      <c r="L754">
        <v>0.02</v>
      </c>
      <c r="M754">
        <f>'Raw data'!$K754*(1- 'Raw data'!$L754)</f>
        <v>20388.899999999998</v>
      </c>
      <c r="N754">
        <v>20388.900000000001</v>
      </c>
      <c r="O754">
        <v>0.15</v>
      </c>
      <c r="P754">
        <v>3058.34</v>
      </c>
      <c r="Q754" t="s">
        <v>37</v>
      </c>
      <c r="R754" t="s">
        <v>48</v>
      </c>
      <c r="S754">
        <v>6</v>
      </c>
    </row>
    <row r="755" spans="1:19" x14ac:dyDescent="0.3">
      <c r="A755" t="s">
        <v>1560</v>
      </c>
      <c r="B755">
        <v>45680</v>
      </c>
      <c r="C755" t="s">
        <v>63</v>
      </c>
      <c r="D755" t="s">
        <v>56</v>
      </c>
      <c r="E755" t="s">
        <v>22</v>
      </c>
      <c r="F755" t="s">
        <v>97</v>
      </c>
      <c r="G755" t="s">
        <v>44</v>
      </c>
      <c r="H755" t="s">
        <v>45</v>
      </c>
      <c r="I755" t="s">
        <v>1561</v>
      </c>
      <c r="J755">
        <v>1</v>
      </c>
      <c r="K755">
        <v>3583</v>
      </c>
      <c r="L755">
        <v>0.11</v>
      </c>
      <c r="M755">
        <f>'Raw data'!$K755*(1- 'Raw data'!$L755)</f>
        <v>3188.87</v>
      </c>
      <c r="N755">
        <v>3188.87</v>
      </c>
      <c r="O755">
        <v>0.35</v>
      </c>
      <c r="P755">
        <v>1116.0999999999999</v>
      </c>
      <c r="Q755" t="s">
        <v>47</v>
      </c>
      <c r="R755" t="s">
        <v>48</v>
      </c>
      <c r="S755">
        <v>5</v>
      </c>
    </row>
    <row r="756" spans="1:19" x14ac:dyDescent="0.3">
      <c r="A756" t="s">
        <v>1562</v>
      </c>
      <c r="B756">
        <v>45681</v>
      </c>
      <c r="C756" t="s">
        <v>63</v>
      </c>
      <c r="D756" t="s">
        <v>41</v>
      </c>
      <c r="E756" t="s">
        <v>22</v>
      </c>
      <c r="F756" t="s">
        <v>68</v>
      </c>
      <c r="G756" t="s">
        <v>44</v>
      </c>
      <c r="H756" t="s">
        <v>138</v>
      </c>
      <c r="I756" t="s">
        <v>1563</v>
      </c>
      <c r="J756">
        <v>4</v>
      </c>
      <c r="K756">
        <v>2756</v>
      </c>
      <c r="L756">
        <v>7.0000000000000007E-2</v>
      </c>
      <c r="M756">
        <f>'Raw data'!$K756*(1- 'Raw data'!$L756)</f>
        <v>2563.08</v>
      </c>
      <c r="N756">
        <v>10252.32</v>
      </c>
      <c r="O756">
        <v>0.35</v>
      </c>
      <c r="P756">
        <v>3588.31</v>
      </c>
      <c r="Q756" t="s">
        <v>51</v>
      </c>
      <c r="R756" t="s">
        <v>48</v>
      </c>
      <c r="S756">
        <v>4</v>
      </c>
    </row>
    <row r="757" spans="1:19" x14ac:dyDescent="0.3">
      <c r="A757" t="s">
        <v>1564</v>
      </c>
      <c r="B757">
        <v>45682</v>
      </c>
      <c r="C757" t="s">
        <v>20</v>
      </c>
      <c r="D757" t="s">
        <v>41</v>
      </c>
      <c r="E757" t="s">
        <v>42</v>
      </c>
      <c r="F757" t="s">
        <v>43</v>
      </c>
      <c r="G757" t="s">
        <v>44</v>
      </c>
      <c r="H757" t="s">
        <v>116</v>
      </c>
      <c r="I757" t="s">
        <v>1565</v>
      </c>
      <c r="J757">
        <v>6</v>
      </c>
      <c r="K757">
        <v>1537</v>
      </c>
      <c r="L757">
        <v>0.09</v>
      </c>
      <c r="M757">
        <f>'Raw data'!$K757*(1- 'Raw data'!$L757)</f>
        <v>1398.67</v>
      </c>
      <c r="N757">
        <v>8392.02</v>
      </c>
      <c r="O757">
        <v>0.35</v>
      </c>
      <c r="P757">
        <v>2937.21</v>
      </c>
      <c r="Q757" t="s">
        <v>27</v>
      </c>
      <c r="R757" t="s">
        <v>48</v>
      </c>
      <c r="S757">
        <v>2</v>
      </c>
    </row>
    <row r="758" spans="1:19" x14ac:dyDescent="0.3">
      <c r="A758" t="s">
        <v>1566</v>
      </c>
      <c r="B758">
        <v>45683</v>
      </c>
      <c r="C758" t="s">
        <v>30</v>
      </c>
      <c r="D758" t="s">
        <v>31</v>
      </c>
      <c r="E758" t="s">
        <v>67</v>
      </c>
      <c r="F758" t="s">
        <v>33</v>
      </c>
      <c r="G758" t="s">
        <v>34</v>
      </c>
      <c r="H758" t="s">
        <v>35</v>
      </c>
      <c r="I758" t="s">
        <v>1567</v>
      </c>
      <c r="J758">
        <v>8</v>
      </c>
      <c r="K758">
        <v>1243</v>
      </c>
      <c r="L758">
        <v>0.21</v>
      </c>
      <c r="M758">
        <f>'Raw data'!$K758*(1- 'Raw data'!$L758)</f>
        <v>981.97</v>
      </c>
      <c r="N758">
        <v>7855.76</v>
      </c>
      <c r="O758">
        <v>0.4</v>
      </c>
      <c r="P758">
        <v>3142.3</v>
      </c>
      <c r="Q758" t="s">
        <v>27</v>
      </c>
      <c r="R758" t="s">
        <v>28</v>
      </c>
      <c r="S758">
        <v>8</v>
      </c>
    </row>
    <row r="759" spans="1:19" x14ac:dyDescent="0.3">
      <c r="A759" t="s">
        <v>1568</v>
      </c>
      <c r="B759">
        <v>45684</v>
      </c>
      <c r="C759" t="s">
        <v>20</v>
      </c>
      <c r="D759" t="s">
        <v>41</v>
      </c>
      <c r="E759" t="s">
        <v>42</v>
      </c>
      <c r="F759" t="s">
        <v>97</v>
      </c>
      <c r="G759" t="s">
        <v>57</v>
      </c>
      <c r="H759" t="s">
        <v>100</v>
      </c>
      <c r="I759" t="s">
        <v>1569</v>
      </c>
      <c r="J759">
        <v>6</v>
      </c>
      <c r="K759">
        <v>5983</v>
      </c>
      <c r="L759">
        <v>0.23</v>
      </c>
      <c r="M759">
        <f>'Raw data'!$K759*(1- 'Raw data'!$L759)</f>
        <v>4606.91</v>
      </c>
      <c r="N759">
        <v>27641.46</v>
      </c>
      <c r="O759">
        <v>0.2</v>
      </c>
      <c r="P759">
        <v>5528.29</v>
      </c>
      <c r="Q759" t="s">
        <v>37</v>
      </c>
      <c r="R759" t="s">
        <v>48</v>
      </c>
      <c r="S759">
        <v>7</v>
      </c>
    </row>
    <row r="760" spans="1:19" x14ac:dyDescent="0.3">
      <c r="A760" t="s">
        <v>1570</v>
      </c>
      <c r="B760">
        <v>45685</v>
      </c>
      <c r="C760" t="s">
        <v>55</v>
      </c>
      <c r="D760" t="s">
        <v>21</v>
      </c>
      <c r="E760" t="s">
        <v>32</v>
      </c>
      <c r="F760" t="s">
        <v>43</v>
      </c>
      <c r="G760" t="s">
        <v>34</v>
      </c>
      <c r="H760" t="s">
        <v>35</v>
      </c>
      <c r="I760" t="s">
        <v>1571</v>
      </c>
      <c r="J760">
        <v>9</v>
      </c>
      <c r="K760">
        <v>1214</v>
      </c>
      <c r="L760">
        <v>0.05</v>
      </c>
      <c r="M760">
        <f>'Raw data'!$K760*(1- 'Raw data'!$L760)</f>
        <v>1153.3</v>
      </c>
      <c r="N760">
        <v>10379.700000000001</v>
      </c>
      <c r="O760">
        <v>0.4</v>
      </c>
      <c r="P760">
        <v>4151.88</v>
      </c>
      <c r="Q760" t="s">
        <v>37</v>
      </c>
      <c r="R760" t="s">
        <v>48</v>
      </c>
      <c r="S760">
        <v>2</v>
      </c>
    </row>
    <row r="761" spans="1:19" x14ac:dyDescent="0.3">
      <c r="A761" t="s">
        <v>1572</v>
      </c>
      <c r="B761">
        <v>45686</v>
      </c>
      <c r="C761" t="s">
        <v>63</v>
      </c>
      <c r="D761" t="s">
        <v>56</v>
      </c>
      <c r="E761" t="s">
        <v>32</v>
      </c>
      <c r="F761" t="s">
        <v>97</v>
      </c>
      <c r="G761" t="s">
        <v>57</v>
      </c>
      <c r="H761" t="s">
        <v>58</v>
      </c>
      <c r="I761" t="s">
        <v>1573</v>
      </c>
      <c r="J761">
        <v>9</v>
      </c>
      <c r="K761">
        <v>14087</v>
      </c>
      <c r="L761">
        <v>0.09</v>
      </c>
      <c r="M761">
        <f>'Raw data'!$K761*(1- 'Raw data'!$L761)</f>
        <v>12819.17</v>
      </c>
      <c r="N761">
        <v>115372.53</v>
      </c>
      <c r="O761">
        <v>0.2</v>
      </c>
      <c r="P761">
        <v>23074.51</v>
      </c>
      <c r="Q761" t="s">
        <v>51</v>
      </c>
      <c r="R761" t="s">
        <v>48</v>
      </c>
      <c r="S761">
        <v>6</v>
      </c>
    </row>
    <row r="762" spans="1:19" x14ac:dyDescent="0.3">
      <c r="A762" t="s">
        <v>1574</v>
      </c>
      <c r="B762">
        <v>45687</v>
      </c>
      <c r="C762" t="s">
        <v>20</v>
      </c>
      <c r="D762" t="s">
        <v>41</v>
      </c>
      <c r="E762" t="s">
        <v>67</v>
      </c>
      <c r="F762" t="s">
        <v>23</v>
      </c>
      <c r="G762" t="s">
        <v>44</v>
      </c>
      <c r="H762" t="s">
        <v>138</v>
      </c>
      <c r="I762" t="s">
        <v>1575</v>
      </c>
      <c r="J762">
        <v>2</v>
      </c>
      <c r="K762">
        <v>1624</v>
      </c>
      <c r="L762">
        <v>0.23</v>
      </c>
      <c r="M762">
        <f>'Raw data'!$K762*(1- 'Raw data'!$L762)</f>
        <v>1250.48</v>
      </c>
      <c r="N762">
        <v>2500.96</v>
      </c>
      <c r="O762">
        <v>0.35</v>
      </c>
      <c r="P762">
        <v>875.34</v>
      </c>
      <c r="Q762" t="s">
        <v>27</v>
      </c>
      <c r="R762" t="s">
        <v>48</v>
      </c>
      <c r="S762">
        <v>8</v>
      </c>
    </row>
    <row r="763" spans="1:19" x14ac:dyDescent="0.3">
      <c r="A763" t="s">
        <v>1576</v>
      </c>
      <c r="B763">
        <v>45688</v>
      </c>
      <c r="C763" t="s">
        <v>63</v>
      </c>
      <c r="D763" t="s">
        <v>56</v>
      </c>
      <c r="E763" t="s">
        <v>67</v>
      </c>
      <c r="F763" t="s">
        <v>23</v>
      </c>
      <c r="G763" t="s">
        <v>44</v>
      </c>
      <c r="H763" t="s">
        <v>45</v>
      </c>
      <c r="I763" t="s">
        <v>1577</v>
      </c>
      <c r="J763">
        <v>1</v>
      </c>
      <c r="K763">
        <v>1197</v>
      </c>
      <c r="L763">
        <v>0.02</v>
      </c>
      <c r="M763">
        <f>'Raw data'!$K763*(1- 'Raw data'!$L763)</f>
        <v>1173.06</v>
      </c>
      <c r="N763">
        <v>1173.06</v>
      </c>
      <c r="O763">
        <v>0.35</v>
      </c>
      <c r="P763">
        <v>410.57</v>
      </c>
      <c r="Q763" t="s">
        <v>47</v>
      </c>
      <c r="R763" t="s">
        <v>48</v>
      </c>
      <c r="S763">
        <v>7</v>
      </c>
    </row>
    <row r="764" spans="1:19" x14ac:dyDescent="0.3">
      <c r="A764" t="s">
        <v>1578</v>
      </c>
      <c r="B764">
        <v>45689</v>
      </c>
      <c r="C764" t="s">
        <v>55</v>
      </c>
      <c r="D764" t="s">
        <v>56</v>
      </c>
      <c r="E764" t="s">
        <v>32</v>
      </c>
      <c r="F764" t="s">
        <v>23</v>
      </c>
      <c r="G764" t="s">
        <v>34</v>
      </c>
      <c r="H764" t="s">
        <v>141</v>
      </c>
      <c r="I764" t="s">
        <v>1579</v>
      </c>
      <c r="J764">
        <v>2</v>
      </c>
      <c r="K764">
        <v>331</v>
      </c>
      <c r="L764">
        <v>0.02</v>
      </c>
      <c r="M764">
        <f>'Raw data'!$K764*(1- 'Raw data'!$L764)</f>
        <v>324.38</v>
      </c>
      <c r="N764">
        <v>648.76</v>
      </c>
      <c r="O764">
        <v>0.4</v>
      </c>
      <c r="P764">
        <v>259.5</v>
      </c>
      <c r="Q764" t="s">
        <v>27</v>
      </c>
      <c r="R764" t="s">
        <v>48</v>
      </c>
      <c r="S764">
        <v>1</v>
      </c>
    </row>
    <row r="765" spans="1:19" x14ac:dyDescent="0.3">
      <c r="A765" t="s">
        <v>1580</v>
      </c>
      <c r="B765">
        <v>45690</v>
      </c>
      <c r="C765" t="s">
        <v>40</v>
      </c>
      <c r="D765" t="s">
        <v>56</v>
      </c>
      <c r="E765" t="s">
        <v>22</v>
      </c>
      <c r="F765" t="s">
        <v>103</v>
      </c>
      <c r="G765" t="s">
        <v>34</v>
      </c>
      <c r="H765" t="s">
        <v>71</v>
      </c>
      <c r="I765" t="s">
        <v>1581</v>
      </c>
      <c r="J765">
        <v>5</v>
      </c>
      <c r="K765">
        <v>1355</v>
      </c>
      <c r="L765">
        <v>0.04</v>
      </c>
      <c r="M765">
        <f>'Raw data'!$K765*(1- 'Raw data'!$L765)</f>
        <v>1300.8</v>
      </c>
      <c r="N765">
        <v>6504</v>
      </c>
      <c r="O765">
        <v>0.4</v>
      </c>
      <c r="P765">
        <v>2601.6</v>
      </c>
      <c r="Q765" t="s">
        <v>47</v>
      </c>
      <c r="R765" t="s">
        <v>48</v>
      </c>
      <c r="S765">
        <v>5</v>
      </c>
    </row>
    <row r="766" spans="1:19" x14ac:dyDescent="0.3">
      <c r="A766" t="s">
        <v>1582</v>
      </c>
      <c r="B766">
        <v>45691</v>
      </c>
      <c r="C766" t="s">
        <v>55</v>
      </c>
      <c r="D766" t="s">
        <v>41</v>
      </c>
      <c r="E766" t="s">
        <v>67</v>
      </c>
      <c r="F766" t="s">
        <v>97</v>
      </c>
      <c r="G766" t="s">
        <v>57</v>
      </c>
      <c r="H766" t="s">
        <v>183</v>
      </c>
      <c r="I766" t="s">
        <v>1583</v>
      </c>
      <c r="J766">
        <v>4</v>
      </c>
      <c r="K766">
        <v>11235</v>
      </c>
      <c r="L766">
        <v>0.15</v>
      </c>
      <c r="M766">
        <f>'Raw data'!$K766*(1- 'Raw data'!$L766)</f>
        <v>9549.75</v>
      </c>
      <c r="N766">
        <v>38199</v>
      </c>
      <c r="O766">
        <v>0.2</v>
      </c>
      <c r="P766">
        <v>7639.8</v>
      </c>
      <c r="Q766" t="s">
        <v>47</v>
      </c>
      <c r="R766" t="s">
        <v>48</v>
      </c>
      <c r="S766">
        <v>2</v>
      </c>
    </row>
    <row r="767" spans="1:19" x14ac:dyDescent="0.3">
      <c r="A767" t="s">
        <v>1584</v>
      </c>
      <c r="B767">
        <v>45692</v>
      </c>
      <c r="C767" t="s">
        <v>96</v>
      </c>
      <c r="D767" t="s">
        <v>41</v>
      </c>
      <c r="E767" t="s">
        <v>32</v>
      </c>
      <c r="F767" t="s">
        <v>103</v>
      </c>
      <c r="G767" t="s">
        <v>24</v>
      </c>
      <c r="H767" t="s">
        <v>186</v>
      </c>
      <c r="I767" t="s">
        <v>1585</v>
      </c>
      <c r="J767">
        <v>4</v>
      </c>
      <c r="K767">
        <v>2929</v>
      </c>
      <c r="L767">
        <v>0.04</v>
      </c>
      <c r="M767">
        <f>'Raw data'!$K767*(1- 'Raw data'!$L767)</f>
        <v>2811.8399999999997</v>
      </c>
      <c r="N767">
        <v>11247.36</v>
      </c>
      <c r="O767">
        <v>0.25</v>
      </c>
      <c r="P767">
        <v>2811.84</v>
      </c>
      <c r="Q767" t="s">
        <v>51</v>
      </c>
      <c r="R767" t="s">
        <v>48</v>
      </c>
      <c r="S767">
        <v>6</v>
      </c>
    </row>
    <row r="768" spans="1:19" x14ac:dyDescent="0.3">
      <c r="A768" t="s">
        <v>1586</v>
      </c>
      <c r="B768">
        <v>45693</v>
      </c>
      <c r="C768" t="s">
        <v>96</v>
      </c>
      <c r="D768" t="s">
        <v>56</v>
      </c>
      <c r="E768" t="s">
        <v>32</v>
      </c>
      <c r="F768" t="s">
        <v>43</v>
      </c>
      <c r="G768" t="s">
        <v>57</v>
      </c>
      <c r="H768" t="s">
        <v>183</v>
      </c>
      <c r="I768" t="s">
        <v>1454</v>
      </c>
      <c r="J768">
        <v>9</v>
      </c>
      <c r="K768">
        <v>16871</v>
      </c>
      <c r="L768">
        <v>0.24</v>
      </c>
      <c r="M768">
        <f>'Raw data'!$K768*(1- 'Raw data'!$L768)</f>
        <v>12821.960000000001</v>
      </c>
      <c r="N768">
        <v>115397.64</v>
      </c>
      <c r="O768">
        <v>0.2</v>
      </c>
      <c r="P768">
        <v>23079.53</v>
      </c>
      <c r="Q768" t="s">
        <v>27</v>
      </c>
      <c r="R768" t="s">
        <v>48</v>
      </c>
      <c r="S768">
        <v>7</v>
      </c>
    </row>
    <row r="769" spans="1:19" x14ac:dyDescent="0.3">
      <c r="A769" t="s">
        <v>1587</v>
      </c>
      <c r="B769">
        <v>45694</v>
      </c>
      <c r="C769" t="s">
        <v>96</v>
      </c>
      <c r="D769" t="s">
        <v>21</v>
      </c>
      <c r="E769" t="s">
        <v>22</v>
      </c>
      <c r="F769" t="s">
        <v>103</v>
      </c>
      <c r="G769" t="s">
        <v>34</v>
      </c>
      <c r="H769" t="s">
        <v>104</v>
      </c>
      <c r="I769" t="s">
        <v>1588</v>
      </c>
      <c r="J769">
        <v>8</v>
      </c>
      <c r="K769">
        <v>1213</v>
      </c>
      <c r="L769">
        <v>0.11</v>
      </c>
      <c r="M769">
        <f>'Raw data'!$K769*(1- 'Raw data'!$L769)</f>
        <v>1079.57</v>
      </c>
      <c r="N769">
        <v>8636.56</v>
      </c>
      <c r="O769">
        <v>0.4</v>
      </c>
      <c r="P769">
        <v>3454.62</v>
      </c>
      <c r="Q769" t="s">
        <v>47</v>
      </c>
      <c r="R769" t="s">
        <v>48</v>
      </c>
      <c r="S769">
        <v>7</v>
      </c>
    </row>
    <row r="770" spans="1:19" x14ac:dyDescent="0.3">
      <c r="A770" t="s">
        <v>1589</v>
      </c>
      <c r="B770">
        <v>45695</v>
      </c>
      <c r="C770" t="s">
        <v>63</v>
      </c>
      <c r="D770" t="s">
        <v>56</v>
      </c>
      <c r="E770" t="s">
        <v>22</v>
      </c>
      <c r="F770" t="s">
        <v>43</v>
      </c>
      <c r="G770" t="s">
        <v>34</v>
      </c>
      <c r="H770" t="s">
        <v>35</v>
      </c>
      <c r="I770" t="s">
        <v>1590</v>
      </c>
      <c r="J770">
        <v>6</v>
      </c>
      <c r="K770">
        <v>426</v>
      </c>
      <c r="L770">
        <v>0.13</v>
      </c>
      <c r="M770">
        <f>'Raw data'!$K770*(1- 'Raw data'!$L770)</f>
        <v>370.62</v>
      </c>
      <c r="N770">
        <v>2223.7199999999998</v>
      </c>
      <c r="O770">
        <v>0.4</v>
      </c>
      <c r="P770">
        <v>889.49</v>
      </c>
      <c r="Q770" t="s">
        <v>37</v>
      </c>
      <c r="R770" t="s">
        <v>48</v>
      </c>
      <c r="S770">
        <v>3</v>
      </c>
    </row>
    <row r="771" spans="1:19" x14ac:dyDescent="0.3">
      <c r="A771" t="s">
        <v>1591</v>
      </c>
      <c r="B771">
        <v>45696</v>
      </c>
      <c r="C771" t="s">
        <v>30</v>
      </c>
      <c r="D771" t="s">
        <v>21</v>
      </c>
      <c r="E771" t="s">
        <v>22</v>
      </c>
      <c r="F771" t="s">
        <v>43</v>
      </c>
      <c r="G771" t="s">
        <v>92</v>
      </c>
      <c r="H771" t="s">
        <v>243</v>
      </c>
      <c r="I771" t="s">
        <v>1592</v>
      </c>
      <c r="J771">
        <v>1</v>
      </c>
      <c r="K771">
        <v>33705</v>
      </c>
      <c r="L771">
        <v>0.06</v>
      </c>
      <c r="M771">
        <f>'Raw data'!$K771*(1- 'Raw data'!$L771)</f>
        <v>31682.699999999997</v>
      </c>
      <c r="N771">
        <v>31682.7</v>
      </c>
      <c r="O771">
        <v>0.15</v>
      </c>
      <c r="P771">
        <v>4752.3999999999996</v>
      </c>
      <c r="Q771" t="s">
        <v>47</v>
      </c>
      <c r="R771" t="s">
        <v>48</v>
      </c>
      <c r="S771">
        <v>7</v>
      </c>
    </row>
    <row r="772" spans="1:19" x14ac:dyDescent="0.3">
      <c r="A772" t="s">
        <v>1593</v>
      </c>
      <c r="B772">
        <v>45697</v>
      </c>
      <c r="C772" t="s">
        <v>30</v>
      </c>
      <c r="D772" t="s">
        <v>56</v>
      </c>
      <c r="E772" t="s">
        <v>22</v>
      </c>
      <c r="F772" t="s">
        <v>43</v>
      </c>
      <c r="G772" t="s">
        <v>34</v>
      </c>
      <c r="H772" t="s">
        <v>71</v>
      </c>
      <c r="I772" t="s">
        <v>1594</v>
      </c>
      <c r="J772">
        <v>2</v>
      </c>
      <c r="K772">
        <v>1021</v>
      </c>
      <c r="L772">
        <v>0.12</v>
      </c>
      <c r="M772">
        <f>'Raw data'!$K772*(1- 'Raw data'!$L772)</f>
        <v>898.48</v>
      </c>
      <c r="N772">
        <v>1796.96</v>
      </c>
      <c r="O772">
        <v>0.4</v>
      </c>
      <c r="P772">
        <v>718.78</v>
      </c>
      <c r="Q772" t="s">
        <v>37</v>
      </c>
      <c r="R772" t="s">
        <v>48</v>
      </c>
      <c r="S772">
        <v>5</v>
      </c>
    </row>
    <row r="773" spans="1:19" x14ac:dyDescent="0.3">
      <c r="A773" t="s">
        <v>1595</v>
      </c>
      <c r="B773">
        <v>45698</v>
      </c>
      <c r="C773" t="s">
        <v>30</v>
      </c>
      <c r="D773" t="s">
        <v>31</v>
      </c>
      <c r="E773" t="s">
        <v>42</v>
      </c>
      <c r="F773" t="s">
        <v>33</v>
      </c>
      <c r="G773" t="s">
        <v>92</v>
      </c>
      <c r="H773" t="s">
        <v>178</v>
      </c>
      <c r="I773" t="s">
        <v>1596</v>
      </c>
      <c r="J773">
        <v>6</v>
      </c>
      <c r="K773">
        <v>12023</v>
      </c>
      <c r="L773">
        <v>0.17</v>
      </c>
      <c r="M773">
        <f>'Raw data'!$K773*(1- 'Raw data'!$L773)</f>
        <v>9979.09</v>
      </c>
      <c r="N773">
        <v>59874.54</v>
      </c>
      <c r="O773">
        <v>0.15</v>
      </c>
      <c r="P773">
        <v>8981.18</v>
      </c>
      <c r="Q773" t="s">
        <v>37</v>
      </c>
      <c r="R773" t="s">
        <v>38</v>
      </c>
      <c r="S773">
        <v>8</v>
      </c>
    </row>
    <row r="774" spans="1:19" x14ac:dyDescent="0.3">
      <c r="A774" t="s">
        <v>1597</v>
      </c>
      <c r="B774">
        <v>45699</v>
      </c>
      <c r="C774" t="s">
        <v>63</v>
      </c>
      <c r="D774" t="s">
        <v>56</v>
      </c>
      <c r="E774" t="s">
        <v>22</v>
      </c>
      <c r="F774" t="s">
        <v>103</v>
      </c>
      <c r="G774" t="s">
        <v>24</v>
      </c>
      <c r="H774" t="s">
        <v>25</v>
      </c>
      <c r="I774" t="s">
        <v>1598</v>
      </c>
      <c r="J774">
        <v>2</v>
      </c>
      <c r="K774">
        <v>5966</v>
      </c>
      <c r="L774">
        <v>0.19</v>
      </c>
      <c r="M774">
        <f>'Raw data'!$K774*(1- 'Raw data'!$L774)</f>
        <v>4832.46</v>
      </c>
      <c r="N774">
        <v>9664.92</v>
      </c>
      <c r="O774">
        <v>0.25</v>
      </c>
      <c r="P774">
        <v>2416.23</v>
      </c>
      <c r="Q774" t="s">
        <v>27</v>
      </c>
      <c r="R774" t="s">
        <v>38</v>
      </c>
      <c r="S774">
        <v>8</v>
      </c>
    </row>
    <row r="775" spans="1:19" x14ac:dyDescent="0.3">
      <c r="A775" t="s">
        <v>1599</v>
      </c>
      <c r="B775">
        <v>45700</v>
      </c>
      <c r="C775" t="s">
        <v>55</v>
      </c>
      <c r="D775" t="s">
        <v>56</v>
      </c>
      <c r="E775" t="s">
        <v>42</v>
      </c>
      <c r="F775" t="s">
        <v>33</v>
      </c>
      <c r="G775" t="s">
        <v>57</v>
      </c>
      <c r="H775" t="s">
        <v>81</v>
      </c>
      <c r="I775" t="s">
        <v>1600</v>
      </c>
      <c r="J775">
        <v>5</v>
      </c>
      <c r="K775">
        <v>16537</v>
      </c>
      <c r="L775">
        <v>0.19</v>
      </c>
      <c r="M775">
        <f>'Raw data'!$K775*(1- 'Raw data'!$L775)</f>
        <v>13394.970000000001</v>
      </c>
      <c r="N775">
        <v>66974.850000000006</v>
      </c>
      <c r="O775">
        <v>0.2</v>
      </c>
      <c r="P775">
        <v>13394.97</v>
      </c>
      <c r="Q775" t="s">
        <v>37</v>
      </c>
      <c r="R775" t="s">
        <v>48</v>
      </c>
      <c r="S775">
        <v>7</v>
      </c>
    </row>
    <row r="776" spans="1:19" x14ac:dyDescent="0.3">
      <c r="A776" t="s">
        <v>1601</v>
      </c>
      <c r="B776">
        <v>45701</v>
      </c>
      <c r="C776" t="s">
        <v>30</v>
      </c>
      <c r="D776" t="s">
        <v>41</v>
      </c>
      <c r="E776" t="s">
        <v>67</v>
      </c>
      <c r="F776" t="s">
        <v>97</v>
      </c>
      <c r="G776" t="s">
        <v>57</v>
      </c>
      <c r="H776" t="s">
        <v>183</v>
      </c>
      <c r="I776" t="s">
        <v>1602</v>
      </c>
      <c r="J776">
        <v>5</v>
      </c>
      <c r="K776">
        <v>7891</v>
      </c>
      <c r="L776">
        <v>0.14000000000000001</v>
      </c>
      <c r="M776">
        <f>'Raw data'!$K776*(1- 'Raw data'!$L776)</f>
        <v>6786.26</v>
      </c>
      <c r="N776">
        <v>33931.300000000003</v>
      </c>
      <c r="O776">
        <v>0.2</v>
      </c>
      <c r="P776">
        <v>6786.26</v>
      </c>
      <c r="Q776" t="s">
        <v>47</v>
      </c>
      <c r="R776" t="s">
        <v>48</v>
      </c>
      <c r="S776">
        <v>6</v>
      </c>
    </row>
    <row r="777" spans="1:19" x14ac:dyDescent="0.3">
      <c r="A777" t="s">
        <v>1603</v>
      </c>
      <c r="B777">
        <v>45702</v>
      </c>
      <c r="C777" t="s">
        <v>40</v>
      </c>
      <c r="D777" t="s">
        <v>21</v>
      </c>
      <c r="E777" t="s">
        <v>32</v>
      </c>
      <c r="F777" t="s">
        <v>103</v>
      </c>
      <c r="G777" t="s">
        <v>92</v>
      </c>
      <c r="H777" t="s">
        <v>93</v>
      </c>
      <c r="I777" t="s">
        <v>1604</v>
      </c>
      <c r="J777">
        <v>6</v>
      </c>
      <c r="K777">
        <v>71627</v>
      </c>
      <c r="L777">
        <v>0.23</v>
      </c>
      <c r="M777">
        <f>'Raw data'!$K777*(1- 'Raw data'!$L777)</f>
        <v>55152.79</v>
      </c>
      <c r="N777">
        <v>330916.74</v>
      </c>
      <c r="O777">
        <v>0.15</v>
      </c>
      <c r="P777">
        <v>49637.51</v>
      </c>
      <c r="Q777" t="s">
        <v>37</v>
      </c>
      <c r="R777" t="s">
        <v>48</v>
      </c>
      <c r="S777">
        <v>2</v>
      </c>
    </row>
    <row r="778" spans="1:19" x14ac:dyDescent="0.3">
      <c r="A778" t="s">
        <v>1605</v>
      </c>
      <c r="B778">
        <v>45703</v>
      </c>
      <c r="C778" t="s">
        <v>96</v>
      </c>
      <c r="D778" t="s">
        <v>31</v>
      </c>
      <c r="E778" t="s">
        <v>42</v>
      </c>
      <c r="F778" t="s">
        <v>97</v>
      </c>
      <c r="G778" t="s">
        <v>57</v>
      </c>
      <c r="H778" t="s">
        <v>58</v>
      </c>
      <c r="I778" t="s">
        <v>1606</v>
      </c>
      <c r="J778">
        <v>6</v>
      </c>
      <c r="K778">
        <v>3080</v>
      </c>
      <c r="L778">
        <v>0.2</v>
      </c>
      <c r="M778">
        <f>'Raw data'!$K778*(1- 'Raw data'!$L778)</f>
        <v>2464</v>
      </c>
      <c r="N778">
        <v>14784</v>
      </c>
      <c r="O778">
        <v>0.2</v>
      </c>
      <c r="P778">
        <v>2956.8</v>
      </c>
      <c r="Q778" t="s">
        <v>27</v>
      </c>
      <c r="R778" t="s">
        <v>28</v>
      </c>
      <c r="S778">
        <v>6</v>
      </c>
    </row>
    <row r="779" spans="1:19" x14ac:dyDescent="0.3">
      <c r="A779" t="s">
        <v>1607</v>
      </c>
      <c r="B779">
        <v>45704</v>
      </c>
      <c r="C779" t="s">
        <v>55</v>
      </c>
      <c r="D779" t="s">
        <v>21</v>
      </c>
      <c r="E779" t="s">
        <v>67</v>
      </c>
      <c r="F779" t="s">
        <v>97</v>
      </c>
      <c r="G779" t="s">
        <v>34</v>
      </c>
      <c r="H779" t="s">
        <v>141</v>
      </c>
      <c r="I779" t="s">
        <v>955</v>
      </c>
      <c r="J779">
        <v>6</v>
      </c>
      <c r="K779">
        <v>1140</v>
      </c>
      <c r="L779">
        <v>0.19</v>
      </c>
      <c r="M779">
        <f>'Raw data'!$K779*(1- 'Raw data'!$L779)</f>
        <v>923.40000000000009</v>
      </c>
      <c r="N779">
        <v>5540.4</v>
      </c>
      <c r="O779">
        <v>0.4</v>
      </c>
      <c r="P779">
        <v>2216.16</v>
      </c>
      <c r="Q779" t="s">
        <v>51</v>
      </c>
      <c r="R779" t="s">
        <v>48</v>
      </c>
      <c r="S779">
        <v>9</v>
      </c>
    </row>
    <row r="780" spans="1:19" x14ac:dyDescent="0.3">
      <c r="A780" t="s">
        <v>1608</v>
      </c>
      <c r="B780">
        <v>45705</v>
      </c>
      <c r="C780" t="s">
        <v>96</v>
      </c>
      <c r="D780" t="s">
        <v>31</v>
      </c>
      <c r="E780" t="s">
        <v>67</v>
      </c>
      <c r="F780" t="s">
        <v>43</v>
      </c>
      <c r="G780" t="s">
        <v>44</v>
      </c>
      <c r="H780" t="s">
        <v>45</v>
      </c>
      <c r="I780" t="s">
        <v>1609</v>
      </c>
      <c r="J780">
        <v>2</v>
      </c>
      <c r="K780">
        <v>2820</v>
      </c>
      <c r="L780">
        <v>0.01</v>
      </c>
      <c r="M780">
        <f>'Raw data'!$K780*(1- 'Raw data'!$L780)</f>
        <v>2791.8</v>
      </c>
      <c r="N780">
        <v>5583.6</v>
      </c>
      <c r="O780">
        <v>0.35</v>
      </c>
      <c r="P780">
        <v>1954.26</v>
      </c>
      <c r="Q780" t="s">
        <v>47</v>
      </c>
      <c r="R780" t="s">
        <v>48</v>
      </c>
      <c r="S780">
        <v>2</v>
      </c>
    </row>
    <row r="781" spans="1:19" x14ac:dyDescent="0.3">
      <c r="A781" t="s">
        <v>1610</v>
      </c>
      <c r="B781">
        <v>45706</v>
      </c>
      <c r="C781" t="s">
        <v>30</v>
      </c>
      <c r="D781" t="s">
        <v>56</v>
      </c>
      <c r="E781" t="s">
        <v>42</v>
      </c>
      <c r="F781" t="s">
        <v>103</v>
      </c>
      <c r="G781" t="s">
        <v>92</v>
      </c>
      <c r="H781" t="s">
        <v>178</v>
      </c>
      <c r="I781" t="s">
        <v>1611</v>
      </c>
      <c r="J781">
        <v>3</v>
      </c>
      <c r="K781">
        <v>37766</v>
      </c>
      <c r="L781">
        <v>0</v>
      </c>
      <c r="M781">
        <f>'Raw data'!$K781*(1- 'Raw data'!$L781)</f>
        <v>37766</v>
      </c>
      <c r="N781">
        <v>113298</v>
      </c>
      <c r="O781">
        <v>0.15</v>
      </c>
      <c r="P781">
        <v>16994.7</v>
      </c>
      <c r="Q781" t="s">
        <v>47</v>
      </c>
      <c r="R781" t="s">
        <v>48</v>
      </c>
      <c r="S781">
        <v>1</v>
      </c>
    </row>
    <row r="782" spans="1:19" x14ac:dyDescent="0.3">
      <c r="A782" t="s">
        <v>1612</v>
      </c>
      <c r="B782">
        <v>45707</v>
      </c>
      <c r="C782" t="s">
        <v>55</v>
      </c>
      <c r="D782" t="s">
        <v>41</v>
      </c>
      <c r="E782" t="s">
        <v>67</v>
      </c>
      <c r="F782" t="s">
        <v>97</v>
      </c>
      <c r="G782" t="s">
        <v>57</v>
      </c>
      <c r="H782" t="s">
        <v>100</v>
      </c>
      <c r="I782" t="s">
        <v>1613</v>
      </c>
      <c r="J782">
        <v>6</v>
      </c>
      <c r="K782">
        <v>12822</v>
      </c>
      <c r="L782">
        <v>0.05</v>
      </c>
      <c r="M782">
        <f>'Raw data'!$K782*(1- 'Raw data'!$L782)</f>
        <v>12180.9</v>
      </c>
      <c r="N782">
        <v>73085.399999999994</v>
      </c>
      <c r="O782">
        <v>0.2</v>
      </c>
      <c r="P782">
        <v>14617.08</v>
      </c>
      <c r="Q782" t="s">
        <v>27</v>
      </c>
      <c r="R782" t="s">
        <v>48</v>
      </c>
      <c r="S782">
        <v>5</v>
      </c>
    </row>
    <row r="783" spans="1:19" x14ac:dyDescent="0.3">
      <c r="A783" t="s">
        <v>1614</v>
      </c>
      <c r="B783">
        <v>45708</v>
      </c>
      <c r="C783" t="s">
        <v>20</v>
      </c>
      <c r="D783" t="s">
        <v>41</v>
      </c>
      <c r="E783" t="s">
        <v>67</v>
      </c>
      <c r="F783" t="s">
        <v>23</v>
      </c>
      <c r="G783" t="s">
        <v>92</v>
      </c>
      <c r="H783" t="s">
        <v>178</v>
      </c>
      <c r="I783" t="s">
        <v>1615</v>
      </c>
      <c r="J783">
        <v>8</v>
      </c>
      <c r="K783">
        <v>78099</v>
      </c>
      <c r="L783">
        <v>0.17</v>
      </c>
      <c r="M783">
        <f>'Raw data'!$K783*(1- 'Raw data'!$L783)</f>
        <v>64822.17</v>
      </c>
      <c r="N783">
        <v>518577.36</v>
      </c>
      <c r="O783">
        <v>0.15</v>
      </c>
      <c r="P783">
        <v>77786.600000000006</v>
      </c>
      <c r="Q783" t="s">
        <v>27</v>
      </c>
      <c r="R783" t="s">
        <v>28</v>
      </c>
      <c r="S783">
        <v>6</v>
      </c>
    </row>
    <row r="784" spans="1:19" x14ac:dyDescent="0.3">
      <c r="A784" t="s">
        <v>1616</v>
      </c>
      <c r="B784">
        <v>45709</v>
      </c>
      <c r="C784" t="s">
        <v>40</v>
      </c>
      <c r="D784" t="s">
        <v>21</v>
      </c>
      <c r="E784" t="s">
        <v>42</v>
      </c>
      <c r="F784" t="s">
        <v>97</v>
      </c>
      <c r="G784" t="s">
        <v>92</v>
      </c>
      <c r="H784" t="s">
        <v>243</v>
      </c>
      <c r="I784" t="s">
        <v>1617</v>
      </c>
      <c r="J784">
        <v>1</v>
      </c>
      <c r="K784">
        <v>46060</v>
      </c>
      <c r="L784">
        <v>0.1</v>
      </c>
      <c r="M784">
        <f>'Raw data'!$K784*(1- 'Raw data'!$L784)</f>
        <v>41454</v>
      </c>
      <c r="N784">
        <v>41454</v>
      </c>
      <c r="O784">
        <v>0.15</v>
      </c>
      <c r="P784">
        <v>6218.1</v>
      </c>
      <c r="Q784" t="s">
        <v>27</v>
      </c>
      <c r="R784" t="s">
        <v>48</v>
      </c>
      <c r="S784">
        <v>3</v>
      </c>
    </row>
    <row r="785" spans="1:19" x14ac:dyDescent="0.3">
      <c r="A785" t="s">
        <v>1618</v>
      </c>
      <c r="B785">
        <v>45710</v>
      </c>
      <c r="C785" t="s">
        <v>30</v>
      </c>
      <c r="D785" t="s">
        <v>41</v>
      </c>
      <c r="E785" t="s">
        <v>67</v>
      </c>
      <c r="F785" t="s">
        <v>23</v>
      </c>
      <c r="G785" t="s">
        <v>44</v>
      </c>
      <c r="H785" t="s">
        <v>45</v>
      </c>
      <c r="I785" t="s">
        <v>1619</v>
      </c>
      <c r="J785">
        <v>1</v>
      </c>
      <c r="K785">
        <v>4086</v>
      </c>
      <c r="L785">
        <v>0.1</v>
      </c>
      <c r="M785">
        <f>'Raw data'!$K785*(1- 'Raw data'!$L785)</f>
        <v>3677.4</v>
      </c>
      <c r="N785">
        <v>3677.4</v>
      </c>
      <c r="O785">
        <v>0.35</v>
      </c>
      <c r="P785">
        <v>1287.0899999999999</v>
      </c>
      <c r="Q785" t="s">
        <v>27</v>
      </c>
      <c r="R785" t="s">
        <v>48</v>
      </c>
      <c r="S785">
        <v>8</v>
      </c>
    </row>
    <row r="786" spans="1:19" x14ac:dyDescent="0.3">
      <c r="A786" t="s">
        <v>1620</v>
      </c>
      <c r="B786">
        <v>45711</v>
      </c>
      <c r="C786" t="s">
        <v>30</v>
      </c>
      <c r="D786" t="s">
        <v>21</v>
      </c>
      <c r="E786" t="s">
        <v>22</v>
      </c>
      <c r="F786" t="s">
        <v>103</v>
      </c>
      <c r="G786" t="s">
        <v>34</v>
      </c>
      <c r="H786" t="s">
        <v>71</v>
      </c>
      <c r="I786" t="s">
        <v>1621</v>
      </c>
      <c r="J786">
        <v>2</v>
      </c>
      <c r="K786">
        <v>535</v>
      </c>
      <c r="L786">
        <v>0.22</v>
      </c>
      <c r="M786">
        <f>'Raw data'!$K786*(1- 'Raw data'!$L786)</f>
        <v>417.3</v>
      </c>
      <c r="N786">
        <v>834.6</v>
      </c>
      <c r="O786">
        <v>0.4</v>
      </c>
      <c r="P786">
        <v>333.84</v>
      </c>
      <c r="Q786" t="s">
        <v>47</v>
      </c>
      <c r="R786" t="s">
        <v>48</v>
      </c>
      <c r="S786">
        <v>7</v>
      </c>
    </row>
    <row r="787" spans="1:19" x14ac:dyDescent="0.3">
      <c r="A787" t="s">
        <v>1622</v>
      </c>
      <c r="B787">
        <v>45712</v>
      </c>
      <c r="C787" t="s">
        <v>40</v>
      </c>
      <c r="D787" t="s">
        <v>21</v>
      </c>
      <c r="E787" t="s">
        <v>22</v>
      </c>
      <c r="F787" t="s">
        <v>33</v>
      </c>
      <c r="G787" t="s">
        <v>92</v>
      </c>
      <c r="H787" t="s">
        <v>178</v>
      </c>
      <c r="I787" t="s">
        <v>1623</v>
      </c>
      <c r="J787">
        <v>6</v>
      </c>
      <c r="K787">
        <v>33225</v>
      </c>
      <c r="L787">
        <v>0.22</v>
      </c>
      <c r="M787">
        <f>'Raw data'!$K787*(1- 'Raw data'!$L787)</f>
        <v>25915.5</v>
      </c>
      <c r="N787">
        <v>155493</v>
      </c>
      <c r="O787">
        <v>0.15</v>
      </c>
      <c r="P787">
        <v>23323.95</v>
      </c>
      <c r="Q787" t="s">
        <v>51</v>
      </c>
      <c r="R787" t="s">
        <v>48</v>
      </c>
      <c r="S787">
        <v>2</v>
      </c>
    </row>
    <row r="788" spans="1:19" x14ac:dyDescent="0.3">
      <c r="A788" t="s">
        <v>1624</v>
      </c>
      <c r="B788">
        <v>45713</v>
      </c>
      <c r="C788" t="s">
        <v>40</v>
      </c>
      <c r="D788" t="s">
        <v>31</v>
      </c>
      <c r="E788" t="s">
        <v>32</v>
      </c>
      <c r="F788" t="s">
        <v>103</v>
      </c>
      <c r="G788" t="s">
        <v>57</v>
      </c>
      <c r="H788" t="s">
        <v>58</v>
      </c>
      <c r="I788" t="s">
        <v>1625</v>
      </c>
      <c r="J788">
        <v>9</v>
      </c>
      <c r="K788">
        <v>8643</v>
      </c>
      <c r="L788">
        <v>0.23</v>
      </c>
      <c r="M788">
        <f>'Raw data'!$K788*(1- 'Raw data'!$L788)</f>
        <v>6655.1100000000006</v>
      </c>
      <c r="N788">
        <v>59895.99</v>
      </c>
      <c r="O788">
        <v>0.2</v>
      </c>
      <c r="P788">
        <v>11979.2</v>
      </c>
      <c r="Q788" t="s">
        <v>37</v>
      </c>
      <c r="R788" t="s">
        <v>48</v>
      </c>
      <c r="S788">
        <v>7</v>
      </c>
    </row>
    <row r="789" spans="1:19" x14ac:dyDescent="0.3">
      <c r="A789" t="s">
        <v>1626</v>
      </c>
      <c r="B789">
        <v>45714</v>
      </c>
      <c r="C789" t="s">
        <v>20</v>
      </c>
      <c r="D789" t="s">
        <v>21</v>
      </c>
      <c r="E789" t="s">
        <v>67</v>
      </c>
      <c r="F789" t="s">
        <v>33</v>
      </c>
      <c r="G789" t="s">
        <v>24</v>
      </c>
      <c r="H789" t="s">
        <v>25</v>
      </c>
      <c r="I789" t="s">
        <v>1627</v>
      </c>
      <c r="J789">
        <v>4</v>
      </c>
      <c r="K789">
        <v>12139</v>
      </c>
      <c r="L789">
        <v>0.08</v>
      </c>
      <c r="M789">
        <f>'Raw data'!$K789*(1- 'Raw data'!$L789)</f>
        <v>11167.880000000001</v>
      </c>
      <c r="N789">
        <v>44671.519999999997</v>
      </c>
      <c r="O789">
        <v>0.25</v>
      </c>
      <c r="P789">
        <v>11167.88</v>
      </c>
      <c r="Q789" t="s">
        <v>37</v>
      </c>
      <c r="R789" t="s">
        <v>48</v>
      </c>
      <c r="S789">
        <v>1</v>
      </c>
    </row>
    <row r="790" spans="1:19" x14ac:dyDescent="0.3">
      <c r="A790" t="s">
        <v>1628</v>
      </c>
      <c r="B790">
        <v>45715</v>
      </c>
      <c r="C790" t="s">
        <v>30</v>
      </c>
      <c r="D790" t="s">
        <v>31</v>
      </c>
      <c r="E790" t="s">
        <v>32</v>
      </c>
      <c r="F790" t="s">
        <v>33</v>
      </c>
      <c r="G790" t="s">
        <v>92</v>
      </c>
      <c r="H790" t="s">
        <v>243</v>
      </c>
      <c r="I790" t="s">
        <v>1629</v>
      </c>
      <c r="J790">
        <v>3</v>
      </c>
      <c r="K790">
        <v>46727</v>
      </c>
      <c r="L790">
        <v>0.17</v>
      </c>
      <c r="M790">
        <f>'Raw data'!$K790*(1- 'Raw data'!$L790)</f>
        <v>38783.409999999996</v>
      </c>
      <c r="N790">
        <v>116350.23</v>
      </c>
      <c r="O790">
        <v>0.15</v>
      </c>
      <c r="P790">
        <v>17452.53</v>
      </c>
      <c r="Q790" t="s">
        <v>51</v>
      </c>
      <c r="R790" t="s">
        <v>28</v>
      </c>
      <c r="S790">
        <v>9</v>
      </c>
    </row>
    <row r="791" spans="1:19" x14ac:dyDescent="0.3">
      <c r="A791" t="s">
        <v>1630</v>
      </c>
      <c r="B791">
        <v>45716</v>
      </c>
      <c r="C791" t="s">
        <v>63</v>
      </c>
      <c r="D791" t="s">
        <v>41</v>
      </c>
      <c r="E791" t="s">
        <v>22</v>
      </c>
      <c r="F791" t="s">
        <v>103</v>
      </c>
      <c r="G791" t="s">
        <v>92</v>
      </c>
      <c r="H791" t="s">
        <v>93</v>
      </c>
      <c r="I791" t="s">
        <v>1631</v>
      </c>
      <c r="J791">
        <v>8</v>
      </c>
      <c r="K791">
        <v>21005</v>
      </c>
      <c r="L791">
        <v>7.0000000000000007E-2</v>
      </c>
      <c r="M791">
        <f>'Raw data'!$K791*(1- 'Raw data'!$L791)</f>
        <v>19534.649999999998</v>
      </c>
      <c r="N791">
        <v>156277.20000000001</v>
      </c>
      <c r="O791">
        <v>0.15</v>
      </c>
      <c r="P791">
        <v>23441.58</v>
      </c>
      <c r="Q791" t="s">
        <v>51</v>
      </c>
      <c r="R791" t="s">
        <v>48</v>
      </c>
      <c r="S791">
        <v>7</v>
      </c>
    </row>
    <row r="792" spans="1:19" x14ac:dyDescent="0.3">
      <c r="A792" t="s">
        <v>1632</v>
      </c>
      <c r="B792">
        <v>45717</v>
      </c>
      <c r="C792" t="s">
        <v>30</v>
      </c>
      <c r="D792" t="s">
        <v>21</v>
      </c>
      <c r="E792" t="s">
        <v>22</v>
      </c>
      <c r="F792" t="s">
        <v>97</v>
      </c>
      <c r="G792" t="s">
        <v>44</v>
      </c>
      <c r="H792" t="s">
        <v>116</v>
      </c>
      <c r="I792" t="s">
        <v>1633</v>
      </c>
      <c r="J792">
        <v>9</v>
      </c>
      <c r="K792">
        <v>3083</v>
      </c>
      <c r="L792">
        <v>0.05</v>
      </c>
      <c r="M792">
        <f>'Raw data'!$K792*(1- 'Raw data'!$L792)</f>
        <v>2928.85</v>
      </c>
      <c r="N792">
        <v>26359.65</v>
      </c>
      <c r="O792">
        <v>0.35</v>
      </c>
      <c r="P792">
        <v>9225.8799999999992</v>
      </c>
      <c r="Q792" t="s">
        <v>51</v>
      </c>
      <c r="R792" t="s">
        <v>48</v>
      </c>
      <c r="S792">
        <v>6</v>
      </c>
    </row>
    <row r="793" spans="1:19" x14ac:dyDescent="0.3">
      <c r="A793" t="s">
        <v>1634</v>
      </c>
      <c r="B793">
        <v>45718</v>
      </c>
      <c r="C793" t="s">
        <v>96</v>
      </c>
      <c r="D793" t="s">
        <v>21</v>
      </c>
      <c r="E793" t="s">
        <v>22</v>
      </c>
      <c r="F793" t="s">
        <v>68</v>
      </c>
      <c r="G793" t="s">
        <v>34</v>
      </c>
      <c r="H793" t="s">
        <v>141</v>
      </c>
      <c r="I793" t="s">
        <v>1635</v>
      </c>
      <c r="J793">
        <v>5</v>
      </c>
      <c r="K793">
        <v>361</v>
      </c>
      <c r="L793">
        <v>0.05</v>
      </c>
      <c r="M793">
        <f>'Raw data'!$K793*(1- 'Raw data'!$L793)</f>
        <v>342.95</v>
      </c>
      <c r="N793">
        <v>1714.75</v>
      </c>
      <c r="O793">
        <v>0.4</v>
      </c>
      <c r="P793">
        <v>685.9</v>
      </c>
      <c r="Q793" t="s">
        <v>27</v>
      </c>
      <c r="R793" t="s">
        <v>38</v>
      </c>
      <c r="S793">
        <v>2</v>
      </c>
    </row>
    <row r="794" spans="1:19" x14ac:dyDescent="0.3">
      <c r="A794" t="s">
        <v>1636</v>
      </c>
      <c r="B794">
        <v>45719</v>
      </c>
      <c r="C794" t="s">
        <v>55</v>
      </c>
      <c r="D794" t="s">
        <v>56</v>
      </c>
      <c r="E794" t="s">
        <v>67</v>
      </c>
      <c r="F794" t="s">
        <v>97</v>
      </c>
      <c r="G794" t="s">
        <v>24</v>
      </c>
      <c r="H794" t="s">
        <v>121</v>
      </c>
      <c r="I794" t="s">
        <v>1637</v>
      </c>
      <c r="J794">
        <v>9</v>
      </c>
      <c r="K794">
        <v>1593</v>
      </c>
      <c r="L794">
        <v>0.09</v>
      </c>
      <c r="M794">
        <f>'Raw data'!$K794*(1- 'Raw data'!$L794)</f>
        <v>1449.63</v>
      </c>
      <c r="N794">
        <v>13046.67</v>
      </c>
      <c r="O794">
        <v>0.25</v>
      </c>
      <c r="P794">
        <v>3261.67</v>
      </c>
      <c r="Q794" t="s">
        <v>47</v>
      </c>
      <c r="R794" t="s">
        <v>48</v>
      </c>
      <c r="S794">
        <v>3</v>
      </c>
    </row>
    <row r="795" spans="1:19" x14ac:dyDescent="0.3">
      <c r="A795" t="s">
        <v>1638</v>
      </c>
      <c r="B795">
        <v>45720</v>
      </c>
      <c r="C795" t="s">
        <v>55</v>
      </c>
      <c r="D795" t="s">
        <v>21</v>
      </c>
      <c r="E795" t="s">
        <v>67</v>
      </c>
      <c r="F795" t="s">
        <v>97</v>
      </c>
      <c r="G795" t="s">
        <v>57</v>
      </c>
      <c r="H795" t="s">
        <v>183</v>
      </c>
      <c r="I795" t="s">
        <v>1639</v>
      </c>
      <c r="J795">
        <v>2</v>
      </c>
      <c r="K795">
        <v>16226</v>
      </c>
      <c r="L795">
        <v>0.11</v>
      </c>
      <c r="M795">
        <f>'Raw data'!$K795*(1- 'Raw data'!$L795)</f>
        <v>14441.14</v>
      </c>
      <c r="N795">
        <v>28882.28</v>
      </c>
      <c r="O795">
        <v>0.2</v>
      </c>
      <c r="P795">
        <v>5776.46</v>
      </c>
      <c r="Q795" t="s">
        <v>47</v>
      </c>
      <c r="R795" t="s">
        <v>48</v>
      </c>
      <c r="S795">
        <v>1</v>
      </c>
    </row>
    <row r="796" spans="1:19" x14ac:dyDescent="0.3">
      <c r="A796" t="s">
        <v>1640</v>
      </c>
      <c r="B796">
        <v>45721</v>
      </c>
      <c r="C796" t="s">
        <v>96</v>
      </c>
      <c r="D796" t="s">
        <v>21</v>
      </c>
      <c r="E796" t="s">
        <v>22</v>
      </c>
      <c r="F796" t="s">
        <v>43</v>
      </c>
      <c r="G796" t="s">
        <v>24</v>
      </c>
      <c r="H796" t="s">
        <v>74</v>
      </c>
      <c r="I796" t="s">
        <v>1641</v>
      </c>
      <c r="J796">
        <v>3</v>
      </c>
      <c r="K796">
        <v>12451</v>
      </c>
      <c r="L796">
        <v>0.21</v>
      </c>
      <c r="M796">
        <f>'Raw data'!$K796*(1- 'Raw data'!$L796)</f>
        <v>9836.2900000000009</v>
      </c>
      <c r="N796">
        <v>29508.87</v>
      </c>
      <c r="O796">
        <v>0.25</v>
      </c>
      <c r="P796">
        <v>7377.22</v>
      </c>
      <c r="Q796" t="s">
        <v>47</v>
      </c>
      <c r="R796" t="s">
        <v>48</v>
      </c>
      <c r="S796">
        <v>5</v>
      </c>
    </row>
    <row r="797" spans="1:19" x14ac:dyDescent="0.3">
      <c r="A797" t="s">
        <v>1642</v>
      </c>
      <c r="B797">
        <v>45722</v>
      </c>
      <c r="C797" t="s">
        <v>55</v>
      </c>
      <c r="D797" t="s">
        <v>56</v>
      </c>
      <c r="E797" t="s">
        <v>32</v>
      </c>
      <c r="F797" t="s">
        <v>43</v>
      </c>
      <c r="G797" t="s">
        <v>57</v>
      </c>
      <c r="H797" t="s">
        <v>100</v>
      </c>
      <c r="I797" t="s">
        <v>1643</v>
      </c>
      <c r="J797">
        <v>7</v>
      </c>
      <c r="K797">
        <v>13154</v>
      </c>
      <c r="L797">
        <v>0.03</v>
      </c>
      <c r="M797">
        <f>'Raw data'!$K797*(1- 'Raw data'!$L797)</f>
        <v>12759.38</v>
      </c>
      <c r="N797">
        <v>89315.66</v>
      </c>
      <c r="O797">
        <v>0.2</v>
      </c>
      <c r="P797">
        <v>17863.13</v>
      </c>
      <c r="Q797" t="s">
        <v>27</v>
      </c>
      <c r="R797" t="s">
        <v>38</v>
      </c>
      <c r="S797">
        <v>9</v>
      </c>
    </row>
    <row r="798" spans="1:19" x14ac:dyDescent="0.3">
      <c r="A798" t="s">
        <v>1644</v>
      </c>
      <c r="B798">
        <v>45723</v>
      </c>
      <c r="C798" t="s">
        <v>40</v>
      </c>
      <c r="D798" t="s">
        <v>56</v>
      </c>
      <c r="E798" t="s">
        <v>32</v>
      </c>
      <c r="F798" t="s">
        <v>97</v>
      </c>
      <c r="G798" t="s">
        <v>34</v>
      </c>
      <c r="H798" t="s">
        <v>71</v>
      </c>
      <c r="I798" t="s">
        <v>1645</v>
      </c>
      <c r="J798">
        <v>7</v>
      </c>
      <c r="K798">
        <v>410</v>
      </c>
      <c r="L798">
        <v>0.18</v>
      </c>
      <c r="M798">
        <f>'Raw data'!$K798*(1- 'Raw data'!$L798)</f>
        <v>336.20000000000005</v>
      </c>
      <c r="N798">
        <v>2353.4</v>
      </c>
      <c r="O798">
        <v>0.4</v>
      </c>
      <c r="P798">
        <v>941.36</v>
      </c>
      <c r="Q798" t="s">
        <v>47</v>
      </c>
      <c r="R798" t="s">
        <v>48</v>
      </c>
      <c r="S798">
        <v>6</v>
      </c>
    </row>
    <row r="799" spans="1:19" x14ac:dyDescent="0.3">
      <c r="A799" t="s">
        <v>1646</v>
      </c>
      <c r="B799">
        <v>45724</v>
      </c>
      <c r="C799" t="s">
        <v>55</v>
      </c>
      <c r="D799" t="s">
        <v>41</v>
      </c>
      <c r="E799" t="s">
        <v>42</v>
      </c>
      <c r="F799" t="s">
        <v>23</v>
      </c>
      <c r="G799" t="s">
        <v>57</v>
      </c>
      <c r="H799" t="s">
        <v>183</v>
      </c>
      <c r="I799" t="s">
        <v>1647</v>
      </c>
      <c r="J799">
        <v>6</v>
      </c>
      <c r="K799">
        <v>14693</v>
      </c>
      <c r="L799">
        <v>0.13</v>
      </c>
      <c r="M799">
        <f>'Raw data'!$K799*(1- 'Raw data'!$L799)</f>
        <v>12782.91</v>
      </c>
      <c r="N799">
        <v>76697.460000000006</v>
      </c>
      <c r="O799">
        <v>0.2</v>
      </c>
      <c r="P799">
        <v>15339.49</v>
      </c>
      <c r="Q799" t="s">
        <v>27</v>
      </c>
      <c r="R799" t="s">
        <v>38</v>
      </c>
      <c r="S799">
        <v>5</v>
      </c>
    </row>
    <row r="800" spans="1:19" x14ac:dyDescent="0.3">
      <c r="A800" t="s">
        <v>1648</v>
      </c>
      <c r="B800">
        <v>45725</v>
      </c>
      <c r="C800" t="s">
        <v>55</v>
      </c>
      <c r="D800" t="s">
        <v>21</v>
      </c>
      <c r="E800" t="s">
        <v>22</v>
      </c>
      <c r="F800" t="s">
        <v>33</v>
      </c>
      <c r="G800" t="s">
        <v>44</v>
      </c>
      <c r="H800" t="s">
        <v>116</v>
      </c>
      <c r="I800" t="s">
        <v>1649</v>
      </c>
      <c r="J800">
        <v>6</v>
      </c>
      <c r="K800">
        <v>1163</v>
      </c>
      <c r="L800">
        <v>7.0000000000000007E-2</v>
      </c>
      <c r="M800">
        <f>'Raw data'!$K800*(1- 'Raw data'!$L800)</f>
        <v>1081.5899999999999</v>
      </c>
      <c r="N800">
        <v>6489.54</v>
      </c>
      <c r="O800">
        <v>0.35</v>
      </c>
      <c r="P800">
        <v>2271.34</v>
      </c>
      <c r="Q800" t="s">
        <v>47</v>
      </c>
      <c r="R800" t="s">
        <v>48</v>
      </c>
      <c r="S800">
        <v>3</v>
      </c>
    </row>
    <row r="801" spans="1:19" x14ac:dyDescent="0.3">
      <c r="A801" t="s">
        <v>1650</v>
      </c>
      <c r="B801">
        <v>45726</v>
      </c>
      <c r="C801" t="s">
        <v>96</v>
      </c>
      <c r="D801" t="s">
        <v>41</v>
      </c>
      <c r="E801" t="s">
        <v>32</v>
      </c>
      <c r="F801" t="s">
        <v>43</v>
      </c>
      <c r="G801" t="s">
        <v>44</v>
      </c>
      <c r="H801" t="s">
        <v>116</v>
      </c>
      <c r="I801" t="s">
        <v>1651</v>
      </c>
      <c r="J801">
        <v>2</v>
      </c>
      <c r="K801">
        <v>1632</v>
      </c>
      <c r="L801">
        <v>0.12</v>
      </c>
      <c r="M801">
        <f>'Raw data'!$K801*(1- 'Raw data'!$L801)</f>
        <v>1436.16</v>
      </c>
      <c r="N801">
        <v>2872.32</v>
      </c>
      <c r="O801">
        <v>0.35</v>
      </c>
      <c r="P801">
        <v>1005.31</v>
      </c>
      <c r="Q801" t="s">
        <v>51</v>
      </c>
      <c r="R801" t="s">
        <v>48</v>
      </c>
      <c r="S801">
        <v>5</v>
      </c>
    </row>
    <row r="802" spans="1:19" x14ac:dyDescent="0.3">
      <c r="A802" t="s">
        <v>1652</v>
      </c>
      <c r="B802">
        <v>45727</v>
      </c>
      <c r="C802" t="s">
        <v>20</v>
      </c>
      <c r="D802" t="s">
        <v>41</v>
      </c>
      <c r="E802" t="s">
        <v>22</v>
      </c>
      <c r="F802" t="s">
        <v>97</v>
      </c>
      <c r="G802" t="s">
        <v>44</v>
      </c>
      <c r="H802" t="s">
        <v>45</v>
      </c>
      <c r="I802" t="s">
        <v>1653</v>
      </c>
      <c r="J802">
        <v>6</v>
      </c>
      <c r="K802">
        <v>1041</v>
      </c>
      <c r="L802">
        <v>7.0000000000000007E-2</v>
      </c>
      <c r="M802">
        <f>'Raw data'!$K802*(1- 'Raw data'!$L802)</f>
        <v>968.12999999999988</v>
      </c>
      <c r="N802">
        <v>5808.78</v>
      </c>
      <c r="O802">
        <v>0.35</v>
      </c>
      <c r="P802">
        <v>2033.07</v>
      </c>
      <c r="Q802" t="s">
        <v>37</v>
      </c>
      <c r="R802" t="s">
        <v>48</v>
      </c>
      <c r="S802">
        <v>8</v>
      </c>
    </row>
    <row r="803" spans="1:19" x14ac:dyDescent="0.3">
      <c r="A803" t="s">
        <v>1654</v>
      </c>
      <c r="B803">
        <v>45728</v>
      </c>
      <c r="C803" t="s">
        <v>55</v>
      </c>
      <c r="D803" t="s">
        <v>56</v>
      </c>
      <c r="E803" t="s">
        <v>32</v>
      </c>
      <c r="F803" t="s">
        <v>68</v>
      </c>
      <c r="G803" t="s">
        <v>44</v>
      </c>
      <c r="H803" t="s">
        <v>138</v>
      </c>
      <c r="I803" t="s">
        <v>1655</v>
      </c>
      <c r="J803">
        <v>4</v>
      </c>
      <c r="K803">
        <v>3474</v>
      </c>
      <c r="L803">
        <v>0.15</v>
      </c>
      <c r="M803">
        <f>'Raw data'!$K803*(1- 'Raw data'!$L803)</f>
        <v>2952.9</v>
      </c>
      <c r="N803">
        <v>11811.6</v>
      </c>
      <c r="O803">
        <v>0.35</v>
      </c>
      <c r="P803">
        <v>4134.0600000000004</v>
      </c>
      <c r="Q803" t="s">
        <v>37</v>
      </c>
      <c r="R803" t="s">
        <v>48</v>
      </c>
      <c r="S803">
        <v>2</v>
      </c>
    </row>
    <row r="804" spans="1:19" x14ac:dyDescent="0.3">
      <c r="A804" t="s">
        <v>1656</v>
      </c>
      <c r="B804">
        <v>45729</v>
      </c>
      <c r="C804" t="s">
        <v>63</v>
      </c>
      <c r="D804" t="s">
        <v>31</v>
      </c>
      <c r="E804" t="s">
        <v>42</v>
      </c>
      <c r="F804" t="s">
        <v>23</v>
      </c>
      <c r="G804" t="s">
        <v>24</v>
      </c>
      <c r="H804" t="s">
        <v>121</v>
      </c>
      <c r="I804" t="s">
        <v>1657</v>
      </c>
      <c r="J804">
        <v>3</v>
      </c>
      <c r="K804">
        <v>1867</v>
      </c>
      <c r="L804">
        <v>0.11</v>
      </c>
      <c r="M804">
        <f>'Raw data'!$K804*(1- 'Raw data'!$L804)</f>
        <v>1661.63</v>
      </c>
      <c r="N804">
        <v>4984.8900000000003</v>
      </c>
      <c r="O804">
        <v>0.25</v>
      </c>
      <c r="P804">
        <v>1246.22</v>
      </c>
      <c r="Q804" t="s">
        <v>27</v>
      </c>
      <c r="R804" t="s">
        <v>48</v>
      </c>
      <c r="S804">
        <v>5</v>
      </c>
    </row>
    <row r="805" spans="1:19" x14ac:dyDescent="0.3">
      <c r="A805" t="s">
        <v>1658</v>
      </c>
      <c r="B805">
        <v>45730</v>
      </c>
      <c r="C805" t="s">
        <v>55</v>
      </c>
      <c r="D805" t="s">
        <v>41</v>
      </c>
      <c r="E805" t="s">
        <v>42</v>
      </c>
      <c r="F805" t="s">
        <v>103</v>
      </c>
      <c r="G805" t="s">
        <v>34</v>
      </c>
      <c r="H805" t="s">
        <v>35</v>
      </c>
      <c r="I805" t="s">
        <v>1659</v>
      </c>
      <c r="J805">
        <v>2</v>
      </c>
      <c r="K805">
        <v>218</v>
      </c>
      <c r="L805">
        <v>0.04</v>
      </c>
      <c r="M805">
        <f>'Raw data'!$K805*(1- 'Raw data'!$L805)</f>
        <v>209.28</v>
      </c>
      <c r="N805">
        <v>418.56</v>
      </c>
      <c r="O805">
        <v>0.4</v>
      </c>
      <c r="P805">
        <v>167.42</v>
      </c>
      <c r="Q805" t="s">
        <v>47</v>
      </c>
      <c r="R805" t="s">
        <v>48</v>
      </c>
      <c r="S805">
        <v>6</v>
      </c>
    </row>
    <row r="806" spans="1:19" x14ac:dyDescent="0.3">
      <c r="A806" t="s">
        <v>1660</v>
      </c>
      <c r="B806">
        <v>45731</v>
      </c>
      <c r="C806" t="s">
        <v>20</v>
      </c>
      <c r="D806" t="s">
        <v>31</v>
      </c>
      <c r="E806" t="s">
        <v>22</v>
      </c>
      <c r="F806" t="s">
        <v>97</v>
      </c>
      <c r="G806" t="s">
        <v>57</v>
      </c>
      <c r="H806" t="s">
        <v>100</v>
      </c>
      <c r="I806" t="s">
        <v>1661</v>
      </c>
      <c r="J806">
        <v>1</v>
      </c>
      <c r="K806">
        <v>18044</v>
      </c>
      <c r="L806">
        <v>0.03</v>
      </c>
      <c r="M806">
        <f>'Raw data'!$K806*(1- 'Raw data'!$L806)</f>
        <v>17502.68</v>
      </c>
      <c r="N806">
        <v>17502.68</v>
      </c>
      <c r="O806">
        <v>0.2</v>
      </c>
      <c r="P806">
        <v>3500.54</v>
      </c>
      <c r="Q806" t="s">
        <v>37</v>
      </c>
      <c r="R806" t="s">
        <v>28</v>
      </c>
      <c r="S806">
        <v>8</v>
      </c>
    </row>
    <row r="807" spans="1:19" x14ac:dyDescent="0.3">
      <c r="A807" t="s">
        <v>1662</v>
      </c>
      <c r="B807">
        <v>45732</v>
      </c>
      <c r="C807" t="s">
        <v>96</v>
      </c>
      <c r="D807" t="s">
        <v>21</v>
      </c>
      <c r="E807" t="s">
        <v>32</v>
      </c>
      <c r="F807" t="s">
        <v>97</v>
      </c>
      <c r="G807" t="s">
        <v>57</v>
      </c>
      <c r="H807" t="s">
        <v>81</v>
      </c>
      <c r="I807" t="s">
        <v>1663</v>
      </c>
      <c r="J807">
        <v>5</v>
      </c>
      <c r="K807">
        <v>7469</v>
      </c>
      <c r="L807">
        <v>0.14000000000000001</v>
      </c>
      <c r="M807">
        <f>'Raw data'!$K807*(1- 'Raw data'!$L807)</f>
        <v>6423.34</v>
      </c>
      <c r="N807">
        <v>32116.7</v>
      </c>
      <c r="O807">
        <v>0.2</v>
      </c>
      <c r="P807">
        <v>6423.34</v>
      </c>
      <c r="Q807" t="s">
        <v>51</v>
      </c>
      <c r="R807" t="s">
        <v>48</v>
      </c>
      <c r="S807">
        <v>8</v>
      </c>
    </row>
    <row r="808" spans="1:19" x14ac:dyDescent="0.3">
      <c r="A808" t="s">
        <v>1664</v>
      </c>
      <c r="B808">
        <v>45733</v>
      </c>
      <c r="C808" t="s">
        <v>20</v>
      </c>
      <c r="D808" t="s">
        <v>56</v>
      </c>
      <c r="E808" t="s">
        <v>67</v>
      </c>
      <c r="F808" t="s">
        <v>33</v>
      </c>
      <c r="G808" t="s">
        <v>44</v>
      </c>
      <c r="H808" t="s">
        <v>138</v>
      </c>
      <c r="I808" t="s">
        <v>1665</v>
      </c>
      <c r="J808">
        <v>2</v>
      </c>
      <c r="K808">
        <v>4778</v>
      </c>
      <c r="L808">
        <v>0.23</v>
      </c>
      <c r="M808">
        <f>'Raw data'!$K808*(1- 'Raw data'!$L808)</f>
        <v>3679.06</v>
      </c>
      <c r="N808">
        <v>7358.12</v>
      </c>
      <c r="O808">
        <v>0.35</v>
      </c>
      <c r="P808">
        <v>2575.34</v>
      </c>
      <c r="Q808" t="s">
        <v>51</v>
      </c>
      <c r="R808" t="s">
        <v>48</v>
      </c>
      <c r="S808">
        <v>5</v>
      </c>
    </row>
    <row r="809" spans="1:19" x14ac:dyDescent="0.3">
      <c r="A809" t="s">
        <v>1666</v>
      </c>
      <c r="B809">
        <v>45734</v>
      </c>
      <c r="C809" t="s">
        <v>96</v>
      </c>
      <c r="D809" t="s">
        <v>21</v>
      </c>
      <c r="E809" t="s">
        <v>42</v>
      </c>
      <c r="F809" t="s">
        <v>23</v>
      </c>
      <c r="G809" t="s">
        <v>44</v>
      </c>
      <c r="H809" t="s">
        <v>45</v>
      </c>
      <c r="I809" t="s">
        <v>1667</v>
      </c>
      <c r="J809">
        <v>2</v>
      </c>
      <c r="K809">
        <v>1706</v>
      </c>
      <c r="L809">
        <v>0.09</v>
      </c>
      <c r="M809">
        <f>'Raw data'!$K809*(1- 'Raw data'!$L809)</f>
        <v>1552.46</v>
      </c>
      <c r="N809">
        <v>3104.92</v>
      </c>
      <c r="O809">
        <v>0.35</v>
      </c>
      <c r="P809">
        <v>1086.72</v>
      </c>
      <c r="Q809" t="s">
        <v>51</v>
      </c>
      <c r="R809" t="s">
        <v>48</v>
      </c>
      <c r="S809">
        <v>9</v>
      </c>
    </row>
    <row r="810" spans="1:19" x14ac:dyDescent="0.3">
      <c r="A810" t="s">
        <v>1668</v>
      </c>
      <c r="B810">
        <v>45735</v>
      </c>
      <c r="C810" t="s">
        <v>40</v>
      </c>
      <c r="D810" t="s">
        <v>21</v>
      </c>
      <c r="E810" t="s">
        <v>22</v>
      </c>
      <c r="F810" t="s">
        <v>43</v>
      </c>
      <c r="G810" t="s">
        <v>92</v>
      </c>
      <c r="H810" t="s">
        <v>93</v>
      </c>
      <c r="I810" t="s">
        <v>1669</v>
      </c>
      <c r="J810">
        <v>7</v>
      </c>
      <c r="K810">
        <v>43937</v>
      </c>
      <c r="L810">
        <v>0.18</v>
      </c>
      <c r="M810">
        <f>'Raw data'!$K810*(1- 'Raw data'!$L810)</f>
        <v>36028.340000000004</v>
      </c>
      <c r="N810">
        <v>252198.38</v>
      </c>
      <c r="O810">
        <v>0.15</v>
      </c>
      <c r="P810">
        <v>37829.760000000002</v>
      </c>
      <c r="Q810" t="s">
        <v>27</v>
      </c>
      <c r="R810" t="s">
        <v>48</v>
      </c>
      <c r="S810">
        <v>4</v>
      </c>
    </row>
    <row r="811" spans="1:19" x14ac:dyDescent="0.3">
      <c r="A811" t="s">
        <v>1670</v>
      </c>
      <c r="B811">
        <v>45736</v>
      </c>
      <c r="C811" t="s">
        <v>96</v>
      </c>
      <c r="D811" t="s">
        <v>56</v>
      </c>
      <c r="E811" t="s">
        <v>22</v>
      </c>
      <c r="F811" t="s">
        <v>43</v>
      </c>
      <c r="G811" t="s">
        <v>34</v>
      </c>
      <c r="H811" t="s">
        <v>35</v>
      </c>
      <c r="I811" t="s">
        <v>1671</v>
      </c>
      <c r="J811">
        <v>8</v>
      </c>
      <c r="K811">
        <v>1030</v>
      </c>
      <c r="L811">
        <v>0.16</v>
      </c>
      <c r="M811">
        <f>'Raw data'!$K811*(1- 'Raw data'!$L811)</f>
        <v>865.19999999999993</v>
      </c>
      <c r="N811">
        <v>6921.6</v>
      </c>
      <c r="O811">
        <v>0.4</v>
      </c>
      <c r="P811">
        <v>2768.64</v>
      </c>
      <c r="Q811" t="s">
        <v>27</v>
      </c>
      <c r="R811" t="s">
        <v>48</v>
      </c>
      <c r="S811">
        <v>9</v>
      </c>
    </row>
    <row r="812" spans="1:19" x14ac:dyDescent="0.3">
      <c r="A812" t="s">
        <v>1672</v>
      </c>
      <c r="B812">
        <v>45737</v>
      </c>
      <c r="C812" t="s">
        <v>40</v>
      </c>
      <c r="D812" t="s">
        <v>21</v>
      </c>
      <c r="E812" t="s">
        <v>32</v>
      </c>
      <c r="F812" t="s">
        <v>43</v>
      </c>
      <c r="G812" t="s">
        <v>24</v>
      </c>
      <c r="H812" t="s">
        <v>186</v>
      </c>
      <c r="I812" t="s">
        <v>1673</v>
      </c>
      <c r="J812">
        <v>8</v>
      </c>
      <c r="K812">
        <v>2651</v>
      </c>
      <c r="L812">
        <v>0.23</v>
      </c>
      <c r="M812">
        <f>'Raw data'!$K812*(1- 'Raw data'!$L812)</f>
        <v>2041.27</v>
      </c>
      <c r="N812">
        <v>16330.16</v>
      </c>
      <c r="O812">
        <v>0.25</v>
      </c>
      <c r="P812">
        <v>4082.54</v>
      </c>
      <c r="Q812" t="s">
        <v>47</v>
      </c>
      <c r="R812" t="s">
        <v>48</v>
      </c>
      <c r="S812">
        <v>7</v>
      </c>
    </row>
    <row r="813" spans="1:19" x14ac:dyDescent="0.3">
      <c r="A813" t="s">
        <v>1674</v>
      </c>
      <c r="B813">
        <v>45738</v>
      </c>
      <c r="C813" t="s">
        <v>40</v>
      </c>
      <c r="D813" t="s">
        <v>56</v>
      </c>
      <c r="E813" t="s">
        <v>22</v>
      </c>
      <c r="F813" t="s">
        <v>103</v>
      </c>
      <c r="G813" t="s">
        <v>57</v>
      </c>
      <c r="H813" t="s">
        <v>58</v>
      </c>
      <c r="I813" t="s">
        <v>1675</v>
      </c>
      <c r="J813">
        <v>4</v>
      </c>
      <c r="K813">
        <v>19520</v>
      </c>
      <c r="L813">
        <v>0.21</v>
      </c>
      <c r="M813">
        <f>'Raw data'!$K813*(1- 'Raw data'!$L813)</f>
        <v>15420.800000000001</v>
      </c>
      <c r="N813">
        <v>61683.199999999997</v>
      </c>
      <c r="O813">
        <v>0.2</v>
      </c>
      <c r="P813">
        <v>12336.64</v>
      </c>
      <c r="Q813" t="s">
        <v>51</v>
      </c>
      <c r="R813" t="s">
        <v>48</v>
      </c>
      <c r="S813">
        <v>6</v>
      </c>
    </row>
    <row r="814" spans="1:19" x14ac:dyDescent="0.3">
      <c r="A814" t="s">
        <v>1676</v>
      </c>
      <c r="B814">
        <v>45739</v>
      </c>
      <c r="C814" t="s">
        <v>96</v>
      </c>
      <c r="D814" t="s">
        <v>31</v>
      </c>
      <c r="E814" t="s">
        <v>42</v>
      </c>
      <c r="F814" t="s">
        <v>23</v>
      </c>
      <c r="G814" t="s">
        <v>92</v>
      </c>
      <c r="H814" t="s">
        <v>109</v>
      </c>
      <c r="I814" t="s">
        <v>1677</v>
      </c>
      <c r="J814">
        <v>1</v>
      </c>
      <c r="K814">
        <v>35051</v>
      </c>
      <c r="L814">
        <v>0.14000000000000001</v>
      </c>
      <c r="M814">
        <f>'Raw data'!$K814*(1- 'Raw data'!$L814)</f>
        <v>30143.86</v>
      </c>
      <c r="N814">
        <v>30143.86</v>
      </c>
      <c r="O814">
        <v>0.15</v>
      </c>
      <c r="P814">
        <v>4521.58</v>
      </c>
      <c r="Q814" t="s">
        <v>47</v>
      </c>
      <c r="R814" t="s">
        <v>48</v>
      </c>
      <c r="S814">
        <v>4</v>
      </c>
    </row>
    <row r="815" spans="1:19" x14ac:dyDescent="0.3">
      <c r="A815" t="s">
        <v>1678</v>
      </c>
      <c r="B815">
        <v>45740</v>
      </c>
      <c r="C815" t="s">
        <v>63</v>
      </c>
      <c r="D815" t="s">
        <v>21</v>
      </c>
      <c r="E815" t="s">
        <v>22</v>
      </c>
      <c r="F815" t="s">
        <v>23</v>
      </c>
      <c r="G815" t="s">
        <v>92</v>
      </c>
      <c r="H815" t="s">
        <v>93</v>
      </c>
      <c r="I815" t="s">
        <v>1679</v>
      </c>
      <c r="J815">
        <v>7</v>
      </c>
      <c r="K815">
        <v>37386</v>
      </c>
      <c r="L815">
        <v>0.16</v>
      </c>
      <c r="M815">
        <f>'Raw data'!$K815*(1- 'Raw data'!$L815)</f>
        <v>31404.239999999998</v>
      </c>
      <c r="N815">
        <v>219829.68</v>
      </c>
      <c r="O815">
        <v>0.15</v>
      </c>
      <c r="P815">
        <v>32974.449999999997</v>
      </c>
      <c r="Q815" t="s">
        <v>47</v>
      </c>
      <c r="R815" t="s">
        <v>48</v>
      </c>
      <c r="S815">
        <v>2</v>
      </c>
    </row>
    <row r="816" spans="1:19" x14ac:dyDescent="0.3">
      <c r="A816" t="s">
        <v>1680</v>
      </c>
      <c r="B816">
        <v>45741</v>
      </c>
      <c r="C816" t="s">
        <v>30</v>
      </c>
      <c r="D816" t="s">
        <v>56</v>
      </c>
      <c r="E816" t="s">
        <v>22</v>
      </c>
      <c r="F816" t="s">
        <v>43</v>
      </c>
      <c r="G816" t="s">
        <v>57</v>
      </c>
      <c r="H816" t="s">
        <v>183</v>
      </c>
      <c r="I816" t="s">
        <v>1681</v>
      </c>
      <c r="J816">
        <v>1</v>
      </c>
      <c r="K816">
        <v>11518</v>
      </c>
      <c r="L816">
        <v>0.22</v>
      </c>
      <c r="M816">
        <f>'Raw data'!$K816*(1- 'Raw data'!$L816)</f>
        <v>8984.0400000000009</v>
      </c>
      <c r="N816">
        <v>8984.0400000000009</v>
      </c>
      <c r="O816">
        <v>0.2</v>
      </c>
      <c r="P816">
        <v>1796.81</v>
      </c>
      <c r="Q816" t="s">
        <v>51</v>
      </c>
      <c r="R816" t="s">
        <v>38</v>
      </c>
      <c r="S816">
        <v>8</v>
      </c>
    </row>
    <row r="817" spans="1:19" x14ac:dyDescent="0.3">
      <c r="A817" t="s">
        <v>1682</v>
      </c>
      <c r="B817">
        <v>45742</v>
      </c>
      <c r="C817" t="s">
        <v>96</v>
      </c>
      <c r="D817" t="s">
        <v>41</v>
      </c>
      <c r="E817" t="s">
        <v>67</v>
      </c>
      <c r="F817" t="s">
        <v>43</v>
      </c>
      <c r="G817" t="s">
        <v>24</v>
      </c>
      <c r="H817" t="s">
        <v>186</v>
      </c>
      <c r="I817" t="s">
        <v>1683</v>
      </c>
      <c r="J817">
        <v>4</v>
      </c>
      <c r="K817">
        <v>14258</v>
      </c>
      <c r="L817">
        <v>0.1</v>
      </c>
      <c r="M817">
        <f>'Raw data'!$K817*(1- 'Raw data'!$L817)</f>
        <v>12832.2</v>
      </c>
      <c r="N817">
        <v>51328.800000000003</v>
      </c>
      <c r="O817">
        <v>0.25</v>
      </c>
      <c r="P817">
        <v>12832.2</v>
      </c>
      <c r="Q817" t="s">
        <v>47</v>
      </c>
      <c r="R817" t="s">
        <v>38</v>
      </c>
      <c r="S817">
        <v>6</v>
      </c>
    </row>
    <row r="818" spans="1:19" x14ac:dyDescent="0.3">
      <c r="A818" t="s">
        <v>1684</v>
      </c>
      <c r="B818">
        <v>45743</v>
      </c>
      <c r="C818" t="s">
        <v>55</v>
      </c>
      <c r="D818" t="s">
        <v>21</v>
      </c>
      <c r="E818" t="s">
        <v>67</v>
      </c>
      <c r="F818" t="s">
        <v>33</v>
      </c>
      <c r="G818" t="s">
        <v>92</v>
      </c>
      <c r="H818" t="s">
        <v>109</v>
      </c>
      <c r="I818" t="s">
        <v>1685</v>
      </c>
      <c r="J818">
        <v>8</v>
      </c>
      <c r="K818">
        <v>26184</v>
      </c>
      <c r="L818">
        <v>0.08</v>
      </c>
      <c r="M818">
        <f>'Raw data'!$K818*(1- 'Raw data'!$L818)</f>
        <v>24089.280000000002</v>
      </c>
      <c r="N818">
        <v>192714.23999999999</v>
      </c>
      <c r="O818">
        <v>0.15</v>
      </c>
      <c r="P818">
        <v>28907.14</v>
      </c>
      <c r="Q818" t="s">
        <v>37</v>
      </c>
      <c r="R818" t="s">
        <v>48</v>
      </c>
      <c r="S818">
        <v>3</v>
      </c>
    </row>
    <row r="819" spans="1:19" x14ac:dyDescent="0.3">
      <c r="A819" t="s">
        <v>1686</v>
      </c>
      <c r="B819">
        <v>45744</v>
      </c>
      <c r="C819" t="s">
        <v>63</v>
      </c>
      <c r="D819" t="s">
        <v>31</v>
      </c>
      <c r="E819" t="s">
        <v>42</v>
      </c>
      <c r="F819" t="s">
        <v>68</v>
      </c>
      <c r="G819" t="s">
        <v>92</v>
      </c>
      <c r="H819" t="s">
        <v>178</v>
      </c>
      <c r="I819" t="s">
        <v>1687</v>
      </c>
      <c r="J819">
        <v>2</v>
      </c>
      <c r="K819">
        <v>43787</v>
      </c>
      <c r="L819">
        <v>0</v>
      </c>
      <c r="M819">
        <f>'Raw data'!$K819*(1- 'Raw data'!$L819)</f>
        <v>43787</v>
      </c>
      <c r="N819">
        <v>87574</v>
      </c>
      <c r="O819">
        <v>0.15</v>
      </c>
      <c r="P819">
        <v>13136.1</v>
      </c>
      <c r="Q819" t="s">
        <v>27</v>
      </c>
      <c r="R819" t="s">
        <v>48</v>
      </c>
      <c r="S819">
        <v>7</v>
      </c>
    </row>
    <row r="820" spans="1:19" x14ac:dyDescent="0.3">
      <c r="A820" t="s">
        <v>1688</v>
      </c>
      <c r="B820">
        <v>45745</v>
      </c>
      <c r="C820" t="s">
        <v>63</v>
      </c>
      <c r="D820" t="s">
        <v>56</v>
      </c>
      <c r="E820" t="s">
        <v>32</v>
      </c>
      <c r="F820" t="s">
        <v>68</v>
      </c>
      <c r="G820" t="s">
        <v>34</v>
      </c>
      <c r="H820" t="s">
        <v>71</v>
      </c>
      <c r="I820" t="s">
        <v>1689</v>
      </c>
      <c r="J820">
        <v>6</v>
      </c>
      <c r="K820">
        <v>1341</v>
      </c>
      <c r="L820">
        <v>0.21</v>
      </c>
      <c r="M820">
        <f>'Raw data'!$K820*(1- 'Raw data'!$L820)</f>
        <v>1059.3900000000001</v>
      </c>
      <c r="N820">
        <v>6356.34</v>
      </c>
      <c r="O820">
        <v>0.4</v>
      </c>
      <c r="P820">
        <v>2542.54</v>
      </c>
      <c r="Q820" t="s">
        <v>47</v>
      </c>
      <c r="R820" t="s">
        <v>48</v>
      </c>
      <c r="S820">
        <v>7</v>
      </c>
    </row>
    <row r="821" spans="1:19" x14ac:dyDescent="0.3">
      <c r="A821" t="s">
        <v>1690</v>
      </c>
      <c r="B821">
        <v>45746</v>
      </c>
      <c r="C821" t="s">
        <v>55</v>
      </c>
      <c r="D821" t="s">
        <v>21</v>
      </c>
      <c r="E821" t="s">
        <v>67</v>
      </c>
      <c r="F821" t="s">
        <v>97</v>
      </c>
      <c r="G821" t="s">
        <v>24</v>
      </c>
      <c r="H821" t="s">
        <v>186</v>
      </c>
      <c r="I821" t="s">
        <v>1691</v>
      </c>
      <c r="J821">
        <v>6</v>
      </c>
      <c r="K821">
        <v>11028</v>
      </c>
      <c r="L821">
        <v>0.2</v>
      </c>
      <c r="M821">
        <f>'Raw data'!$K821*(1- 'Raw data'!$L821)</f>
        <v>8822.4</v>
      </c>
      <c r="N821">
        <v>52934.400000000001</v>
      </c>
      <c r="O821">
        <v>0.25</v>
      </c>
      <c r="P821">
        <v>13233.6</v>
      </c>
      <c r="Q821" t="s">
        <v>51</v>
      </c>
      <c r="R821" t="s">
        <v>48</v>
      </c>
      <c r="S821">
        <v>6</v>
      </c>
    </row>
    <row r="822" spans="1:19" x14ac:dyDescent="0.3">
      <c r="A822" t="s">
        <v>1692</v>
      </c>
      <c r="B822">
        <v>45747</v>
      </c>
      <c r="C822" t="s">
        <v>30</v>
      </c>
      <c r="D822" t="s">
        <v>21</v>
      </c>
      <c r="E822" t="s">
        <v>32</v>
      </c>
      <c r="F822" t="s">
        <v>97</v>
      </c>
      <c r="G822" t="s">
        <v>92</v>
      </c>
      <c r="H822" t="s">
        <v>243</v>
      </c>
      <c r="I822" t="s">
        <v>1693</v>
      </c>
      <c r="J822">
        <v>9</v>
      </c>
      <c r="K822">
        <v>69792</v>
      </c>
      <c r="L822">
        <v>0.03</v>
      </c>
      <c r="M822">
        <f>'Raw data'!$K822*(1- 'Raw data'!$L822)</f>
        <v>67698.240000000005</v>
      </c>
      <c r="N822">
        <v>609284.16</v>
      </c>
      <c r="O822">
        <v>0.15</v>
      </c>
      <c r="P822">
        <v>91392.62</v>
      </c>
      <c r="Q822" t="s">
        <v>27</v>
      </c>
      <c r="R822" t="s">
        <v>48</v>
      </c>
      <c r="S822">
        <v>2</v>
      </c>
    </row>
    <row r="823" spans="1:19" x14ac:dyDescent="0.3">
      <c r="A823" t="s">
        <v>1694</v>
      </c>
      <c r="B823">
        <v>45748</v>
      </c>
      <c r="C823" t="s">
        <v>63</v>
      </c>
      <c r="D823" t="s">
        <v>21</v>
      </c>
      <c r="E823" t="s">
        <v>42</v>
      </c>
      <c r="F823" t="s">
        <v>23</v>
      </c>
      <c r="G823" t="s">
        <v>24</v>
      </c>
      <c r="H823" t="s">
        <v>186</v>
      </c>
      <c r="I823" t="s">
        <v>1695</v>
      </c>
      <c r="J823">
        <v>5</v>
      </c>
      <c r="K823">
        <v>13485</v>
      </c>
      <c r="L823">
        <v>0.14000000000000001</v>
      </c>
      <c r="M823">
        <f>'Raw data'!$K823*(1- 'Raw data'!$L823)</f>
        <v>11597.1</v>
      </c>
      <c r="N823">
        <v>57985.5</v>
      </c>
      <c r="O823">
        <v>0.25</v>
      </c>
      <c r="P823">
        <v>14496.38</v>
      </c>
      <c r="Q823" t="s">
        <v>27</v>
      </c>
      <c r="R823" t="s">
        <v>48</v>
      </c>
      <c r="S823">
        <v>8</v>
      </c>
    </row>
    <row r="824" spans="1:19" x14ac:dyDescent="0.3">
      <c r="A824" t="s">
        <v>1696</v>
      </c>
      <c r="B824">
        <v>45749</v>
      </c>
      <c r="C824" t="s">
        <v>40</v>
      </c>
      <c r="D824" t="s">
        <v>31</v>
      </c>
      <c r="E824" t="s">
        <v>67</v>
      </c>
      <c r="F824" t="s">
        <v>23</v>
      </c>
      <c r="G824" t="s">
        <v>57</v>
      </c>
      <c r="H824" t="s">
        <v>183</v>
      </c>
      <c r="I824" t="s">
        <v>1697</v>
      </c>
      <c r="J824">
        <v>4</v>
      </c>
      <c r="K824">
        <v>3283</v>
      </c>
      <c r="L824">
        <v>0.12</v>
      </c>
      <c r="M824">
        <f>'Raw data'!$K824*(1- 'Raw data'!$L824)</f>
        <v>2889.04</v>
      </c>
      <c r="N824">
        <v>11556.16</v>
      </c>
      <c r="O824">
        <v>0.2</v>
      </c>
      <c r="P824">
        <v>2311.23</v>
      </c>
      <c r="Q824" t="s">
        <v>47</v>
      </c>
      <c r="R824" t="s">
        <v>48</v>
      </c>
      <c r="S824">
        <v>1</v>
      </c>
    </row>
    <row r="825" spans="1:19" x14ac:dyDescent="0.3">
      <c r="A825" t="s">
        <v>1698</v>
      </c>
      <c r="B825">
        <v>45750</v>
      </c>
      <c r="C825" t="s">
        <v>30</v>
      </c>
      <c r="D825" t="s">
        <v>56</v>
      </c>
      <c r="E825" t="s">
        <v>32</v>
      </c>
      <c r="F825" t="s">
        <v>103</v>
      </c>
      <c r="G825" t="s">
        <v>44</v>
      </c>
      <c r="H825" t="s">
        <v>116</v>
      </c>
      <c r="I825" t="s">
        <v>1699</v>
      </c>
      <c r="J825">
        <v>5</v>
      </c>
      <c r="K825">
        <v>1159</v>
      </c>
      <c r="L825">
        <v>0.03</v>
      </c>
      <c r="M825">
        <f>'Raw data'!$K825*(1- 'Raw data'!$L825)</f>
        <v>1124.23</v>
      </c>
      <c r="N825">
        <v>5621.15</v>
      </c>
      <c r="O825">
        <v>0.35</v>
      </c>
      <c r="P825">
        <v>1967.4</v>
      </c>
      <c r="Q825" t="s">
        <v>37</v>
      </c>
      <c r="R825" t="s">
        <v>48</v>
      </c>
      <c r="S825">
        <v>1</v>
      </c>
    </row>
    <row r="826" spans="1:19" x14ac:dyDescent="0.3">
      <c r="A826" t="s">
        <v>1700</v>
      </c>
      <c r="B826">
        <v>45751</v>
      </c>
      <c r="C826" t="s">
        <v>55</v>
      </c>
      <c r="D826" t="s">
        <v>41</v>
      </c>
      <c r="E826" t="s">
        <v>67</v>
      </c>
      <c r="F826" t="s">
        <v>103</v>
      </c>
      <c r="G826" t="s">
        <v>92</v>
      </c>
      <c r="H826" t="s">
        <v>243</v>
      </c>
      <c r="I826" t="s">
        <v>1701</v>
      </c>
      <c r="J826">
        <v>5</v>
      </c>
      <c r="K826">
        <v>40447</v>
      </c>
      <c r="L826">
        <v>0.25</v>
      </c>
      <c r="M826">
        <f>'Raw data'!$K826*(1- 'Raw data'!$L826)</f>
        <v>30335.25</v>
      </c>
      <c r="N826">
        <v>151676.25</v>
      </c>
      <c r="O826">
        <v>0.15</v>
      </c>
      <c r="P826">
        <v>22751.439999999999</v>
      </c>
      <c r="Q826" t="s">
        <v>47</v>
      </c>
      <c r="R826" t="s">
        <v>48</v>
      </c>
      <c r="S826">
        <v>6</v>
      </c>
    </row>
    <row r="827" spans="1:19" x14ac:dyDescent="0.3">
      <c r="A827" t="s">
        <v>1702</v>
      </c>
      <c r="B827">
        <v>45752</v>
      </c>
      <c r="C827" t="s">
        <v>30</v>
      </c>
      <c r="D827" t="s">
        <v>41</v>
      </c>
      <c r="E827" t="s">
        <v>42</v>
      </c>
      <c r="F827" t="s">
        <v>68</v>
      </c>
      <c r="G827" t="s">
        <v>34</v>
      </c>
      <c r="H827" t="s">
        <v>141</v>
      </c>
      <c r="I827" t="s">
        <v>1703</v>
      </c>
      <c r="J827">
        <v>8</v>
      </c>
      <c r="K827">
        <v>1270</v>
      </c>
      <c r="L827">
        <v>0.05</v>
      </c>
      <c r="M827">
        <f>'Raw data'!$K827*(1- 'Raw data'!$L827)</f>
        <v>1206.5</v>
      </c>
      <c r="N827">
        <v>9652</v>
      </c>
      <c r="O827">
        <v>0.4</v>
      </c>
      <c r="P827">
        <v>3860.8</v>
      </c>
      <c r="Q827" t="s">
        <v>37</v>
      </c>
      <c r="R827" t="s">
        <v>48</v>
      </c>
      <c r="S827">
        <v>5</v>
      </c>
    </row>
    <row r="828" spans="1:19" x14ac:dyDescent="0.3">
      <c r="A828" t="s">
        <v>1704</v>
      </c>
      <c r="B828">
        <v>45753</v>
      </c>
      <c r="C828" t="s">
        <v>96</v>
      </c>
      <c r="D828" t="s">
        <v>41</v>
      </c>
      <c r="E828" t="s">
        <v>42</v>
      </c>
      <c r="F828" t="s">
        <v>97</v>
      </c>
      <c r="G828" t="s">
        <v>57</v>
      </c>
      <c r="H828" t="s">
        <v>58</v>
      </c>
      <c r="I828" t="s">
        <v>156</v>
      </c>
      <c r="J828">
        <v>8</v>
      </c>
      <c r="K828">
        <v>3733</v>
      </c>
      <c r="L828">
        <v>0.02</v>
      </c>
      <c r="M828">
        <f>'Raw data'!$K828*(1- 'Raw data'!$L828)</f>
        <v>3658.34</v>
      </c>
      <c r="N828">
        <v>29266.720000000001</v>
      </c>
      <c r="O828">
        <v>0.2</v>
      </c>
      <c r="P828">
        <v>5853.34</v>
      </c>
      <c r="Q828" t="s">
        <v>27</v>
      </c>
      <c r="R828" t="s">
        <v>48</v>
      </c>
      <c r="S828">
        <v>9</v>
      </c>
    </row>
    <row r="829" spans="1:19" x14ac:dyDescent="0.3">
      <c r="A829" t="s">
        <v>1705</v>
      </c>
      <c r="B829">
        <v>45754</v>
      </c>
      <c r="C829" t="s">
        <v>30</v>
      </c>
      <c r="D829" t="s">
        <v>56</v>
      </c>
      <c r="E829" t="s">
        <v>67</v>
      </c>
      <c r="F829" t="s">
        <v>68</v>
      </c>
      <c r="G829" t="s">
        <v>24</v>
      </c>
      <c r="H829" t="s">
        <v>25</v>
      </c>
      <c r="I829" t="s">
        <v>1706</v>
      </c>
      <c r="J829">
        <v>2</v>
      </c>
      <c r="K829">
        <v>14870</v>
      </c>
      <c r="L829">
        <v>0.15</v>
      </c>
      <c r="M829">
        <f>'Raw data'!$K829*(1- 'Raw data'!$L829)</f>
        <v>12639.5</v>
      </c>
      <c r="N829">
        <v>25279</v>
      </c>
      <c r="O829">
        <v>0.25</v>
      </c>
      <c r="P829">
        <v>6319.75</v>
      </c>
      <c r="Q829" t="s">
        <v>47</v>
      </c>
      <c r="R829" t="s">
        <v>28</v>
      </c>
      <c r="S829">
        <v>7</v>
      </c>
    </row>
    <row r="830" spans="1:19" x14ac:dyDescent="0.3">
      <c r="A830" t="s">
        <v>1707</v>
      </c>
      <c r="B830">
        <v>45755</v>
      </c>
      <c r="C830" t="s">
        <v>40</v>
      </c>
      <c r="D830" t="s">
        <v>41</v>
      </c>
      <c r="E830" t="s">
        <v>32</v>
      </c>
      <c r="F830" t="s">
        <v>68</v>
      </c>
      <c r="G830" t="s">
        <v>57</v>
      </c>
      <c r="H830" t="s">
        <v>58</v>
      </c>
      <c r="I830" t="s">
        <v>1708</v>
      </c>
      <c r="J830">
        <v>7</v>
      </c>
      <c r="K830">
        <v>18230</v>
      </c>
      <c r="L830">
        <v>0.18</v>
      </c>
      <c r="M830">
        <f>'Raw data'!$K830*(1- 'Raw data'!$L830)</f>
        <v>14948.6</v>
      </c>
      <c r="N830">
        <v>104640.2</v>
      </c>
      <c r="O830">
        <v>0.2</v>
      </c>
      <c r="P830">
        <v>20928.04</v>
      </c>
      <c r="Q830" t="s">
        <v>51</v>
      </c>
      <c r="R830" t="s">
        <v>48</v>
      </c>
      <c r="S830">
        <v>2</v>
      </c>
    </row>
    <row r="831" spans="1:19" x14ac:dyDescent="0.3">
      <c r="A831" t="s">
        <v>1709</v>
      </c>
      <c r="B831">
        <v>45756</v>
      </c>
      <c r="C831" t="s">
        <v>96</v>
      </c>
      <c r="D831" t="s">
        <v>31</v>
      </c>
      <c r="E831" t="s">
        <v>22</v>
      </c>
      <c r="F831" t="s">
        <v>97</v>
      </c>
      <c r="G831" t="s">
        <v>92</v>
      </c>
      <c r="H831" t="s">
        <v>109</v>
      </c>
      <c r="I831" t="s">
        <v>1710</v>
      </c>
      <c r="J831">
        <v>8</v>
      </c>
      <c r="K831">
        <v>24472</v>
      </c>
      <c r="L831">
        <v>0.01</v>
      </c>
      <c r="M831">
        <f>'Raw data'!$K831*(1- 'Raw data'!$L831)</f>
        <v>24227.279999999999</v>
      </c>
      <c r="N831">
        <v>193818.23999999999</v>
      </c>
      <c r="O831">
        <v>0.15</v>
      </c>
      <c r="P831">
        <v>29072.74</v>
      </c>
      <c r="Q831" t="s">
        <v>47</v>
      </c>
      <c r="R831" t="s">
        <v>48</v>
      </c>
      <c r="S831">
        <v>7</v>
      </c>
    </row>
    <row r="832" spans="1:19" x14ac:dyDescent="0.3">
      <c r="A832" t="s">
        <v>1711</v>
      </c>
      <c r="B832">
        <v>45757</v>
      </c>
      <c r="C832" t="s">
        <v>20</v>
      </c>
      <c r="D832" t="s">
        <v>56</v>
      </c>
      <c r="E832" t="s">
        <v>22</v>
      </c>
      <c r="F832" t="s">
        <v>103</v>
      </c>
      <c r="G832" t="s">
        <v>24</v>
      </c>
      <c r="H832" t="s">
        <v>121</v>
      </c>
      <c r="I832" t="s">
        <v>1712</v>
      </c>
      <c r="J832">
        <v>6</v>
      </c>
      <c r="K832">
        <v>13889</v>
      </c>
      <c r="L832">
        <v>0.16</v>
      </c>
      <c r="M832">
        <f>'Raw data'!$K832*(1- 'Raw data'!$L832)</f>
        <v>11666.76</v>
      </c>
      <c r="N832">
        <v>70000.56</v>
      </c>
      <c r="O832">
        <v>0.25</v>
      </c>
      <c r="P832">
        <v>17500.14</v>
      </c>
      <c r="Q832" t="s">
        <v>37</v>
      </c>
      <c r="R832" t="s">
        <v>48</v>
      </c>
      <c r="S832">
        <v>3</v>
      </c>
    </row>
    <row r="833" spans="1:19" x14ac:dyDescent="0.3">
      <c r="A833" t="s">
        <v>1713</v>
      </c>
      <c r="B833">
        <v>45758</v>
      </c>
      <c r="C833" t="s">
        <v>55</v>
      </c>
      <c r="D833" t="s">
        <v>21</v>
      </c>
      <c r="E833" t="s">
        <v>67</v>
      </c>
      <c r="F833" t="s">
        <v>33</v>
      </c>
      <c r="G833" t="s">
        <v>44</v>
      </c>
      <c r="H833" t="s">
        <v>64</v>
      </c>
      <c r="I833" t="s">
        <v>1714</v>
      </c>
      <c r="J833">
        <v>5</v>
      </c>
      <c r="K833">
        <v>3971</v>
      </c>
      <c r="L833">
        <v>0.13</v>
      </c>
      <c r="M833">
        <f>'Raw data'!$K833*(1- 'Raw data'!$L833)</f>
        <v>3454.77</v>
      </c>
      <c r="N833">
        <v>17273.849999999999</v>
      </c>
      <c r="O833">
        <v>0.35</v>
      </c>
      <c r="P833">
        <v>6045.85</v>
      </c>
      <c r="Q833" t="s">
        <v>37</v>
      </c>
      <c r="R833" t="s">
        <v>38</v>
      </c>
      <c r="S833">
        <v>1</v>
      </c>
    </row>
    <row r="834" spans="1:19" x14ac:dyDescent="0.3">
      <c r="A834" t="s">
        <v>1715</v>
      </c>
      <c r="B834">
        <v>45759</v>
      </c>
      <c r="C834" t="s">
        <v>55</v>
      </c>
      <c r="D834" t="s">
        <v>31</v>
      </c>
      <c r="E834" t="s">
        <v>32</v>
      </c>
      <c r="F834" t="s">
        <v>33</v>
      </c>
      <c r="G834" t="s">
        <v>57</v>
      </c>
      <c r="H834" t="s">
        <v>81</v>
      </c>
      <c r="I834" t="s">
        <v>1716</v>
      </c>
      <c r="J834">
        <v>9</v>
      </c>
      <c r="K834">
        <v>11028</v>
      </c>
      <c r="L834">
        <v>0.03</v>
      </c>
      <c r="M834">
        <f>'Raw data'!$K834*(1- 'Raw data'!$L834)</f>
        <v>10697.16</v>
      </c>
      <c r="N834">
        <v>96274.44</v>
      </c>
      <c r="O834">
        <v>0.2</v>
      </c>
      <c r="P834">
        <v>19254.89</v>
      </c>
      <c r="Q834" t="s">
        <v>47</v>
      </c>
      <c r="R834" t="s">
        <v>48</v>
      </c>
      <c r="S834">
        <v>8</v>
      </c>
    </row>
    <row r="835" spans="1:19" x14ac:dyDescent="0.3">
      <c r="A835" t="s">
        <v>1717</v>
      </c>
      <c r="B835">
        <v>45760</v>
      </c>
      <c r="C835" t="s">
        <v>30</v>
      </c>
      <c r="D835" t="s">
        <v>21</v>
      </c>
      <c r="E835" t="s">
        <v>22</v>
      </c>
      <c r="F835" t="s">
        <v>33</v>
      </c>
      <c r="G835" t="s">
        <v>92</v>
      </c>
      <c r="H835" t="s">
        <v>109</v>
      </c>
      <c r="I835" t="s">
        <v>1718</v>
      </c>
      <c r="J835">
        <v>3</v>
      </c>
      <c r="K835">
        <v>18329</v>
      </c>
      <c r="L835">
        <v>0.04</v>
      </c>
      <c r="M835">
        <f>'Raw data'!$K835*(1- 'Raw data'!$L835)</f>
        <v>17595.84</v>
      </c>
      <c r="N835">
        <v>52787.519999999997</v>
      </c>
      <c r="O835">
        <v>0.15</v>
      </c>
      <c r="P835">
        <v>7918.13</v>
      </c>
      <c r="Q835" t="s">
        <v>37</v>
      </c>
      <c r="R835" t="s">
        <v>48</v>
      </c>
      <c r="S835">
        <v>3</v>
      </c>
    </row>
    <row r="836" spans="1:19" x14ac:dyDescent="0.3">
      <c r="A836" t="s">
        <v>1719</v>
      </c>
      <c r="B836">
        <v>45761</v>
      </c>
      <c r="C836" t="s">
        <v>63</v>
      </c>
      <c r="D836" t="s">
        <v>41</v>
      </c>
      <c r="E836" t="s">
        <v>42</v>
      </c>
      <c r="F836" t="s">
        <v>97</v>
      </c>
      <c r="G836" t="s">
        <v>34</v>
      </c>
      <c r="H836" t="s">
        <v>71</v>
      </c>
      <c r="I836" t="s">
        <v>1720</v>
      </c>
      <c r="J836">
        <v>4</v>
      </c>
      <c r="K836">
        <v>249</v>
      </c>
      <c r="L836">
        <v>0.14000000000000001</v>
      </c>
      <c r="M836">
        <f>'Raw data'!$K836*(1- 'Raw data'!$L836)</f>
        <v>214.14</v>
      </c>
      <c r="N836">
        <v>856.56</v>
      </c>
      <c r="O836">
        <v>0.4</v>
      </c>
      <c r="P836">
        <v>342.62</v>
      </c>
      <c r="Q836" t="s">
        <v>27</v>
      </c>
      <c r="R836" t="s">
        <v>38</v>
      </c>
      <c r="S836">
        <v>8</v>
      </c>
    </row>
    <row r="837" spans="1:19" x14ac:dyDescent="0.3">
      <c r="A837" t="s">
        <v>1721</v>
      </c>
      <c r="B837">
        <v>45762</v>
      </c>
      <c r="C837" t="s">
        <v>96</v>
      </c>
      <c r="D837" t="s">
        <v>31</v>
      </c>
      <c r="E837" t="s">
        <v>32</v>
      </c>
      <c r="F837" t="s">
        <v>43</v>
      </c>
      <c r="G837" t="s">
        <v>24</v>
      </c>
      <c r="H837" t="s">
        <v>121</v>
      </c>
      <c r="I837" t="s">
        <v>1722</v>
      </c>
      <c r="J837">
        <v>9</v>
      </c>
      <c r="K837">
        <v>6068</v>
      </c>
      <c r="L837">
        <v>7.0000000000000007E-2</v>
      </c>
      <c r="M837">
        <f>'Raw data'!$K837*(1- 'Raw data'!$L837)</f>
        <v>5643.24</v>
      </c>
      <c r="N837">
        <v>50789.16</v>
      </c>
      <c r="O837">
        <v>0.25</v>
      </c>
      <c r="P837">
        <v>12697.29</v>
      </c>
      <c r="Q837" t="s">
        <v>47</v>
      </c>
      <c r="R837" t="s">
        <v>48</v>
      </c>
      <c r="S837">
        <v>7</v>
      </c>
    </row>
    <row r="838" spans="1:19" x14ac:dyDescent="0.3">
      <c r="A838" t="s">
        <v>1723</v>
      </c>
      <c r="B838">
        <v>45763</v>
      </c>
      <c r="C838" t="s">
        <v>20</v>
      </c>
      <c r="D838" t="s">
        <v>56</v>
      </c>
      <c r="E838" t="s">
        <v>22</v>
      </c>
      <c r="F838" t="s">
        <v>43</v>
      </c>
      <c r="G838" t="s">
        <v>57</v>
      </c>
      <c r="H838" t="s">
        <v>58</v>
      </c>
      <c r="I838" t="s">
        <v>1724</v>
      </c>
      <c r="J838">
        <v>6</v>
      </c>
      <c r="K838">
        <v>15930</v>
      </c>
      <c r="L838">
        <v>0.23</v>
      </c>
      <c r="M838">
        <f>'Raw data'!$K838*(1- 'Raw data'!$L838)</f>
        <v>12266.1</v>
      </c>
      <c r="N838">
        <v>73596.600000000006</v>
      </c>
      <c r="O838">
        <v>0.2</v>
      </c>
      <c r="P838">
        <v>14719.32</v>
      </c>
      <c r="Q838" t="s">
        <v>37</v>
      </c>
      <c r="R838" t="s">
        <v>48</v>
      </c>
      <c r="S838">
        <v>2</v>
      </c>
    </row>
    <row r="839" spans="1:19" x14ac:dyDescent="0.3">
      <c r="A839" t="s">
        <v>1725</v>
      </c>
      <c r="B839">
        <v>45764</v>
      </c>
      <c r="C839" t="s">
        <v>96</v>
      </c>
      <c r="D839" t="s">
        <v>31</v>
      </c>
      <c r="E839" t="s">
        <v>32</v>
      </c>
      <c r="F839" t="s">
        <v>43</v>
      </c>
      <c r="G839" t="s">
        <v>57</v>
      </c>
      <c r="H839" t="s">
        <v>81</v>
      </c>
      <c r="I839" t="s">
        <v>1726</v>
      </c>
      <c r="J839">
        <v>8</v>
      </c>
      <c r="K839">
        <v>12077</v>
      </c>
      <c r="L839">
        <v>0.2</v>
      </c>
      <c r="M839">
        <f>'Raw data'!$K839*(1- 'Raw data'!$L839)</f>
        <v>9661.6</v>
      </c>
      <c r="N839">
        <v>77292.800000000003</v>
      </c>
      <c r="O839">
        <v>0.2</v>
      </c>
      <c r="P839">
        <v>15458.56</v>
      </c>
      <c r="Q839" t="s">
        <v>47</v>
      </c>
      <c r="R839" t="s">
        <v>48</v>
      </c>
      <c r="S839">
        <v>1</v>
      </c>
    </row>
    <row r="840" spans="1:19" x14ac:dyDescent="0.3">
      <c r="A840" t="s">
        <v>1727</v>
      </c>
      <c r="B840">
        <v>45765</v>
      </c>
      <c r="C840" t="s">
        <v>55</v>
      </c>
      <c r="D840" t="s">
        <v>21</v>
      </c>
      <c r="E840" t="s">
        <v>67</v>
      </c>
      <c r="F840" t="s">
        <v>23</v>
      </c>
      <c r="G840" t="s">
        <v>44</v>
      </c>
      <c r="H840" t="s">
        <v>45</v>
      </c>
      <c r="I840" t="s">
        <v>1728</v>
      </c>
      <c r="J840">
        <v>7</v>
      </c>
      <c r="K840">
        <v>3257</v>
      </c>
      <c r="L840">
        <v>0.25</v>
      </c>
      <c r="M840">
        <f>'Raw data'!$K840*(1- 'Raw data'!$L840)</f>
        <v>2442.75</v>
      </c>
      <c r="N840">
        <v>17099.25</v>
      </c>
      <c r="O840">
        <v>0.35</v>
      </c>
      <c r="P840">
        <v>5984.74</v>
      </c>
      <c r="Q840" t="s">
        <v>47</v>
      </c>
      <c r="R840" t="s">
        <v>48</v>
      </c>
      <c r="S840">
        <v>7</v>
      </c>
    </row>
    <row r="841" spans="1:19" x14ac:dyDescent="0.3">
      <c r="A841" t="s">
        <v>1729</v>
      </c>
      <c r="B841">
        <v>45766</v>
      </c>
      <c r="C841" t="s">
        <v>96</v>
      </c>
      <c r="D841" t="s">
        <v>56</v>
      </c>
      <c r="E841" t="s">
        <v>32</v>
      </c>
      <c r="F841" t="s">
        <v>103</v>
      </c>
      <c r="G841" t="s">
        <v>44</v>
      </c>
      <c r="H841" t="s">
        <v>45</v>
      </c>
      <c r="I841" t="s">
        <v>1730</v>
      </c>
      <c r="J841">
        <v>2</v>
      </c>
      <c r="K841">
        <v>4420</v>
      </c>
      <c r="L841">
        <v>0.06</v>
      </c>
      <c r="M841">
        <f>'Raw data'!$K841*(1- 'Raw data'!$L841)</f>
        <v>4154.8</v>
      </c>
      <c r="N841">
        <v>8309.6</v>
      </c>
      <c r="O841">
        <v>0.35</v>
      </c>
      <c r="P841">
        <v>2908.36</v>
      </c>
      <c r="Q841" t="s">
        <v>51</v>
      </c>
      <c r="R841" t="s">
        <v>48</v>
      </c>
      <c r="S841">
        <v>1</v>
      </c>
    </row>
    <row r="842" spans="1:19" x14ac:dyDescent="0.3">
      <c r="A842" t="s">
        <v>1731</v>
      </c>
      <c r="B842">
        <v>45767</v>
      </c>
      <c r="C842" t="s">
        <v>20</v>
      </c>
      <c r="D842" t="s">
        <v>31</v>
      </c>
      <c r="E842" t="s">
        <v>22</v>
      </c>
      <c r="F842" t="s">
        <v>103</v>
      </c>
      <c r="G842" t="s">
        <v>34</v>
      </c>
      <c r="H842" t="s">
        <v>141</v>
      </c>
      <c r="I842" t="s">
        <v>1732</v>
      </c>
      <c r="J842">
        <v>3</v>
      </c>
      <c r="K842">
        <v>762</v>
      </c>
      <c r="L842">
        <v>0.24</v>
      </c>
      <c r="M842">
        <f>'Raw data'!$K842*(1- 'Raw data'!$L842)</f>
        <v>579.12</v>
      </c>
      <c r="N842">
        <v>1737.36</v>
      </c>
      <c r="O842">
        <v>0.4</v>
      </c>
      <c r="P842">
        <v>694.94</v>
      </c>
      <c r="Q842" t="s">
        <v>47</v>
      </c>
      <c r="R842" t="s">
        <v>48</v>
      </c>
      <c r="S842">
        <v>6</v>
      </c>
    </row>
    <row r="843" spans="1:19" x14ac:dyDescent="0.3">
      <c r="A843" t="s">
        <v>1733</v>
      </c>
      <c r="B843">
        <v>45768</v>
      </c>
      <c r="C843" t="s">
        <v>63</v>
      </c>
      <c r="D843" t="s">
        <v>31</v>
      </c>
      <c r="E843" t="s">
        <v>67</v>
      </c>
      <c r="F843" t="s">
        <v>23</v>
      </c>
      <c r="G843" t="s">
        <v>34</v>
      </c>
      <c r="H843" t="s">
        <v>71</v>
      </c>
      <c r="I843" t="s">
        <v>1734</v>
      </c>
      <c r="J843">
        <v>1</v>
      </c>
      <c r="K843">
        <v>956</v>
      </c>
      <c r="L843">
        <v>0.11</v>
      </c>
      <c r="M843">
        <f>'Raw data'!$K843*(1- 'Raw data'!$L843)</f>
        <v>850.84</v>
      </c>
      <c r="N843">
        <v>850.84</v>
      </c>
      <c r="O843">
        <v>0.4</v>
      </c>
      <c r="P843">
        <v>340.34</v>
      </c>
      <c r="Q843" t="s">
        <v>51</v>
      </c>
      <c r="R843" t="s">
        <v>48</v>
      </c>
      <c r="S843">
        <v>8</v>
      </c>
    </row>
    <row r="844" spans="1:19" x14ac:dyDescent="0.3">
      <c r="A844" t="s">
        <v>1735</v>
      </c>
      <c r="B844">
        <v>45769</v>
      </c>
      <c r="C844" t="s">
        <v>30</v>
      </c>
      <c r="D844" t="s">
        <v>31</v>
      </c>
      <c r="E844" t="s">
        <v>32</v>
      </c>
      <c r="F844" t="s">
        <v>68</v>
      </c>
      <c r="G844" t="s">
        <v>92</v>
      </c>
      <c r="H844" t="s">
        <v>243</v>
      </c>
      <c r="I844" t="s">
        <v>1736</v>
      </c>
      <c r="J844">
        <v>9</v>
      </c>
      <c r="K844">
        <v>71330</v>
      </c>
      <c r="L844">
        <v>0.09</v>
      </c>
      <c r="M844">
        <f>'Raw data'!$K844*(1- 'Raw data'!$L844)</f>
        <v>64910.3</v>
      </c>
      <c r="N844">
        <v>584192.69999999995</v>
      </c>
      <c r="O844">
        <v>0.15</v>
      </c>
      <c r="P844">
        <v>87628.9</v>
      </c>
      <c r="Q844" t="s">
        <v>37</v>
      </c>
      <c r="R844" t="s">
        <v>48</v>
      </c>
      <c r="S844">
        <v>7</v>
      </c>
    </row>
    <row r="845" spans="1:19" x14ac:dyDescent="0.3">
      <c r="A845" t="s">
        <v>1737</v>
      </c>
      <c r="B845">
        <v>45770</v>
      </c>
      <c r="C845" t="s">
        <v>40</v>
      </c>
      <c r="D845" t="s">
        <v>31</v>
      </c>
      <c r="E845" t="s">
        <v>42</v>
      </c>
      <c r="F845" t="s">
        <v>33</v>
      </c>
      <c r="G845" t="s">
        <v>92</v>
      </c>
      <c r="H845" t="s">
        <v>178</v>
      </c>
      <c r="I845" t="s">
        <v>1738</v>
      </c>
      <c r="J845">
        <v>7</v>
      </c>
      <c r="K845">
        <v>35122</v>
      </c>
      <c r="L845">
        <v>0.01</v>
      </c>
      <c r="M845">
        <f>'Raw data'!$K845*(1- 'Raw data'!$L845)</f>
        <v>34770.78</v>
      </c>
      <c r="N845">
        <v>243395.46</v>
      </c>
      <c r="O845">
        <v>0.15</v>
      </c>
      <c r="P845">
        <v>36509.32</v>
      </c>
      <c r="Q845" t="s">
        <v>51</v>
      </c>
      <c r="R845" t="s">
        <v>48</v>
      </c>
      <c r="S845">
        <v>4</v>
      </c>
    </row>
    <row r="846" spans="1:19" x14ac:dyDescent="0.3">
      <c r="A846" t="s">
        <v>1739</v>
      </c>
      <c r="B846">
        <v>45771</v>
      </c>
      <c r="C846" t="s">
        <v>96</v>
      </c>
      <c r="D846" t="s">
        <v>56</v>
      </c>
      <c r="E846" t="s">
        <v>22</v>
      </c>
      <c r="F846" t="s">
        <v>43</v>
      </c>
      <c r="G846" t="s">
        <v>34</v>
      </c>
      <c r="H846" t="s">
        <v>141</v>
      </c>
      <c r="I846" t="s">
        <v>1740</v>
      </c>
      <c r="J846">
        <v>1</v>
      </c>
      <c r="K846">
        <v>1121</v>
      </c>
      <c r="L846">
        <v>0.01</v>
      </c>
      <c r="M846">
        <f>'Raw data'!$K846*(1- 'Raw data'!$L846)</f>
        <v>1109.79</v>
      </c>
      <c r="N846">
        <v>1109.79</v>
      </c>
      <c r="O846">
        <v>0.4</v>
      </c>
      <c r="P846">
        <v>443.92</v>
      </c>
      <c r="Q846" t="s">
        <v>51</v>
      </c>
      <c r="R846" t="s">
        <v>48</v>
      </c>
      <c r="S846">
        <v>1</v>
      </c>
    </row>
    <row r="847" spans="1:19" x14ac:dyDescent="0.3">
      <c r="A847" t="s">
        <v>1741</v>
      </c>
      <c r="B847">
        <v>45772</v>
      </c>
      <c r="C847" t="s">
        <v>40</v>
      </c>
      <c r="D847" t="s">
        <v>21</v>
      </c>
      <c r="E847" t="s">
        <v>67</v>
      </c>
      <c r="F847" t="s">
        <v>33</v>
      </c>
      <c r="G847" t="s">
        <v>34</v>
      </c>
      <c r="H847" t="s">
        <v>71</v>
      </c>
      <c r="I847" t="s">
        <v>1742</v>
      </c>
      <c r="J847">
        <v>3</v>
      </c>
      <c r="K847">
        <v>780</v>
      </c>
      <c r="L847">
        <v>0.17</v>
      </c>
      <c r="M847">
        <f>'Raw data'!$K847*(1- 'Raw data'!$L847)</f>
        <v>647.4</v>
      </c>
      <c r="N847">
        <v>1942.2</v>
      </c>
      <c r="O847">
        <v>0.4</v>
      </c>
      <c r="P847">
        <v>776.88</v>
      </c>
      <c r="Q847" t="s">
        <v>51</v>
      </c>
      <c r="R847" t="s">
        <v>48</v>
      </c>
      <c r="S847">
        <v>1</v>
      </c>
    </row>
    <row r="848" spans="1:19" x14ac:dyDescent="0.3">
      <c r="A848" t="s">
        <v>1743</v>
      </c>
      <c r="B848">
        <v>45773</v>
      </c>
      <c r="C848" t="s">
        <v>55</v>
      </c>
      <c r="D848" t="s">
        <v>31</v>
      </c>
      <c r="E848" t="s">
        <v>32</v>
      </c>
      <c r="F848" t="s">
        <v>43</v>
      </c>
      <c r="G848" t="s">
        <v>24</v>
      </c>
      <c r="H848" t="s">
        <v>186</v>
      </c>
      <c r="I848" t="s">
        <v>1744</v>
      </c>
      <c r="J848">
        <v>4</v>
      </c>
      <c r="K848">
        <v>14660</v>
      </c>
      <c r="L848">
        <v>0.11</v>
      </c>
      <c r="M848">
        <f>'Raw data'!$K848*(1- 'Raw data'!$L848)</f>
        <v>13047.4</v>
      </c>
      <c r="N848">
        <v>52189.599999999999</v>
      </c>
      <c r="O848">
        <v>0.25</v>
      </c>
      <c r="P848">
        <v>13047.4</v>
      </c>
      <c r="Q848" t="s">
        <v>27</v>
      </c>
      <c r="R848" t="s">
        <v>38</v>
      </c>
      <c r="S848">
        <v>4</v>
      </c>
    </row>
    <row r="849" spans="1:19" x14ac:dyDescent="0.3">
      <c r="A849" t="s">
        <v>1745</v>
      </c>
      <c r="B849">
        <v>45774</v>
      </c>
      <c r="C849" t="s">
        <v>30</v>
      </c>
      <c r="D849" t="s">
        <v>56</v>
      </c>
      <c r="E849" t="s">
        <v>42</v>
      </c>
      <c r="F849" t="s">
        <v>33</v>
      </c>
      <c r="G849" t="s">
        <v>44</v>
      </c>
      <c r="H849" t="s">
        <v>138</v>
      </c>
      <c r="I849" t="s">
        <v>1746</v>
      </c>
      <c r="J849">
        <v>4</v>
      </c>
      <c r="K849">
        <v>2503</v>
      </c>
      <c r="L849">
        <v>0.06</v>
      </c>
      <c r="M849">
        <f>'Raw data'!$K849*(1- 'Raw data'!$L849)</f>
        <v>2352.8199999999997</v>
      </c>
      <c r="N849">
        <v>9411.2800000000007</v>
      </c>
      <c r="O849">
        <v>0.35</v>
      </c>
      <c r="P849">
        <v>3293.95</v>
      </c>
      <c r="Q849" t="s">
        <v>51</v>
      </c>
      <c r="R849" t="s">
        <v>48</v>
      </c>
      <c r="S849">
        <v>5</v>
      </c>
    </row>
    <row r="850" spans="1:19" x14ac:dyDescent="0.3">
      <c r="A850" t="s">
        <v>1747</v>
      </c>
      <c r="B850">
        <v>45775</v>
      </c>
      <c r="C850" t="s">
        <v>30</v>
      </c>
      <c r="D850" t="s">
        <v>21</v>
      </c>
      <c r="E850" t="s">
        <v>22</v>
      </c>
      <c r="F850" t="s">
        <v>68</v>
      </c>
      <c r="G850" t="s">
        <v>92</v>
      </c>
      <c r="H850" t="s">
        <v>93</v>
      </c>
      <c r="I850" t="s">
        <v>1748</v>
      </c>
      <c r="J850">
        <v>5</v>
      </c>
      <c r="K850">
        <v>12096</v>
      </c>
      <c r="L850">
        <v>0.15</v>
      </c>
      <c r="M850">
        <f>'Raw data'!$K850*(1- 'Raw data'!$L850)</f>
        <v>10281.6</v>
      </c>
      <c r="N850">
        <v>51408</v>
      </c>
      <c r="O850">
        <v>0.15</v>
      </c>
      <c r="P850">
        <v>7711.2</v>
      </c>
      <c r="Q850" t="s">
        <v>47</v>
      </c>
      <c r="R850" t="s">
        <v>48</v>
      </c>
      <c r="S850">
        <v>7</v>
      </c>
    </row>
    <row r="851" spans="1:19" x14ac:dyDescent="0.3">
      <c r="A851" t="s">
        <v>1749</v>
      </c>
      <c r="B851">
        <v>45776</v>
      </c>
      <c r="C851" t="s">
        <v>96</v>
      </c>
      <c r="D851" t="s">
        <v>31</v>
      </c>
      <c r="E851" t="s">
        <v>42</v>
      </c>
      <c r="F851" t="s">
        <v>33</v>
      </c>
      <c r="G851" t="s">
        <v>44</v>
      </c>
      <c r="H851" t="s">
        <v>116</v>
      </c>
      <c r="I851" t="s">
        <v>1750</v>
      </c>
      <c r="J851">
        <v>3</v>
      </c>
      <c r="K851">
        <v>1203</v>
      </c>
      <c r="L851">
        <v>0.06</v>
      </c>
      <c r="M851">
        <f>'Raw data'!$K851*(1- 'Raw data'!$L851)</f>
        <v>1130.82</v>
      </c>
      <c r="N851">
        <v>3392.46</v>
      </c>
      <c r="O851">
        <v>0.35</v>
      </c>
      <c r="P851">
        <v>1187.3599999999999</v>
      </c>
      <c r="Q851" t="s">
        <v>51</v>
      </c>
      <c r="R851" t="s">
        <v>48</v>
      </c>
      <c r="S851">
        <v>4</v>
      </c>
    </row>
    <row r="852" spans="1:19" x14ac:dyDescent="0.3">
      <c r="A852" t="s">
        <v>1751</v>
      </c>
      <c r="B852">
        <v>45777</v>
      </c>
      <c r="C852" t="s">
        <v>63</v>
      </c>
      <c r="D852" t="s">
        <v>21</v>
      </c>
      <c r="E852" t="s">
        <v>32</v>
      </c>
      <c r="F852" t="s">
        <v>33</v>
      </c>
      <c r="G852" t="s">
        <v>44</v>
      </c>
      <c r="H852" t="s">
        <v>45</v>
      </c>
      <c r="I852" t="s">
        <v>1752</v>
      </c>
      <c r="J852">
        <v>3</v>
      </c>
      <c r="K852">
        <v>2903</v>
      </c>
      <c r="L852">
        <v>0.14000000000000001</v>
      </c>
      <c r="M852">
        <f>'Raw data'!$K852*(1- 'Raw data'!$L852)</f>
        <v>2496.58</v>
      </c>
      <c r="N852">
        <v>7489.74</v>
      </c>
      <c r="O852">
        <v>0.35</v>
      </c>
      <c r="P852">
        <v>2621.41</v>
      </c>
      <c r="Q852" t="s">
        <v>47</v>
      </c>
      <c r="R852" t="s">
        <v>48</v>
      </c>
      <c r="S852">
        <v>1</v>
      </c>
    </row>
    <row r="853" spans="1:19" x14ac:dyDescent="0.3">
      <c r="A853" t="s">
        <v>1753</v>
      </c>
      <c r="B853">
        <v>45778</v>
      </c>
      <c r="C853" t="s">
        <v>30</v>
      </c>
      <c r="D853" t="s">
        <v>21</v>
      </c>
      <c r="E853" t="s">
        <v>32</v>
      </c>
      <c r="F853" t="s">
        <v>97</v>
      </c>
      <c r="G853" t="s">
        <v>34</v>
      </c>
      <c r="H853" t="s">
        <v>35</v>
      </c>
      <c r="I853" t="s">
        <v>1754</v>
      </c>
      <c r="J853">
        <v>1</v>
      </c>
      <c r="K853">
        <v>1483</v>
      </c>
      <c r="L853">
        <v>0.09</v>
      </c>
      <c r="M853">
        <f>'Raw data'!$K853*(1- 'Raw data'!$L853)</f>
        <v>1349.53</v>
      </c>
      <c r="N853">
        <v>1349.53</v>
      </c>
      <c r="O853">
        <v>0.4</v>
      </c>
      <c r="P853">
        <v>539.80999999999995</v>
      </c>
      <c r="Q853" t="s">
        <v>51</v>
      </c>
      <c r="R853" t="s">
        <v>48</v>
      </c>
      <c r="S853">
        <v>7</v>
      </c>
    </row>
    <row r="854" spans="1:19" x14ac:dyDescent="0.3">
      <c r="A854" t="s">
        <v>1755</v>
      </c>
      <c r="B854">
        <v>45779</v>
      </c>
      <c r="C854" t="s">
        <v>96</v>
      </c>
      <c r="D854" t="s">
        <v>56</v>
      </c>
      <c r="E854" t="s">
        <v>67</v>
      </c>
      <c r="F854" t="s">
        <v>33</v>
      </c>
      <c r="G854" t="s">
        <v>24</v>
      </c>
      <c r="H854" t="s">
        <v>25</v>
      </c>
      <c r="I854" t="s">
        <v>1756</v>
      </c>
      <c r="J854">
        <v>7</v>
      </c>
      <c r="K854">
        <v>13925</v>
      </c>
      <c r="L854">
        <v>0.21</v>
      </c>
      <c r="M854">
        <f>'Raw data'!$K854*(1- 'Raw data'!$L854)</f>
        <v>11000.75</v>
      </c>
      <c r="N854">
        <v>77005.25</v>
      </c>
      <c r="O854">
        <v>0.25</v>
      </c>
      <c r="P854">
        <v>19251.310000000001</v>
      </c>
      <c r="Q854" t="s">
        <v>27</v>
      </c>
      <c r="R854" t="s">
        <v>48</v>
      </c>
      <c r="S854">
        <v>2</v>
      </c>
    </row>
    <row r="855" spans="1:19" x14ac:dyDescent="0.3">
      <c r="A855" t="s">
        <v>1757</v>
      </c>
      <c r="B855">
        <v>45780</v>
      </c>
      <c r="C855" t="s">
        <v>96</v>
      </c>
      <c r="D855" t="s">
        <v>21</v>
      </c>
      <c r="E855" t="s">
        <v>42</v>
      </c>
      <c r="F855" t="s">
        <v>97</v>
      </c>
      <c r="G855" t="s">
        <v>57</v>
      </c>
      <c r="H855" t="s">
        <v>58</v>
      </c>
      <c r="I855" t="s">
        <v>1758</v>
      </c>
      <c r="J855">
        <v>1</v>
      </c>
      <c r="K855">
        <v>17078</v>
      </c>
      <c r="L855">
        <v>0.21</v>
      </c>
      <c r="M855">
        <f>'Raw data'!$K855*(1- 'Raw data'!$L855)</f>
        <v>13491.62</v>
      </c>
      <c r="N855">
        <v>13491.62</v>
      </c>
      <c r="O855">
        <v>0.2</v>
      </c>
      <c r="P855">
        <v>2698.32</v>
      </c>
      <c r="Q855" t="s">
        <v>37</v>
      </c>
      <c r="R855" t="s">
        <v>48</v>
      </c>
      <c r="S855">
        <v>2</v>
      </c>
    </row>
    <row r="856" spans="1:19" x14ac:dyDescent="0.3">
      <c r="A856" t="s">
        <v>1759</v>
      </c>
      <c r="B856">
        <v>45781</v>
      </c>
      <c r="C856" t="s">
        <v>40</v>
      </c>
      <c r="D856" t="s">
        <v>56</v>
      </c>
      <c r="E856" t="s">
        <v>67</v>
      </c>
      <c r="F856" t="s">
        <v>103</v>
      </c>
      <c r="G856" t="s">
        <v>24</v>
      </c>
      <c r="H856" t="s">
        <v>121</v>
      </c>
      <c r="I856" t="s">
        <v>1760</v>
      </c>
      <c r="J856">
        <v>2</v>
      </c>
      <c r="K856">
        <v>8462</v>
      </c>
      <c r="L856">
        <v>0.12</v>
      </c>
      <c r="M856">
        <f>'Raw data'!$K856*(1- 'Raw data'!$L856)</f>
        <v>7446.56</v>
      </c>
      <c r="N856">
        <v>14893.12</v>
      </c>
      <c r="O856">
        <v>0.25</v>
      </c>
      <c r="P856">
        <v>3723.28</v>
      </c>
      <c r="Q856" t="s">
        <v>51</v>
      </c>
      <c r="R856" t="s">
        <v>48</v>
      </c>
      <c r="S856">
        <v>8</v>
      </c>
    </row>
    <row r="857" spans="1:19" x14ac:dyDescent="0.3">
      <c r="A857" t="s">
        <v>1761</v>
      </c>
      <c r="B857">
        <v>45782</v>
      </c>
      <c r="C857" t="s">
        <v>30</v>
      </c>
      <c r="D857" t="s">
        <v>31</v>
      </c>
      <c r="E857" t="s">
        <v>22</v>
      </c>
      <c r="F857" t="s">
        <v>23</v>
      </c>
      <c r="G857" t="s">
        <v>24</v>
      </c>
      <c r="H857" t="s">
        <v>186</v>
      </c>
      <c r="I857" t="s">
        <v>1762</v>
      </c>
      <c r="J857">
        <v>4</v>
      </c>
      <c r="K857">
        <v>6105</v>
      </c>
      <c r="L857">
        <v>0.09</v>
      </c>
      <c r="M857">
        <f>'Raw data'!$K857*(1- 'Raw data'!$L857)</f>
        <v>5555.55</v>
      </c>
      <c r="N857">
        <v>22222.2</v>
      </c>
      <c r="O857">
        <v>0.25</v>
      </c>
      <c r="P857">
        <v>5555.55</v>
      </c>
      <c r="Q857" t="s">
        <v>51</v>
      </c>
      <c r="R857" t="s">
        <v>48</v>
      </c>
      <c r="S857">
        <v>5</v>
      </c>
    </row>
    <row r="858" spans="1:19" x14ac:dyDescent="0.3">
      <c r="A858" t="s">
        <v>1763</v>
      </c>
      <c r="B858">
        <v>45783</v>
      </c>
      <c r="C858" t="s">
        <v>96</v>
      </c>
      <c r="D858" t="s">
        <v>21</v>
      </c>
      <c r="E858" t="s">
        <v>67</v>
      </c>
      <c r="F858" t="s">
        <v>33</v>
      </c>
      <c r="G858" t="s">
        <v>44</v>
      </c>
      <c r="H858" t="s">
        <v>45</v>
      </c>
      <c r="I858" t="s">
        <v>1764</v>
      </c>
      <c r="J858">
        <v>4</v>
      </c>
      <c r="K858">
        <v>3478</v>
      </c>
      <c r="L858">
        <v>0.09</v>
      </c>
      <c r="M858">
        <f>'Raw data'!$K858*(1- 'Raw data'!$L858)</f>
        <v>3164.98</v>
      </c>
      <c r="N858">
        <v>12659.92</v>
      </c>
      <c r="O858">
        <v>0.35</v>
      </c>
      <c r="P858">
        <v>4430.97</v>
      </c>
      <c r="Q858" t="s">
        <v>27</v>
      </c>
      <c r="R858" t="s">
        <v>48</v>
      </c>
      <c r="S858">
        <v>2</v>
      </c>
    </row>
    <row r="859" spans="1:19" x14ac:dyDescent="0.3">
      <c r="A859" t="s">
        <v>1765</v>
      </c>
      <c r="B859">
        <v>45784</v>
      </c>
      <c r="C859" t="s">
        <v>40</v>
      </c>
      <c r="D859" t="s">
        <v>21</v>
      </c>
      <c r="E859" t="s">
        <v>22</v>
      </c>
      <c r="F859" t="s">
        <v>103</v>
      </c>
      <c r="G859" t="s">
        <v>24</v>
      </c>
      <c r="H859" t="s">
        <v>121</v>
      </c>
      <c r="I859" t="s">
        <v>1766</v>
      </c>
      <c r="J859">
        <v>5</v>
      </c>
      <c r="K859">
        <v>13928</v>
      </c>
      <c r="L859">
        <v>0.2</v>
      </c>
      <c r="M859">
        <f>'Raw data'!$K859*(1- 'Raw data'!$L859)</f>
        <v>11142.400000000001</v>
      </c>
      <c r="N859">
        <v>55712</v>
      </c>
      <c r="O859">
        <v>0.25</v>
      </c>
      <c r="P859">
        <v>13928</v>
      </c>
      <c r="Q859" t="s">
        <v>51</v>
      </c>
      <c r="R859" t="s">
        <v>48</v>
      </c>
      <c r="S859">
        <v>5</v>
      </c>
    </row>
    <row r="860" spans="1:19" x14ac:dyDescent="0.3">
      <c r="A860" t="s">
        <v>1767</v>
      </c>
      <c r="B860">
        <v>45785</v>
      </c>
      <c r="C860" t="s">
        <v>20</v>
      </c>
      <c r="D860" t="s">
        <v>41</v>
      </c>
      <c r="E860" t="s">
        <v>32</v>
      </c>
      <c r="F860" t="s">
        <v>97</v>
      </c>
      <c r="G860" t="s">
        <v>92</v>
      </c>
      <c r="H860" t="s">
        <v>109</v>
      </c>
      <c r="I860" t="s">
        <v>1768</v>
      </c>
      <c r="J860">
        <v>2</v>
      </c>
      <c r="K860">
        <v>12839</v>
      </c>
      <c r="L860">
        <v>0.08</v>
      </c>
      <c r="M860">
        <f>'Raw data'!$K860*(1- 'Raw data'!$L860)</f>
        <v>11811.880000000001</v>
      </c>
      <c r="N860">
        <v>23623.759999999998</v>
      </c>
      <c r="O860">
        <v>0.15</v>
      </c>
      <c r="P860">
        <v>3543.56</v>
      </c>
      <c r="Q860" t="s">
        <v>47</v>
      </c>
      <c r="R860" t="s">
        <v>48</v>
      </c>
      <c r="S860">
        <v>8</v>
      </c>
    </row>
    <row r="861" spans="1:19" x14ac:dyDescent="0.3">
      <c r="A861" t="s">
        <v>1769</v>
      </c>
      <c r="B861">
        <v>45786</v>
      </c>
      <c r="C861" t="s">
        <v>40</v>
      </c>
      <c r="D861" t="s">
        <v>31</v>
      </c>
      <c r="E861" t="s">
        <v>32</v>
      </c>
      <c r="F861" t="s">
        <v>33</v>
      </c>
      <c r="G861" t="s">
        <v>44</v>
      </c>
      <c r="H861" t="s">
        <v>45</v>
      </c>
      <c r="I861" t="s">
        <v>1770</v>
      </c>
      <c r="J861">
        <v>4</v>
      </c>
      <c r="K861">
        <v>3884</v>
      </c>
      <c r="L861">
        <v>0.05</v>
      </c>
      <c r="M861">
        <f>'Raw data'!$K861*(1- 'Raw data'!$L861)</f>
        <v>3689.7999999999997</v>
      </c>
      <c r="N861">
        <v>14759.2</v>
      </c>
      <c r="O861">
        <v>0.35</v>
      </c>
      <c r="P861">
        <v>5165.72</v>
      </c>
      <c r="Q861" t="s">
        <v>51</v>
      </c>
      <c r="R861" t="s">
        <v>48</v>
      </c>
      <c r="S861">
        <v>6</v>
      </c>
    </row>
    <row r="862" spans="1:19" x14ac:dyDescent="0.3">
      <c r="A862" t="s">
        <v>1771</v>
      </c>
      <c r="B862">
        <v>45787</v>
      </c>
      <c r="C862" t="s">
        <v>40</v>
      </c>
      <c r="D862" t="s">
        <v>31</v>
      </c>
      <c r="E862" t="s">
        <v>42</v>
      </c>
      <c r="F862" t="s">
        <v>33</v>
      </c>
      <c r="G862" t="s">
        <v>92</v>
      </c>
      <c r="H862" t="s">
        <v>243</v>
      </c>
      <c r="I862" t="s">
        <v>1772</v>
      </c>
      <c r="J862">
        <v>1</v>
      </c>
      <c r="K862">
        <v>53619</v>
      </c>
      <c r="L862">
        <v>0.02</v>
      </c>
      <c r="M862">
        <f>'Raw data'!$K862*(1- 'Raw data'!$L862)</f>
        <v>52546.62</v>
      </c>
      <c r="N862">
        <v>52546.62</v>
      </c>
      <c r="O862">
        <v>0.15</v>
      </c>
      <c r="P862">
        <v>7881.99</v>
      </c>
      <c r="Q862" t="s">
        <v>51</v>
      </c>
      <c r="R862" t="s">
        <v>48</v>
      </c>
      <c r="S862">
        <v>3</v>
      </c>
    </row>
    <row r="863" spans="1:19" x14ac:dyDescent="0.3">
      <c r="A863" t="s">
        <v>1773</v>
      </c>
      <c r="B863">
        <v>45788</v>
      </c>
      <c r="C863" t="s">
        <v>96</v>
      </c>
      <c r="D863" t="s">
        <v>41</v>
      </c>
      <c r="E863" t="s">
        <v>22</v>
      </c>
      <c r="F863" t="s">
        <v>68</v>
      </c>
      <c r="G863" t="s">
        <v>57</v>
      </c>
      <c r="H863" t="s">
        <v>81</v>
      </c>
      <c r="I863" t="s">
        <v>1774</v>
      </c>
      <c r="J863">
        <v>2</v>
      </c>
      <c r="K863">
        <v>12053</v>
      </c>
      <c r="L863">
        <v>0.12</v>
      </c>
      <c r="M863">
        <f>'Raw data'!$K863*(1- 'Raw data'!$L863)</f>
        <v>10606.64</v>
      </c>
      <c r="N863">
        <v>21213.279999999999</v>
      </c>
      <c r="O863">
        <v>0.2</v>
      </c>
      <c r="P863">
        <v>4242.66</v>
      </c>
      <c r="Q863" t="s">
        <v>37</v>
      </c>
      <c r="R863" t="s">
        <v>48</v>
      </c>
      <c r="S863">
        <v>8</v>
      </c>
    </row>
    <row r="864" spans="1:19" x14ac:dyDescent="0.3">
      <c r="A864" t="s">
        <v>1775</v>
      </c>
      <c r="B864">
        <v>45789</v>
      </c>
      <c r="C864" t="s">
        <v>55</v>
      </c>
      <c r="D864" t="s">
        <v>41</v>
      </c>
      <c r="E864" t="s">
        <v>32</v>
      </c>
      <c r="F864" t="s">
        <v>103</v>
      </c>
      <c r="G864" t="s">
        <v>44</v>
      </c>
      <c r="H864" t="s">
        <v>64</v>
      </c>
      <c r="I864" t="s">
        <v>1776</v>
      </c>
      <c r="J864">
        <v>1</v>
      </c>
      <c r="K864">
        <v>3356</v>
      </c>
      <c r="L864">
        <v>0.12</v>
      </c>
      <c r="M864">
        <f>'Raw data'!$K864*(1- 'Raw data'!$L864)</f>
        <v>2953.28</v>
      </c>
      <c r="N864">
        <v>2953.28</v>
      </c>
      <c r="O864">
        <v>0.35</v>
      </c>
      <c r="P864">
        <v>1033.6500000000001</v>
      </c>
      <c r="Q864" t="s">
        <v>37</v>
      </c>
      <c r="R864" t="s">
        <v>48</v>
      </c>
      <c r="S864">
        <v>9</v>
      </c>
    </row>
    <row r="865" spans="1:19" x14ac:dyDescent="0.3">
      <c r="A865" t="s">
        <v>1777</v>
      </c>
      <c r="B865">
        <v>45790</v>
      </c>
      <c r="C865" t="s">
        <v>55</v>
      </c>
      <c r="D865" t="s">
        <v>56</v>
      </c>
      <c r="E865" t="s">
        <v>42</v>
      </c>
      <c r="F865" t="s">
        <v>43</v>
      </c>
      <c r="G865" t="s">
        <v>57</v>
      </c>
      <c r="H865" t="s">
        <v>58</v>
      </c>
      <c r="I865" t="s">
        <v>1778</v>
      </c>
      <c r="J865">
        <v>4</v>
      </c>
      <c r="K865">
        <v>15493</v>
      </c>
      <c r="L865">
        <v>0.21</v>
      </c>
      <c r="M865">
        <f>'Raw data'!$K865*(1- 'Raw data'!$L865)</f>
        <v>12239.470000000001</v>
      </c>
      <c r="N865">
        <v>48957.88</v>
      </c>
      <c r="O865">
        <v>0.2</v>
      </c>
      <c r="P865">
        <v>9791.58</v>
      </c>
      <c r="Q865" t="s">
        <v>51</v>
      </c>
      <c r="R865" t="s">
        <v>48</v>
      </c>
      <c r="S865">
        <v>5</v>
      </c>
    </row>
    <row r="866" spans="1:19" x14ac:dyDescent="0.3">
      <c r="A866" t="s">
        <v>1779</v>
      </c>
      <c r="B866">
        <v>45791</v>
      </c>
      <c r="C866" t="s">
        <v>63</v>
      </c>
      <c r="D866" t="s">
        <v>56</v>
      </c>
      <c r="E866" t="s">
        <v>42</v>
      </c>
      <c r="F866" t="s">
        <v>43</v>
      </c>
      <c r="G866" t="s">
        <v>44</v>
      </c>
      <c r="H866" t="s">
        <v>138</v>
      </c>
      <c r="I866" t="s">
        <v>1780</v>
      </c>
      <c r="J866">
        <v>4</v>
      </c>
      <c r="K866">
        <v>1185</v>
      </c>
      <c r="L866">
        <v>0.06</v>
      </c>
      <c r="M866">
        <f>'Raw data'!$K866*(1- 'Raw data'!$L866)</f>
        <v>1113.8999999999999</v>
      </c>
      <c r="N866">
        <v>4455.6000000000004</v>
      </c>
      <c r="O866">
        <v>0.35</v>
      </c>
      <c r="P866">
        <v>1559.46</v>
      </c>
      <c r="Q866" t="s">
        <v>27</v>
      </c>
      <c r="R866" t="s">
        <v>38</v>
      </c>
      <c r="S866">
        <v>2</v>
      </c>
    </row>
    <row r="867" spans="1:19" x14ac:dyDescent="0.3">
      <c r="A867" t="s">
        <v>1781</v>
      </c>
      <c r="B867">
        <v>45792</v>
      </c>
      <c r="C867" t="s">
        <v>55</v>
      </c>
      <c r="D867" t="s">
        <v>21</v>
      </c>
      <c r="E867" t="s">
        <v>67</v>
      </c>
      <c r="F867" t="s">
        <v>68</v>
      </c>
      <c r="G867" t="s">
        <v>34</v>
      </c>
      <c r="H867" t="s">
        <v>71</v>
      </c>
      <c r="I867" t="s">
        <v>1782</v>
      </c>
      <c r="J867">
        <v>7</v>
      </c>
      <c r="K867">
        <v>387</v>
      </c>
      <c r="L867">
        <v>0.1</v>
      </c>
      <c r="M867">
        <f>'Raw data'!$K867*(1- 'Raw data'!$L867)</f>
        <v>348.3</v>
      </c>
      <c r="N867">
        <v>2438.1</v>
      </c>
      <c r="O867">
        <v>0.4</v>
      </c>
      <c r="P867">
        <v>975.24</v>
      </c>
      <c r="Q867" t="s">
        <v>37</v>
      </c>
      <c r="R867" t="s">
        <v>48</v>
      </c>
      <c r="S867">
        <v>2</v>
      </c>
    </row>
    <row r="868" spans="1:19" x14ac:dyDescent="0.3">
      <c r="A868" t="s">
        <v>1783</v>
      </c>
      <c r="B868">
        <v>45793</v>
      </c>
      <c r="C868" t="s">
        <v>40</v>
      </c>
      <c r="D868" t="s">
        <v>21</v>
      </c>
      <c r="E868" t="s">
        <v>42</v>
      </c>
      <c r="F868" t="s">
        <v>97</v>
      </c>
      <c r="G868" t="s">
        <v>24</v>
      </c>
      <c r="H868" t="s">
        <v>121</v>
      </c>
      <c r="I868" t="s">
        <v>1784</v>
      </c>
      <c r="J868">
        <v>9</v>
      </c>
      <c r="K868">
        <v>8736</v>
      </c>
      <c r="L868">
        <v>0.2</v>
      </c>
      <c r="M868">
        <f>'Raw data'!$K868*(1- 'Raw data'!$L868)</f>
        <v>6988.8</v>
      </c>
      <c r="N868">
        <v>62899.199999999997</v>
      </c>
      <c r="O868">
        <v>0.25</v>
      </c>
      <c r="P868">
        <v>15724.8</v>
      </c>
      <c r="Q868" t="s">
        <v>51</v>
      </c>
      <c r="R868" t="s">
        <v>48</v>
      </c>
      <c r="S868">
        <v>7</v>
      </c>
    </row>
    <row r="869" spans="1:19" x14ac:dyDescent="0.3">
      <c r="A869" t="s">
        <v>1785</v>
      </c>
      <c r="B869">
        <v>45794</v>
      </c>
      <c r="C869" t="s">
        <v>63</v>
      </c>
      <c r="D869" t="s">
        <v>21</v>
      </c>
      <c r="E869" t="s">
        <v>32</v>
      </c>
      <c r="F869" t="s">
        <v>43</v>
      </c>
      <c r="G869" t="s">
        <v>34</v>
      </c>
      <c r="H869" t="s">
        <v>141</v>
      </c>
      <c r="I869" t="s">
        <v>1786</v>
      </c>
      <c r="J869">
        <v>9</v>
      </c>
      <c r="K869">
        <v>1184</v>
      </c>
      <c r="L869">
        <v>0.21</v>
      </c>
      <c r="M869">
        <f>'Raw data'!$K869*(1- 'Raw data'!$L869)</f>
        <v>935.36</v>
      </c>
      <c r="N869">
        <v>8418.24</v>
      </c>
      <c r="O869">
        <v>0.4</v>
      </c>
      <c r="P869">
        <v>3367.3</v>
      </c>
      <c r="Q869" t="s">
        <v>37</v>
      </c>
      <c r="R869" t="s">
        <v>38</v>
      </c>
      <c r="S869">
        <v>1</v>
      </c>
    </row>
    <row r="870" spans="1:19" x14ac:dyDescent="0.3">
      <c r="A870" t="s">
        <v>1787</v>
      </c>
      <c r="B870">
        <v>45795</v>
      </c>
      <c r="C870" t="s">
        <v>96</v>
      </c>
      <c r="D870" t="s">
        <v>21</v>
      </c>
      <c r="E870" t="s">
        <v>67</v>
      </c>
      <c r="F870" t="s">
        <v>43</v>
      </c>
      <c r="G870" t="s">
        <v>57</v>
      </c>
      <c r="H870" t="s">
        <v>100</v>
      </c>
      <c r="I870" t="s">
        <v>101</v>
      </c>
      <c r="J870">
        <v>5</v>
      </c>
      <c r="K870">
        <v>14835</v>
      </c>
      <c r="L870">
        <v>0.1</v>
      </c>
      <c r="M870">
        <f>'Raw data'!$K870*(1- 'Raw data'!$L870)</f>
        <v>13351.5</v>
      </c>
      <c r="N870">
        <v>66757.5</v>
      </c>
      <c r="O870">
        <v>0.2</v>
      </c>
      <c r="P870">
        <v>13351.5</v>
      </c>
      <c r="Q870" t="s">
        <v>51</v>
      </c>
      <c r="R870" t="s">
        <v>48</v>
      </c>
      <c r="S870">
        <v>2</v>
      </c>
    </row>
    <row r="871" spans="1:19" x14ac:dyDescent="0.3">
      <c r="A871" t="s">
        <v>1788</v>
      </c>
      <c r="B871">
        <v>45796</v>
      </c>
      <c r="C871" t="s">
        <v>30</v>
      </c>
      <c r="D871" t="s">
        <v>56</v>
      </c>
      <c r="E871" t="s">
        <v>22</v>
      </c>
      <c r="F871" t="s">
        <v>23</v>
      </c>
      <c r="G871" t="s">
        <v>24</v>
      </c>
      <c r="H871" t="s">
        <v>74</v>
      </c>
      <c r="I871" t="s">
        <v>1789</v>
      </c>
      <c r="J871">
        <v>1</v>
      </c>
      <c r="K871">
        <v>7868</v>
      </c>
      <c r="L871">
        <v>0.11</v>
      </c>
      <c r="M871">
        <f>'Raw data'!$K871*(1- 'Raw data'!$L871)</f>
        <v>7002.52</v>
      </c>
      <c r="N871">
        <v>7002.52</v>
      </c>
      <c r="O871">
        <v>0.25</v>
      </c>
      <c r="P871">
        <v>1750.63</v>
      </c>
      <c r="Q871" t="s">
        <v>37</v>
      </c>
      <c r="R871" t="s">
        <v>48</v>
      </c>
      <c r="S871">
        <v>4</v>
      </c>
    </row>
    <row r="872" spans="1:19" x14ac:dyDescent="0.3">
      <c r="A872" t="s">
        <v>1790</v>
      </c>
      <c r="B872">
        <v>45797</v>
      </c>
      <c r="C872" t="s">
        <v>40</v>
      </c>
      <c r="D872" t="s">
        <v>31</v>
      </c>
      <c r="E872" t="s">
        <v>22</v>
      </c>
      <c r="F872" t="s">
        <v>103</v>
      </c>
      <c r="G872" t="s">
        <v>44</v>
      </c>
      <c r="H872" t="s">
        <v>138</v>
      </c>
      <c r="I872" t="s">
        <v>1791</v>
      </c>
      <c r="J872">
        <v>1</v>
      </c>
      <c r="K872">
        <v>1931</v>
      </c>
      <c r="L872">
        <v>0.08</v>
      </c>
      <c r="M872">
        <f>'Raw data'!$K872*(1- 'Raw data'!$L872)</f>
        <v>1776.52</v>
      </c>
      <c r="N872">
        <v>1776.52</v>
      </c>
      <c r="O872">
        <v>0.35</v>
      </c>
      <c r="P872">
        <v>621.78</v>
      </c>
      <c r="Q872" t="s">
        <v>37</v>
      </c>
      <c r="R872" t="s">
        <v>48</v>
      </c>
      <c r="S872">
        <v>1</v>
      </c>
    </row>
    <row r="873" spans="1:19" x14ac:dyDescent="0.3">
      <c r="A873" t="s">
        <v>1792</v>
      </c>
      <c r="B873">
        <v>45798</v>
      </c>
      <c r="C873" t="s">
        <v>40</v>
      </c>
      <c r="D873" t="s">
        <v>21</v>
      </c>
      <c r="E873" t="s">
        <v>32</v>
      </c>
      <c r="F873" t="s">
        <v>97</v>
      </c>
      <c r="G873" t="s">
        <v>24</v>
      </c>
      <c r="H873" t="s">
        <v>74</v>
      </c>
      <c r="I873" t="s">
        <v>1793</v>
      </c>
      <c r="J873">
        <v>6</v>
      </c>
      <c r="K873">
        <v>10067</v>
      </c>
      <c r="L873">
        <v>0.23</v>
      </c>
      <c r="M873">
        <f>'Raw data'!$K873*(1- 'Raw data'!$L873)</f>
        <v>7751.59</v>
      </c>
      <c r="N873">
        <v>46509.54</v>
      </c>
      <c r="O873">
        <v>0.25</v>
      </c>
      <c r="P873">
        <v>11627.38</v>
      </c>
      <c r="Q873" t="s">
        <v>47</v>
      </c>
      <c r="R873" t="s">
        <v>48</v>
      </c>
      <c r="S873">
        <v>4</v>
      </c>
    </row>
    <row r="874" spans="1:19" x14ac:dyDescent="0.3">
      <c r="A874" t="s">
        <v>1794</v>
      </c>
      <c r="B874">
        <v>45799</v>
      </c>
      <c r="C874" t="s">
        <v>63</v>
      </c>
      <c r="D874" t="s">
        <v>31</v>
      </c>
      <c r="E874" t="s">
        <v>32</v>
      </c>
      <c r="F874" t="s">
        <v>33</v>
      </c>
      <c r="G874" t="s">
        <v>92</v>
      </c>
      <c r="H874" t="s">
        <v>93</v>
      </c>
      <c r="I874" t="s">
        <v>1795</v>
      </c>
      <c r="J874">
        <v>2</v>
      </c>
      <c r="K874">
        <v>47481</v>
      </c>
      <c r="L874">
        <v>0.03</v>
      </c>
      <c r="M874">
        <f>'Raw data'!$K874*(1- 'Raw data'!$L874)</f>
        <v>46056.57</v>
      </c>
      <c r="N874">
        <v>92113.14</v>
      </c>
      <c r="O874">
        <v>0.15</v>
      </c>
      <c r="P874">
        <v>13816.97</v>
      </c>
      <c r="Q874" t="s">
        <v>51</v>
      </c>
      <c r="R874" t="s">
        <v>48</v>
      </c>
      <c r="S874">
        <v>5</v>
      </c>
    </row>
    <row r="875" spans="1:19" x14ac:dyDescent="0.3">
      <c r="A875" t="s">
        <v>1796</v>
      </c>
      <c r="B875">
        <v>45800</v>
      </c>
      <c r="C875" t="s">
        <v>96</v>
      </c>
      <c r="D875" t="s">
        <v>21</v>
      </c>
      <c r="E875" t="s">
        <v>67</v>
      </c>
      <c r="F875" t="s">
        <v>103</v>
      </c>
      <c r="G875" t="s">
        <v>24</v>
      </c>
      <c r="H875" t="s">
        <v>186</v>
      </c>
      <c r="I875" t="s">
        <v>1797</v>
      </c>
      <c r="J875">
        <v>8</v>
      </c>
      <c r="K875">
        <v>11653</v>
      </c>
      <c r="L875">
        <v>0.23</v>
      </c>
      <c r="M875">
        <f>'Raw data'!$K875*(1- 'Raw data'!$L875)</f>
        <v>8972.81</v>
      </c>
      <c r="N875">
        <v>71782.48</v>
      </c>
      <c r="O875">
        <v>0.25</v>
      </c>
      <c r="P875">
        <v>17945.62</v>
      </c>
      <c r="Q875" t="s">
        <v>51</v>
      </c>
      <c r="R875" t="s">
        <v>48</v>
      </c>
      <c r="S875">
        <v>9</v>
      </c>
    </row>
    <row r="876" spans="1:19" x14ac:dyDescent="0.3">
      <c r="A876" t="s">
        <v>1798</v>
      </c>
      <c r="B876">
        <v>45801</v>
      </c>
      <c r="C876" t="s">
        <v>20</v>
      </c>
      <c r="D876" t="s">
        <v>41</v>
      </c>
      <c r="E876" t="s">
        <v>67</v>
      </c>
      <c r="F876" t="s">
        <v>97</v>
      </c>
      <c r="G876" t="s">
        <v>92</v>
      </c>
      <c r="H876" t="s">
        <v>178</v>
      </c>
      <c r="I876" t="s">
        <v>1799</v>
      </c>
      <c r="J876">
        <v>9</v>
      </c>
      <c r="K876">
        <v>19557</v>
      </c>
      <c r="L876">
        <v>0.17</v>
      </c>
      <c r="M876">
        <f>'Raw data'!$K876*(1- 'Raw data'!$L876)</f>
        <v>16232.31</v>
      </c>
      <c r="N876">
        <v>146090.79</v>
      </c>
      <c r="O876">
        <v>0.15</v>
      </c>
      <c r="P876">
        <v>21913.62</v>
      </c>
      <c r="Q876" t="s">
        <v>51</v>
      </c>
      <c r="R876" t="s">
        <v>48</v>
      </c>
      <c r="S876">
        <v>1</v>
      </c>
    </row>
    <row r="877" spans="1:19" x14ac:dyDescent="0.3">
      <c r="A877" t="s">
        <v>1800</v>
      </c>
      <c r="B877">
        <v>45802</v>
      </c>
      <c r="C877" t="s">
        <v>40</v>
      </c>
      <c r="D877" t="s">
        <v>21</v>
      </c>
      <c r="E877" t="s">
        <v>32</v>
      </c>
      <c r="F877" t="s">
        <v>43</v>
      </c>
      <c r="G877" t="s">
        <v>24</v>
      </c>
      <c r="H877" t="s">
        <v>121</v>
      </c>
      <c r="I877" t="s">
        <v>1801</v>
      </c>
      <c r="J877">
        <v>4</v>
      </c>
      <c r="K877">
        <v>10435</v>
      </c>
      <c r="L877">
        <v>0.13</v>
      </c>
      <c r="M877">
        <f>'Raw data'!$K877*(1- 'Raw data'!$L877)</f>
        <v>9078.4500000000007</v>
      </c>
      <c r="N877">
        <v>36313.800000000003</v>
      </c>
      <c r="O877">
        <v>0.25</v>
      </c>
      <c r="P877">
        <v>9078.4500000000007</v>
      </c>
      <c r="Q877" t="s">
        <v>51</v>
      </c>
      <c r="R877" t="s">
        <v>48</v>
      </c>
      <c r="S877">
        <v>5</v>
      </c>
    </row>
    <row r="878" spans="1:19" x14ac:dyDescent="0.3">
      <c r="A878" t="s">
        <v>1802</v>
      </c>
      <c r="B878">
        <v>45803</v>
      </c>
      <c r="C878" t="s">
        <v>20</v>
      </c>
      <c r="D878" t="s">
        <v>21</v>
      </c>
      <c r="E878" t="s">
        <v>32</v>
      </c>
      <c r="F878" t="s">
        <v>23</v>
      </c>
      <c r="G878" t="s">
        <v>92</v>
      </c>
      <c r="H878" t="s">
        <v>93</v>
      </c>
      <c r="I878" t="s">
        <v>1803</v>
      </c>
      <c r="J878">
        <v>5</v>
      </c>
      <c r="K878">
        <v>10162</v>
      </c>
      <c r="L878">
        <v>0.01</v>
      </c>
      <c r="M878">
        <f>'Raw data'!$K878*(1- 'Raw data'!$L878)</f>
        <v>10060.379999999999</v>
      </c>
      <c r="N878">
        <v>50301.9</v>
      </c>
      <c r="O878">
        <v>0.15</v>
      </c>
      <c r="P878">
        <v>7545.28</v>
      </c>
      <c r="Q878" t="s">
        <v>37</v>
      </c>
      <c r="R878" t="s">
        <v>48</v>
      </c>
      <c r="S878">
        <v>2</v>
      </c>
    </row>
    <row r="879" spans="1:19" x14ac:dyDescent="0.3">
      <c r="A879" t="s">
        <v>1804</v>
      </c>
      <c r="B879">
        <v>45804</v>
      </c>
      <c r="C879" t="s">
        <v>20</v>
      </c>
      <c r="D879" t="s">
        <v>21</v>
      </c>
      <c r="E879" t="s">
        <v>22</v>
      </c>
      <c r="F879" t="s">
        <v>103</v>
      </c>
      <c r="G879" t="s">
        <v>57</v>
      </c>
      <c r="H879" t="s">
        <v>100</v>
      </c>
      <c r="I879" t="s">
        <v>1805</v>
      </c>
      <c r="J879">
        <v>8</v>
      </c>
      <c r="K879">
        <v>3974</v>
      </c>
      <c r="L879">
        <v>0.12</v>
      </c>
      <c r="M879">
        <f>'Raw data'!$K879*(1- 'Raw data'!$L879)</f>
        <v>3497.12</v>
      </c>
      <c r="N879">
        <v>27976.959999999999</v>
      </c>
      <c r="O879">
        <v>0.2</v>
      </c>
      <c r="P879">
        <v>5595.39</v>
      </c>
      <c r="Q879" t="s">
        <v>47</v>
      </c>
      <c r="R879" t="s">
        <v>48</v>
      </c>
      <c r="S879">
        <v>9</v>
      </c>
    </row>
    <row r="880" spans="1:19" x14ac:dyDescent="0.3">
      <c r="A880" t="s">
        <v>1806</v>
      </c>
      <c r="B880">
        <v>45805</v>
      </c>
      <c r="C880" t="s">
        <v>55</v>
      </c>
      <c r="D880" t="s">
        <v>56</v>
      </c>
      <c r="E880" t="s">
        <v>22</v>
      </c>
      <c r="F880" t="s">
        <v>43</v>
      </c>
      <c r="G880" t="s">
        <v>34</v>
      </c>
      <c r="H880" t="s">
        <v>35</v>
      </c>
      <c r="I880" t="s">
        <v>1807</v>
      </c>
      <c r="J880">
        <v>3</v>
      </c>
      <c r="K880">
        <v>1443</v>
      </c>
      <c r="L880">
        <v>0.1</v>
      </c>
      <c r="M880">
        <f>'Raw data'!$K880*(1- 'Raw data'!$L880)</f>
        <v>1298.7</v>
      </c>
      <c r="N880">
        <v>3896.1</v>
      </c>
      <c r="O880">
        <v>0.4</v>
      </c>
      <c r="P880">
        <v>1558.44</v>
      </c>
      <c r="Q880" t="s">
        <v>47</v>
      </c>
      <c r="R880" t="s">
        <v>48</v>
      </c>
      <c r="S880">
        <v>6</v>
      </c>
    </row>
    <row r="881" spans="1:19" x14ac:dyDescent="0.3">
      <c r="A881" t="s">
        <v>1808</v>
      </c>
      <c r="B881">
        <v>45806</v>
      </c>
      <c r="C881" t="s">
        <v>96</v>
      </c>
      <c r="D881" t="s">
        <v>41</v>
      </c>
      <c r="E881" t="s">
        <v>22</v>
      </c>
      <c r="F881" t="s">
        <v>97</v>
      </c>
      <c r="G881" t="s">
        <v>44</v>
      </c>
      <c r="H881" t="s">
        <v>116</v>
      </c>
      <c r="I881" t="s">
        <v>1809</v>
      </c>
      <c r="J881">
        <v>5</v>
      </c>
      <c r="K881">
        <v>769</v>
      </c>
      <c r="L881">
        <v>0.04</v>
      </c>
      <c r="M881">
        <f>'Raw data'!$K881*(1- 'Raw data'!$L881)</f>
        <v>738.24</v>
      </c>
      <c r="N881">
        <v>3691.2</v>
      </c>
      <c r="O881">
        <v>0.35</v>
      </c>
      <c r="P881">
        <v>1291.92</v>
      </c>
      <c r="Q881" t="s">
        <v>27</v>
      </c>
      <c r="R881" t="s">
        <v>48</v>
      </c>
      <c r="S881">
        <v>2</v>
      </c>
    </row>
    <row r="882" spans="1:19" x14ac:dyDescent="0.3">
      <c r="A882" t="s">
        <v>1810</v>
      </c>
      <c r="B882">
        <v>45807</v>
      </c>
      <c r="C882" t="s">
        <v>20</v>
      </c>
      <c r="D882" t="s">
        <v>21</v>
      </c>
      <c r="E882" t="s">
        <v>32</v>
      </c>
      <c r="F882" t="s">
        <v>103</v>
      </c>
      <c r="G882" t="s">
        <v>24</v>
      </c>
      <c r="H882" t="s">
        <v>186</v>
      </c>
      <c r="I882" t="s">
        <v>1811</v>
      </c>
      <c r="J882">
        <v>3</v>
      </c>
      <c r="K882">
        <v>1631</v>
      </c>
      <c r="L882">
        <v>0.16</v>
      </c>
      <c r="M882">
        <f>'Raw data'!$K882*(1- 'Raw data'!$L882)</f>
        <v>1370.04</v>
      </c>
      <c r="N882">
        <v>4110.12</v>
      </c>
      <c r="O882">
        <v>0.25</v>
      </c>
      <c r="P882">
        <v>1027.53</v>
      </c>
      <c r="Q882" t="s">
        <v>51</v>
      </c>
      <c r="R882" t="s">
        <v>48</v>
      </c>
      <c r="S882">
        <v>3</v>
      </c>
    </row>
    <row r="883" spans="1:19" x14ac:dyDescent="0.3">
      <c r="A883" t="s">
        <v>1812</v>
      </c>
      <c r="B883">
        <v>45808</v>
      </c>
      <c r="C883" t="s">
        <v>96</v>
      </c>
      <c r="D883" t="s">
        <v>21</v>
      </c>
      <c r="E883" t="s">
        <v>42</v>
      </c>
      <c r="F883" t="s">
        <v>33</v>
      </c>
      <c r="G883" t="s">
        <v>34</v>
      </c>
      <c r="H883" t="s">
        <v>35</v>
      </c>
      <c r="I883" t="s">
        <v>1813</v>
      </c>
      <c r="J883">
        <v>3</v>
      </c>
      <c r="K883">
        <v>1105</v>
      </c>
      <c r="L883">
        <v>0.24</v>
      </c>
      <c r="M883">
        <f>'Raw data'!$K883*(1- 'Raw data'!$L883)</f>
        <v>839.8</v>
      </c>
      <c r="N883">
        <v>2519.4</v>
      </c>
      <c r="O883">
        <v>0.4</v>
      </c>
      <c r="P883">
        <v>1007.76</v>
      </c>
      <c r="Q883" t="s">
        <v>27</v>
      </c>
      <c r="R883" t="s">
        <v>48</v>
      </c>
      <c r="S883">
        <v>8</v>
      </c>
    </row>
    <row r="884" spans="1:19" x14ac:dyDescent="0.3">
      <c r="A884" t="s">
        <v>1814</v>
      </c>
      <c r="B884">
        <v>45809</v>
      </c>
      <c r="C884" t="s">
        <v>55</v>
      </c>
      <c r="D884" t="s">
        <v>31</v>
      </c>
      <c r="E884" t="s">
        <v>32</v>
      </c>
      <c r="F884" t="s">
        <v>103</v>
      </c>
      <c r="G884" t="s">
        <v>44</v>
      </c>
      <c r="H884" t="s">
        <v>45</v>
      </c>
      <c r="I884" t="s">
        <v>1815</v>
      </c>
      <c r="J884">
        <v>3</v>
      </c>
      <c r="K884">
        <v>3971</v>
      </c>
      <c r="L884">
        <v>0.14000000000000001</v>
      </c>
      <c r="M884">
        <f>'Raw data'!$K884*(1- 'Raw data'!$L884)</f>
        <v>3415.06</v>
      </c>
      <c r="N884">
        <v>10245.18</v>
      </c>
      <c r="O884">
        <v>0.35</v>
      </c>
      <c r="P884">
        <v>3585.81</v>
      </c>
      <c r="Q884" t="s">
        <v>37</v>
      </c>
      <c r="R884" t="s">
        <v>48</v>
      </c>
      <c r="S884">
        <v>1</v>
      </c>
    </row>
    <row r="885" spans="1:19" x14ac:dyDescent="0.3">
      <c r="A885" t="s">
        <v>1816</v>
      </c>
      <c r="B885">
        <v>45810</v>
      </c>
      <c r="C885" t="s">
        <v>96</v>
      </c>
      <c r="D885" t="s">
        <v>41</v>
      </c>
      <c r="E885" t="s">
        <v>32</v>
      </c>
      <c r="F885" t="s">
        <v>43</v>
      </c>
      <c r="G885" t="s">
        <v>44</v>
      </c>
      <c r="H885" t="s">
        <v>138</v>
      </c>
      <c r="I885" t="s">
        <v>1817</v>
      </c>
      <c r="J885">
        <v>7</v>
      </c>
      <c r="K885">
        <v>3753</v>
      </c>
      <c r="L885">
        <v>0.18</v>
      </c>
      <c r="M885">
        <f>'Raw data'!$K885*(1- 'Raw data'!$L885)</f>
        <v>3077.46</v>
      </c>
      <c r="N885">
        <v>21542.22</v>
      </c>
      <c r="O885">
        <v>0.35</v>
      </c>
      <c r="P885">
        <v>7539.78</v>
      </c>
      <c r="Q885" t="s">
        <v>27</v>
      </c>
      <c r="R885" t="s">
        <v>48</v>
      </c>
      <c r="S885">
        <v>3</v>
      </c>
    </row>
    <row r="886" spans="1:19" x14ac:dyDescent="0.3">
      <c r="A886" t="s">
        <v>1818</v>
      </c>
      <c r="B886">
        <v>45811</v>
      </c>
      <c r="C886" t="s">
        <v>40</v>
      </c>
      <c r="D886" t="s">
        <v>21</v>
      </c>
      <c r="E886" t="s">
        <v>22</v>
      </c>
      <c r="F886" t="s">
        <v>103</v>
      </c>
      <c r="G886" t="s">
        <v>92</v>
      </c>
      <c r="H886" t="s">
        <v>178</v>
      </c>
      <c r="I886" t="s">
        <v>1819</v>
      </c>
      <c r="J886">
        <v>7</v>
      </c>
      <c r="K886">
        <v>19833</v>
      </c>
      <c r="L886">
        <v>0.02</v>
      </c>
      <c r="M886">
        <f>'Raw data'!$K886*(1- 'Raw data'!$L886)</f>
        <v>19436.34</v>
      </c>
      <c r="N886">
        <v>136054.38</v>
      </c>
      <c r="O886">
        <v>0.15</v>
      </c>
      <c r="P886">
        <v>20408.16</v>
      </c>
      <c r="Q886" t="s">
        <v>51</v>
      </c>
      <c r="R886" t="s">
        <v>48</v>
      </c>
      <c r="S886">
        <v>1</v>
      </c>
    </row>
    <row r="887" spans="1:19" x14ac:dyDescent="0.3">
      <c r="A887" t="s">
        <v>1820</v>
      </c>
      <c r="B887">
        <v>45812</v>
      </c>
      <c r="C887" t="s">
        <v>20</v>
      </c>
      <c r="D887" t="s">
        <v>31</v>
      </c>
      <c r="E887" t="s">
        <v>32</v>
      </c>
      <c r="F887" t="s">
        <v>33</v>
      </c>
      <c r="G887" t="s">
        <v>57</v>
      </c>
      <c r="H887" t="s">
        <v>100</v>
      </c>
      <c r="I887" t="s">
        <v>1821</v>
      </c>
      <c r="J887">
        <v>7</v>
      </c>
      <c r="K887">
        <v>9896</v>
      </c>
      <c r="L887">
        <v>0.1</v>
      </c>
      <c r="M887">
        <f>'Raw data'!$K887*(1- 'Raw data'!$L887)</f>
        <v>8906.4</v>
      </c>
      <c r="N887">
        <v>62344.800000000003</v>
      </c>
      <c r="O887">
        <v>0.2</v>
      </c>
      <c r="P887">
        <v>12468.96</v>
      </c>
      <c r="Q887" t="s">
        <v>47</v>
      </c>
      <c r="R887" t="s">
        <v>48</v>
      </c>
      <c r="S887">
        <v>8</v>
      </c>
    </row>
    <row r="888" spans="1:19" x14ac:dyDescent="0.3">
      <c r="A888" t="s">
        <v>1822</v>
      </c>
      <c r="B888">
        <v>45813</v>
      </c>
      <c r="C888" t="s">
        <v>96</v>
      </c>
      <c r="D888" t="s">
        <v>31</v>
      </c>
      <c r="E888" t="s">
        <v>67</v>
      </c>
      <c r="F888" t="s">
        <v>23</v>
      </c>
      <c r="G888" t="s">
        <v>57</v>
      </c>
      <c r="H888" t="s">
        <v>183</v>
      </c>
      <c r="I888" t="s">
        <v>1823</v>
      </c>
      <c r="J888">
        <v>8</v>
      </c>
      <c r="K888">
        <v>2204</v>
      </c>
      <c r="L888">
        <v>0.03</v>
      </c>
      <c r="M888">
        <f>'Raw data'!$K888*(1- 'Raw data'!$L888)</f>
        <v>2137.88</v>
      </c>
      <c r="N888">
        <v>17103.04</v>
      </c>
      <c r="O888">
        <v>0.2</v>
      </c>
      <c r="P888">
        <v>3420.61</v>
      </c>
      <c r="Q888" t="s">
        <v>47</v>
      </c>
      <c r="R888" t="s">
        <v>48</v>
      </c>
      <c r="S888">
        <v>1</v>
      </c>
    </row>
    <row r="889" spans="1:19" x14ac:dyDescent="0.3">
      <c r="A889" t="s">
        <v>1824</v>
      </c>
      <c r="B889">
        <v>45814</v>
      </c>
      <c r="C889" t="s">
        <v>30</v>
      </c>
      <c r="D889" t="s">
        <v>56</v>
      </c>
      <c r="E889" t="s">
        <v>32</v>
      </c>
      <c r="F889" t="s">
        <v>23</v>
      </c>
      <c r="G889" t="s">
        <v>34</v>
      </c>
      <c r="H889" t="s">
        <v>104</v>
      </c>
      <c r="I889" t="s">
        <v>1825</v>
      </c>
      <c r="J889">
        <v>5</v>
      </c>
      <c r="K889">
        <v>781</v>
      </c>
      <c r="L889">
        <v>0.15</v>
      </c>
      <c r="M889">
        <f>'Raw data'!$K889*(1- 'Raw data'!$L889)</f>
        <v>663.85</v>
      </c>
      <c r="N889">
        <v>3319.25</v>
      </c>
      <c r="O889">
        <v>0.4</v>
      </c>
      <c r="P889">
        <v>1327.7</v>
      </c>
      <c r="Q889" t="s">
        <v>51</v>
      </c>
      <c r="R889" t="s">
        <v>48</v>
      </c>
      <c r="S889">
        <v>5</v>
      </c>
    </row>
    <row r="890" spans="1:19" x14ac:dyDescent="0.3">
      <c r="A890" t="s">
        <v>1826</v>
      </c>
      <c r="B890">
        <v>45815</v>
      </c>
      <c r="C890" t="s">
        <v>96</v>
      </c>
      <c r="D890" t="s">
        <v>31</v>
      </c>
      <c r="E890" t="s">
        <v>32</v>
      </c>
      <c r="F890" t="s">
        <v>43</v>
      </c>
      <c r="G890" t="s">
        <v>57</v>
      </c>
      <c r="H890" t="s">
        <v>58</v>
      </c>
      <c r="I890" t="s">
        <v>1827</v>
      </c>
      <c r="J890">
        <v>5</v>
      </c>
      <c r="K890">
        <v>11032</v>
      </c>
      <c r="L890">
        <v>0.23</v>
      </c>
      <c r="M890">
        <f>'Raw data'!$K890*(1- 'Raw data'!$L890)</f>
        <v>8494.64</v>
      </c>
      <c r="N890">
        <v>42473.2</v>
      </c>
      <c r="O890">
        <v>0.2</v>
      </c>
      <c r="P890">
        <v>8494.64</v>
      </c>
      <c r="Q890" t="s">
        <v>37</v>
      </c>
      <c r="R890" t="s">
        <v>48</v>
      </c>
      <c r="S890">
        <v>4</v>
      </c>
    </row>
    <row r="891" spans="1:19" x14ac:dyDescent="0.3">
      <c r="A891" t="s">
        <v>1828</v>
      </c>
      <c r="B891">
        <v>45816</v>
      </c>
      <c r="C891" t="s">
        <v>20</v>
      </c>
      <c r="D891" t="s">
        <v>21</v>
      </c>
      <c r="E891" t="s">
        <v>32</v>
      </c>
      <c r="F891" t="s">
        <v>97</v>
      </c>
      <c r="G891" t="s">
        <v>24</v>
      </c>
      <c r="H891" t="s">
        <v>121</v>
      </c>
      <c r="I891" t="s">
        <v>1829</v>
      </c>
      <c r="J891">
        <v>4</v>
      </c>
      <c r="K891">
        <v>6347</v>
      </c>
      <c r="L891">
        <v>0.17</v>
      </c>
      <c r="M891">
        <f>'Raw data'!$K891*(1- 'Raw data'!$L891)</f>
        <v>5268.0099999999993</v>
      </c>
      <c r="N891">
        <v>21072.04</v>
      </c>
      <c r="O891">
        <v>0.25</v>
      </c>
      <c r="P891">
        <v>5268.01</v>
      </c>
      <c r="Q891" t="s">
        <v>51</v>
      </c>
      <c r="R891" t="s">
        <v>48</v>
      </c>
      <c r="S891">
        <v>7</v>
      </c>
    </row>
    <row r="892" spans="1:19" x14ac:dyDescent="0.3">
      <c r="A892" t="s">
        <v>1830</v>
      </c>
      <c r="B892">
        <v>45817</v>
      </c>
      <c r="C892" t="s">
        <v>55</v>
      </c>
      <c r="D892" t="s">
        <v>56</v>
      </c>
      <c r="E892" t="s">
        <v>32</v>
      </c>
      <c r="F892" t="s">
        <v>43</v>
      </c>
      <c r="G892" t="s">
        <v>57</v>
      </c>
      <c r="H892" t="s">
        <v>58</v>
      </c>
      <c r="I892" t="s">
        <v>1831</v>
      </c>
      <c r="J892">
        <v>7</v>
      </c>
      <c r="K892">
        <v>4643</v>
      </c>
      <c r="L892">
        <v>0.02</v>
      </c>
      <c r="M892">
        <f>'Raw data'!$K892*(1- 'Raw data'!$L892)</f>
        <v>4550.1400000000003</v>
      </c>
      <c r="N892">
        <v>31850.98</v>
      </c>
      <c r="O892">
        <v>0.2</v>
      </c>
      <c r="P892">
        <v>6370.2</v>
      </c>
      <c r="Q892" t="s">
        <v>37</v>
      </c>
      <c r="R892" t="s">
        <v>48</v>
      </c>
      <c r="S892">
        <v>5</v>
      </c>
    </row>
    <row r="893" spans="1:19" x14ac:dyDescent="0.3">
      <c r="A893" t="s">
        <v>1832</v>
      </c>
      <c r="B893">
        <v>45818</v>
      </c>
      <c r="C893" t="s">
        <v>55</v>
      </c>
      <c r="D893" t="s">
        <v>56</v>
      </c>
      <c r="E893" t="s">
        <v>42</v>
      </c>
      <c r="F893" t="s">
        <v>23</v>
      </c>
      <c r="G893" t="s">
        <v>34</v>
      </c>
      <c r="H893" t="s">
        <v>35</v>
      </c>
      <c r="I893" t="s">
        <v>1833</v>
      </c>
      <c r="J893">
        <v>4</v>
      </c>
      <c r="K893">
        <v>449</v>
      </c>
      <c r="L893">
        <v>0.09</v>
      </c>
      <c r="M893">
        <f>'Raw data'!$K893*(1- 'Raw data'!$L893)</f>
        <v>408.59000000000003</v>
      </c>
      <c r="N893">
        <v>1634.36</v>
      </c>
      <c r="O893">
        <v>0.4</v>
      </c>
      <c r="P893">
        <v>653.74</v>
      </c>
      <c r="Q893" t="s">
        <v>47</v>
      </c>
      <c r="R893" t="s">
        <v>48</v>
      </c>
      <c r="S893">
        <v>8</v>
      </c>
    </row>
    <row r="894" spans="1:19" x14ac:dyDescent="0.3">
      <c r="A894" t="s">
        <v>1834</v>
      </c>
      <c r="B894">
        <v>45819</v>
      </c>
      <c r="C894" t="s">
        <v>20</v>
      </c>
      <c r="D894" t="s">
        <v>21</v>
      </c>
      <c r="E894" t="s">
        <v>32</v>
      </c>
      <c r="F894" t="s">
        <v>68</v>
      </c>
      <c r="G894" t="s">
        <v>57</v>
      </c>
      <c r="H894" t="s">
        <v>81</v>
      </c>
      <c r="I894" t="s">
        <v>1316</v>
      </c>
      <c r="J894">
        <v>2</v>
      </c>
      <c r="K894">
        <v>19258</v>
      </c>
      <c r="L894">
        <v>0.14000000000000001</v>
      </c>
      <c r="M894">
        <f>'Raw data'!$K894*(1- 'Raw data'!$L894)</f>
        <v>16561.88</v>
      </c>
      <c r="N894">
        <v>33123.760000000002</v>
      </c>
      <c r="O894">
        <v>0.2</v>
      </c>
      <c r="P894">
        <v>6624.75</v>
      </c>
      <c r="Q894" t="s">
        <v>37</v>
      </c>
      <c r="R894" t="s">
        <v>38</v>
      </c>
      <c r="S894">
        <v>1</v>
      </c>
    </row>
    <row r="895" spans="1:19" x14ac:dyDescent="0.3">
      <c r="A895" t="s">
        <v>1835</v>
      </c>
      <c r="B895">
        <v>45820</v>
      </c>
      <c r="C895" t="s">
        <v>40</v>
      </c>
      <c r="D895" t="s">
        <v>41</v>
      </c>
      <c r="E895" t="s">
        <v>67</v>
      </c>
      <c r="F895" t="s">
        <v>68</v>
      </c>
      <c r="G895" t="s">
        <v>24</v>
      </c>
      <c r="H895" t="s">
        <v>186</v>
      </c>
      <c r="I895" t="s">
        <v>1836</v>
      </c>
      <c r="J895">
        <v>4</v>
      </c>
      <c r="K895">
        <v>6560</v>
      </c>
      <c r="L895">
        <v>0.1</v>
      </c>
      <c r="M895">
        <f>'Raw data'!$K895*(1- 'Raw data'!$L895)</f>
        <v>5904</v>
      </c>
      <c r="N895">
        <v>23616</v>
      </c>
      <c r="O895">
        <v>0.25</v>
      </c>
      <c r="P895">
        <v>5904</v>
      </c>
      <c r="Q895" t="s">
        <v>51</v>
      </c>
      <c r="R895" t="s">
        <v>48</v>
      </c>
      <c r="S895">
        <v>5</v>
      </c>
    </row>
    <row r="896" spans="1:19" x14ac:dyDescent="0.3">
      <c r="A896" t="s">
        <v>1837</v>
      </c>
      <c r="B896">
        <v>45821</v>
      </c>
      <c r="C896" t="s">
        <v>40</v>
      </c>
      <c r="D896" t="s">
        <v>31</v>
      </c>
      <c r="E896" t="s">
        <v>67</v>
      </c>
      <c r="F896" t="s">
        <v>103</v>
      </c>
      <c r="G896" t="s">
        <v>92</v>
      </c>
      <c r="H896" t="s">
        <v>243</v>
      </c>
      <c r="I896" t="s">
        <v>1838</v>
      </c>
      <c r="J896">
        <v>8</v>
      </c>
      <c r="K896">
        <v>25892</v>
      </c>
      <c r="L896">
        <v>0.21</v>
      </c>
      <c r="M896">
        <f>'Raw data'!$K896*(1- 'Raw data'!$L896)</f>
        <v>20454.68</v>
      </c>
      <c r="N896">
        <v>163637.44</v>
      </c>
      <c r="O896">
        <v>0.15</v>
      </c>
      <c r="P896">
        <v>24545.62</v>
      </c>
      <c r="Q896" t="s">
        <v>51</v>
      </c>
      <c r="R896" t="s">
        <v>38</v>
      </c>
      <c r="S896">
        <v>4</v>
      </c>
    </row>
    <row r="897" spans="1:19" x14ac:dyDescent="0.3">
      <c r="A897" t="s">
        <v>1839</v>
      </c>
      <c r="B897">
        <v>45822</v>
      </c>
      <c r="C897" t="s">
        <v>55</v>
      </c>
      <c r="D897" t="s">
        <v>56</v>
      </c>
      <c r="E897" t="s">
        <v>32</v>
      </c>
      <c r="F897" t="s">
        <v>33</v>
      </c>
      <c r="G897" t="s">
        <v>34</v>
      </c>
      <c r="H897" t="s">
        <v>141</v>
      </c>
      <c r="I897" t="s">
        <v>1840</v>
      </c>
      <c r="J897">
        <v>9</v>
      </c>
      <c r="K897">
        <v>395</v>
      </c>
      <c r="L897">
        <v>0.2</v>
      </c>
      <c r="M897">
        <f>'Raw data'!$K897*(1- 'Raw data'!$L897)</f>
        <v>316</v>
      </c>
      <c r="N897">
        <v>2844</v>
      </c>
      <c r="O897">
        <v>0.4</v>
      </c>
      <c r="P897">
        <v>1137.5999999999999</v>
      </c>
      <c r="Q897" t="s">
        <v>51</v>
      </c>
      <c r="R897" t="s">
        <v>28</v>
      </c>
      <c r="S897">
        <v>3</v>
      </c>
    </row>
    <row r="898" spans="1:19" x14ac:dyDescent="0.3">
      <c r="A898" t="s">
        <v>1841</v>
      </c>
      <c r="B898">
        <v>45823</v>
      </c>
      <c r="C898" t="s">
        <v>55</v>
      </c>
      <c r="D898" t="s">
        <v>41</v>
      </c>
      <c r="E898" t="s">
        <v>22</v>
      </c>
      <c r="F898" t="s">
        <v>103</v>
      </c>
      <c r="G898" t="s">
        <v>92</v>
      </c>
      <c r="H898" t="s">
        <v>178</v>
      </c>
      <c r="I898" t="s">
        <v>1842</v>
      </c>
      <c r="J898">
        <v>3</v>
      </c>
      <c r="K898">
        <v>27073</v>
      </c>
      <c r="L898">
        <v>0.15</v>
      </c>
      <c r="M898">
        <f>'Raw data'!$K898*(1- 'Raw data'!$L898)</f>
        <v>23012.05</v>
      </c>
      <c r="N898">
        <v>69036.149999999994</v>
      </c>
      <c r="O898">
        <v>0.15</v>
      </c>
      <c r="P898">
        <v>10355.42</v>
      </c>
      <c r="Q898" t="s">
        <v>37</v>
      </c>
      <c r="R898" t="s">
        <v>48</v>
      </c>
      <c r="S898">
        <v>5</v>
      </c>
    </row>
    <row r="899" spans="1:19" x14ac:dyDescent="0.3">
      <c r="A899" t="s">
        <v>1843</v>
      </c>
      <c r="B899">
        <v>45824</v>
      </c>
      <c r="C899" t="s">
        <v>20</v>
      </c>
      <c r="D899" t="s">
        <v>21</v>
      </c>
      <c r="E899" t="s">
        <v>42</v>
      </c>
      <c r="F899" t="s">
        <v>68</v>
      </c>
      <c r="G899" t="s">
        <v>92</v>
      </c>
      <c r="H899" t="s">
        <v>109</v>
      </c>
      <c r="I899" t="s">
        <v>1844</v>
      </c>
      <c r="J899">
        <v>7</v>
      </c>
      <c r="K899">
        <v>40682</v>
      </c>
      <c r="L899">
        <v>0.09</v>
      </c>
      <c r="M899">
        <f>'Raw data'!$K899*(1- 'Raw data'!$L899)</f>
        <v>37020.620000000003</v>
      </c>
      <c r="N899">
        <v>259144.34</v>
      </c>
      <c r="O899">
        <v>0.15</v>
      </c>
      <c r="P899">
        <v>38871.65</v>
      </c>
      <c r="Q899" t="s">
        <v>37</v>
      </c>
      <c r="R899" t="s">
        <v>48</v>
      </c>
      <c r="S899">
        <v>3</v>
      </c>
    </row>
    <row r="900" spans="1:19" x14ac:dyDescent="0.3">
      <c r="A900" t="s">
        <v>1845</v>
      </c>
      <c r="B900">
        <v>45825</v>
      </c>
      <c r="C900" t="s">
        <v>40</v>
      </c>
      <c r="D900" t="s">
        <v>31</v>
      </c>
      <c r="E900" t="s">
        <v>32</v>
      </c>
      <c r="F900" t="s">
        <v>23</v>
      </c>
      <c r="G900" t="s">
        <v>92</v>
      </c>
      <c r="H900" t="s">
        <v>109</v>
      </c>
      <c r="I900" t="s">
        <v>1846</v>
      </c>
      <c r="J900">
        <v>9</v>
      </c>
      <c r="K900">
        <v>24289</v>
      </c>
      <c r="L900">
        <v>0.06</v>
      </c>
      <c r="M900">
        <f>'Raw data'!$K900*(1- 'Raw data'!$L900)</f>
        <v>22831.66</v>
      </c>
      <c r="N900">
        <v>205484.94</v>
      </c>
      <c r="O900">
        <v>0.15</v>
      </c>
      <c r="P900">
        <v>30822.74</v>
      </c>
      <c r="Q900" t="s">
        <v>37</v>
      </c>
      <c r="R900" t="s">
        <v>48</v>
      </c>
      <c r="S900">
        <v>8</v>
      </c>
    </row>
    <row r="901" spans="1:19" x14ac:dyDescent="0.3">
      <c r="A901" t="s">
        <v>1847</v>
      </c>
      <c r="B901">
        <v>45826</v>
      </c>
      <c r="C901" t="s">
        <v>55</v>
      </c>
      <c r="D901" t="s">
        <v>31</v>
      </c>
      <c r="E901" t="s">
        <v>32</v>
      </c>
      <c r="F901" t="s">
        <v>103</v>
      </c>
      <c r="G901" t="s">
        <v>44</v>
      </c>
      <c r="H901" t="s">
        <v>64</v>
      </c>
      <c r="I901" t="s">
        <v>1848</v>
      </c>
      <c r="J901">
        <v>4</v>
      </c>
      <c r="K901">
        <v>1171</v>
      </c>
      <c r="L901">
        <v>0.03</v>
      </c>
      <c r="M901">
        <f>'Raw data'!$K901*(1- 'Raw data'!$L901)</f>
        <v>1135.8699999999999</v>
      </c>
      <c r="N901">
        <v>4543.4799999999996</v>
      </c>
      <c r="O901">
        <v>0.35</v>
      </c>
      <c r="P901">
        <v>1590.22</v>
      </c>
      <c r="Q901" t="s">
        <v>47</v>
      </c>
      <c r="R901" t="s">
        <v>38</v>
      </c>
      <c r="S901">
        <v>3</v>
      </c>
    </row>
    <row r="902" spans="1:19" x14ac:dyDescent="0.3">
      <c r="A902" t="s">
        <v>1849</v>
      </c>
      <c r="B902">
        <v>45827</v>
      </c>
      <c r="C902" t="s">
        <v>40</v>
      </c>
      <c r="D902" t="s">
        <v>56</v>
      </c>
      <c r="E902" t="s">
        <v>32</v>
      </c>
      <c r="F902" t="s">
        <v>43</v>
      </c>
      <c r="G902" t="s">
        <v>44</v>
      </c>
      <c r="H902" t="s">
        <v>45</v>
      </c>
      <c r="I902" t="s">
        <v>1850</v>
      </c>
      <c r="J902">
        <v>3</v>
      </c>
      <c r="K902">
        <v>1671</v>
      </c>
      <c r="L902">
        <v>0.09</v>
      </c>
      <c r="M902">
        <f>'Raw data'!$K902*(1- 'Raw data'!$L902)</f>
        <v>1520.6100000000001</v>
      </c>
      <c r="N902">
        <v>4561.83</v>
      </c>
      <c r="O902">
        <v>0.35</v>
      </c>
      <c r="P902">
        <v>1596.64</v>
      </c>
      <c r="Q902" t="s">
        <v>27</v>
      </c>
      <c r="R902" t="s">
        <v>48</v>
      </c>
      <c r="S902">
        <v>1</v>
      </c>
    </row>
    <row r="903" spans="1:19" x14ac:dyDescent="0.3">
      <c r="A903" t="s">
        <v>1851</v>
      </c>
      <c r="B903">
        <v>45828</v>
      </c>
      <c r="C903" t="s">
        <v>55</v>
      </c>
      <c r="D903" t="s">
        <v>31</v>
      </c>
      <c r="E903" t="s">
        <v>22</v>
      </c>
      <c r="F903" t="s">
        <v>33</v>
      </c>
      <c r="G903" t="s">
        <v>92</v>
      </c>
      <c r="H903" t="s">
        <v>178</v>
      </c>
      <c r="I903" t="s">
        <v>1852</v>
      </c>
      <c r="J903">
        <v>5</v>
      </c>
      <c r="K903">
        <v>75428</v>
      </c>
      <c r="L903">
        <v>0.1</v>
      </c>
      <c r="M903">
        <f>'Raw data'!$K903*(1- 'Raw data'!$L903)</f>
        <v>67885.2</v>
      </c>
      <c r="N903">
        <v>339426</v>
      </c>
      <c r="O903">
        <v>0.15</v>
      </c>
      <c r="P903">
        <v>50913.9</v>
      </c>
      <c r="Q903" t="s">
        <v>27</v>
      </c>
      <c r="R903" t="s">
        <v>28</v>
      </c>
      <c r="S903">
        <v>9</v>
      </c>
    </row>
    <row r="904" spans="1:19" x14ac:dyDescent="0.3">
      <c r="A904" t="s">
        <v>1853</v>
      </c>
      <c r="B904">
        <v>45829</v>
      </c>
      <c r="C904" t="s">
        <v>96</v>
      </c>
      <c r="D904" t="s">
        <v>31</v>
      </c>
      <c r="E904" t="s">
        <v>22</v>
      </c>
      <c r="F904" t="s">
        <v>43</v>
      </c>
      <c r="G904" t="s">
        <v>34</v>
      </c>
      <c r="H904" t="s">
        <v>104</v>
      </c>
      <c r="I904" t="s">
        <v>1854</v>
      </c>
      <c r="J904">
        <v>1</v>
      </c>
      <c r="K904">
        <v>691</v>
      </c>
      <c r="L904">
        <v>0.17</v>
      </c>
      <c r="M904">
        <f>'Raw data'!$K904*(1- 'Raw data'!$L904)</f>
        <v>573.53</v>
      </c>
      <c r="N904">
        <v>573.53</v>
      </c>
      <c r="O904">
        <v>0.4</v>
      </c>
      <c r="P904">
        <v>229.41</v>
      </c>
      <c r="Q904" t="s">
        <v>51</v>
      </c>
      <c r="R904" t="s">
        <v>48</v>
      </c>
      <c r="S904">
        <v>9</v>
      </c>
    </row>
    <row r="905" spans="1:19" x14ac:dyDescent="0.3">
      <c r="A905" t="s">
        <v>1855</v>
      </c>
      <c r="B905">
        <v>45830</v>
      </c>
      <c r="C905" t="s">
        <v>30</v>
      </c>
      <c r="D905" t="s">
        <v>31</v>
      </c>
      <c r="E905" t="s">
        <v>22</v>
      </c>
      <c r="F905" t="s">
        <v>33</v>
      </c>
      <c r="G905" t="s">
        <v>24</v>
      </c>
      <c r="H905" t="s">
        <v>25</v>
      </c>
      <c r="I905" t="s">
        <v>1856</v>
      </c>
      <c r="J905">
        <v>3</v>
      </c>
      <c r="K905">
        <v>4959</v>
      </c>
      <c r="L905">
        <v>0.16</v>
      </c>
      <c r="M905">
        <f>'Raw data'!$K905*(1- 'Raw data'!$L905)</f>
        <v>4165.5599999999995</v>
      </c>
      <c r="N905">
        <v>12496.68</v>
      </c>
      <c r="O905">
        <v>0.25</v>
      </c>
      <c r="P905">
        <v>3124.17</v>
      </c>
      <c r="Q905" t="s">
        <v>47</v>
      </c>
      <c r="R905" t="s">
        <v>48</v>
      </c>
      <c r="S905">
        <v>6</v>
      </c>
    </row>
    <row r="906" spans="1:19" x14ac:dyDescent="0.3">
      <c r="A906" t="s">
        <v>1857</v>
      </c>
      <c r="B906">
        <v>45831</v>
      </c>
      <c r="C906" t="s">
        <v>63</v>
      </c>
      <c r="D906" t="s">
        <v>31</v>
      </c>
      <c r="E906" t="s">
        <v>42</v>
      </c>
      <c r="F906" t="s">
        <v>23</v>
      </c>
      <c r="G906" t="s">
        <v>24</v>
      </c>
      <c r="H906" t="s">
        <v>25</v>
      </c>
      <c r="I906" t="s">
        <v>1858</v>
      </c>
      <c r="J906">
        <v>8</v>
      </c>
      <c r="K906">
        <v>14183</v>
      </c>
      <c r="L906">
        <v>0.02</v>
      </c>
      <c r="M906">
        <f>'Raw data'!$K906*(1- 'Raw data'!$L906)</f>
        <v>13899.34</v>
      </c>
      <c r="N906">
        <v>111194.72</v>
      </c>
      <c r="O906">
        <v>0.25</v>
      </c>
      <c r="P906">
        <v>27798.68</v>
      </c>
      <c r="Q906" t="s">
        <v>37</v>
      </c>
      <c r="R906" t="s">
        <v>48</v>
      </c>
      <c r="S906">
        <v>1</v>
      </c>
    </row>
    <row r="907" spans="1:19" x14ac:dyDescent="0.3">
      <c r="A907" t="s">
        <v>1859</v>
      </c>
      <c r="B907">
        <v>45832</v>
      </c>
      <c r="C907" t="s">
        <v>96</v>
      </c>
      <c r="D907" t="s">
        <v>21</v>
      </c>
      <c r="E907" t="s">
        <v>67</v>
      </c>
      <c r="F907" t="s">
        <v>103</v>
      </c>
      <c r="G907" t="s">
        <v>57</v>
      </c>
      <c r="H907" t="s">
        <v>183</v>
      </c>
      <c r="I907" t="s">
        <v>1860</v>
      </c>
      <c r="J907">
        <v>8</v>
      </c>
      <c r="K907">
        <v>7432</v>
      </c>
      <c r="L907">
        <v>0.1</v>
      </c>
      <c r="M907">
        <f>'Raw data'!$K907*(1- 'Raw data'!$L907)</f>
        <v>6688.8</v>
      </c>
      <c r="N907">
        <v>53510.400000000001</v>
      </c>
      <c r="O907">
        <v>0.2</v>
      </c>
      <c r="P907">
        <v>10702.08</v>
      </c>
      <c r="Q907" t="s">
        <v>51</v>
      </c>
      <c r="R907" t="s">
        <v>48</v>
      </c>
      <c r="S907">
        <v>8</v>
      </c>
    </row>
    <row r="908" spans="1:19" x14ac:dyDescent="0.3">
      <c r="A908" t="s">
        <v>1861</v>
      </c>
      <c r="B908">
        <v>45833</v>
      </c>
      <c r="C908" t="s">
        <v>63</v>
      </c>
      <c r="D908" t="s">
        <v>41</v>
      </c>
      <c r="E908" t="s">
        <v>42</v>
      </c>
      <c r="F908" t="s">
        <v>33</v>
      </c>
      <c r="G908" t="s">
        <v>34</v>
      </c>
      <c r="H908" t="s">
        <v>71</v>
      </c>
      <c r="I908" t="s">
        <v>1862</v>
      </c>
      <c r="J908">
        <v>4</v>
      </c>
      <c r="K908">
        <v>364</v>
      </c>
      <c r="L908">
        <v>0.05</v>
      </c>
      <c r="M908">
        <f>'Raw data'!$K908*(1- 'Raw data'!$L908)</f>
        <v>345.8</v>
      </c>
      <c r="N908">
        <v>1383.2</v>
      </c>
      <c r="O908">
        <v>0.4</v>
      </c>
      <c r="P908">
        <v>553.28</v>
      </c>
      <c r="Q908" t="s">
        <v>47</v>
      </c>
      <c r="R908" t="s">
        <v>48</v>
      </c>
      <c r="S908">
        <v>2</v>
      </c>
    </row>
    <row r="909" spans="1:19" x14ac:dyDescent="0.3">
      <c r="A909" t="s">
        <v>1863</v>
      </c>
      <c r="B909">
        <v>45834</v>
      </c>
      <c r="C909" t="s">
        <v>55</v>
      </c>
      <c r="D909" t="s">
        <v>21</v>
      </c>
      <c r="E909" t="s">
        <v>22</v>
      </c>
      <c r="F909" t="s">
        <v>43</v>
      </c>
      <c r="G909" t="s">
        <v>44</v>
      </c>
      <c r="H909" t="s">
        <v>45</v>
      </c>
      <c r="I909" t="s">
        <v>1864</v>
      </c>
      <c r="J909">
        <v>2</v>
      </c>
      <c r="K909">
        <v>2861</v>
      </c>
      <c r="L909">
        <v>0.04</v>
      </c>
      <c r="M909">
        <f>'Raw data'!$K909*(1- 'Raw data'!$L909)</f>
        <v>2746.56</v>
      </c>
      <c r="N909">
        <v>5493.12</v>
      </c>
      <c r="O909">
        <v>0.35</v>
      </c>
      <c r="P909">
        <v>1922.59</v>
      </c>
      <c r="Q909" t="s">
        <v>51</v>
      </c>
      <c r="R909" t="s">
        <v>48</v>
      </c>
      <c r="S909">
        <v>9</v>
      </c>
    </row>
    <row r="910" spans="1:19" x14ac:dyDescent="0.3">
      <c r="A910" t="s">
        <v>1865</v>
      </c>
      <c r="B910">
        <v>45835</v>
      </c>
      <c r="C910" t="s">
        <v>30</v>
      </c>
      <c r="D910" t="s">
        <v>21</v>
      </c>
      <c r="E910" t="s">
        <v>67</v>
      </c>
      <c r="F910" t="s">
        <v>103</v>
      </c>
      <c r="G910" t="s">
        <v>92</v>
      </c>
      <c r="H910" t="s">
        <v>243</v>
      </c>
      <c r="I910" t="s">
        <v>1866</v>
      </c>
      <c r="J910">
        <v>8</v>
      </c>
      <c r="K910">
        <v>38228</v>
      </c>
      <c r="L910">
        <v>0.21</v>
      </c>
      <c r="M910">
        <f>'Raw data'!$K910*(1- 'Raw data'!$L910)</f>
        <v>30200.120000000003</v>
      </c>
      <c r="N910">
        <v>241600.96</v>
      </c>
      <c r="O910">
        <v>0.15</v>
      </c>
      <c r="P910">
        <v>36240.14</v>
      </c>
      <c r="Q910" t="s">
        <v>47</v>
      </c>
      <c r="R910" t="s">
        <v>38</v>
      </c>
      <c r="S910">
        <v>8</v>
      </c>
    </row>
    <row r="911" spans="1:19" x14ac:dyDescent="0.3">
      <c r="A911" t="s">
        <v>1867</v>
      </c>
      <c r="B911">
        <v>45836</v>
      </c>
      <c r="C911" t="s">
        <v>30</v>
      </c>
      <c r="D911" t="s">
        <v>56</v>
      </c>
      <c r="E911" t="s">
        <v>67</v>
      </c>
      <c r="F911" t="s">
        <v>103</v>
      </c>
      <c r="G911" t="s">
        <v>57</v>
      </c>
      <c r="H911" t="s">
        <v>81</v>
      </c>
      <c r="I911" t="s">
        <v>1868</v>
      </c>
      <c r="J911">
        <v>8</v>
      </c>
      <c r="K911">
        <v>3753</v>
      </c>
      <c r="L911">
        <v>0.01</v>
      </c>
      <c r="M911">
        <f>'Raw data'!$K911*(1- 'Raw data'!$L911)</f>
        <v>3715.47</v>
      </c>
      <c r="N911">
        <v>29723.759999999998</v>
      </c>
      <c r="O911">
        <v>0.2</v>
      </c>
      <c r="P911">
        <v>5944.75</v>
      </c>
      <c r="Q911" t="s">
        <v>47</v>
      </c>
      <c r="R911" t="s">
        <v>48</v>
      </c>
      <c r="S911">
        <v>3</v>
      </c>
    </row>
    <row r="912" spans="1:19" x14ac:dyDescent="0.3">
      <c r="A912" t="s">
        <v>1869</v>
      </c>
      <c r="B912">
        <v>45837</v>
      </c>
      <c r="C912" t="s">
        <v>55</v>
      </c>
      <c r="D912" t="s">
        <v>31</v>
      </c>
      <c r="E912" t="s">
        <v>22</v>
      </c>
      <c r="F912" t="s">
        <v>43</v>
      </c>
      <c r="G912" t="s">
        <v>24</v>
      </c>
      <c r="H912" t="s">
        <v>121</v>
      </c>
      <c r="I912" t="s">
        <v>1265</v>
      </c>
      <c r="J912">
        <v>4</v>
      </c>
      <c r="K912">
        <v>9100</v>
      </c>
      <c r="L912">
        <v>0.1</v>
      </c>
      <c r="M912">
        <f>'Raw data'!$K912*(1- 'Raw data'!$L912)</f>
        <v>8190</v>
      </c>
      <c r="N912">
        <v>32760</v>
      </c>
      <c r="O912">
        <v>0.25</v>
      </c>
      <c r="P912">
        <v>8190</v>
      </c>
      <c r="Q912" t="s">
        <v>27</v>
      </c>
      <c r="R912" t="s">
        <v>48</v>
      </c>
      <c r="S912">
        <v>5</v>
      </c>
    </row>
    <row r="913" spans="1:19" x14ac:dyDescent="0.3">
      <c r="A913" t="s">
        <v>1870</v>
      </c>
      <c r="B913">
        <v>45838</v>
      </c>
      <c r="C913" t="s">
        <v>55</v>
      </c>
      <c r="D913" t="s">
        <v>21</v>
      </c>
      <c r="E913" t="s">
        <v>22</v>
      </c>
      <c r="F913" t="s">
        <v>68</v>
      </c>
      <c r="G913" t="s">
        <v>44</v>
      </c>
      <c r="H913" t="s">
        <v>116</v>
      </c>
      <c r="I913" t="s">
        <v>1871</v>
      </c>
      <c r="J913">
        <v>3</v>
      </c>
      <c r="K913">
        <v>2852</v>
      </c>
      <c r="L913">
        <v>0.04</v>
      </c>
      <c r="M913">
        <f>'Raw data'!$K913*(1- 'Raw data'!$L913)</f>
        <v>2737.92</v>
      </c>
      <c r="N913">
        <v>8213.76</v>
      </c>
      <c r="O913">
        <v>0.35</v>
      </c>
      <c r="P913">
        <v>2874.82</v>
      </c>
      <c r="Q913" t="s">
        <v>51</v>
      </c>
      <c r="R913" t="s">
        <v>48</v>
      </c>
      <c r="S913">
        <v>9</v>
      </c>
    </row>
    <row r="914" spans="1:19" x14ac:dyDescent="0.3">
      <c r="A914" t="s">
        <v>1872</v>
      </c>
      <c r="B914">
        <v>45839</v>
      </c>
      <c r="C914" t="s">
        <v>40</v>
      </c>
      <c r="D914" t="s">
        <v>31</v>
      </c>
      <c r="E914" t="s">
        <v>42</v>
      </c>
      <c r="F914" t="s">
        <v>33</v>
      </c>
      <c r="G914" t="s">
        <v>44</v>
      </c>
      <c r="H914" t="s">
        <v>116</v>
      </c>
      <c r="I914" t="s">
        <v>1873</v>
      </c>
      <c r="J914">
        <v>2</v>
      </c>
      <c r="K914">
        <v>2438</v>
      </c>
      <c r="L914">
        <v>0.22</v>
      </c>
      <c r="M914">
        <f>'Raw data'!$K914*(1- 'Raw data'!$L914)</f>
        <v>1901.64</v>
      </c>
      <c r="N914">
        <v>3803.28</v>
      </c>
      <c r="O914">
        <v>0.35</v>
      </c>
      <c r="P914">
        <v>1331.15</v>
      </c>
      <c r="Q914" t="s">
        <v>37</v>
      </c>
      <c r="R914" t="s">
        <v>48</v>
      </c>
      <c r="S914">
        <v>1</v>
      </c>
    </row>
    <row r="915" spans="1:19" x14ac:dyDescent="0.3">
      <c r="A915" t="s">
        <v>1874</v>
      </c>
      <c r="B915">
        <v>45840</v>
      </c>
      <c r="C915" t="s">
        <v>55</v>
      </c>
      <c r="D915" t="s">
        <v>21</v>
      </c>
      <c r="E915" t="s">
        <v>22</v>
      </c>
      <c r="F915" t="s">
        <v>43</v>
      </c>
      <c r="G915" t="s">
        <v>92</v>
      </c>
      <c r="H915" t="s">
        <v>109</v>
      </c>
      <c r="I915" t="s">
        <v>1875</v>
      </c>
      <c r="J915">
        <v>9</v>
      </c>
      <c r="K915">
        <v>67714</v>
      </c>
      <c r="L915">
        <v>0.14000000000000001</v>
      </c>
      <c r="M915">
        <f>'Raw data'!$K915*(1- 'Raw data'!$L915)</f>
        <v>58234.04</v>
      </c>
      <c r="N915">
        <v>524106.36</v>
      </c>
      <c r="O915">
        <v>0.15</v>
      </c>
      <c r="P915">
        <v>78615.95</v>
      </c>
      <c r="Q915" t="s">
        <v>27</v>
      </c>
      <c r="R915" t="s">
        <v>48</v>
      </c>
      <c r="S915">
        <v>9</v>
      </c>
    </row>
    <row r="916" spans="1:19" x14ac:dyDescent="0.3">
      <c r="A916" t="s">
        <v>1876</v>
      </c>
      <c r="B916">
        <v>45841</v>
      </c>
      <c r="C916" t="s">
        <v>20</v>
      </c>
      <c r="D916" t="s">
        <v>21</v>
      </c>
      <c r="E916" t="s">
        <v>67</v>
      </c>
      <c r="F916" t="s">
        <v>23</v>
      </c>
      <c r="G916" t="s">
        <v>24</v>
      </c>
      <c r="H916" t="s">
        <v>121</v>
      </c>
      <c r="I916" t="s">
        <v>1877</v>
      </c>
      <c r="J916">
        <v>1</v>
      </c>
      <c r="K916">
        <v>6976</v>
      </c>
      <c r="L916">
        <v>0.06</v>
      </c>
      <c r="M916">
        <f>'Raw data'!$K916*(1- 'Raw data'!$L916)</f>
        <v>6557.44</v>
      </c>
      <c r="N916">
        <v>6557.44</v>
      </c>
      <c r="O916">
        <v>0.25</v>
      </c>
      <c r="P916">
        <v>1639.36</v>
      </c>
      <c r="Q916" t="s">
        <v>27</v>
      </c>
      <c r="R916" t="s">
        <v>48</v>
      </c>
      <c r="S916">
        <v>4</v>
      </c>
    </row>
    <row r="917" spans="1:19" x14ac:dyDescent="0.3">
      <c r="A917" t="s">
        <v>1878</v>
      </c>
      <c r="B917">
        <v>45842</v>
      </c>
      <c r="C917" t="s">
        <v>55</v>
      </c>
      <c r="D917" t="s">
        <v>56</v>
      </c>
      <c r="E917" t="s">
        <v>32</v>
      </c>
      <c r="F917" t="s">
        <v>97</v>
      </c>
      <c r="G917" t="s">
        <v>34</v>
      </c>
      <c r="H917" t="s">
        <v>141</v>
      </c>
      <c r="I917" t="s">
        <v>608</v>
      </c>
      <c r="J917">
        <v>7</v>
      </c>
      <c r="K917">
        <v>1052</v>
      </c>
      <c r="L917">
        <v>0.13</v>
      </c>
      <c r="M917">
        <f>'Raw data'!$K917*(1- 'Raw data'!$L917)</f>
        <v>915.24</v>
      </c>
      <c r="N917">
        <v>6406.68</v>
      </c>
      <c r="O917">
        <v>0.4</v>
      </c>
      <c r="P917">
        <v>2562.67</v>
      </c>
      <c r="Q917" t="s">
        <v>37</v>
      </c>
      <c r="R917" t="s">
        <v>48</v>
      </c>
      <c r="S917">
        <v>4</v>
      </c>
    </row>
    <row r="918" spans="1:19" x14ac:dyDescent="0.3">
      <c r="A918" t="s">
        <v>1879</v>
      </c>
      <c r="B918">
        <v>45843</v>
      </c>
      <c r="C918" t="s">
        <v>20</v>
      </c>
      <c r="D918" t="s">
        <v>41</v>
      </c>
      <c r="E918" t="s">
        <v>22</v>
      </c>
      <c r="F918" t="s">
        <v>43</v>
      </c>
      <c r="G918" t="s">
        <v>44</v>
      </c>
      <c r="H918" t="s">
        <v>45</v>
      </c>
      <c r="I918" t="s">
        <v>1426</v>
      </c>
      <c r="J918">
        <v>5</v>
      </c>
      <c r="K918">
        <v>4979</v>
      </c>
      <c r="L918">
        <v>0.18</v>
      </c>
      <c r="M918">
        <f>'Raw data'!$K918*(1- 'Raw data'!$L918)</f>
        <v>4082.78</v>
      </c>
      <c r="N918">
        <v>20413.900000000001</v>
      </c>
      <c r="O918">
        <v>0.35</v>
      </c>
      <c r="P918">
        <v>7144.86</v>
      </c>
      <c r="Q918" t="s">
        <v>47</v>
      </c>
      <c r="R918" t="s">
        <v>48</v>
      </c>
      <c r="S918">
        <v>4</v>
      </c>
    </row>
    <row r="919" spans="1:19" x14ac:dyDescent="0.3">
      <c r="A919" t="s">
        <v>1880</v>
      </c>
      <c r="B919">
        <v>45844</v>
      </c>
      <c r="C919" t="s">
        <v>55</v>
      </c>
      <c r="D919" t="s">
        <v>41</v>
      </c>
      <c r="E919" t="s">
        <v>22</v>
      </c>
      <c r="F919" t="s">
        <v>103</v>
      </c>
      <c r="G919" t="s">
        <v>92</v>
      </c>
      <c r="H919" t="s">
        <v>178</v>
      </c>
      <c r="I919" t="s">
        <v>1881</v>
      </c>
      <c r="J919">
        <v>8</v>
      </c>
      <c r="K919">
        <v>52891</v>
      </c>
      <c r="L919">
        <v>0.24</v>
      </c>
      <c r="M919">
        <f>'Raw data'!$K919*(1- 'Raw data'!$L919)</f>
        <v>40197.160000000003</v>
      </c>
      <c r="N919">
        <v>321577.28000000003</v>
      </c>
      <c r="O919">
        <v>0.15</v>
      </c>
      <c r="P919">
        <v>48236.59</v>
      </c>
      <c r="Q919" t="s">
        <v>37</v>
      </c>
      <c r="R919" t="s">
        <v>48</v>
      </c>
      <c r="S919">
        <v>9</v>
      </c>
    </row>
    <row r="920" spans="1:19" x14ac:dyDescent="0.3">
      <c r="A920" t="s">
        <v>1882</v>
      </c>
      <c r="B920">
        <v>45845</v>
      </c>
      <c r="C920" t="s">
        <v>40</v>
      </c>
      <c r="D920" t="s">
        <v>21</v>
      </c>
      <c r="E920" t="s">
        <v>42</v>
      </c>
      <c r="F920" t="s">
        <v>103</v>
      </c>
      <c r="G920" t="s">
        <v>34</v>
      </c>
      <c r="H920" t="s">
        <v>35</v>
      </c>
      <c r="I920" t="s">
        <v>1883</v>
      </c>
      <c r="J920">
        <v>4</v>
      </c>
      <c r="K920">
        <v>644</v>
      </c>
      <c r="L920">
        <v>0.06</v>
      </c>
      <c r="M920">
        <f>'Raw data'!$K920*(1- 'Raw data'!$L920)</f>
        <v>605.36</v>
      </c>
      <c r="N920">
        <v>2421.44</v>
      </c>
      <c r="O920">
        <v>0.4</v>
      </c>
      <c r="P920">
        <v>968.58</v>
      </c>
      <c r="Q920" t="s">
        <v>51</v>
      </c>
      <c r="R920" t="s">
        <v>48</v>
      </c>
      <c r="S920">
        <v>6</v>
      </c>
    </row>
    <row r="921" spans="1:19" x14ac:dyDescent="0.3">
      <c r="A921" t="s">
        <v>1884</v>
      </c>
      <c r="B921">
        <v>45846</v>
      </c>
      <c r="C921" t="s">
        <v>20</v>
      </c>
      <c r="D921" t="s">
        <v>56</v>
      </c>
      <c r="E921" t="s">
        <v>42</v>
      </c>
      <c r="F921" t="s">
        <v>43</v>
      </c>
      <c r="G921" t="s">
        <v>24</v>
      </c>
      <c r="H921" t="s">
        <v>121</v>
      </c>
      <c r="I921" t="s">
        <v>1885</v>
      </c>
      <c r="J921">
        <v>7</v>
      </c>
      <c r="K921">
        <v>9616</v>
      </c>
      <c r="L921">
        <v>0.22</v>
      </c>
      <c r="M921">
        <f>'Raw data'!$K921*(1- 'Raw data'!$L921)</f>
        <v>7500.4800000000005</v>
      </c>
      <c r="N921">
        <v>52503.360000000001</v>
      </c>
      <c r="O921">
        <v>0.25</v>
      </c>
      <c r="P921">
        <v>13125.84</v>
      </c>
      <c r="Q921" t="s">
        <v>37</v>
      </c>
      <c r="R921" t="s">
        <v>48</v>
      </c>
      <c r="S921">
        <v>8</v>
      </c>
    </row>
    <row r="922" spans="1:19" x14ac:dyDescent="0.3">
      <c r="A922" t="s">
        <v>1886</v>
      </c>
      <c r="B922">
        <v>45847</v>
      </c>
      <c r="C922" t="s">
        <v>96</v>
      </c>
      <c r="D922" t="s">
        <v>31</v>
      </c>
      <c r="E922" t="s">
        <v>22</v>
      </c>
      <c r="F922" t="s">
        <v>97</v>
      </c>
      <c r="G922" t="s">
        <v>44</v>
      </c>
      <c r="H922" t="s">
        <v>116</v>
      </c>
      <c r="I922" t="s">
        <v>1887</v>
      </c>
      <c r="J922">
        <v>5</v>
      </c>
      <c r="K922">
        <v>1394</v>
      </c>
      <c r="L922">
        <v>0.23</v>
      </c>
      <c r="M922">
        <f>'Raw data'!$K922*(1- 'Raw data'!$L922)</f>
        <v>1073.3800000000001</v>
      </c>
      <c r="N922">
        <v>5366.9</v>
      </c>
      <c r="O922">
        <v>0.35</v>
      </c>
      <c r="P922">
        <v>1878.41</v>
      </c>
      <c r="Q922" t="s">
        <v>47</v>
      </c>
      <c r="R922" t="s">
        <v>48</v>
      </c>
      <c r="S922">
        <v>4</v>
      </c>
    </row>
    <row r="923" spans="1:19" x14ac:dyDescent="0.3">
      <c r="A923" t="s">
        <v>1888</v>
      </c>
      <c r="B923">
        <v>45848</v>
      </c>
      <c r="C923" t="s">
        <v>20</v>
      </c>
      <c r="D923" t="s">
        <v>31</v>
      </c>
      <c r="E923" t="s">
        <v>67</v>
      </c>
      <c r="F923" t="s">
        <v>43</v>
      </c>
      <c r="G923" t="s">
        <v>34</v>
      </c>
      <c r="H923" t="s">
        <v>35</v>
      </c>
      <c r="I923" t="s">
        <v>1889</v>
      </c>
      <c r="J923">
        <v>5</v>
      </c>
      <c r="K923">
        <v>689</v>
      </c>
      <c r="L923">
        <v>0.23</v>
      </c>
      <c r="M923">
        <f>'Raw data'!$K923*(1- 'Raw data'!$L923)</f>
        <v>530.53</v>
      </c>
      <c r="N923">
        <v>2652.65</v>
      </c>
      <c r="O923">
        <v>0.4</v>
      </c>
      <c r="P923">
        <v>1061.06</v>
      </c>
      <c r="Q923" t="s">
        <v>37</v>
      </c>
      <c r="R923" t="s">
        <v>48</v>
      </c>
      <c r="S923">
        <v>3</v>
      </c>
    </row>
    <row r="924" spans="1:19" x14ac:dyDescent="0.3">
      <c r="A924" t="s">
        <v>1890</v>
      </c>
      <c r="B924">
        <v>45849</v>
      </c>
      <c r="C924" t="s">
        <v>40</v>
      </c>
      <c r="D924" t="s">
        <v>21</v>
      </c>
      <c r="E924" t="s">
        <v>67</v>
      </c>
      <c r="F924" t="s">
        <v>97</v>
      </c>
      <c r="G924" t="s">
        <v>34</v>
      </c>
      <c r="H924" t="s">
        <v>104</v>
      </c>
      <c r="I924" t="s">
        <v>1891</v>
      </c>
      <c r="J924">
        <v>9</v>
      </c>
      <c r="K924">
        <v>1216</v>
      </c>
      <c r="L924">
        <v>0.16</v>
      </c>
      <c r="M924">
        <f>'Raw data'!$K924*(1- 'Raw data'!$L924)</f>
        <v>1021.4399999999999</v>
      </c>
      <c r="N924">
        <v>9192.9599999999991</v>
      </c>
      <c r="O924">
        <v>0.4</v>
      </c>
      <c r="P924">
        <v>3677.18</v>
      </c>
      <c r="Q924" t="s">
        <v>47</v>
      </c>
      <c r="R924" t="s">
        <v>48</v>
      </c>
      <c r="S924">
        <v>1</v>
      </c>
    </row>
    <row r="925" spans="1:19" x14ac:dyDescent="0.3">
      <c r="A925" t="s">
        <v>1892</v>
      </c>
      <c r="B925">
        <v>45850</v>
      </c>
      <c r="C925" t="s">
        <v>63</v>
      </c>
      <c r="D925" t="s">
        <v>41</v>
      </c>
      <c r="E925" t="s">
        <v>32</v>
      </c>
      <c r="F925" t="s">
        <v>97</v>
      </c>
      <c r="G925" t="s">
        <v>34</v>
      </c>
      <c r="H925" t="s">
        <v>35</v>
      </c>
      <c r="I925" t="s">
        <v>1893</v>
      </c>
      <c r="J925">
        <v>9</v>
      </c>
      <c r="K925">
        <v>526</v>
      </c>
      <c r="L925">
        <v>0.16</v>
      </c>
      <c r="M925">
        <f>'Raw data'!$K925*(1- 'Raw data'!$L925)</f>
        <v>441.84</v>
      </c>
      <c r="N925">
        <v>3976.56</v>
      </c>
      <c r="O925">
        <v>0.4</v>
      </c>
      <c r="P925">
        <v>1590.62</v>
      </c>
      <c r="Q925" t="s">
        <v>47</v>
      </c>
      <c r="R925" t="s">
        <v>48</v>
      </c>
      <c r="S925">
        <v>7</v>
      </c>
    </row>
    <row r="926" spans="1:19" x14ac:dyDescent="0.3">
      <c r="A926" t="s">
        <v>1894</v>
      </c>
      <c r="B926">
        <v>45851</v>
      </c>
      <c r="C926" t="s">
        <v>20</v>
      </c>
      <c r="D926" t="s">
        <v>56</v>
      </c>
      <c r="E926" t="s">
        <v>22</v>
      </c>
      <c r="F926" t="s">
        <v>23</v>
      </c>
      <c r="G926" t="s">
        <v>44</v>
      </c>
      <c r="H926" t="s">
        <v>138</v>
      </c>
      <c r="I926" t="s">
        <v>332</v>
      </c>
      <c r="J926">
        <v>9</v>
      </c>
      <c r="K926">
        <v>1097</v>
      </c>
      <c r="L926">
        <v>0.1</v>
      </c>
      <c r="M926">
        <f>'Raw data'!$K926*(1- 'Raw data'!$L926)</f>
        <v>987.30000000000007</v>
      </c>
      <c r="N926">
        <v>8885.7000000000007</v>
      </c>
      <c r="O926">
        <v>0.35</v>
      </c>
      <c r="P926">
        <v>3110</v>
      </c>
      <c r="Q926" t="s">
        <v>51</v>
      </c>
      <c r="R926" t="s">
        <v>48</v>
      </c>
      <c r="S926">
        <v>4</v>
      </c>
    </row>
    <row r="927" spans="1:19" x14ac:dyDescent="0.3">
      <c r="A927" t="s">
        <v>1895</v>
      </c>
      <c r="B927">
        <v>45852</v>
      </c>
      <c r="C927" t="s">
        <v>55</v>
      </c>
      <c r="D927" t="s">
        <v>41</v>
      </c>
      <c r="E927" t="s">
        <v>42</v>
      </c>
      <c r="F927" t="s">
        <v>33</v>
      </c>
      <c r="G927" t="s">
        <v>44</v>
      </c>
      <c r="H927" t="s">
        <v>116</v>
      </c>
      <c r="I927" t="s">
        <v>620</v>
      </c>
      <c r="J927">
        <v>6</v>
      </c>
      <c r="K927">
        <v>3562</v>
      </c>
      <c r="L927">
        <v>0.19</v>
      </c>
      <c r="M927">
        <f>'Raw data'!$K927*(1- 'Raw data'!$L927)</f>
        <v>2885.2200000000003</v>
      </c>
      <c r="N927">
        <v>17311.32</v>
      </c>
      <c r="O927">
        <v>0.35</v>
      </c>
      <c r="P927">
        <v>6058.96</v>
      </c>
      <c r="Q927" t="s">
        <v>37</v>
      </c>
      <c r="R927" t="s">
        <v>28</v>
      </c>
      <c r="S927">
        <v>8</v>
      </c>
    </row>
    <row r="928" spans="1:19" x14ac:dyDescent="0.3">
      <c r="A928" t="s">
        <v>1896</v>
      </c>
      <c r="B928">
        <v>45853</v>
      </c>
      <c r="C928" t="s">
        <v>55</v>
      </c>
      <c r="D928" t="s">
        <v>31</v>
      </c>
      <c r="E928" t="s">
        <v>67</v>
      </c>
      <c r="F928" t="s">
        <v>103</v>
      </c>
      <c r="G928" t="s">
        <v>57</v>
      </c>
      <c r="H928" t="s">
        <v>183</v>
      </c>
      <c r="I928" t="s">
        <v>1897</v>
      </c>
      <c r="J928">
        <v>6</v>
      </c>
      <c r="K928">
        <v>4336</v>
      </c>
      <c r="L928">
        <v>0.13</v>
      </c>
      <c r="M928">
        <f>'Raw data'!$K928*(1- 'Raw data'!$L928)</f>
        <v>3772.32</v>
      </c>
      <c r="N928">
        <v>22633.919999999998</v>
      </c>
      <c r="O928">
        <v>0.2</v>
      </c>
      <c r="P928">
        <v>4526.78</v>
      </c>
      <c r="Q928" t="s">
        <v>37</v>
      </c>
      <c r="R928" t="s">
        <v>38</v>
      </c>
      <c r="S928">
        <v>3</v>
      </c>
    </row>
    <row r="929" spans="1:19" x14ac:dyDescent="0.3">
      <c r="A929" t="s">
        <v>1898</v>
      </c>
      <c r="B929">
        <v>45854</v>
      </c>
      <c r="C929" t="s">
        <v>63</v>
      </c>
      <c r="D929" t="s">
        <v>41</v>
      </c>
      <c r="E929" t="s">
        <v>32</v>
      </c>
      <c r="F929" t="s">
        <v>103</v>
      </c>
      <c r="G929" t="s">
        <v>24</v>
      </c>
      <c r="H929" t="s">
        <v>121</v>
      </c>
      <c r="I929" t="s">
        <v>1899</v>
      </c>
      <c r="J929">
        <v>5</v>
      </c>
      <c r="K929">
        <v>13880</v>
      </c>
      <c r="L929">
        <v>0.17</v>
      </c>
      <c r="M929">
        <f>'Raw data'!$K929*(1- 'Raw data'!$L929)</f>
        <v>11520.4</v>
      </c>
      <c r="N929">
        <v>57602</v>
      </c>
      <c r="O929">
        <v>0.25</v>
      </c>
      <c r="P929">
        <v>14400.5</v>
      </c>
      <c r="Q929" t="s">
        <v>51</v>
      </c>
      <c r="R929" t="s">
        <v>48</v>
      </c>
      <c r="S929">
        <v>1</v>
      </c>
    </row>
    <row r="930" spans="1:19" x14ac:dyDescent="0.3">
      <c r="A930" t="s">
        <v>1900</v>
      </c>
      <c r="B930">
        <v>45855</v>
      </c>
      <c r="C930" t="s">
        <v>40</v>
      </c>
      <c r="D930" t="s">
        <v>31</v>
      </c>
      <c r="E930" t="s">
        <v>22</v>
      </c>
      <c r="F930" t="s">
        <v>97</v>
      </c>
      <c r="G930" t="s">
        <v>92</v>
      </c>
      <c r="H930" t="s">
        <v>93</v>
      </c>
      <c r="I930" t="s">
        <v>1901</v>
      </c>
      <c r="J930">
        <v>9</v>
      </c>
      <c r="K930">
        <v>17521</v>
      </c>
      <c r="L930">
        <v>0.11</v>
      </c>
      <c r="M930">
        <f>'Raw data'!$K930*(1- 'Raw data'!$L930)</f>
        <v>15593.69</v>
      </c>
      <c r="N930">
        <v>140343.21</v>
      </c>
      <c r="O930">
        <v>0.15</v>
      </c>
      <c r="P930">
        <v>21051.48</v>
      </c>
      <c r="Q930" t="s">
        <v>47</v>
      </c>
      <c r="R930" t="s">
        <v>48</v>
      </c>
      <c r="S930">
        <v>5</v>
      </c>
    </row>
    <row r="931" spans="1:19" x14ac:dyDescent="0.3">
      <c r="A931" t="s">
        <v>1902</v>
      </c>
      <c r="B931">
        <v>45856</v>
      </c>
      <c r="C931" t="s">
        <v>30</v>
      </c>
      <c r="D931" t="s">
        <v>56</v>
      </c>
      <c r="E931" t="s">
        <v>67</v>
      </c>
      <c r="F931" t="s">
        <v>103</v>
      </c>
      <c r="G931" t="s">
        <v>34</v>
      </c>
      <c r="H931" t="s">
        <v>141</v>
      </c>
      <c r="I931" t="s">
        <v>1903</v>
      </c>
      <c r="J931">
        <v>8</v>
      </c>
      <c r="K931">
        <v>227</v>
      </c>
      <c r="L931">
        <v>0.18</v>
      </c>
      <c r="M931">
        <f>'Raw data'!$K931*(1- 'Raw data'!$L931)</f>
        <v>186.14000000000001</v>
      </c>
      <c r="N931">
        <v>1489.12</v>
      </c>
      <c r="O931">
        <v>0.4</v>
      </c>
      <c r="P931">
        <v>595.65</v>
      </c>
      <c r="Q931" t="s">
        <v>37</v>
      </c>
      <c r="R931" t="s">
        <v>38</v>
      </c>
      <c r="S931">
        <v>2</v>
      </c>
    </row>
    <row r="932" spans="1:19" x14ac:dyDescent="0.3">
      <c r="A932" t="s">
        <v>1904</v>
      </c>
      <c r="B932">
        <v>45857</v>
      </c>
      <c r="C932" t="s">
        <v>55</v>
      </c>
      <c r="D932" t="s">
        <v>56</v>
      </c>
      <c r="E932" t="s">
        <v>22</v>
      </c>
      <c r="F932" t="s">
        <v>68</v>
      </c>
      <c r="G932" t="s">
        <v>57</v>
      </c>
      <c r="H932" t="s">
        <v>100</v>
      </c>
      <c r="I932" t="s">
        <v>1905</v>
      </c>
      <c r="J932">
        <v>7</v>
      </c>
      <c r="K932">
        <v>15992</v>
      </c>
      <c r="L932">
        <v>0.21</v>
      </c>
      <c r="M932">
        <f>'Raw data'!$K932*(1- 'Raw data'!$L932)</f>
        <v>12633.68</v>
      </c>
      <c r="N932">
        <v>88435.76</v>
      </c>
      <c r="O932">
        <v>0.2</v>
      </c>
      <c r="P932">
        <v>17687.150000000001</v>
      </c>
      <c r="Q932" t="s">
        <v>51</v>
      </c>
      <c r="R932" t="s">
        <v>48</v>
      </c>
      <c r="S932">
        <v>3</v>
      </c>
    </row>
    <row r="933" spans="1:19" x14ac:dyDescent="0.3">
      <c r="A933" t="s">
        <v>1906</v>
      </c>
      <c r="B933">
        <v>45858</v>
      </c>
      <c r="C933" t="s">
        <v>96</v>
      </c>
      <c r="D933" t="s">
        <v>21</v>
      </c>
      <c r="E933" t="s">
        <v>22</v>
      </c>
      <c r="F933" t="s">
        <v>97</v>
      </c>
      <c r="G933" t="s">
        <v>92</v>
      </c>
      <c r="H933" t="s">
        <v>178</v>
      </c>
      <c r="I933" t="s">
        <v>1907</v>
      </c>
      <c r="J933">
        <v>7</v>
      </c>
      <c r="K933">
        <v>65718</v>
      </c>
      <c r="L933">
        <v>0.04</v>
      </c>
      <c r="M933">
        <f>'Raw data'!$K933*(1- 'Raw data'!$L933)</f>
        <v>63089.279999999999</v>
      </c>
      <c r="N933">
        <v>441624.96</v>
      </c>
      <c r="O933">
        <v>0.15</v>
      </c>
      <c r="P933">
        <v>66243.740000000005</v>
      </c>
      <c r="Q933" t="s">
        <v>47</v>
      </c>
      <c r="R933" t="s">
        <v>48</v>
      </c>
      <c r="S933">
        <v>6</v>
      </c>
    </row>
    <row r="934" spans="1:19" x14ac:dyDescent="0.3">
      <c r="A934" t="s">
        <v>1908</v>
      </c>
      <c r="B934">
        <v>45859</v>
      </c>
      <c r="C934" t="s">
        <v>40</v>
      </c>
      <c r="D934" t="s">
        <v>21</v>
      </c>
      <c r="E934" t="s">
        <v>67</v>
      </c>
      <c r="F934" t="s">
        <v>103</v>
      </c>
      <c r="G934" t="s">
        <v>57</v>
      </c>
      <c r="H934" t="s">
        <v>81</v>
      </c>
      <c r="I934" t="s">
        <v>1909</v>
      </c>
      <c r="J934">
        <v>6</v>
      </c>
      <c r="K934">
        <v>13861</v>
      </c>
      <c r="L934">
        <v>0.21</v>
      </c>
      <c r="M934">
        <f>'Raw data'!$K934*(1- 'Raw data'!$L934)</f>
        <v>10950.19</v>
      </c>
      <c r="N934">
        <v>65701.14</v>
      </c>
      <c r="O934">
        <v>0.2</v>
      </c>
      <c r="P934">
        <v>13140.23</v>
      </c>
      <c r="Q934" t="s">
        <v>51</v>
      </c>
      <c r="R934" t="s">
        <v>48</v>
      </c>
      <c r="S934">
        <v>3</v>
      </c>
    </row>
    <row r="935" spans="1:19" x14ac:dyDescent="0.3">
      <c r="A935" t="s">
        <v>1910</v>
      </c>
      <c r="B935">
        <v>45860</v>
      </c>
      <c r="C935" t="s">
        <v>20</v>
      </c>
      <c r="D935" t="s">
        <v>41</v>
      </c>
      <c r="E935" t="s">
        <v>67</v>
      </c>
      <c r="F935" t="s">
        <v>68</v>
      </c>
      <c r="G935" t="s">
        <v>44</v>
      </c>
      <c r="H935" t="s">
        <v>45</v>
      </c>
      <c r="I935" t="s">
        <v>1911</v>
      </c>
      <c r="J935">
        <v>5</v>
      </c>
      <c r="K935">
        <v>4772</v>
      </c>
      <c r="L935">
        <v>0.14000000000000001</v>
      </c>
      <c r="M935">
        <f>'Raw data'!$K935*(1- 'Raw data'!$L935)</f>
        <v>4103.92</v>
      </c>
      <c r="N935">
        <v>20519.599999999999</v>
      </c>
      <c r="O935">
        <v>0.35</v>
      </c>
      <c r="P935">
        <v>7181.86</v>
      </c>
      <c r="Q935" t="s">
        <v>37</v>
      </c>
      <c r="R935" t="s">
        <v>48</v>
      </c>
      <c r="S935">
        <v>3</v>
      </c>
    </row>
    <row r="936" spans="1:19" x14ac:dyDescent="0.3">
      <c r="A936" t="s">
        <v>1912</v>
      </c>
      <c r="B936">
        <v>45861</v>
      </c>
      <c r="C936" t="s">
        <v>20</v>
      </c>
      <c r="D936" t="s">
        <v>56</v>
      </c>
      <c r="E936" t="s">
        <v>67</v>
      </c>
      <c r="F936" t="s">
        <v>23</v>
      </c>
      <c r="G936" t="s">
        <v>34</v>
      </c>
      <c r="H936" t="s">
        <v>104</v>
      </c>
      <c r="I936" t="s">
        <v>1913</v>
      </c>
      <c r="J936">
        <v>4</v>
      </c>
      <c r="K936">
        <v>728</v>
      </c>
      <c r="L936">
        <v>0.21</v>
      </c>
      <c r="M936">
        <f>'Raw data'!$K936*(1- 'Raw data'!$L936)</f>
        <v>575.12</v>
      </c>
      <c r="N936">
        <v>2300.48</v>
      </c>
      <c r="O936">
        <v>0.4</v>
      </c>
      <c r="P936">
        <v>920.19</v>
      </c>
      <c r="Q936" t="s">
        <v>51</v>
      </c>
      <c r="R936" t="s">
        <v>28</v>
      </c>
      <c r="S936">
        <v>6</v>
      </c>
    </row>
    <row r="937" spans="1:19" x14ac:dyDescent="0.3">
      <c r="A937" t="s">
        <v>1914</v>
      </c>
      <c r="B937">
        <v>45862</v>
      </c>
      <c r="C937" t="s">
        <v>96</v>
      </c>
      <c r="D937" t="s">
        <v>56</v>
      </c>
      <c r="E937" t="s">
        <v>22</v>
      </c>
      <c r="F937" t="s">
        <v>103</v>
      </c>
      <c r="G937" t="s">
        <v>92</v>
      </c>
      <c r="H937" t="s">
        <v>93</v>
      </c>
      <c r="I937" t="s">
        <v>1915</v>
      </c>
      <c r="J937">
        <v>3</v>
      </c>
      <c r="K937">
        <v>77169</v>
      </c>
      <c r="L937">
        <v>0.11</v>
      </c>
      <c r="M937">
        <f>'Raw data'!$K937*(1- 'Raw data'!$L937)</f>
        <v>68680.41</v>
      </c>
      <c r="N937">
        <v>206041.23</v>
      </c>
      <c r="O937">
        <v>0.15</v>
      </c>
      <c r="P937">
        <v>30906.18</v>
      </c>
      <c r="Q937" t="s">
        <v>27</v>
      </c>
      <c r="R937" t="s">
        <v>48</v>
      </c>
      <c r="S937">
        <v>5</v>
      </c>
    </row>
    <row r="938" spans="1:19" x14ac:dyDescent="0.3">
      <c r="A938" t="s">
        <v>1916</v>
      </c>
      <c r="B938">
        <v>45863</v>
      </c>
      <c r="C938" t="s">
        <v>55</v>
      </c>
      <c r="D938" t="s">
        <v>21</v>
      </c>
      <c r="E938" t="s">
        <v>22</v>
      </c>
      <c r="F938" t="s">
        <v>68</v>
      </c>
      <c r="G938" t="s">
        <v>92</v>
      </c>
      <c r="H938" t="s">
        <v>178</v>
      </c>
      <c r="I938" t="s">
        <v>1917</v>
      </c>
      <c r="J938">
        <v>3</v>
      </c>
      <c r="K938">
        <v>60669</v>
      </c>
      <c r="L938">
        <v>0.09</v>
      </c>
      <c r="M938">
        <f>'Raw data'!$K938*(1- 'Raw data'!$L938)</f>
        <v>55208.79</v>
      </c>
      <c r="N938">
        <v>165626.37</v>
      </c>
      <c r="O938">
        <v>0.15</v>
      </c>
      <c r="P938">
        <v>24843.96</v>
      </c>
      <c r="Q938" t="s">
        <v>47</v>
      </c>
      <c r="R938" t="s">
        <v>48</v>
      </c>
      <c r="S938">
        <v>9</v>
      </c>
    </row>
    <row r="939" spans="1:19" x14ac:dyDescent="0.3">
      <c r="A939" t="s">
        <v>1918</v>
      </c>
      <c r="B939">
        <v>45864</v>
      </c>
      <c r="C939" t="s">
        <v>40</v>
      </c>
      <c r="D939" t="s">
        <v>31</v>
      </c>
      <c r="E939" t="s">
        <v>32</v>
      </c>
      <c r="F939" t="s">
        <v>43</v>
      </c>
      <c r="G939" t="s">
        <v>92</v>
      </c>
      <c r="H939" t="s">
        <v>93</v>
      </c>
      <c r="I939" t="s">
        <v>1919</v>
      </c>
      <c r="J939">
        <v>6</v>
      </c>
      <c r="K939">
        <v>79184</v>
      </c>
      <c r="L939">
        <v>0.23</v>
      </c>
      <c r="M939">
        <f>'Raw data'!$K939*(1- 'Raw data'!$L939)</f>
        <v>60971.68</v>
      </c>
      <c r="N939">
        <v>365830.08</v>
      </c>
      <c r="O939">
        <v>0.15</v>
      </c>
      <c r="P939">
        <v>54874.51</v>
      </c>
      <c r="Q939" t="s">
        <v>27</v>
      </c>
      <c r="R939" t="s">
        <v>48</v>
      </c>
      <c r="S939">
        <v>1</v>
      </c>
    </row>
    <row r="940" spans="1:19" x14ac:dyDescent="0.3">
      <c r="A940" t="s">
        <v>1920</v>
      </c>
      <c r="B940">
        <v>45865</v>
      </c>
      <c r="C940" t="s">
        <v>96</v>
      </c>
      <c r="D940" t="s">
        <v>41</v>
      </c>
      <c r="E940" t="s">
        <v>42</v>
      </c>
      <c r="F940" t="s">
        <v>33</v>
      </c>
      <c r="G940" t="s">
        <v>92</v>
      </c>
      <c r="H940" t="s">
        <v>243</v>
      </c>
      <c r="I940" t="s">
        <v>1921</v>
      </c>
      <c r="J940">
        <v>4</v>
      </c>
      <c r="K940">
        <v>57945</v>
      </c>
      <c r="L940">
        <v>0.06</v>
      </c>
      <c r="M940">
        <f>'Raw data'!$K940*(1- 'Raw data'!$L940)</f>
        <v>54468.299999999996</v>
      </c>
      <c r="N940">
        <v>217873.2</v>
      </c>
      <c r="O940">
        <v>0.15</v>
      </c>
      <c r="P940">
        <v>32680.98</v>
      </c>
      <c r="Q940" t="s">
        <v>27</v>
      </c>
      <c r="R940" t="s">
        <v>48</v>
      </c>
      <c r="S940">
        <v>3</v>
      </c>
    </row>
    <row r="941" spans="1:19" x14ac:dyDescent="0.3">
      <c r="A941" t="s">
        <v>1922</v>
      </c>
      <c r="B941">
        <v>45866</v>
      </c>
      <c r="C941" t="s">
        <v>55</v>
      </c>
      <c r="D941" t="s">
        <v>41</v>
      </c>
      <c r="E941" t="s">
        <v>22</v>
      </c>
      <c r="F941" t="s">
        <v>43</v>
      </c>
      <c r="G941" t="s">
        <v>92</v>
      </c>
      <c r="H941" t="s">
        <v>243</v>
      </c>
      <c r="I941" t="s">
        <v>1923</v>
      </c>
      <c r="J941">
        <v>6</v>
      </c>
      <c r="K941">
        <v>23140</v>
      </c>
      <c r="L941">
        <v>0.21</v>
      </c>
      <c r="M941">
        <f>'Raw data'!$K941*(1- 'Raw data'!$L941)</f>
        <v>18280.600000000002</v>
      </c>
      <c r="N941">
        <v>109683.6</v>
      </c>
      <c r="O941">
        <v>0.15</v>
      </c>
      <c r="P941">
        <v>16452.54</v>
      </c>
      <c r="Q941" t="s">
        <v>47</v>
      </c>
      <c r="R941" t="s">
        <v>38</v>
      </c>
      <c r="S941">
        <v>3</v>
      </c>
    </row>
    <row r="942" spans="1:19" x14ac:dyDescent="0.3">
      <c r="A942" t="s">
        <v>1924</v>
      </c>
      <c r="B942">
        <v>45867</v>
      </c>
      <c r="C942" t="s">
        <v>40</v>
      </c>
      <c r="D942" t="s">
        <v>21</v>
      </c>
      <c r="E942" t="s">
        <v>42</v>
      </c>
      <c r="F942" t="s">
        <v>68</v>
      </c>
      <c r="G942" t="s">
        <v>57</v>
      </c>
      <c r="H942" t="s">
        <v>100</v>
      </c>
      <c r="I942" t="s">
        <v>1925</v>
      </c>
      <c r="J942">
        <v>3</v>
      </c>
      <c r="K942">
        <v>19921</v>
      </c>
      <c r="L942">
        <v>0.12</v>
      </c>
      <c r="M942">
        <f>'Raw data'!$K942*(1- 'Raw data'!$L942)</f>
        <v>17530.48</v>
      </c>
      <c r="N942">
        <v>52591.44</v>
      </c>
      <c r="O942">
        <v>0.2</v>
      </c>
      <c r="P942">
        <v>10518.29</v>
      </c>
      <c r="Q942" t="s">
        <v>47</v>
      </c>
      <c r="R942" t="s">
        <v>48</v>
      </c>
      <c r="S942">
        <v>6</v>
      </c>
    </row>
    <row r="943" spans="1:19" x14ac:dyDescent="0.3">
      <c r="A943" t="s">
        <v>1926</v>
      </c>
      <c r="B943">
        <v>45868</v>
      </c>
      <c r="C943" t="s">
        <v>20</v>
      </c>
      <c r="D943" t="s">
        <v>56</v>
      </c>
      <c r="E943" t="s">
        <v>67</v>
      </c>
      <c r="F943" t="s">
        <v>97</v>
      </c>
      <c r="G943" t="s">
        <v>34</v>
      </c>
      <c r="H943" t="s">
        <v>141</v>
      </c>
      <c r="I943" t="s">
        <v>1927</v>
      </c>
      <c r="J943">
        <v>4</v>
      </c>
      <c r="K943">
        <v>221</v>
      </c>
      <c r="L943">
        <v>0.13</v>
      </c>
      <c r="M943">
        <f>'Raw data'!$K943*(1- 'Raw data'!$L943)</f>
        <v>192.27</v>
      </c>
      <c r="N943">
        <v>769.08</v>
      </c>
      <c r="O943">
        <v>0.4</v>
      </c>
      <c r="P943">
        <v>307.63</v>
      </c>
      <c r="Q943" t="s">
        <v>51</v>
      </c>
      <c r="R943" t="s">
        <v>48</v>
      </c>
      <c r="S943">
        <v>8</v>
      </c>
    </row>
    <row r="944" spans="1:19" x14ac:dyDescent="0.3">
      <c r="A944" t="s">
        <v>1928</v>
      </c>
      <c r="B944">
        <v>45869</v>
      </c>
      <c r="C944" t="s">
        <v>40</v>
      </c>
      <c r="D944" t="s">
        <v>21</v>
      </c>
      <c r="E944" t="s">
        <v>22</v>
      </c>
      <c r="F944" t="s">
        <v>97</v>
      </c>
      <c r="G944" t="s">
        <v>44</v>
      </c>
      <c r="H944" t="s">
        <v>116</v>
      </c>
      <c r="I944" t="s">
        <v>1929</v>
      </c>
      <c r="J944">
        <v>9</v>
      </c>
      <c r="K944">
        <v>3637</v>
      </c>
      <c r="L944">
        <v>0.08</v>
      </c>
      <c r="M944">
        <f>'Raw data'!$K944*(1- 'Raw data'!$L944)</f>
        <v>3346.04</v>
      </c>
      <c r="N944">
        <v>30114.36</v>
      </c>
      <c r="O944">
        <v>0.35</v>
      </c>
      <c r="P944">
        <v>10540.03</v>
      </c>
      <c r="Q944" t="s">
        <v>47</v>
      </c>
      <c r="R944" t="s">
        <v>48</v>
      </c>
      <c r="S944">
        <v>3</v>
      </c>
    </row>
    <row r="945" spans="1:19" x14ac:dyDescent="0.3">
      <c r="A945" t="s">
        <v>1930</v>
      </c>
      <c r="B945">
        <v>45870</v>
      </c>
      <c r="C945" t="s">
        <v>63</v>
      </c>
      <c r="D945" t="s">
        <v>21</v>
      </c>
      <c r="E945" t="s">
        <v>32</v>
      </c>
      <c r="F945" t="s">
        <v>103</v>
      </c>
      <c r="G945" t="s">
        <v>44</v>
      </c>
      <c r="H945" t="s">
        <v>138</v>
      </c>
      <c r="I945" t="s">
        <v>1931</v>
      </c>
      <c r="J945">
        <v>5</v>
      </c>
      <c r="K945">
        <v>597</v>
      </c>
      <c r="L945">
        <v>0.14000000000000001</v>
      </c>
      <c r="M945">
        <f>'Raw data'!$K945*(1- 'Raw data'!$L945)</f>
        <v>513.41999999999996</v>
      </c>
      <c r="N945">
        <v>2567.1</v>
      </c>
      <c r="O945">
        <v>0.35</v>
      </c>
      <c r="P945">
        <v>898.48</v>
      </c>
      <c r="Q945" t="s">
        <v>27</v>
      </c>
      <c r="R945" t="s">
        <v>38</v>
      </c>
      <c r="S945">
        <v>3</v>
      </c>
    </row>
    <row r="946" spans="1:19" x14ac:dyDescent="0.3">
      <c r="A946" t="s">
        <v>1932</v>
      </c>
      <c r="B946">
        <v>45871</v>
      </c>
      <c r="C946" t="s">
        <v>30</v>
      </c>
      <c r="D946" t="s">
        <v>21</v>
      </c>
      <c r="E946" t="s">
        <v>32</v>
      </c>
      <c r="F946" t="s">
        <v>43</v>
      </c>
      <c r="G946" t="s">
        <v>44</v>
      </c>
      <c r="H946" t="s">
        <v>138</v>
      </c>
      <c r="I946" t="s">
        <v>332</v>
      </c>
      <c r="J946">
        <v>7</v>
      </c>
      <c r="K946">
        <v>3715</v>
      </c>
      <c r="L946">
        <v>0.08</v>
      </c>
      <c r="M946">
        <f>'Raw data'!$K946*(1- 'Raw data'!$L946)</f>
        <v>3417.8</v>
      </c>
      <c r="N946">
        <v>23924.6</v>
      </c>
      <c r="O946">
        <v>0.35</v>
      </c>
      <c r="P946">
        <v>8373.61</v>
      </c>
      <c r="Q946" t="s">
        <v>27</v>
      </c>
      <c r="R946" t="s">
        <v>48</v>
      </c>
      <c r="S946">
        <v>6</v>
      </c>
    </row>
    <row r="947" spans="1:19" x14ac:dyDescent="0.3">
      <c r="A947" t="s">
        <v>1933</v>
      </c>
      <c r="B947">
        <v>45872</v>
      </c>
      <c r="C947" t="s">
        <v>40</v>
      </c>
      <c r="D947" t="s">
        <v>21</v>
      </c>
      <c r="E947" t="s">
        <v>42</v>
      </c>
      <c r="F947" t="s">
        <v>97</v>
      </c>
      <c r="G947" t="s">
        <v>44</v>
      </c>
      <c r="H947" t="s">
        <v>116</v>
      </c>
      <c r="I947" t="s">
        <v>1934</v>
      </c>
      <c r="J947">
        <v>2</v>
      </c>
      <c r="K947">
        <v>4250</v>
      </c>
      <c r="L947">
        <v>0.01</v>
      </c>
      <c r="M947">
        <f>'Raw data'!$K947*(1- 'Raw data'!$L947)</f>
        <v>4207.5</v>
      </c>
      <c r="N947">
        <v>8415</v>
      </c>
      <c r="O947">
        <v>0.35</v>
      </c>
      <c r="P947">
        <v>2945.25</v>
      </c>
      <c r="Q947" t="s">
        <v>37</v>
      </c>
      <c r="R947" t="s">
        <v>48</v>
      </c>
      <c r="S947">
        <v>8</v>
      </c>
    </row>
    <row r="948" spans="1:19" x14ac:dyDescent="0.3">
      <c r="A948" t="s">
        <v>1935</v>
      </c>
      <c r="B948">
        <v>45873</v>
      </c>
      <c r="C948" t="s">
        <v>30</v>
      </c>
      <c r="D948" t="s">
        <v>31</v>
      </c>
      <c r="E948" t="s">
        <v>67</v>
      </c>
      <c r="F948" t="s">
        <v>97</v>
      </c>
      <c r="G948" t="s">
        <v>57</v>
      </c>
      <c r="H948" t="s">
        <v>100</v>
      </c>
      <c r="I948" t="s">
        <v>1936</v>
      </c>
      <c r="J948">
        <v>5</v>
      </c>
      <c r="K948">
        <v>10535</v>
      </c>
      <c r="L948">
        <v>7.0000000000000007E-2</v>
      </c>
      <c r="M948">
        <f>'Raw data'!$K948*(1- 'Raw data'!$L948)</f>
        <v>9797.5499999999993</v>
      </c>
      <c r="N948">
        <v>48987.75</v>
      </c>
      <c r="O948">
        <v>0.2</v>
      </c>
      <c r="P948">
        <v>9797.5499999999993</v>
      </c>
      <c r="Q948" t="s">
        <v>47</v>
      </c>
      <c r="R948" t="s">
        <v>48</v>
      </c>
      <c r="S948">
        <v>6</v>
      </c>
    </row>
    <row r="949" spans="1:19" x14ac:dyDescent="0.3">
      <c r="A949" t="s">
        <v>1937</v>
      </c>
      <c r="B949">
        <v>45874</v>
      </c>
      <c r="C949" t="s">
        <v>40</v>
      </c>
      <c r="D949" t="s">
        <v>31</v>
      </c>
      <c r="E949" t="s">
        <v>42</v>
      </c>
      <c r="F949" t="s">
        <v>43</v>
      </c>
      <c r="G949" t="s">
        <v>24</v>
      </c>
      <c r="H949" t="s">
        <v>186</v>
      </c>
      <c r="I949" t="s">
        <v>1938</v>
      </c>
      <c r="J949">
        <v>9</v>
      </c>
      <c r="K949">
        <v>9174</v>
      </c>
      <c r="L949">
        <v>0</v>
      </c>
      <c r="M949">
        <f>'Raw data'!$K949*(1- 'Raw data'!$L949)</f>
        <v>9174</v>
      </c>
      <c r="N949">
        <v>82566</v>
      </c>
      <c r="O949">
        <v>0.25</v>
      </c>
      <c r="P949">
        <v>20641.5</v>
      </c>
      <c r="Q949" t="s">
        <v>27</v>
      </c>
      <c r="R949" t="s">
        <v>48</v>
      </c>
      <c r="S949">
        <v>3</v>
      </c>
    </row>
    <row r="950" spans="1:19" x14ac:dyDescent="0.3">
      <c r="A950" t="s">
        <v>1939</v>
      </c>
      <c r="B950">
        <v>45875</v>
      </c>
      <c r="C950" t="s">
        <v>30</v>
      </c>
      <c r="D950" t="s">
        <v>56</v>
      </c>
      <c r="E950" t="s">
        <v>67</v>
      </c>
      <c r="F950" t="s">
        <v>23</v>
      </c>
      <c r="G950" t="s">
        <v>34</v>
      </c>
      <c r="H950" t="s">
        <v>104</v>
      </c>
      <c r="I950" t="s">
        <v>1940</v>
      </c>
      <c r="J950">
        <v>3</v>
      </c>
      <c r="K950">
        <v>770</v>
      </c>
      <c r="L950">
        <v>0.24</v>
      </c>
      <c r="M950">
        <f>'Raw data'!$K950*(1- 'Raw data'!$L950)</f>
        <v>585.20000000000005</v>
      </c>
      <c r="N950">
        <v>1755.6</v>
      </c>
      <c r="O950">
        <v>0.4</v>
      </c>
      <c r="P950">
        <v>702.24</v>
      </c>
      <c r="Q950" t="s">
        <v>37</v>
      </c>
      <c r="R950" t="s">
        <v>48</v>
      </c>
      <c r="S950">
        <v>4</v>
      </c>
    </row>
    <row r="951" spans="1:19" x14ac:dyDescent="0.3">
      <c r="A951" t="s">
        <v>1941</v>
      </c>
      <c r="B951">
        <v>45876</v>
      </c>
      <c r="C951" t="s">
        <v>63</v>
      </c>
      <c r="D951" t="s">
        <v>21</v>
      </c>
      <c r="E951" t="s">
        <v>32</v>
      </c>
      <c r="F951" t="s">
        <v>97</v>
      </c>
      <c r="G951" t="s">
        <v>92</v>
      </c>
      <c r="H951" t="s">
        <v>93</v>
      </c>
      <c r="I951" t="s">
        <v>1473</v>
      </c>
      <c r="J951">
        <v>9</v>
      </c>
      <c r="K951">
        <v>58777</v>
      </c>
      <c r="L951">
        <v>0.24</v>
      </c>
      <c r="M951">
        <f>'Raw data'!$K951*(1- 'Raw data'!$L951)</f>
        <v>44670.520000000004</v>
      </c>
      <c r="N951">
        <v>402034.68</v>
      </c>
      <c r="O951">
        <v>0.15</v>
      </c>
      <c r="P951">
        <v>60305.2</v>
      </c>
      <c r="Q951" t="s">
        <v>37</v>
      </c>
      <c r="R951" t="s">
        <v>48</v>
      </c>
      <c r="S951">
        <v>1</v>
      </c>
    </row>
    <row r="952" spans="1:19" x14ac:dyDescent="0.3">
      <c r="A952" t="s">
        <v>1942</v>
      </c>
      <c r="B952">
        <v>45877</v>
      </c>
      <c r="C952" t="s">
        <v>20</v>
      </c>
      <c r="D952" t="s">
        <v>31</v>
      </c>
      <c r="E952" t="s">
        <v>42</v>
      </c>
      <c r="F952" t="s">
        <v>33</v>
      </c>
      <c r="G952" t="s">
        <v>24</v>
      </c>
      <c r="H952" t="s">
        <v>121</v>
      </c>
      <c r="I952" t="s">
        <v>1943</v>
      </c>
      <c r="J952">
        <v>6</v>
      </c>
      <c r="K952">
        <v>1610</v>
      </c>
      <c r="L952">
        <v>0.1</v>
      </c>
      <c r="M952">
        <f>'Raw data'!$K952*(1- 'Raw data'!$L952)</f>
        <v>1449</v>
      </c>
      <c r="N952">
        <v>8694</v>
      </c>
      <c r="O952">
        <v>0.25</v>
      </c>
      <c r="P952">
        <v>2173.5</v>
      </c>
      <c r="Q952" t="s">
        <v>51</v>
      </c>
      <c r="R952" t="s">
        <v>48</v>
      </c>
      <c r="S952">
        <v>8</v>
      </c>
    </row>
    <row r="953" spans="1:19" x14ac:dyDescent="0.3">
      <c r="A953" t="s">
        <v>1944</v>
      </c>
      <c r="B953">
        <v>45878</v>
      </c>
      <c r="C953" t="s">
        <v>55</v>
      </c>
      <c r="D953" t="s">
        <v>56</v>
      </c>
      <c r="E953" t="s">
        <v>32</v>
      </c>
      <c r="F953" t="s">
        <v>68</v>
      </c>
      <c r="G953" t="s">
        <v>44</v>
      </c>
      <c r="H953" t="s">
        <v>45</v>
      </c>
      <c r="I953" t="s">
        <v>1945</v>
      </c>
      <c r="J953">
        <v>4</v>
      </c>
      <c r="K953">
        <v>2227</v>
      </c>
      <c r="L953">
        <v>0.18</v>
      </c>
      <c r="M953">
        <f>'Raw data'!$K953*(1- 'Raw data'!$L953)</f>
        <v>1826.14</v>
      </c>
      <c r="N953">
        <v>7304.56</v>
      </c>
      <c r="O953">
        <v>0.35</v>
      </c>
      <c r="P953">
        <v>2556.6</v>
      </c>
      <c r="Q953" t="s">
        <v>27</v>
      </c>
      <c r="R953" t="s">
        <v>48</v>
      </c>
      <c r="S953">
        <v>4</v>
      </c>
    </row>
    <row r="954" spans="1:19" x14ac:dyDescent="0.3">
      <c r="A954" t="s">
        <v>1946</v>
      </c>
      <c r="B954">
        <v>45879</v>
      </c>
      <c r="C954" t="s">
        <v>30</v>
      </c>
      <c r="D954" t="s">
        <v>21</v>
      </c>
      <c r="E954" t="s">
        <v>32</v>
      </c>
      <c r="F954" t="s">
        <v>103</v>
      </c>
      <c r="G954" t="s">
        <v>24</v>
      </c>
      <c r="H954" t="s">
        <v>74</v>
      </c>
      <c r="I954" t="s">
        <v>1947</v>
      </c>
      <c r="J954">
        <v>7</v>
      </c>
      <c r="K954">
        <v>11482</v>
      </c>
      <c r="L954">
        <v>0.09</v>
      </c>
      <c r="M954">
        <f>'Raw data'!$K954*(1- 'Raw data'!$L954)</f>
        <v>10448.620000000001</v>
      </c>
      <c r="N954">
        <v>73140.34</v>
      </c>
      <c r="O954">
        <v>0.25</v>
      </c>
      <c r="P954">
        <v>18285.080000000002</v>
      </c>
      <c r="Q954" t="s">
        <v>51</v>
      </c>
      <c r="R954" t="s">
        <v>48</v>
      </c>
      <c r="S954">
        <v>6</v>
      </c>
    </row>
    <row r="955" spans="1:19" x14ac:dyDescent="0.3">
      <c r="A955" t="s">
        <v>1948</v>
      </c>
      <c r="B955">
        <v>45880</v>
      </c>
      <c r="C955" t="s">
        <v>63</v>
      </c>
      <c r="D955" t="s">
        <v>41</v>
      </c>
      <c r="E955" t="s">
        <v>67</v>
      </c>
      <c r="F955" t="s">
        <v>97</v>
      </c>
      <c r="G955" t="s">
        <v>34</v>
      </c>
      <c r="H955" t="s">
        <v>104</v>
      </c>
      <c r="I955" t="s">
        <v>1949</v>
      </c>
      <c r="J955">
        <v>8</v>
      </c>
      <c r="K955">
        <v>760</v>
      </c>
      <c r="L955">
        <v>0.17</v>
      </c>
      <c r="M955">
        <f>'Raw data'!$K955*(1- 'Raw data'!$L955)</f>
        <v>630.79999999999995</v>
      </c>
      <c r="N955">
        <v>5046.3999999999996</v>
      </c>
      <c r="O955">
        <v>0.4</v>
      </c>
      <c r="P955">
        <v>2018.56</v>
      </c>
      <c r="Q955" t="s">
        <v>27</v>
      </c>
      <c r="R955" t="s">
        <v>48</v>
      </c>
      <c r="S955">
        <v>3</v>
      </c>
    </row>
    <row r="956" spans="1:19" x14ac:dyDescent="0.3">
      <c r="A956" t="s">
        <v>1950</v>
      </c>
      <c r="B956">
        <v>45881</v>
      </c>
      <c r="C956" t="s">
        <v>30</v>
      </c>
      <c r="D956" t="s">
        <v>31</v>
      </c>
      <c r="E956" t="s">
        <v>42</v>
      </c>
      <c r="F956" t="s">
        <v>33</v>
      </c>
      <c r="G956" t="s">
        <v>92</v>
      </c>
      <c r="H956" t="s">
        <v>178</v>
      </c>
      <c r="I956" t="s">
        <v>1951</v>
      </c>
      <c r="J956">
        <v>6</v>
      </c>
      <c r="K956">
        <v>47823</v>
      </c>
      <c r="L956">
        <v>0.2</v>
      </c>
      <c r="M956">
        <f>'Raw data'!$K956*(1- 'Raw data'!$L956)</f>
        <v>38258.400000000001</v>
      </c>
      <c r="N956">
        <v>229550.4</v>
      </c>
      <c r="O956">
        <v>0.15</v>
      </c>
      <c r="P956">
        <v>34432.559999999998</v>
      </c>
      <c r="Q956" t="s">
        <v>51</v>
      </c>
      <c r="R956" t="s">
        <v>48</v>
      </c>
      <c r="S956">
        <v>6</v>
      </c>
    </row>
    <row r="957" spans="1:19" x14ac:dyDescent="0.3">
      <c r="A957" t="s">
        <v>1952</v>
      </c>
      <c r="B957">
        <v>45882</v>
      </c>
      <c r="C957" t="s">
        <v>20</v>
      </c>
      <c r="D957" t="s">
        <v>56</v>
      </c>
      <c r="E957" t="s">
        <v>42</v>
      </c>
      <c r="F957" t="s">
        <v>33</v>
      </c>
      <c r="G957" t="s">
        <v>92</v>
      </c>
      <c r="H957" t="s">
        <v>109</v>
      </c>
      <c r="I957" t="s">
        <v>1953</v>
      </c>
      <c r="J957">
        <v>5</v>
      </c>
      <c r="K957">
        <v>73878</v>
      </c>
      <c r="L957">
        <v>0.24</v>
      </c>
      <c r="M957">
        <f>'Raw data'!$K957*(1- 'Raw data'!$L957)</f>
        <v>56147.28</v>
      </c>
      <c r="N957">
        <v>280736.40000000002</v>
      </c>
      <c r="O957">
        <v>0.15</v>
      </c>
      <c r="P957">
        <v>42110.46</v>
      </c>
      <c r="Q957" t="s">
        <v>51</v>
      </c>
      <c r="R957" t="s">
        <v>48</v>
      </c>
      <c r="S957">
        <v>9</v>
      </c>
    </row>
    <row r="958" spans="1:19" x14ac:dyDescent="0.3">
      <c r="A958" t="s">
        <v>1954</v>
      </c>
      <c r="B958">
        <v>45883</v>
      </c>
      <c r="C958" t="s">
        <v>30</v>
      </c>
      <c r="D958" t="s">
        <v>41</v>
      </c>
      <c r="E958" t="s">
        <v>32</v>
      </c>
      <c r="F958" t="s">
        <v>97</v>
      </c>
      <c r="G958" t="s">
        <v>34</v>
      </c>
      <c r="H958" t="s">
        <v>141</v>
      </c>
      <c r="I958" t="s">
        <v>1955</v>
      </c>
      <c r="J958">
        <v>6</v>
      </c>
      <c r="K958">
        <v>476</v>
      </c>
      <c r="L958">
        <v>0.1</v>
      </c>
      <c r="M958">
        <f>'Raw data'!$K958*(1- 'Raw data'!$L958)</f>
        <v>428.40000000000003</v>
      </c>
      <c r="N958">
        <v>2570.4</v>
      </c>
      <c r="O958">
        <v>0.4</v>
      </c>
      <c r="P958">
        <v>1028.1600000000001</v>
      </c>
      <c r="Q958" t="s">
        <v>47</v>
      </c>
      <c r="R958" t="s">
        <v>48</v>
      </c>
      <c r="S958">
        <v>9</v>
      </c>
    </row>
    <row r="959" spans="1:19" x14ac:dyDescent="0.3">
      <c r="A959" t="s">
        <v>1956</v>
      </c>
      <c r="B959">
        <v>45884</v>
      </c>
      <c r="C959" t="s">
        <v>63</v>
      </c>
      <c r="D959" t="s">
        <v>21</v>
      </c>
      <c r="E959" t="s">
        <v>32</v>
      </c>
      <c r="F959" t="s">
        <v>23</v>
      </c>
      <c r="G959" t="s">
        <v>34</v>
      </c>
      <c r="H959" t="s">
        <v>71</v>
      </c>
      <c r="I959" t="s">
        <v>1742</v>
      </c>
      <c r="J959">
        <v>5</v>
      </c>
      <c r="K959">
        <v>731</v>
      </c>
      <c r="L959">
        <v>0.2</v>
      </c>
      <c r="M959">
        <f>'Raw data'!$K959*(1- 'Raw data'!$L959)</f>
        <v>584.80000000000007</v>
      </c>
      <c r="N959">
        <v>2924</v>
      </c>
      <c r="O959">
        <v>0.4</v>
      </c>
      <c r="P959">
        <v>1169.5999999999999</v>
      </c>
      <c r="Q959" t="s">
        <v>51</v>
      </c>
      <c r="R959" t="s">
        <v>48</v>
      </c>
      <c r="S959">
        <v>3</v>
      </c>
    </row>
    <row r="960" spans="1:19" x14ac:dyDescent="0.3">
      <c r="A960" t="s">
        <v>1957</v>
      </c>
      <c r="B960">
        <v>45885</v>
      </c>
      <c r="C960" t="s">
        <v>63</v>
      </c>
      <c r="D960" t="s">
        <v>21</v>
      </c>
      <c r="E960" t="s">
        <v>67</v>
      </c>
      <c r="F960" t="s">
        <v>68</v>
      </c>
      <c r="G960" t="s">
        <v>44</v>
      </c>
      <c r="H960" t="s">
        <v>45</v>
      </c>
      <c r="I960" t="s">
        <v>1958</v>
      </c>
      <c r="J960">
        <v>8</v>
      </c>
      <c r="K960">
        <v>1677</v>
      </c>
      <c r="L960">
        <v>7.0000000000000007E-2</v>
      </c>
      <c r="M960">
        <f>'Raw data'!$K960*(1- 'Raw data'!$L960)</f>
        <v>1559.61</v>
      </c>
      <c r="N960">
        <v>12476.88</v>
      </c>
      <c r="O960">
        <v>0.35</v>
      </c>
      <c r="P960">
        <v>4366.91</v>
      </c>
      <c r="Q960" t="s">
        <v>47</v>
      </c>
      <c r="R960" t="s">
        <v>48</v>
      </c>
      <c r="S960">
        <v>3</v>
      </c>
    </row>
    <row r="961" spans="1:19" x14ac:dyDescent="0.3">
      <c r="A961" t="s">
        <v>1959</v>
      </c>
      <c r="B961">
        <v>45886</v>
      </c>
      <c r="C961" t="s">
        <v>96</v>
      </c>
      <c r="D961" t="s">
        <v>21</v>
      </c>
      <c r="E961" t="s">
        <v>22</v>
      </c>
      <c r="F961" t="s">
        <v>103</v>
      </c>
      <c r="G961" t="s">
        <v>92</v>
      </c>
      <c r="H961" t="s">
        <v>93</v>
      </c>
      <c r="I961" t="s">
        <v>1960</v>
      </c>
      <c r="J961">
        <v>1</v>
      </c>
      <c r="K961">
        <v>73870</v>
      </c>
      <c r="L961">
        <v>0.25</v>
      </c>
      <c r="M961">
        <f>'Raw data'!$K961*(1- 'Raw data'!$L961)</f>
        <v>55402.5</v>
      </c>
      <c r="N961">
        <v>55402.5</v>
      </c>
      <c r="O961">
        <v>0.15</v>
      </c>
      <c r="P961">
        <v>8310.3799999999992</v>
      </c>
      <c r="Q961" t="s">
        <v>37</v>
      </c>
      <c r="R961" t="s">
        <v>48</v>
      </c>
      <c r="S961">
        <v>4</v>
      </c>
    </row>
    <row r="962" spans="1:19" x14ac:dyDescent="0.3">
      <c r="A962" t="s">
        <v>1961</v>
      </c>
      <c r="B962">
        <v>45887</v>
      </c>
      <c r="C962" t="s">
        <v>20</v>
      </c>
      <c r="D962" t="s">
        <v>31</v>
      </c>
      <c r="E962" t="s">
        <v>22</v>
      </c>
      <c r="F962" t="s">
        <v>97</v>
      </c>
      <c r="G962" t="s">
        <v>24</v>
      </c>
      <c r="H962" t="s">
        <v>121</v>
      </c>
      <c r="I962" t="s">
        <v>1962</v>
      </c>
      <c r="J962">
        <v>7</v>
      </c>
      <c r="K962">
        <v>10283</v>
      </c>
      <c r="L962">
        <v>0.01</v>
      </c>
      <c r="M962">
        <f>'Raw data'!$K962*(1- 'Raw data'!$L962)</f>
        <v>10180.17</v>
      </c>
      <c r="N962">
        <v>71261.19</v>
      </c>
      <c r="O962">
        <v>0.25</v>
      </c>
      <c r="P962">
        <v>17815.3</v>
      </c>
      <c r="Q962" t="s">
        <v>27</v>
      </c>
      <c r="R962" t="s">
        <v>38</v>
      </c>
      <c r="S962">
        <v>7</v>
      </c>
    </row>
    <row r="963" spans="1:19" x14ac:dyDescent="0.3">
      <c r="A963" t="s">
        <v>1963</v>
      </c>
      <c r="B963">
        <v>45888</v>
      </c>
      <c r="C963" t="s">
        <v>96</v>
      </c>
      <c r="D963" t="s">
        <v>56</v>
      </c>
      <c r="E963" t="s">
        <v>32</v>
      </c>
      <c r="F963" t="s">
        <v>103</v>
      </c>
      <c r="G963" t="s">
        <v>57</v>
      </c>
      <c r="H963" t="s">
        <v>100</v>
      </c>
      <c r="I963" t="s">
        <v>1964</v>
      </c>
      <c r="J963">
        <v>2</v>
      </c>
      <c r="K963">
        <v>15171</v>
      </c>
      <c r="L963">
        <v>0.15</v>
      </c>
      <c r="M963">
        <f>'Raw data'!$K963*(1- 'Raw data'!$L963)</f>
        <v>12895.35</v>
      </c>
      <c r="N963">
        <v>25790.7</v>
      </c>
      <c r="O963">
        <v>0.2</v>
      </c>
      <c r="P963">
        <v>5158.1400000000003</v>
      </c>
      <c r="Q963" t="s">
        <v>37</v>
      </c>
      <c r="R963" t="s">
        <v>48</v>
      </c>
      <c r="S963">
        <v>3</v>
      </c>
    </row>
    <row r="964" spans="1:19" x14ac:dyDescent="0.3">
      <c r="A964" t="s">
        <v>1965</v>
      </c>
      <c r="B964">
        <v>45889</v>
      </c>
      <c r="C964" t="s">
        <v>20</v>
      </c>
      <c r="D964" t="s">
        <v>41</v>
      </c>
      <c r="E964" t="s">
        <v>22</v>
      </c>
      <c r="F964" t="s">
        <v>43</v>
      </c>
      <c r="G964" t="s">
        <v>57</v>
      </c>
      <c r="H964" t="s">
        <v>58</v>
      </c>
      <c r="I964" t="s">
        <v>1966</v>
      </c>
      <c r="J964">
        <v>9</v>
      </c>
      <c r="K964">
        <v>7774</v>
      </c>
      <c r="L964">
        <v>0.16</v>
      </c>
      <c r="M964">
        <f>'Raw data'!$K964*(1- 'Raw data'!$L964)</f>
        <v>6530.16</v>
      </c>
      <c r="N964">
        <v>58771.44</v>
      </c>
      <c r="O964">
        <v>0.2</v>
      </c>
      <c r="P964">
        <v>11754.29</v>
      </c>
      <c r="Q964" t="s">
        <v>27</v>
      </c>
      <c r="R964" t="s">
        <v>38</v>
      </c>
      <c r="S964">
        <v>8</v>
      </c>
    </row>
    <row r="965" spans="1:19" x14ac:dyDescent="0.3">
      <c r="A965" t="s">
        <v>1967</v>
      </c>
      <c r="B965">
        <v>45890</v>
      </c>
      <c r="C965" t="s">
        <v>30</v>
      </c>
      <c r="D965" t="s">
        <v>56</v>
      </c>
      <c r="E965" t="s">
        <v>22</v>
      </c>
      <c r="F965" t="s">
        <v>33</v>
      </c>
      <c r="G965" t="s">
        <v>34</v>
      </c>
      <c r="H965" t="s">
        <v>141</v>
      </c>
      <c r="I965" t="s">
        <v>1968</v>
      </c>
      <c r="J965">
        <v>1</v>
      </c>
      <c r="K965">
        <v>575</v>
      </c>
      <c r="L965">
        <v>0.17</v>
      </c>
      <c r="M965">
        <f>'Raw data'!$K965*(1- 'Raw data'!$L965)</f>
        <v>477.25</v>
      </c>
      <c r="N965">
        <v>477.25</v>
      </c>
      <c r="O965">
        <v>0.4</v>
      </c>
      <c r="P965">
        <v>190.9</v>
      </c>
      <c r="Q965" t="s">
        <v>37</v>
      </c>
      <c r="R965" t="s">
        <v>48</v>
      </c>
      <c r="S965">
        <v>8</v>
      </c>
    </row>
    <row r="966" spans="1:19" x14ac:dyDescent="0.3">
      <c r="A966" t="s">
        <v>1969</v>
      </c>
      <c r="B966">
        <v>45891</v>
      </c>
      <c r="C966" t="s">
        <v>63</v>
      </c>
      <c r="D966" t="s">
        <v>31</v>
      </c>
      <c r="E966" t="s">
        <v>22</v>
      </c>
      <c r="F966" t="s">
        <v>33</v>
      </c>
      <c r="G966" t="s">
        <v>44</v>
      </c>
      <c r="H966" t="s">
        <v>45</v>
      </c>
      <c r="I966" t="s">
        <v>1970</v>
      </c>
      <c r="J966">
        <v>6</v>
      </c>
      <c r="K966">
        <v>3291</v>
      </c>
      <c r="L966">
        <v>0.03</v>
      </c>
      <c r="M966">
        <f>'Raw data'!$K966*(1- 'Raw data'!$L966)</f>
        <v>3192.27</v>
      </c>
      <c r="N966">
        <v>19153.62</v>
      </c>
      <c r="O966">
        <v>0.35</v>
      </c>
      <c r="P966">
        <v>6703.77</v>
      </c>
      <c r="Q966" t="s">
        <v>27</v>
      </c>
      <c r="R966" t="s">
        <v>48</v>
      </c>
      <c r="S966">
        <v>6</v>
      </c>
    </row>
    <row r="967" spans="1:19" x14ac:dyDescent="0.3">
      <c r="A967" t="s">
        <v>1971</v>
      </c>
      <c r="B967">
        <v>45892</v>
      </c>
      <c r="C967" t="s">
        <v>96</v>
      </c>
      <c r="D967" t="s">
        <v>56</v>
      </c>
      <c r="E967" t="s">
        <v>22</v>
      </c>
      <c r="F967" t="s">
        <v>97</v>
      </c>
      <c r="G967" t="s">
        <v>57</v>
      </c>
      <c r="H967" t="s">
        <v>81</v>
      </c>
      <c r="I967" t="s">
        <v>977</v>
      </c>
      <c r="J967">
        <v>9</v>
      </c>
      <c r="K967">
        <v>16939</v>
      </c>
      <c r="L967">
        <v>0.23</v>
      </c>
      <c r="M967">
        <f>'Raw data'!$K967*(1- 'Raw data'!$L967)</f>
        <v>13043.03</v>
      </c>
      <c r="N967">
        <v>117387.27</v>
      </c>
      <c r="O967">
        <v>0.2</v>
      </c>
      <c r="P967">
        <v>23477.45</v>
      </c>
      <c r="Q967" t="s">
        <v>51</v>
      </c>
      <c r="R967" t="s">
        <v>48</v>
      </c>
      <c r="S967">
        <v>4</v>
      </c>
    </row>
    <row r="968" spans="1:19" x14ac:dyDescent="0.3">
      <c r="A968" t="s">
        <v>1972</v>
      </c>
      <c r="B968">
        <v>45893</v>
      </c>
      <c r="C968" t="s">
        <v>30</v>
      </c>
      <c r="D968" t="s">
        <v>31</v>
      </c>
      <c r="E968" t="s">
        <v>32</v>
      </c>
      <c r="F968" t="s">
        <v>97</v>
      </c>
      <c r="G968" t="s">
        <v>92</v>
      </c>
      <c r="H968" t="s">
        <v>178</v>
      </c>
      <c r="I968" t="s">
        <v>1973</v>
      </c>
      <c r="J968">
        <v>1</v>
      </c>
      <c r="K968">
        <v>10781</v>
      </c>
      <c r="L968">
        <v>0.05</v>
      </c>
      <c r="M968">
        <f>'Raw data'!$K968*(1- 'Raw data'!$L968)</f>
        <v>10241.949999999999</v>
      </c>
      <c r="N968">
        <v>10241.950000000001</v>
      </c>
      <c r="O968">
        <v>0.15</v>
      </c>
      <c r="P968">
        <v>1536.29</v>
      </c>
      <c r="Q968" t="s">
        <v>27</v>
      </c>
      <c r="R968" t="s">
        <v>48</v>
      </c>
      <c r="S968">
        <v>5</v>
      </c>
    </row>
    <row r="969" spans="1:19" x14ac:dyDescent="0.3">
      <c r="A969" t="s">
        <v>1974</v>
      </c>
      <c r="B969">
        <v>45894</v>
      </c>
      <c r="C969" t="s">
        <v>63</v>
      </c>
      <c r="D969" t="s">
        <v>21</v>
      </c>
      <c r="E969" t="s">
        <v>22</v>
      </c>
      <c r="F969" t="s">
        <v>43</v>
      </c>
      <c r="G969" t="s">
        <v>34</v>
      </c>
      <c r="H969" t="s">
        <v>141</v>
      </c>
      <c r="I969" t="s">
        <v>1975</v>
      </c>
      <c r="J969">
        <v>4</v>
      </c>
      <c r="K969">
        <v>1200</v>
      </c>
      <c r="L969">
        <v>0.16</v>
      </c>
      <c r="M969">
        <f>'Raw data'!$K969*(1- 'Raw data'!$L969)</f>
        <v>1008</v>
      </c>
      <c r="N969">
        <v>4032</v>
      </c>
      <c r="O969">
        <v>0.4</v>
      </c>
      <c r="P969">
        <v>1612.8</v>
      </c>
      <c r="Q969" t="s">
        <v>27</v>
      </c>
      <c r="R969" t="s">
        <v>48</v>
      </c>
      <c r="S969">
        <v>2</v>
      </c>
    </row>
    <row r="970" spans="1:19" x14ac:dyDescent="0.3">
      <c r="A970" t="s">
        <v>1976</v>
      </c>
      <c r="B970">
        <v>45895</v>
      </c>
      <c r="C970" t="s">
        <v>20</v>
      </c>
      <c r="D970" t="s">
        <v>41</v>
      </c>
      <c r="E970" t="s">
        <v>22</v>
      </c>
      <c r="F970" t="s">
        <v>23</v>
      </c>
      <c r="G970" t="s">
        <v>24</v>
      </c>
      <c r="H970" t="s">
        <v>74</v>
      </c>
      <c r="I970" t="s">
        <v>1977</v>
      </c>
      <c r="J970">
        <v>4</v>
      </c>
      <c r="K970">
        <v>7823</v>
      </c>
      <c r="L970">
        <v>0.06</v>
      </c>
      <c r="M970">
        <f>'Raw data'!$K970*(1- 'Raw data'!$L970)</f>
        <v>7353.62</v>
      </c>
      <c r="N970">
        <v>29414.48</v>
      </c>
      <c r="O970">
        <v>0.25</v>
      </c>
      <c r="P970">
        <v>7353.62</v>
      </c>
      <c r="Q970" t="s">
        <v>37</v>
      </c>
      <c r="R970" t="s">
        <v>48</v>
      </c>
      <c r="S970">
        <v>6</v>
      </c>
    </row>
    <row r="971" spans="1:19" x14ac:dyDescent="0.3">
      <c r="A971" t="s">
        <v>1978</v>
      </c>
      <c r="B971">
        <v>45896</v>
      </c>
      <c r="C971" t="s">
        <v>63</v>
      </c>
      <c r="D971" t="s">
        <v>21</v>
      </c>
      <c r="E971" t="s">
        <v>67</v>
      </c>
      <c r="F971" t="s">
        <v>97</v>
      </c>
      <c r="G971" t="s">
        <v>34</v>
      </c>
      <c r="H971" t="s">
        <v>35</v>
      </c>
      <c r="I971" t="s">
        <v>1979</v>
      </c>
      <c r="J971">
        <v>9</v>
      </c>
      <c r="K971">
        <v>257</v>
      </c>
      <c r="L971">
        <v>0.08</v>
      </c>
      <c r="M971">
        <f>'Raw data'!$K971*(1- 'Raw data'!$L971)</f>
        <v>236.44</v>
      </c>
      <c r="N971">
        <v>2127.96</v>
      </c>
      <c r="O971">
        <v>0.4</v>
      </c>
      <c r="P971">
        <v>851.18</v>
      </c>
      <c r="Q971" t="s">
        <v>37</v>
      </c>
      <c r="R971" t="s">
        <v>38</v>
      </c>
      <c r="S971">
        <v>3</v>
      </c>
    </row>
    <row r="972" spans="1:19" x14ac:dyDescent="0.3">
      <c r="A972" t="s">
        <v>1980</v>
      </c>
      <c r="B972">
        <v>45897</v>
      </c>
      <c r="C972" t="s">
        <v>30</v>
      </c>
      <c r="D972" t="s">
        <v>56</v>
      </c>
      <c r="E972" t="s">
        <v>32</v>
      </c>
      <c r="F972" t="s">
        <v>33</v>
      </c>
      <c r="G972" t="s">
        <v>24</v>
      </c>
      <c r="H972" t="s">
        <v>25</v>
      </c>
      <c r="I972" t="s">
        <v>1981</v>
      </c>
      <c r="J972">
        <v>5</v>
      </c>
      <c r="K972">
        <v>4867</v>
      </c>
      <c r="L972">
        <v>0.14000000000000001</v>
      </c>
      <c r="M972">
        <f>'Raw data'!$K972*(1- 'Raw data'!$L972)</f>
        <v>4185.62</v>
      </c>
      <c r="N972">
        <v>20928.099999999999</v>
      </c>
      <c r="O972">
        <v>0.25</v>
      </c>
      <c r="P972">
        <v>5232.0200000000004</v>
      </c>
      <c r="Q972" t="s">
        <v>37</v>
      </c>
      <c r="R972" t="s">
        <v>48</v>
      </c>
      <c r="S972">
        <v>6</v>
      </c>
    </row>
    <row r="973" spans="1:19" x14ac:dyDescent="0.3">
      <c r="A973" t="s">
        <v>1982</v>
      </c>
      <c r="B973">
        <v>45898</v>
      </c>
      <c r="C973" t="s">
        <v>96</v>
      </c>
      <c r="D973" t="s">
        <v>21</v>
      </c>
      <c r="E973" t="s">
        <v>42</v>
      </c>
      <c r="F973" t="s">
        <v>103</v>
      </c>
      <c r="G973" t="s">
        <v>34</v>
      </c>
      <c r="H973" t="s">
        <v>104</v>
      </c>
      <c r="I973" t="s">
        <v>1983</v>
      </c>
      <c r="J973">
        <v>5</v>
      </c>
      <c r="K973">
        <v>1249</v>
      </c>
      <c r="L973">
        <v>0.1</v>
      </c>
      <c r="M973">
        <f>'Raw data'!$K973*(1- 'Raw data'!$L973)</f>
        <v>1124.1000000000001</v>
      </c>
      <c r="N973">
        <v>5620.5</v>
      </c>
      <c r="O973">
        <v>0.4</v>
      </c>
      <c r="P973">
        <v>2248.1999999999998</v>
      </c>
      <c r="Q973" t="s">
        <v>47</v>
      </c>
      <c r="R973" t="s">
        <v>38</v>
      </c>
      <c r="S973">
        <v>5</v>
      </c>
    </row>
    <row r="974" spans="1:19" x14ac:dyDescent="0.3">
      <c r="A974" t="s">
        <v>1984</v>
      </c>
      <c r="B974">
        <v>45899</v>
      </c>
      <c r="C974" t="s">
        <v>96</v>
      </c>
      <c r="D974" t="s">
        <v>41</v>
      </c>
      <c r="E974" t="s">
        <v>42</v>
      </c>
      <c r="F974" t="s">
        <v>68</v>
      </c>
      <c r="G974" t="s">
        <v>34</v>
      </c>
      <c r="H974" t="s">
        <v>141</v>
      </c>
      <c r="I974" t="s">
        <v>1985</v>
      </c>
      <c r="J974">
        <v>6</v>
      </c>
      <c r="K974">
        <v>1080</v>
      </c>
      <c r="L974">
        <v>0.04</v>
      </c>
      <c r="M974">
        <f>'Raw data'!$K974*(1- 'Raw data'!$L974)</f>
        <v>1036.8</v>
      </c>
      <c r="N974">
        <v>6220.8</v>
      </c>
      <c r="O974">
        <v>0.4</v>
      </c>
      <c r="P974">
        <v>2488.3200000000002</v>
      </c>
      <c r="Q974" t="s">
        <v>47</v>
      </c>
      <c r="R974" t="s">
        <v>38</v>
      </c>
      <c r="S974">
        <v>2</v>
      </c>
    </row>
    <row r="975" spans="1:19" x14ac:dyDescent="0.3">
      <c r="A975" t="s">
        <v>1986</v>
      </c>
      <c r="B975">
        <v>45900</v>
      </c>
      <c r="C975" t="s">
        <v>63</v>
      </c>
      <c r="D975" t="s">
        <v>21</v>
      </c>
      <c r="E975" t="s">
        <v>67</v>
      </c>
      <c r="F975" t="s">
        <v>103</v>
      </c>
      <c r="G975" t="s">
        <v>34</v>
      </c>
      <c r="H975" t="s">
        <v>35</v>
      </c>
      <c r="I975" t="s">
        <v>1987</v>
      </c>
      <c r="J975">
        <v>1</v>
      </c>
      <c r="K975">
        <v>646</v>
      </c>
      <c r="L975">
        <v>0.04</v>
      </c>
      <c r="M975">
        <f>'Raw data'!$K975*(1- 'Raw data'!$L975)</f>
        <v>620.16</v>
      </c>
      <c r="N975">
        <v>620.16</v>
      </c>
      <c r="O975">
        <v>0.4</v>
      </c>
      <c r="P975">
        <v>248.06</v>
      </c>
      <c r="Q975" t="s">
        <v>27</v>
      </c>
      <c r="R975" t="s">
        <v>48</v>
      </c>
      <c r="S975">
        <v>5</v>
      </c>
    </row>
    <row r="976" spans="1:19" x14ac:dyDescent="0.3">
      <c r="A976" t="s">
        <v>1988</v>
      </c>
      <c r="B976">
        <v>45901</v>
      </c>
      <c r="C976" t="s">
        <v>30</v>
      </c>
      <c r="D976" t="s">
        <v>41</v>
      </c>
      <c r="E976" t="s">
        <v>67</v>
      </c>
      <c r="F976" t="s">
        <v>23</v>
      </c>
      <c r="G976" t="s">
        <v>24</v>
      </c>
      <c r="H976" t="s">
        <v>25</v>
      </c>
      <c r="I976" t="s">
        <v>1989</v>
      </c>
      <c r="J976">
        <v>1</v>
      </c>
      <c r="K976">
        <v>3113</v>
      </c>
      <c r="L976">
        <v>0.1</v>
      </c>
      <c r="M976">
        <f>'Raw data'!$K976*(1- 'Raw data'!$L976)</f>
        <v>2801.7000000000003</v>
      </c>
      <c r="N976">
        <v>2801.7</v>
      </c>
      <c r="O976">
        <v>0.25</v>
      </c>
      <c r="P976">
        <v>700.42</v>
      </c>
      <c r="Q976" t="s">
        <v>27</v>
      </c>
      <c r="R976" t="s">
        <v>48</v>
      </c>
      <c r="S976">
        <v>5</v>
      </c>
    </row>
    <row r="977" spans="1:19" x14ac:dyDescent="0.3">
      <c r="A977" t="s">
        <v>1990</v>
      </c>
      <c r="B977">
        <v>45902</v>
      </c>
      <c r="C977" t="s">
        <v>40</v>
      </c>
      <c r="D977" t="s">
        <v>41</v>
      </c>
      <c r="E977" t="s">
        <v>32</v>
      </c>
      <c r="F977" t="s">
        <v>68</v>
      </c>
      <c r="G977" t="s">
        <v>24</v>
      </c>
      <c r="H977" t="s">
        <v>74</v>
      </c>
      <c r="I977" t="s">
        <v>1991</v>
      </c>
      <c r="J977">
        <v>9</v>
      </c>
      <c r="K977">
        <v>6879</v>
      </c>
      <c r="L977">
        <v>0.19</v>
      </c>
      <c r="M977">
        <f>'Raw data'!$K977*(1- 'Raw data'!$L977)</f>
        <v>5571.9900000000007</v>
      </c>
      <c r="N977">
        <v>50147.91</v>
      </c>
      <c r="O977">
        <v>0.25</v>
      </c>
      <c r="P977">
        <v>12536.98</v>
      </c>
      <c r="Q977" t="s">
        <v>51</v>
      </c>
      <c r="R977" t="s">
        <v>48</v>
      </c>
      <c r="S977">
        <v>9</v>
      </c>
    </row>
    <row r="978" spans="1:19" x14ac:dyDescent="0.3">
      <c r="A978" t="s">
        <v>1992</v>
      </c>
      <c r="B978">
        <v>45903</v>
      </c>
      <c r="C978" t="s">
        <v>20</v>
      </c>
      <c r="D978" t="s">
        <v>21</v>
      </c>
      <c r="E978" t="s">
        <v>42</v>
      </c>
      <c r="F978" t="s">
        <v>103</v>
      </c>
      <c r="G978" t="s">
        <v>34</v>
      </c>
      <c r="H978" t="s">
        <v>35</v>
      </c>
      <c r="I978" t="s">
        <v>1993</v>
      </c>
      <c r="J978">
        <v>3</v>
      </c>
      <c r="K978">
        <v>1477</v>
      </c>
      <c r="L978">
        <v>0.22</v>
      </c>
      <c r="M978">
        <f>'Raw data'!$K978*(1- 'Raw data'!$L978)</f>
        <v>1152.06</v>
      </c>
      <c r="N978">
        <v>3456.18</v>
      </c>
      <c r="O978">
        <v>0.4</v>
      </c>
      <c r="P978">
        <v>1382.47</v>
      </c>
      <c r="Q978" t="s">
        <v>51</v>
      </c>
      <c r="R978" t="s">
        <v>38</v>
      </c>
      <c r="S978">
        <v>8</v>
      </c>
    </row>
    <row r="979" spans="1:19" x14ac:dyDescent="0.3">
      <c r="A979" t="s">
        <v>1994</v>
      </c>
      <c r="B979">
        <v>45904</v>
      </c>
      <c r="C979" t="s">
        <v>20</v>
      </c>
      <c r="D979" t="s">
        <v>31</v>
      </c>
      <c r="E979" t="s">
        <v>22</v>
      </c>
      <c r="F979" t="s">
        <v>103</v>
      </c>
      <c r="G979" t="s">
        <v>57</v>
      </c>
      <c r="H979" t="s">
        <v>58</v>
      </c>
      <c r="I979" t="s">
        <v>1995</v>
      </c>
      <c r="J979">
        <v>4</v>
      </c>
      <c r="K979">
        <v>12183</v>
      </c>
      <c r="L979">
        <v>0.02</v>
      </c>
      <c r="M979">
        <f>'Raw data'!$K979*(1- 'Raw data'!$L979)</f>
        <v>11939.34</v>
      </c>
      <c r="N979">
        <v>47757.36</v>
      </c>
      <c r="O979">
        <v>0.2</v>
      </c>
      <c r="P979">
        <v>9551.4699999999993</v>
      </c>
      <c r="Q979" t="s">
        <v>27</v>
      </c>
      <c r="R979" t="s">
        <v>48</v>
      </c>
      <c r="S979">
        <v>7</v>
      </c>
    </row>
    <row r="980" spans="1:19" x14ac:dyDescent="0.3">
      <c r="A980" t="s">
        <v>1996</v>
      </c>
      <c r="B980">
        <v>45905</v>
      </c>
      <c r="C980" t="s">
        <v>30</v>
      </c>
      <c r="D980" t="s">
        <v>56</v>
      </c>
      <c r="E980" t="s">
        <v>67</v>
      </c>
      <c r="F980" t="s">
        <v>43</v>
      </c>
      <c r="G980" t="s">
        <v>44</v>
      </c>
      <c r="H980" t="s">
        <v>116</v>
      </c>
      <c r="I980" t="s">
        <v>1997</v>
      </c>
      <c r="J980">
        <v>1</v>
      </c>
      <c r="K980">
        <v>1567</v>
      </c>
      <c r="L980">
        <v>0.1</v>
      </c>
      <c r="M980">
        <f>'Raw data'!$K980*(1- 'Raw data'!$L980)</f>
        <v>1410.3</v>
      </c>
      <c r="N980">
        <v>1410.3</v>
      </c>
      <c r="O980">
        <v>0.35</v>
      </c>
      <c r="P980">
        <v>493.6</v>
      </c>
      <c r="Q980" t="s">
        <v>47</v>
      </c>
      <c r="R980" t="s">
        <v>48</v>
      </c>
      <c r="S980">
        <v>3</v>
      </c>
    </row>
    <row r="981" spans="1:19" x14ac:dyDescent="0.3">
      <c r="A981" t="s">
        <v>1998</v>
      </c>
      <c r="B981">
        <v>45906</v>
      </c>
      <c r="C981" t="s">
        <v>40</v>
      </c>
      <c r="D981" t="s">
        <v>31</v>
      </c>
      <c r="E981" t="s">
        <v>42</v>
      </c>
      <c r="F981" t="s">
        <v>23</v>
      </c>
      <c r="G981" t="s">
        <v>44</v>
      </c>
      <c r="H981" t="s">
        <v>64</v>
      </c>
      <c r="I981" t="s">
        <v>1999</v>
      </c>
      <c r="J981">
        <v>9</v>
      </c>
      <c r="K981">
        <v>2077</v>
      </c>
      <c r="L981">
        <v>0.03</v>
      </c>
      <c r="M981">
        <f>'Raw data'!$K981*(1- 'Raw data'!$L981)</f>
        <v>2014.69</v>
      </c>
      <c r="N981">
        <v>18132.21</v>
      </c>
      <c r="O981">
        <v>0.35</v>
      </c>
      <c r="P981">
        <v>6346.27</v>
      </c>
      <c r="Q981" t="s">
        <v>27</v>
      </c>
      <c r="R981" t="s">
        <v>48</v>
      </c>
      <c r="S981">
        <v>4</v>
      </c>
    </row>
    <row r="982" spans="1:19" x14ac:dyDescent="0.3">
      <c r="A982" t="s">
        <v>2000</v>
      </c>
      <c r="B982">
        <v>45907</v>
      </c>
      <c r="C982" t="s">
        <v>96</v>
      </c>
      <c r="D982" t="s">
        <v>31</v>
      </c>
      <c r="E982" t="s">
        <v>32</v>
      </c>
      <c r="F982" t="s">
        <v>33</v>
      </c>
      <c r="G982" t="s">
        <v>44</v>
      </c>
      <c r="H982" t="s">
        <v>64</v>
      </c>
      <c r="I982" t="s">
        <v>2001</v>
      </c>
      <c r="J982">
        <v>8</v>
      </c>
      <c r="K982">
        <v>1511</v>
      </c>
      <c r="L982">
        <v>0</v>
      </c>
      <c r="M982">
        <f>'Raw data'!$K982*(1- 'Raw data'!$L982)</f>
        <v>1511</v>
      </c>
      <c r="N982">
        <v>12088</v>
      </c>
      <c r="O982">
        <v>0.35</v>
      </c>
      <c r="P982">
        <v>4230.8</v>
      </c>
      <c r="Q982" t="s">
        <v>51</v>
      </c>
      <c r="R982" t="s">
        <v>38</v>
      </c>
      <c r="S982">
        <v>6</v>
      </c>
    </row>
    <row r="983" spans="1:19" x14ac:dyDescent="0.3">
      <c r="A983" t="s">
        <v>2002</v>
      </c>
      <c r="B983">
        <v>45908</v>
      </c>
      <c r="C983" t="s">
        <v>55</v>
      </c>
      <c r="D983" t="s">
        <v>21</v>
      </c>
      <c r="E983" t="s">
        <v>22</v>
      </c>
      <c r="F983" t="s">
        <v>43</v>
      </c>
      <c r="G983" t="s">
        <v>24</v>
      </c>
      <c r="H983" t="s">
        <v>121</v>
      </c>
      <c r="I983" t="s">
        <v>2003</v>
      </c>
      <c r="J983">
        <v>2</v>
      </c>
      <c r="K983">
        <v>3274</v>
      </c>
      <c r="L983">
        <v>0.17</v>
      </c>
      <c r="M983">
        <f>'Raw data'!$K983*(1- 'Raw data'!$L983)</f>
        <v>2717.42</v>
      </c>
      <c r="N983">
        <v>5434.84</v>
      </c>
      <c r="O983">
        <v>0.25</v>
      </c>
      <c r="P983">
        <v>1358.71</v>
      </c>
      <c r="Q983" t="s">
        <v>47</v>
      </c>
      <c r="R983" t="s">
        <v>48</v>
      </c>
      <c r="S983">
        <v>3</v>
      </c>
    </row>
    <row r="984" spans="1:19" x14ac:dyDescent="0.3">
      <c r="A984" t="s">
        <v>2004</v>
      </c>
      <c r="B984">
        <v>45909</v>
      </c>
      <c r="C984" t="s">
        <v>55</v>
      </c>
      <c r="D984" t="s">
        <v>56</v>
      </c>
      <c r="E984" t="s">
        <v>32</v>
      </c>
      <c r="F984" t="s">
        <v>68</v>
      </c>
      <c r="G984" t="s">
        <v>24</v>
      </c>
      <c r="H984" t="s">
        <v>121</v>
      </c>
      <c r="I984" t="s">
        <v>2005</v>
      </c>
      <c r="J984">
        <v>8</v>
      </c>
      <c r="K984">
        <v>5869</v>
      </c>
      <c r="L984">
        <v>0.15</v>
      </c>
      <c r="M984">
        <f>'Raw data'!$K984*(1- 'Raw data'!$L984)</f>
        <v>4988.6499999999996</v>
      </c>
      <c r="N984">
        <v>39909.199999999997</v>
      </c>
      <c r="O984">
        <v>0.25</v>
      </c>
      <c r="P984">
        <v>9977.2999999999993</v>
      </c>
      <c r="Q984" t="s">
        <v>47</v>
      </c>
      <c r="R984" t="s">
        <v>48</v>
      </c>
      <c r="S984">
        <v>9</v>
      </c>
    </row>
    <row r="985" spans="1:19" x14ac:dyDescent="0.3">
      <c r="A985" t="s">
        <v>2006</v>
      </c>
      <c r="B985">
        <v>45910</v>
      </c>
      <c r="C985" t="s">
        <v>30</v>
      </c>
      <c r="D985" t="s">
        <v>56</v>
      </c>
      <c r="E985" t="s">
        <v>67</v>
      </c>
      <c r="F985" t="s">
        <v>33</v>
      </c>
      <c r="G985" t="s">
        <v>57</v>
      </c>
      <c r="H985" t="s">
        <v>183</v>
      </c>
      <c r="I985" t="s">
        <v>2007</v>
      </c>
      <c r="J985">
        <v>7</v>
      </c>
      <c r="K985">
        <v>17795</v>
      </c>
      <c r="L985">
        <v>0.04</v>
      </c>
      <c r="M985">
        <f>'Raw data'!$K985*(1- 'Raw data'!$L985)</f>
        <v>17083.2</v>
      </c>
      <c r="N985">
        <v>119582.39999999999</v>
      </c>
      <c r="O985">
        <v>0.2</v>
      </c>
      <c r="P985">
        <v>23916.48</v>
      </c>
      <c r="Q985" t="s">
        <v>51</v>
      </c>
      <c r="R985" t="s">
        <v>48</v>
      </c>
      <c r="S985">
        <v>8</v>
      </c>
    </row>
    <row r="986" spans="1:19" x14ac:dyDescent="0.3">
      <c r="A986" t="s">
        <v>2008</v>
      </c>
      <c r="B986">
        <v>45911</v>
      </c>
      <c r="C986" t="s">
        <v>40</v>
      </c>
      <c r="D986" t="s">
        <v>31</v>
      </c>
      <c r="E986" t="s">
        <v>42</v>
      </c>
      <c r="F986" t="s">
        <v>43</v>
      </c>
      <c r="G986" t="s">
        <v>44</v>
      </c>
      <c r="H986" t="s">
        <v>64</v>
      </c>
      <c r="I986" t="s">
        <v>2009</v>
      </c>
      <c r="J986">
        <v>6</v>
      </c>
      <c r="K986">
        <v>2314</v>
      </c>
      <c r="L986">
        <v>0.06</v>
      </c>
      <c r="M986">
        <f>'Raw data'!$K986*(1- 'Raw data'!$L986)</f>
        <v>2175.16</v>
      </c>
      <c r="N986">
        <v>13050.96</v>
      </c>
      <c r="O986">
        <v>0.35</v>
      </c>
      <c r="P986">
        <v>4567.84</v>
      </c>
      <c r="Q986" t="s">
        <v>27</v>
      </c>
      <c r="R986" t="s">
        <v>38</v>
      </c>
      <c r="S986">
        <v>6</v>
      </c>
    </row>
    <row r="987" spans="1:19" x14ac:dyDescent="0.3">
      <c r="A987" t="s">
        <v>2010</v>
      </c>
      <c r="B987">
        <v>45912</v>
      </c>
      <c r="C987" t="s">
        <v>40</v>
      </c>
      <c r="D987" t="s">
        <v>21</v>
      </c>
      <c r="E987" t="s">
        <v>42</v>
      </c>
      <c r="F987" t="s">
        <v>23</v>
      </c>
      <c r="G987" t="s">
        <v>44</v>
      </c>
      <c r="H987" t="s">
        <v>64</v>
      </c>
      <c r="I987" t="s">
        <v>2011</v>
      </c>
      <c r="J987">
        <v>1</v>
      </c>
      <c r="K987">
        <v>2926</v>
      </c>
      <c r="L987">
        <v>0.01</v>
      </c>
      <c r="M987">
        <f>'Raw data'!$K987*(1- 'Raw data'!$L987)</f>
        <v>2896.74</v>
      </c>
      <c r="N987">
        <v>2896.74</v>
      </c>
      <c r="O987">
        <v>0.35</v>
      </c>
      <c r="P987">
        <v>1013.86</v>
      </c>
      <c r="Q987" t="s">
        <v>37</v>
      </c>
      <c r="R987" t="s">
        <v>48</v>
      </c>
      <c r="S987">
        <v>4</v>
      </c>
    </row>
    <row r="988" spans="1:19" x14ac:dyDescent="0.3">
      <c r="A988" t="s">
        <v>2012</v>
      </c>
      <c r="B988">
        <v>45913</v>
      </c>
      <c r="C988" t="s">
        <v>20</v>
      </c>
      <c r="D988" t="s">
        <v>56</v>
      </c>
      <c r="E988" t="s">
        <v>42</v>
      </c>
      <c r="F988" t="s">
        <v>97</v>
      </c>
      <c r="G988" t="s">
        <v>34</v>
      </c>
      <c r="H988" t="s">
        <v>35</v>
      </c>
      <c r="I988" t="s">
        <v>2013</v>
      </c>
      <c r="J988">
        <v>7</v>
      </c>
      <c r="K988">
        <v>1401</v>
      </c>
      <c r="L988">
        <v>0.21</v>
      </c>
      <c r="M988">
        <f>'Raw data'!$K988*(1- 'Raw data'!$L988)</f>
        <v>1106.79</v>
      </c>
      <c r="N988">
        <v>7747.53</v>
      </c>
      <c r="O988">
        <v>0.4</v>
      </c>
      <c r="P988">
        <v>3099.01</v>
      </c>
      <c r="Q988" t="s">
        <v>27</v>
      </c>
      <c r="R988" t="s">
        <v>48</v>
      </c>
      <c r="S988">
        <v>7</v>
      </c>
    </row>
    <row r="989" spans="1:19" x14ac:dyDescent="0.3">
      <c r="A989" t="s">
        <v>2014</v>
      </c>
      <c r="B989">
        <v>45914</v>
      </c>
      <c r="C989" t="s">
        <v>96</v>
      </c>
      <c r="D989" t="s">
        <v>31</v>
      </c>
      <c r="E989" t="s">
        <v>42</v>
      </c>
      <c r="F989" t="s">
        <v>97</v>
      </c>
      <c r="G989" t="s">
        <v>24</v>
      </c>
      <c r="H989" t="s">
        <v>74</v>
      </c>
      <c r="I989" t="s">
        <v>2015</v>
      </c>
      <c r="J989">
        <v>7</v>
      </c>
      <c r="K989">
        <v>6546</v>
      </c>
      <c r="L989">
        <v>0.24</v>
      </c>
      <c r="M989">
        <f>'Raw data'!$K989*(1- 'Raw data'!$L989)</f>
        <v>4974.96</v>
      </c>
      <c r="N989">
        <v>34824.720000000001</v>
      </c>
      <c r="O989">
        <v>0.25</v>
      </c>
      <c r="P989">
        <v>8706.18</v>
      </c>
      <c r="Q989" t="s">
        <v>27</v>
      </c>
      <c r="R989" t="s">
        <v>48</v>
      </c>
      <c r="S989">
        <v>3</v>
      </c>
    </row>
    <row r="990" spans="1:19" x14ac:dyDescent="0.3">
      <c r="A990" t="s">
        <v>2016</v>
      </c>
      <c r="B990">
        <v>45915</v>
      </c>
      <c r="C990" t="s">
        <v>63</v>
      </c>
      <c r="D990" t="s">
        <v>56</v>
      </c>
      <c r="E990" t="s">
        <v>22</v>
      </c>
      <c r="F990" t="s">
        <v>68</v>
      </c>
      <c r="G990" t="s">
        <v>44</v>
      </c>
      <c r="H990" t="s">
        <v>116</v>
      </c>
      <c r="I990" t="s">
        <v>2017</v>
      </c>
      <c r="J990">
        <v>9</v>
      </c>
      <c r="K990">
        <v>4902</v>
      </c>
      <c r="L990">
        <v>0.03</v>
      </c>
      <c r="M990">
        <f>'Raw data'!$K990*(1- 'Raw data'!$L990)</f>
        <v>4754.9399999999996</v>
      </c>
      <c r="N990">
        <v>42794.46</v>
      </c>
      <c r="O990">
        <v>0.35</v>
      </c>
      <c r="P990">
        <v>14978.06</v>
      </c>
      <c r="Q990" t="s">
        <v>51</v>
      </c>
      <c r="R990" t="s">
        <v>28</v>
      </c>
      <c r="S990">
        <v>8</v>
      </c>
    </row>
    <row r="991" spans="1:19" x14ac:dyDescent="0.3">
      <c r="A991" t="s">
        <v>2018</v>
      </c>
      <c r="B991">
        <v>45916</v>
      </c>
      <c r="C991" t="s">
        <v>40</v>
      </c>
      <c r="D991" t="s">
        <v>21</v>
      </c>
      <c r="E991" t="s">
        <v>22</v>
      </c>
      <c r="F991" t="s">
        <v>97</v>
      </c>
      <c r="G991" t="s">
        <v>57</v>
      </c>
      <c r="H991" t="s">
        <v>81</v>
      </c>
      <c r="I991" t="s">
        <v>2019</v>
      </c>
      <c r="J991">
        <v>1</v>
      </c>
      <c r="K991">
        <v>4551</v>
      </c>
      <c r="L991">
        <v>0.06</v>
      </c>
      <c r="M991">
        <f>'Raw data'!$K991*(1- 'Raw data'!$L991)</f>
        <v>4277.9399999999996</v>
      </c>
      <c r="N991">
        <v>4277.9399999999996</v>
      </c>
      <c r="O991">
        <v>0.2</v>
      </c>
      <c r="P991">
        <v>855.59</v>
      </c>
      <c r="Q991" t="s">
        <v>47</v>
      </c>
      <c r="R991" t="s">
        <v>48</v>
      </c>
      <c r="S991">
        <v>1</v>
      </c>
    </row>
    <row r="992" spans="1:19" x14ac:dyDescent="0.3">
      <c r="A992" t="s">
        <v>2020</v>
      </c>
      <c r="B992">
        <v>45917</v>
      </c>
      <c r="C992" t="s">
        <v>63</v>
      </c>
      <c r="D992" t="s">
        <v>21</v>
      </c>
      <c r="E992" t="s">
        <v>32</v>
      </c>
      <c r="F992" t="s">
        <v>43</v>
      </c>
      <c r="G992" t="s">
        <v>57</v>
      </c>
      <c r="H992" t="s">
        <v>183</v>
      </c>
      <c r="I992" t="s">
        <v>2021</v>
      </c>
      <c r="J992">
        <v>2</v>
      </c>
      <c r="K992">
        <v>8411</v>
      </c>
      <c r="L992">
        <v>0.22</v>
      </c>
      <c r="M992">
        <f>'Raw data'!$K992*(1- 'Raw data'!$L992)</f>
        <v>6560.58</v>
      </c>
      <c r="N992">
        <v>13121.16</v>
      </c>
      <c r="O992">
        <v>0.2</v>
      </c>
      <c r="P992">
        <v>2624.23</v>
      </c>
      <c r="Q992" t="s">
        <v>51</v>
      </c>
      <c r="R992" t="s">
        <v>38</v>
      </c>
      <c r="S992">
        <v>3</v>
      </c>
    </row>
    <row r="993" spans="1:19" x14ac:dyDescent="0.3">
      <c r="A993" t="s">
        <v>2022</v>
      </c>
      <c r="B993">
        <v>45918</v>
      </c>
      <c r="C993" t="s">
        <v>55</v>
      </c>
      <c r="D993" t="s">
        <v>21</v>
      </c>
      <c r="E993" t="s">
        <v>22</v>
      </c>
      <c r="F993" t="s">
        <v>68</v>
      </c>
      <c r="G993" t="s">
        <v>44</v>
      </c>
      <c r="H993" t="s">
        <v>116</v>
      </c>
      <c r="I993" t="s">
        <v>934</v>
      </c>
      <c r="J993">
        <v>9</v>
      </c>
      <c r="K993">
        <v>4157</v>
      </c>
      <c r="L993">
        <v>0.23</v>
      </c>
      <c r="M993">
        <f>'Raw data'!$K993*(1- 'Raw data'!$L993)</f>
        <v>3200.89</v>
      </c>
      <c r="N993">
        <v>28808.01</v>
      </c>
      <c r="O993">
        <v>0.35</v>
      </c>
      <c r="P993">
        <v>10082.799999999999</v>
      </c>
      <c r="Q993" t="s">
        <v>27</v>
      </c>
      <c r="R993" t="s">
        <v>48</v>
      </c>
      <c r="S993">
        <v>5</v>
      </c>
    </row>
    <row r="994" spans="1:19" x14ac:dyDescent="0.3">
      <c r="A994" t="s">
        <v>2023</v>
      </c>
      <c r="B994">
        <v>45919</v>
      </c>
      <c r="C994" t="s">
        <v>63</v>
      </c>
      <c r="D994" t="s">
        <v>56</v>
      </c>
      <c r="E994" t="s">
        <v>67</v>
      </c>
      <c r="F994" t="s">
        <v>33</v>
      </c>
      <c r="G994" t="s">
        <v>24</v>
      </c>
      <c r="H994" t="s">
        <v>186</v>
      </c>
      <c r="I994" t="s">
        <v>2024</v>
      </c>
      <c r="J994">
        <v>9</v>
      </c>
      <c r="K994">
        <v>1007</v>
      </c>
      <c r="L994">
        <v>0.1</v>
      </c>
      <c r="M994">
        <f>'Raw data'!$K994*(1- 'Raw data'!$L994)</f>
        <v>906.30000000000007</v>
      </c>
      <c r="N994">
        <v>8156.7</v>
      </c>
      <c r="O994">
        <v>0.25</v>
      </c>
      <c r="P994">
        <v>2039.18</v>
      </c>
      <c r="Q994" t="s">
        <v>37</v>
      </c>
      <c r="R994" t="s">
        <v>48</v>
      </c>
      <c r="S994">
        <v>5</v>
      </c>
    </row>
    <row r="995" spans="1:19" x14ac:dyDescent="0.3">
      <c r="A995" t="s">
        <v>2025</v>
      </c>
      <c r="B995">
        <v>45920</v>
      </c>
      <c r="C995" t="s">
        <v>96</v>
      </c>
      <c r="D995" t="s">
        <v>41</v>
      </c>
      <c r="E995" t="s">
        <v>67</v>
      </c>
      <c r="F995" t="s">
        <v>23</v>
      </c>
      <c r="G995" t="s">
        <v>57</v>
      </c>
      <c r="H995" t="s">
        <v>183</v>
      </c>
      <c r="I995" t="s">
        <v>2026</v>
      </c>
      <c r="J995">
        <v>6</v>
      </c>
      <c r="K995">
        <v>2475</v>
      </c>
      <c r="L995">
        <v>0.01</v>
      </c>
      <c r="M995">
        <f>'Raw data'!$K995*(1- 'Raw data'!$L995)</f>
        <v>2450.25</v>
      </c>
      <c r="N995">
        <v>14701.5</v>
      </c>
      <c r="O995">
        <v>0.2</v>
      </c>
      <c r="P995">
        <v>2940.3</v>
      </c>
      <c r="Q995" t="s">
        <v>37</v>
      </c>
      <c r="R995" t="s">
        <v>48</v>
      </c>
      <c r="S995">
        <v>2</v>
      </c>
    </row>
    <row r="996" spans="1:19" x14ac:dyDescent="0.3">
      <c r="A996" t="s">
        <v>2027</v>
      </c>
      <c r="B996">
        <v>45921</v>
      </c>
      <c r="C996" t="s">
        <v>96</v>
      </c>
      <c r="D996" t="s">
        <v>56</v>
      </c>
      <c r="E996" t="s">
        <v>42</v>
      </c>
      <c r="F996" t="s">
        <v>68</v>
      </c>
      <c r="G996" t="s">
        <v>34</v>
      </c>
      <c r="H996" t="s">
        <v>141</v>
      </c>
      <c r="I996" t="s">
        <v>2028</v>
      </c>
      <c r="J996">
        <v>6</v>
      </c>
      <c r="K996">
        <v>363</v>
      </c>
      <c r="L996">
        <v>0.01</v>
      </c>
      <c r="M996">
        <f>'Raw data'!$K996*(1- 'Raw data'!$L996)</f>
        <v>359.37</v>
      </c>
      <c r="N996">
        <v>2156.2199999999998</v>
      </c>
      <c r="O996">
        <v>0.4</v>
      </c>
      <c r="P996">
        <v>862.49</v>
      </c>
      <c r="Q996" t="s">
        <v>37</v>
      </c>
      <c r="R996" t="s">
        <v>38</v>
      </c>
      <c r="S996">
        <v>8</v>
      </c>
    </row>
    <row r="997" spans="1:19" x14ac:dyDescent="0.3">
      <c r="A997" t="s">
        <v>2029</v>
      </c>
      <c r="B997">
        <v>45922</v>
      </c>
      <c r="C997" t="s">
        <v>63</v>
      </c>
      <c r="D997" t="s">
        <v>41</v>
      </c>
      <c r="E997" t="s">
        <v>67</v>
      </c>
      <c r="F997" t="s">
        <v>33</v>
      </c>
      <c r="G997" t="s">
        <v>57</v>
      </c>
      <c r="H997" t="s">
        <v>183</v>
      </c>
      <c r="I997" t="s">
        <v>2030</v>
      </c>
      <c r="J997">
        <v>4</v>
      </c>
      <c r="K997">
        <v>9239</v>
      </c>
      <c r="L997">
        <v>0.14000000000000001</v>
      </c>
      <c r="M997">
        <f>'Raw data'!$K997*(1- 'Raw data'!$L997)</f>
        <v>7945.54</v>
      </c>
      <c r="N997">
        <v>31782.16</v>
      </c>
      <c r="O997">
        <v>0.2</v>
      </c>
      <c r="P997">
        <v>6356.43</v>
      </c>
      <c r="Q997" t="s">
        <v>51</v>
      </c>
      <c r="R997" t="s">
        <v>48</v>
      </c>
      <c r="S997">
        <v>5</v>
      </c>
    </row>
    <row r="998" spans="1:19" x14ac:dyDescent="0.3">
      <c r="A998" t="s">
        <v>2031</v>
      </c>
      <c r="B998">
        <v>45923</v>
      </c>
      <c r="C998" t="s">
        <v>30</v>
      </c>
      <c r="D998" t="s">
        <v>21</v>
      </c>
      <c r="E998" t="s">
        <v>32</v>
      </c>
      <c r="F998" t="s">
        <v>68</v>
      </c>
      <c r="G998" t="s">
        <v>92</v>
      </c>
      <c r="H998" t="s">
        <v>243</v>
      </c>
      <c r="I998" t="s">
        <v>2032</v>
      </c>
      <c r="J998">
        <v>4</v>
      </c>
      <c r="K998">
        <v>16710</v>
      </c>
      <c r="L998">
        <v>0.1</v>
      </c>
      <c r="M998">
        <f>'Raw data'!$K998*(1- 'Raw data'!$L998)</f>
        <v>15039</v>
      </c>
      <c r="N998">
        <v>60156</v>
      </c>
      <c r="O998">
        <v>0.15</v>
      </c>
      <c r="P998">
        <v>9023.4</v>
      </c>
      <c r="Q998" t="s">
        <v>47</v>
      </c>
      <c r="R998" t="s">
        <v>38</v>
      </c>
      <c r="S998">
        <v>7</v>
      </c>
    </row>
    <row r="999" spans="1:19" x14ac:dyDescent="0.3">
      <c r="A999" t="s">
        <v>2033</v>
      </c>
      <c r="B999">
        <v>45924</v>
      </c>
      <c r="C999" t="s">
        <v>40</v>
      </c>
      <c r="D999" t="s">
        <v>31</v>
      </c>
      <c r="E999" t="s">
        <v>22</v>
      </c>
      <c r="F999" t="s">
        <v>103</v>
      </c>
      <c r="G999" t="s">
        <v>92</v>
      </c>
      <c r="H999" t="s">
        <v>109</v>
      </c>
      <c r="I999" t="s">
        <v>2034</v>
      </c>
      <c r="J999">
        <v>5</v>
      </c>
      <c r="K999">
        <v>31384</v>
      </c>
      <c r="L999">
        <v>0.01</v>
      </c>
      <c r="M999">
        <f>'Raw data'!$K999*(1- 'Raw data'!$L999)</f>
        <v>31070.16</v>
      </c>
      <c r="N999">
        <v>155350.79999999999</v>
      </c>
      <c r="O999">
        <v>0.15</v>
      </c>
      <c r="P999">
        <v>23302.62</v>
      </c>
      <c r="Q999" t="s">
        <v>51</v>
      </c>
      <c r="R999" t="s">
        <v>48</v>
      </c>
      <c r="S999">
        <v>7</v>
      </c>
    </row>
    <row r="1000" spans="1:19" x14ac:dyDescent="0.3">
      <c r="A1000" t="s">
        <v>2035</v>
      </c>
      <c r="B1000">
        <v>45925</v>
      </c>
      <c r="C1000" t="s">
        <v>30</v>
      </c>
      <c r="D1000" t="s">
        <v>41</v>
      </c>
      <c r="E1000" t="s">
        <v>22</v>
      </c>
      <c r="F1000" t="s">
        <v>103</v>
      </c>
      <c r="G1000" t="s">
        <v>24</v>
      </c>
      <c r="H1000" t="s">
        <v>74</v>
      </c>
      <c r="I1000" t="s">
        <v>2036</v>
      </c>
      <c r="J1000">
        <v>3</v>
      </c>
      <c r="K1000">
        <v>5654</v>
      </c>
      <c r="L1000">
        <v>0.15</v>
      </c>
      <c r="M1000">
        <f>'Raw data'!$K1000*(1- 'Raw data'!$L1000)</f>
        <v>4805.8999999999996</v>
      </c>
      <c r="N1000">
        <v>14417.7</v>
      </c>
      <c r="O1000">
        <v>0.25</v>
      </c>
      <c r="P1000">
        <v>3604.42</v>
      </c>
      <c r="Q1000" t="s">
        <v>37</v>
      </c>
      <c r="R1000" t="s">
        <v>48</v>
      </c>
      <c r="S1000">
        <v>5</v>
      </c>
    </row>
    <row r="1001" spans="1:19" x14ac:dyDescent="0.3">
      <c r="A1001" t="s">
        <v>2037</v>
      </c>
      <c r="B1001">
        <v>45926</v>
      </c>
      <c r="C1001" t="s">
        <v>63</v>
      </c>
      <c r="D1001" t="s">
        <v>21</v>
      </c>
      <c r="E1001" t="s">
        <v>22</v>
      </c>
      <c r="F1001" t="s">
        <v>68</v>
      </c>
      <c r="G1001" t="s">
        <v>44</v>
      </c>
      <c r="H1001" t="s">
        <v>116</v>
      </c>
      <c r="I1001" t="s">
        <v>2038</v>
      </c>
      <c r="J1001">
        <v>1</v>
      </c>
      <c r="K1001">
        <v>2785</v>
      </c>
      <c r="L1001">
        <v>0</v>
      </c>
      <c r="M1001">
        <f>'Raw data'!$K1001*(1- 'Raw data'!$L1001)</f>
        <v>2785</v>
      </c>
      <c r="N1001">
        <v>2785</v>
      </c>
      <c r="O1001">
        <v>0.35</v>
      </c>
      <c r="P1001">
        <v>974.75</v>
      </c>
      <c r="Q1001" t="s">
        <v>27</v>
      </c>
      <c r="R1001" t="s">
        <v>48</v>
      </c>
      <c r="S1001">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ADDF-C5DD-4227-B450-16E3C09DBE78}">
  <dimension ref="A1:AA1001"/>
  <sheetViews>
    <sheetView workbookViewId="0">
      <selection activeCell="R975" sqref="R975"/>
    </sheetView>
  </sheetViews>
  <sheetFormatPr defaultRowHeight="14.4" x14ac:dyDescent="0.3"/>
  <cols>
    <col min="1" max="1" width="9.77734375" bestFit="1" customWidth="1"/>
    <col min="2" max="2" width="12.6640625" bestFit="1" customWidth="1"/>
    <col min="3" max="3" width="17.21875" bestFit="1" customWidth="1"/>
    <col min="4" max="4" width="8.77734375" bestFit="1" customWidth="1"/>
    <col min="5" max="5" width="9.6640625" bestFit="1" customWidth="1"/>
    <col min="6" max="6" width="9.109375" bestFit="1" customWidth="1"/>
    <col min="7" max="7" width="18" bestFit="1" customWidth="1"/>
    <col min="8" max="8" width="14.5546875" bestFit="1" customWidth="1"/>
    <col min="9" max="9" width="16.5546875" bestFit="1" customWidth="1"/>
    <col min="10" max="10" width="10.33203125" bestFit="1" customWidth="1"/>
    <col min="11" max="11" width="11.77734375" bestFit="1" customWidth="1"/>
    <col min="12" max="12" width="10.5546875" bestFit="1" customWidth="1"/>
    <col min="13" max="13" width="17.88671875" bestFit="1" customWidth="1"/>
    <col min="14" max="14" width="10" bestFit="1" customWidth="1"/>
    <col min="15" max="15" width="14.109375" bestFit="1" customWidth="1"/>
    <col min="16" max="16" width="15" bestFit="1" customWidth="1"/>
    <col min="17" max="17" width="16" bestFit="1" customWidth="1"/>
    <col min="18" max="18" width="16.21875" bestFit="1" customWidth="1"/>
    <col min="19" max="19" width="14.77734375" bestFit="1" customWidth="1"/>
    <col min="20" max="20" width="12.44140625" bestFit="1" customWidth="1"/>
    <col min="21" max="21" width="19.88671875" bestFit="1" customWidth="1"/>
    <col min="22" max="22" width="21.6640625" bestFit="1" customWidth="1"/>
    <col min="23" max="23" width="18.44140625" bestFit="1" customWidth="1"/>
    <col min="24" max="24" width="11.88671875" bestFit="1" customWidth="1"/>
    <col min="25" max="25" width="21.6640625" bestFit="1" customWidth="1"/>
    <col min="26" max="26" width="19.44140625" bestFit="1" customWidth="1"/>
    <col min="27" max="27" width="16.3320312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3041</v>
      </c>
      <c r="U1" t="s">
        <v>3042</v>
      </c>
      <c r="V1" t="s">
        <v>3043</v>
      </c>
      <c r="W1" t="s">
        <v>3044</v>
      </c>
      <c r="X1" t="s">
        <v>3045</v>
      </c>
      <c r="Y1" t="s">
        <v>3046</v>
      </c>
      <c r="Z1" t="s">
        <v>3047</v>
      </c>
      <c r="AA1" t="s">
        <v>3048</v>
      </c>
    </row>
    <row r="2" spans="1:27" x14ac:dyDescent="0.3">
      <c r="A2" t="s">
        <v>2350</v>
      </c>
      <c r="B2" s="1">
        <v>45236</v>
      </c>
      <c r="C2" t="s">
        <v>20</v>
      </c>
      <c r="D2" t="s">
        <v>56</v>
      </c>
      <c r="E2" t="s">
        <v>2042</v>
      </c>
      <c r="F2" t="s">
        <v>97</v>
      </c>
      <c r="G2" t="s">
        <v>34</v>
      </c>
      <c r="H2" t="s">
        <v>104</v>
      </c>
      <c r="I2" t="s">
        <v>688</v>
      </c>
      <c r="J2">
        <v>1</v>
      </c>
      <c r="K2">
        <v>358</v>
      </c>
      <c r="L2">
        <v>0.21</v>
      </c>
      <c r="M2">
        <v>282.82</v>
      </c>
      <c r="N2">
        <v>282.82</v>
      </c>
      <c r="O2">
        <v>0.4</v>
      </c>
      <c r="P2">
        <v>113.13</v>
      </c>
      <c r="Q2" t="s">
        <v>51</v>
      </c>
      <c r="R2" t="s">
        <v>48</v>
      </c>
      <c r="S2">
        <v>4</v>
      </c>
      <c r="T2">
        <f>YEAR(Sales_Data_1[[#This Row],[Order_Date]])</f>
        <v>2023</v>
      </c>
      <c r="U2" t="str">
        <f>TEXT(Sales_Data_1[[#This Row],[Order_Date]], "mmm")</f>
        <v>Nov</v>
      </c>
      <c r="V2">
        <f>MONTH(Sales_Data_1[[#This Row],[Order_Date]])</f>
        <v>11</v>
      </c>
      <c r="W2" t="str">
        <f>TEXT(Sales_Data_1[[#This Row],[Order_Date]], "yyyy-mm")</f>
        <v>2023-11</v>
      </c>
      <c r="X2">
        <f>Sales_Data_1[[#This Row],[Sales]]-Sales_Data_1[[#This Row],[Profit_Amount]]</f>
        <v>169.69</v>
      </c>
      <c r="Y2" t="str" cm="1">
        <f t="array" ref="Y2">_xlfn.IFS(Sales_Data_1[[#This Row],[Delivery_Days]]&lt;=3, "Fast", Sales_Data_1[[#This Row],[Delivery_Days]]&lt;= 7, "Standard", TRUE, "Delayed")</f>
        <v>Standard</v>
      </c>
      <c r="Z2" t="str" cm="1">
        <f t="array" ref="Z2">_xlfn.IFS(Sales_Data_1[[#This Row],[Profit_Amount]]&gt; 0, "Profitable", Sales_Data_1[[#This Row],[Profit_Amount]] = 0, "Break-Even", TRUE, "Loss")</f>
        <v>Profitable</v>
      </c>
      <c r="AA2" t="str" cm="1">
        <f t="array" ref="AA2">_xlfn.IFS(Sales_Data_1[[#This Row],[Sales]]&gt;= 1000, "High Value", Sales_Data_1[[#This Row],[Sales]]&gt;= 300, "Mid Value", TRUE, "Low Value")</f>
        <v>Low Value</v>
      </c>
    </row>
    <row r="3" spans="1:27" x14ac:dyDescent="0.3">
      <c r="A3" t="s">
        <v>2707</v>
      </c>
      <c r="B3" s="1">
        <v>45593</v>
      </c>
      <c r="C3" t="s">
        <v>96</v>
      </c>
      <c r="D3" t="s">
        <v>56</v>
      </c>
      <c r="E3" t="s">
        <v>2042</v>
      </c>
      <c r="F3" t="s">
        <v>33</v>
      </c>
      <c r="G3" t="s">
        <v>34</v>
      </c>
      <c r="H3" t="s">
        <v>35</v>
      </c>
      <c r="I3" t="s">
        <v>1390</v>
      </c>
      <c r="J3">
        <v>1</v>
      </c>
      <c r="K3">
        <v>348</v>
      </c>
      <c r="L3">
        <v>0.04</v>
      </c>
      <c r="M3">
        <v>334.08</v>
      </c>
      <c r="N3">
        <v>334.08</v>
      </c>
      <c r="O3">
        <v>0.4</v>
      </c>
      <c r="P3">
        <v>133.63</v>
      </c>
      <c r="Q3" t="s">
        <v>47</v>
      </c>
      <c r="R3" t="s">
        <v>38</v>
      </c>
      <c r="S3">
        <v>1</v>
      </c>
      <c r="T3">
        <f>YEAR(Sales_Data_1[[#This Row],[Order_Date]])</f>
        <v>2024</v>
      </c>
      <c r="U3" t="str">
        <f>TEXT(Sales_Data_1[[#This Row],[Order_Date]], "mmm")</f>
        <v>Oct</v>
      </c>
      <c r="V3">
        <f>MONTH(Sales_Data_1[[#This Row],[Order_Date]])</f>
        <v>10</v>
      </c>
      <c r="W3" t="str">
        <f>TEXT(Sales_Data_1[[#This Row],[Order_Date]], "yyyy-mm")</f>
        <v>2024-10</v>
      </c>
      <c r="X3">
        <f>Sales_Data_1[[#This Row],[Sales]]-Sales_Data_1[[#This Row],[Profit_Amount]]</f>
        <v>200.45</v>
      </c>
      <c r="Y3" t="str" cm="1">
        <f t="array" ref="Y3">_xlfn.IFS(Sales_Data_1[[#This Row],[Delivery_Days]]&lt;=3, "Fast", Sales_Data_1[[#This Row],[Delivery_Days]]&lt;= 7, "Standard", TRUE, "Delayed")</f>
        <v>Fast</v>
      </c>
      <c r="Z3" t="str" cm="1">
        <f t="array" ref="Z3">_xlfn.IFS(Sales_Data_1[[#This Row],[Profit_Amount]]&gt; 0, "Profitable", Sales_Data_1[[#This Row],[Profit_Amount]] = 0, "Break-Even", TRUE, "Loss")</f>
        <v>Profitable</v>
      </c>
      <c r="AA3" t="str" cm="1">
        <f t="array" ref="AA3">_xlfn.IFS(Sales_Data_1[[#This Row],[Sales]]&gt;= 1000, "High Value", Sales_Data_1[[#This Row],[Sales]]&gt;= 300, "Mid Value", TRUE, "Low Value")</f>
        <v>Mid Value</v>
      </c>
    </row>
    <row r="4" spans="1:27" x14ac:dyDescent="0.3">
      <c r="A4" t="s">
        <v>2844</v>
      </c>
      <c r="B4" s="1">
        <v>45730</v>
      </c>
      <c r="C4" t="s">
        <v>55</v>
      </c>
      <c r="D4" t="s">
        <v>41</v>
      </c>
      <c r="E4" t="s">
        <v>42</v>
      </c>
      <c r="F4" t="s">
        <v>103</v>
      </c>
      <c r="G4" t="s">
        <v>34</v>
      </c>
      <c r="H4" t="s">
        <v>35</v>
      </c>
      <c r="I4" t="s">
        <v>1659</v>
      </c>
      <c r="J4">
        <v>2</v>
      </c>
      <c r="K4">
        <v>218</v>
      </c>
      <c r="L4">
        <v>0.04</v>
      </c>
      <c r="M4">
        <v>209.28</v>
      </c>
      <c r="N4">
        <v>418.56</v>
      </c>
      <c r="O4">
        <v>0.4</v>
      </c>
      <c r="P4">
        <v>167.42</v>
      </c>
      <c r="Q4" t="s">
        <v>47</v>
      </c>
      <c r="R4" t="s">
        <v>48</v>
      </c>
      <c r="S4">
        <v>6</v>
      </c>
      <c r="T4">
        <f>YEAR(Sales_Data_1[[#This Row],[Order_Date]])</f>
        <v>2025</v>
      </c>
      <c r="U4" t="str">
        <f>TEXT(Sales_Data_1[[#This Row],[Order_Date]], "mmm")</f>
        <v>Mar</v>
      </c>
      <c r="V4">
        <f>MONTH(Sales_Data_1[[#This Row],[Order_Date]])</f>
        <v>3</v>
      </c>
      <c r="W4" t="str">
        <f>TEXT(Sales_Data_1[[#This Row],[Order_Date]], "yyyy-mm")</f>
        <v>2025-03</v>
      </c>
      <c r="X4">
        <f>Sales_Data_1[[#This Row],[Sales]]-Sales_Data_1[[#This Row],[Profit_Amount]]</f>
        <v>251.14000000000001</v>
      </c>
      <c r="Y4" t="str" cm="1">
        <f t="array" ref="Y4">_xlfn.IFS(Sales_Data_1[[#This Row],[Delivery_Days]]&lt;=3, "Fast", Sales_Data_1[[#This Row],[Delivery_Days]]&lt;= 7, "Standard", TRUE, "Delayed")</f>
        <v>Standard</v>
      </c>
      <c r="Z4" t="str" cm="1">
        <f t="array" ref="Z4">_xlfn.IFS(Sales_Data_1[[#This Row],[Profit_Amount]]&gt; 0, "Profitable", Sales_Data_1[[#This Row],[Profit_Amount]] = 0, "Break-Even", TRUE, "Loss")</f>
        <v>Profitable</v>
      </c>
      <c r="AA4" t="str" cm="1">
        <f t="array" ref="AA4">_xlfn.IFS(Sales_Data_1[[#This Row],[Sales]]&gt;= 1000, "High Value", Sales_Data_1[[#This Row],[Sales]]&gt;= 300, "Mid Value", TRUE, "Low Value")</f>
        <v>Mid Value</v>
      </c>
    </row>
    <row r="5" spans="1:27" x14ac:dyDescent="0.3">
      <c r="A5" t="s">
        <v>2784</v>
      </c>
      <c r="B5" s="1">
        <v>45670</v>
      </c>
      <c r="C5" t="s">
        <v>96</v>
      </c>
      <c r="D5" t="s">
        <v>41</v>
      </c>
      <c r="E5" t="s">
        <v>67</v>
      </c>
      <c r="F5" t="s">
        <v>43</v>
      </c>
      <c r="G5" t="s">
        <v>34</v>
      </c>
      <c r="H5" t="s">
        <v>35</v>
      </c>
      <c r="I5" t="s">
        <v>830</v>
      </c>
      <c r="J5">
        <v>1</v>
      </c>
      <c r="K5">
        <v>501</v>
      </c>
      <c r="L5">
        <v>7.0000000000000007E-2</v>
      </c>
      <c r="M5">
        <v>465.93</v>
      </c>
      <c r="N5">
        <v>465.93</v>
      </c>
      <c r="O5">
        <v>0.4</v>
      </c>
      <c r="P5">
        <v>186.37</v>
      </c>
      <c r="Q5" t="s">
        <v>51</v>
      </c>
      <c r="R5" t="s">
        <v>48</v>
      </c>
      <c r="S5">
        <v>6</v>
      </c>
      <c r="T5">
        <f>YEAR(Sales_Data_1[[#This Row],[Order_Date]])</f>
        <v>2025</v>
      </c>
      <c r="U5" t="str">
        <f>TEXT(Sales_Data_1[[#This Row],[Order_Date]], "mmm")</f>
        <v>Jan</v>
      </c>
      <c r="V5">
        <f>MONTH(Sales_Data_1[[#This Row],[Order_Date]])</f>
        <v>1</v>
      </c>
      <c r="W5" t="str">
        <f>TEXT(Sales_Data_1[[#This Row],[Order_Date]], "yyyy-mm")</f>
        <v>2025-01</v>
      </c>
      <c r="X5">
        <f>Sales_Data_1[[#This Row],[Sales]]-Sales_Data_1[[#This Row],[Profit_Amount]]</f>
        <v>279.56</v>
      </c>
      <c r="Y5" t="str" cm="1">
        <f t="array" ref="Y5">_xlfn.IFS(Sales_Data_1[[#This Row],[Delivery_Days]]&lt;=3, "Fast", Sales_Data_1[[#This Row],[Delivery_Days]]&lt;= 7, "Standard", TRUE, "Delayed")</f>
        <v>Standard</v>
      </c>
      <c r="Z5" t="str" cm="1">
        <f t="array" ref="Z5">_xlfn.IFS(Sales_Data_1[[#This Row],[Profit_Amount]]&gt; 0, "Profitable", Sales_Data_1[[#This Row],[Profit_Amount]] = 0, "Break-Even", TRUE, "Loss")</f>
        <v>Profitable</v>
      </c>
      <c r="AA5" t="str" cm="1">
        <f t="array" ref="AA5">_xlfn.IFS(Sales_Data_1[[#This Row],[Sales]]&gt;= 1000, "High Value", Sales_Data_1[[#This Row],[Sales]]&gt;= 300, "Mid Value", TRUE, "Low Value")</f>
        <v>Mid Value</v>
      </c>
    </row>
    <row r="6" spans="1:27" x14ac:dyDescent="0.3">
      <c r="A6" t="s">
        <v>2570</v>
      </c>
      <c r="B6" s="1">
        <v>45456</v>
      </c>
      <c r="C6" t="s">
        <v>96</v>
      </c>
      <c r="D6" t="s">
        <v>31</v>
      </c>
      <c r="E6" t="s">
        <v>42</v>
      </c>
      <c r="F6" t="s">
        <v>23</v>
      </c>
      <c r="G6" t="s">
        <v>34</v>
      </c>
      <c r="H6" t="s">
        <v>35</v>
      </c>
      <c r="I6" t="s">
        <v>1123</v>
      </c>
      <c r="J6">
        <v>2</v>
      </c>
      <c r="K6">
        <v>282</v>
      </c>
      <c r="L6">
        <v>0.16</v>
      </c>
      <c r="M6">
        <v>236.88</v>
      </c>
      <c r="N6">
        <v>473.76</v>
      </c>
      <c r="O6">
        <v>0.4</v>
      </c>
      <c r="P6">
        <v>189.5</v>
      </c>
      <c r="Q6" t="s">
        <v>51</v>
      </c>
      <c r="R6" t="s">
        <v>38</v>
      </c>
      <c r="S6">
        <v>4</v>
      </c>
      <c r="T6">
        <f>YEAR(Sales_Data_1[[#This Row],[Order_Date]])</f>
        <v>2024</v>
      </c>
      <c r="U6" t="str">
        <f>TEXT(Sales_Data_1[[#This Row],[Order_Date]], "mmm")</f>
        <v>Jun</v>
      </c>
      <c r="V6">
        <f>MONTH(Sales_Data_1[[#This Row],[Order_Date]])</f>
        <v>6</v>
      </c>
      <c r="W6" t="str">
        <f>TEXT(Sales_Data_1[[#This Row],[Order_Date]], "yyyy-mm")</f>
        <v>2024-06</v>
      </c>
      <c r="X6">
        <f>Sales_Data_1[[#This Row],[Sales]]-Sales_Data_1[[#This Row],[Profit_Amount]]</f>
        <v>284.26</v>
      </c>
      <c r="Y6" t="str" cm="1">
        <f t="array" ref="Y6">_xlfn.IFS(Sales_Data_1[[#This Row],[Delivery_Days]]&lt;=3, "Fast", Sales_Data_1[[#This Row],[Delivery_Days]]&lt;= 7, "Standard", TRUE, "Delayed")</f>
        <v>Standard</v>
      </c>
      <c r="Z6" t="str" cm="1">
        <f t="array" ref="Z6">_xlfn.IFS(Sales_Data_1[[#This Row],[Profit_Amount]]&gt; 0, "Profitable", Sales_Data_1[[#This Row],[Profit_Amount]] = 0, "Break-Even", TRUE, "Loss")</f>
        <v>Profitable</v>
      </c>
      <c r="AA6" t="str" cm="1">
        <f t="array" ref="AA6">_xlfn.IFS(Sales_Data_1[[#This Row],[Sales]]&gt;= 1000, "High Value", Sales_Data_1[[#This Row],[Sales]]&gt;= 300, "Mid Value", TRUE, "Low Value")</f>
        <v>Mid Value</v>
      </c>
    </row>
    <row r="7" spans="1:27" x14ac:dyDescent="0.3">
      <c r="A7" t="s">
        <v>3004</v>
      </c>
      <c r="B7" s="1">
        <v>45890</v>
      </c>
      <c r="C7" t="s">
        <v>30</v>
      </c>
      <c r="D7" t="s">
        <v>56</v>
      </c>
      <c r="E7" t="s">
        <v>2040</v>
      </c>
      <c r="F7" t="s">
        <v>33</v>
      </c>
      <c r="G7" t="s">
        <v>34</v>
      </c>
      <c r="H7" t="s">
        <v>141</v>
      </c>
      <c r="I7" t="s">
        <v>1968</v>
      </c>
      <c r="J7">
        <v>1</v>
      </c>
      <c r="K7">
        <v>575</v>
      </c>
      <c r="L7">
        <v>0.17</v>
      </c>
      <c r="M7">
        <v>477.25</v>
      </c>
      <c r="N7">
        <v>477.25</v>
      </c>
      <c r="O7">
        <v>0.4</v>
      </c>
      <c r="P7">
        <v>190.9</v>
      </c>
      <c r="Q7" t="s">
        <v>37</v>
      </c>
      <c r="R7" t="s">
        <v>48</v>
      </c>
      <c r="S7">
        <v>8</v>
      </c>
      <c r="T7">
        <f>YEAR(Sales_Data_1[[#This Row],[Order_Date]])</f>
        <v>2025</v>
      </c>
      <c r="U7" t="str">
        <f>TEXT(Sales_Data_1[[#This Row],[Order_Date]], "mmm")</f>
        <v>Aug</v>
      </c>
      <c r="V7">
        <f>MONTH(Sales_Data_1[[#This Row],[Order_Date]])</f>
        <v>8</v>
      </c>
      <c r="W7" t="str">
        <f>TEXT(Sales_Data_1[[#This Row],[Order_Date]], "yyyy-mm")</f>
        <v>2025-08</v>
      </c>
      <c r="X7">
        <f>Sales_Data_1[[#This Row],[Sales]]-Sales_Data_1[[#This Row],[Profit_Amount]]</f>
        <v>286.35000000000002</v>
      </c>
      <c r="Y7" t="str" cm="1">
        <f t="array" ref="Y7">_xlfn.IFS(Sales_Data_1[[#This Row],[Delivery_Days]]&lt;=3, "Fast", Sales_Data_1[[#This Row],[Delivery_Days]]&lt;= 7, "Standard", TRUE, "Delayed")</f>
        <v>Delayed</v>
      </c>
      <c r="Z7" t="str" cm="1">
        <f t="array" ref="Z7">_xlfn.IFS(Sales_Data_1[[#This Row],[Profit_Amount]]&gt; 0, "Profitable", Sales_Data_1[[#This Row],[Profit_Amount]] = 0, "Break-Even", TRUE, "Loss")</f>
        <v>Profitable</v>
      </c>
      <c r="AA7" t="str" cm="1">
        <f t="array" ref="AA7">_xlfn.IFS(Sales_Data_1[[#This Row],[Sales]]&gt;= 1000, "High Value", Sales_Data_1[[#This Row],[Sales]]&gt;= 300, "Mid Value", TRUE, "Low Value")</f>
        <v>Mid Value</v>
      </c>
    </row>
    <row r="8" spans="1:27" x14ac:dyDescent="0.3">
      <c r="A8" t="s">
        <v>2422</v>
      </c>
      <c r="B8" s="1">
        <v>45308</v>
      </c>
      <c r="C8" t="s">
        <v>63</v>
      </c>
      <c r="D8" t="s">
        <v>21</v>
      </c>
      <c r="E8" t="s">
        <v>2042</v>
      </c>
      <c r="F8" t="s">
        <v>43</v>
      </c>
      <c r="G8" t="s">
        <v>34</v>
      </c>
      <c r="H8" t="s">
        <v>35</v>
      </c>
      <c r="I8" t="s">
        <v>830</v>
      </c>
      <c r="J8">
        <v>1</v>
      </c>
      <c r="K8">
        <v>552</v>
      </c>
      <c r="L8">
        <v>7.0000000000000007E-2</v>
      </c>
      <c r="M8">
        <v>513.36</v>
      </c>
      <c r="N8">
        <v>513.36</v>
      </c>
      <c r="O8">
        <v>0.4</v>
      </c>
      <c r="P8">
        <v>205.34</v>
      </c>
      <c r="Q8" t="s">
        <v>37</v>
      </c>
      <c r="R8" t="s">
        <v>48</v>
      </c>
      <c r="S8">
        <v>6</v>
      </c>
      <c r="T8">
        <f>YEAR(Sales_Data_1[[#This Row],[Order_Date]])</f>
        <v>2024</v>
      </c>
      <c r="U8" t="str">
        <f>TEXT(Sales_Data_1[[#This Row],[Order_Date]], "mmm")</f>
        <v>Jan</v>
      </c>
      <c r="V8">
        <f>MONTH(Sales_Data_1[[#This Row],[Order_Date]])</f>
        <v>1</v>
      </c>
      <c r="W8" t="str">
        <f>TEXT(Sales_Data_1[[#This Row],[Order_Date]], "yyyy-mm")</f>
        <v>2024-01</v>
      </c>
      <c r="X8">
        <f>Sales_Data_1[[#This Row],[Sales]]-Sales_Data_1[[#This Row],[Profit_Amount]]</f>
        <v>308.02</v>
      </c>
      <c r="Y8" t="str" cm="1">
        <f t="array" ref="Y8">_xlfn.IFS(Sales_Data_1[[#This Row],[Delivery_Days]]&lt;=3, "Fast", Sales_Data_1[[#This Row],[Delivery_Days]]&lt;= 7, "Standard", TRUE, "Delayed")</f>
        <v>Standard</v>
      </c>
      <c r="Z8" t="str" cm="1">
        <f t="array" ref="Z8">_xlfn.IFS(Sales_Data_1[[#This Row],[Profit_Amount]]&gt; 0, "Profitable", Sales_Data_1[[#This Row],[Profit_Amount]] = 0, "Break-Even", TRUE, "Loss")</f>
        <v>Profitable</v>
      </c>
      <c r="AA8" t="str" cm="1">
        <f t="array" ref="AA8">_xlfn.IFS(Sales_Data_1[[#This Row],[Sales]]&gt;= 1000, "High Value", Sales_Data_1[[#This Row],[Sales]]&gt;= 300, "Mid Value", TRUE, "Low Value")</f>
        <v>Mid Value</v>
      </c>
    </row>
    <row r="9" spans="1:27" x14ac:dyDescent="0.3">
      <c r="A9" t="s">
        <v>2644</v>
      </c>
      <c r="B9" s="1">
        <v>45530</v>
      </c>
      <c r="C9" t="s">
        <v>55</v>
      </c>
      <c r="D9" t="s">
        <v>56</v>
      </c>
      <c r="E9" t="s">
        <v>2040</v>
      </c>
      <c r="F9" t="s">
        <v>43</v>
      </c>
      <c r="G9" t="s">
        <v>24</v>
      </c>
      <c r="H9" t="s">
        <v>74</v>
      </c>
      <c r="I9" t="s">
        <v>1105</v>
      </c>
      <c r="J9">
        <v>1</v>
      </c>
      <c r="K9">
        <v>1016</v>
      </c>
      <c r="L9">
        <v>0.19</v>
      </c>
      <c r="M9">
        <v>822.96</v>
      </c>
      <c r="N9">
        <v>822.96</v>
      </c>
      <c r="O9">
        <v>0.25</v>
      </c>
      <c r="P9">
        <v>205.74</v>
      </c>
      <c r="Q9" t="s">
        <v>47</v>
      </c>
      <c r="R9" t="s">
        <v>48</v>
      </c>
      <c r="S9">
        <v>1</v>
      </c>
      <c r="T9">
        <f>YEAR(Sales_Data_1[[#This Row],[Order_Date]])</f>
        <v>2024</v>
      </c>
      <c r="U9" t="str">
        <f>TEXT(Sales_Data_1[[#This Row],[Order_Date]], "mmm")</f>
        <v>Aug</v>
      </c>
      <c r="V9">
        <f>MONTH(Sales_Data_1[[#This Row],[Order_Date]])</f>
        <v>8</v>
      </c>
      <c r="W9" t="str">
        <f>TEXT(Sales_Data_1[[#This Row],[Order_Date]], "yyyy-mm")</f>
        <v>2024-08</v>
      </c>
      <c r="X9">
        <f>Sales_Data_1[[#This Row],[Sales]]-Sales_Data_1[[#This Row],[Profit_Amount]]</f>
        <v>617.22</v>
      </c>
      <c r="Y9" t="str" cm="1">
        <f t="array" ref="Y9">_xlfn.IFS(Sales_Data_1[[#This Row],[Delivery_Days]]&lt;=3, "Fast", Sales_Data_1[[#This Row],[Delivery_Days]]&lt;= 7, "Standard", TRUE, "Delayed")</f>
        <v>Fast</v>
      </c>
      <c r="Z9" t="str" cm="1">
        <f t="array" ref="Z9">_xlfn.IFS(Sales_Data_1[[#This Row],[Profit_Amount]]&gt; 0, "Profitable", Sales_Data_1[[#This Row],[Profit_Amount]] = 0, "Break-Even", TRUE, "Loss")</f>
        <v>Profitable</v>
      </c>
      <c r="AA9" t="str" cm="1">
        <f t="array" ref="AA9">_xlfn.IFS(Sales_Data_1[[#This Row],[Sales]]&gt;= 1000, "High Value", Sales_Data_1[[#This Row],[Sales]]&gt;= 300, "Mid Value", TRUE, "Low Value")</f>
        <v>Mid Value</v>
      </c>
    </row>
    <row r="10" spans="1:27" x14ac:dyDescent="0.3">
      <c r="A10" t="s">
        <v>2156</v>
      </c>
      <c r="B10" s="1">
        <v>45042</v>
      </c>
      <c r="C10" t="s">
        <v>30</v>
      </c>
      <c r="D10" t="s">
        <v>56</v>
      </c>
      <c r="E10" t="s">
        <v>2040</v>
      </c>
      <c r="F10" t="s">
        <v>68</v>
      </c>
      <c r="G10" t="s">
        <v>34</v>
      </c>
      <c r="H10" t="s">
        <v>141</v>
      </c>
      <c r="I10" t="s">
        <v>302</v>
      </c>
      <c r="J10">
        <v>1</v>
      </c>
      <c r="K10">
        <v>659</v>
      </c>
      <c r="L10">
        <v>0.18</v>
      </c>
      <c r="M10">
        <v>540.38</v>
      </c>
      <c r="N10">
        <v>540.38</v>
      </c>
      <c r="O10">
        <v>0.4</v>
      </c>
      <c r="P10">
        <v>216.15</v>
      </c>
      <c r="Q10" t="s">
        <v>51</v>
      </c>
      <c r="R10" t="s">
        <v>48</v>
      </c>
      <c r="S10">
        <v>5</v>
      </c>
      <c r="T10">
        <f>YEAR(Sales_Data_1[[#This Row],[Order_Date]])</f>
        <v>2023</v>
      </c>
      <c r="U10" t="str">
        <f>TEXT(Sales_Data_1[[#This Row],[Order_Date]], "mmm")</f>
        <v>Apr</v>
      </c>
      <c r="V10">
        <f>MONTH(Sales_Data_1[[#This Row],[Order_Date]])</f>
        <v>4</v>
      </c>
      <c r="W10" t="str">
        <f>TEXT(Sales_Data_1[[#This Row],[Order_Date]], "yyyy-mm")</f>
        <v>2023-04</v>
      </c>
      <c r="X10">
        <f>Sales_Data_1[[#This Row],[Sales]]-Sales_Data_1[[#This Row],[Profit_Amount]]</f>
        <v>324.23</v>
      </c>
      <c r="Y10" t="str" cm="1">
        <f t="array" ref="Y10">_xlfn.IFS(Sales_Data_1[[#This Row],[Delivery_Days]]&lt;=3, "Fast", Sales_Data_1[[#This Row],[Delivery_Days]]&lt;= 7, "Standard", TRUE, "Delayed")</f>
        <v>Standard</v>
      </c>
      <c r="Z10" t="str" cm="1">
        <f t="array" ref="Z10">_xlfn.IFS(Sales_Data_1[[#This Row],[Profit_Amount]]&gt; 0, "Profitable", Sales_Data_1[[#This Row],[Profit_Amount]] = 0, "Break-Even", TRUE, "Loss")</f>
        <v>Profitable</v>
      </c>
      <c r="AA10" t="str" cm="1">
        <f t="array" ref="AA10">_xlfn.IFS(Sales_Data_1[[#This Row],[Sales]]&gt;= 1000, "High Value", Sales_Data_1[[#This Row],[Sales]]&gt;= 300, "Mid Value", TRUE, "Low Value")</f>
        <v>Mid Value</v>
      </c>
    </row>
    <row r="11" spans="1:27" x14ac:dyDescent="0.3">
      <c r="A11" t="s">
        <v>2112</v>
      </c>
      <c r="B11" s="1">
        <v>44998</v>
      </c>
      <c r="C11" t="s">
        <v>55</v>
      </c>
      <c r="D11" t="s">
        <v>41</v>
      </c>
      <c r="E11" t="s">
        <v>67</v>
      </c>
      <c r="F11" t="s">
        <v>43</v>
      </c>
      <c r="G11" t="s">
        <v>34</v>
      </c>
      <c r="H11" t="s">
        <v>71</v>
      </c>
      <c r="I11" t="s">
        <v>213</v>
      </c>
      <c r="J11">
        <v>1</v>
      </c>
      <c r="K11">
        <v>619</v>
      </c>
      <c r="L11">
        <v>0.11</v>
      </c>
      <c r="M11">
        <v>550.91</v>
      </c>
      <c r="N11">
        <v>550.91</v>
      </c>
      <c r="O11">
        <v>0.4</v>
      </c>
      <c r="P11">
        <v>220.36</v>
      </c>
      <c r="Q11" t="s">
        <v>51</v>
      </c>
      <c r="R11" t="s">
        <v>48</v>
      </c>
      <c r="S11">
        <v>9</v>
      </c>
      <c r="T11">
        <f>YEAR(Sales_Data_1[[#This Row],[Order_Date]])</f>
        <v>2023</v>
      </c>
      <c r="U11" t="str">
        <f>TEXT(Sales_Data_1[[#This Row],[Order_Date]], "mmm")</f>
        <v>Mar</v>
      </c>
      <c r="V11">
        <f>MONTH(Sales_Data_1[[#This Row],[Order_Date]])</f>
        <v>3</v>
      </c>
      <c r="W11" t="str">
        <f>TEXT(Sales_Data_1[[#This Row],[Order_Date]], "yyyy-mm")</f>
        <v>2023-03</v>
      </c>
      <c r="X11">
        <f>Sales_Data_1[[#This Row],[Sales]]-Sales_Data_1[[#This Row],[Profit_Amount]]</f>
        <v>330.54999999999995</v>
      </c>
      <c r="Y11" t="str" cm="1">
        <f t="array" ref="Y11">_xlfn.IFS(Sales_Data_1[[#This Row],[Delivery_Days]]&lt;=3, "Fast", Sales_Data_1[[#This Row],[Delivery_Days]]&lt;= 7, "Standard", TRUE, "Delayed")</f>
        <v>Delayed</v>
      </c>
      <c r="Z11" t="str" cm="1">
        <f t="array" ref="Z11">_xlfn.IFS(Sales_Data_1[[#This Row],[Profit_Amount]]&gt; 0, "Profitable", Sales_Data_1[[#This Row],[Profit_Amount]] = 0, "Break-Even", TRUE, "Loss")</f>
        <v>Profitable</v>
      </c>
      <c r="AA11" t="str" cm="1">
        <f t="array" ref="AA11">_xlfn.IFS(Sales_Data_1[[#This Row],[Sales]]&gt;= 1000, "High Value", Sales_Data_1[[#This Row],[Sales]]&gt;= 300, "Mid Value", TRUE, "Low Value")</f>
        <v>Mid Value</v>
      </c>
    </row>
    <row r="12" spans="1:27" x14ac:dyDescent="0.3">
      <c r="A12" t="s">
        <v>2943</v>
      </c>
      <c r="B12" s="1">
        <v>45829</v>
      </c>
      <c r="C12" t="s">
        <v>96</v>
      </c>
      <c r="D12" t="s">
        <v>31</v>
      </c>
      <c r="E12" t="s">
        <v>2040</v>
      </c>
      <c r="F12" t="s">
        <v>43</v>
      </c>
      <c r="G12" t="s">
        <v>34</v>
      </c>
      <c r="H12" t="s">
        <v>104</v>
      </c>
      <c r="I12" t="s">
        <v>1854</v>
      </c>
      <c r="J12">
        <v>1</v>
      </c>
      <c r="K12">
        <v>691</v>
      </c>
      <c r="L12">
        <v>0.17</v>
      </c>
      <c r="M12">
        <v>573.53</v>
      </c>
      <c r="N12">
        <v>573.53</v>
      </c>
      <c r="O12">
        <v>0.4</v>
      </c>
      <c r="P12">
        <v>229.41</v>
      </c>
      <c r="Q12" t="s">
        <v>51</v>
      </c>
      <c r="R12" t="s">
        <v>48</v>
      </c>
      <c r="S12">
        <v>9</v>
      </c>
      <c r="T12">
        <f>YEAR(Sales_Data_1[[#This Row],[Order_Date]])</f>
        <v>2025</v>
      </c>
      <c r="U12" t="str">
        <f>TEXT(Sales_Data_1[[#This Row],[Order_Date]], "mmm")</f>
        <v>Jun</v>
      </c>
      <c r="V12">
        <f>MONTH(Sales_Data_1[[#This Row],[Order_Date]])</f>
        <v>6</v>
      </c>
      <c r="W12" t="str">
        <f>TEXT(Sales_Data_1[[#This Row],[Order_Date]], "yyyy-mm")</f>
        <v>2025-06</v>
      </c>
      <c r="X12">
        <f>Sales_Data_1[[#This Row],[Sales]]-Sales_Data_1[[#This Row],[Profit_Amount]]</f>
        <v>344.12</v>
      </c>
      <c r="Y12" t="str" cm="1">
        <f t="array" ref="Y12">_xlfn.IFS(Sales_Data_1[[#This Row],[Delivery_Days]]&lt;=3, "Fast", Sales_Data_1[[#This Row],[Delivery_Days]]&lt;= 7, "Standard", TRUE, "Delayed")</f>
        <v>Delayed</v>
      </c>
      <c r="Z12" t="str" cm="1">
        <f t="array" ref="Z12">_xlfn.IFS(Sales_Data_1[[#This Row],[Profit_Amount]]&gt; 0, "Profitable", Sales_Data_1[[#This Row],[Profit_Amount]] = 0, "Break-Even", TRUE, "Loss")</f>
        <v>Profitable</v>
      </c>
      <c r="AA12" t="str" cm="1">
        <f t="array" ref="AA12">_xlfn.IFS(Sales_Data_1[[#This Row],[Sales]]&gt;= 1000, "High Value", Sales_Data_1[[#This Row],[Sales]]&gt;= 300, "Mid Value", TRUE, "Low Value")</f>
        <v>Mid Value</v>
      </c>
    </row>
    <row r="13" spans="1:27" x14ac:dyDescent="0.3">
      <c r="A13" t="s">
        <v>2453</v>
      </c>
      <c r="B13" s="1">
        <v>45339</v>
      </c>
      <c r="C13" t="s">
        <v>20</v>
      </c>
      <c r="D13" t="s">
        <v>56</v>
      </c>
      <c r="E13" t="s">
        <v>67</v>
      </c>
      <c r="F13" t="s">
        <v>103</v>
      </c>
      <c r="G13" t="s">
        <v>34</v>
      </c>
      <c r="H13" t="s">
        <v>35</v>
      </c>
      <c r="I13" t="s">
        <v>892</v>
      </c>
      <c r="J13">
        <v>2</v>
      </c>
      <c r="K13">
        <v>315</v>
      </c>
      <c r="L13">
        <v>0.05</v>
      </c>
      <c r="M13">
        <v>299.25</v>
      </c>
      <c r="N13">
        <v>598.5</v>
      </c>
      <c r="O13">
        <v>0.4</v>
      </c>
      <c r="P13">
        <v>239.4</v>
      </c>
      <c r="Q13" t="s">
        <v>37</v>
      </c>
      <c r="R13" t="s">
        <v>48</v>
      </c>
      <c r="S13">
        <v>9</v>
      </c>
      <c r="T13">
        <f>YEAR(Sales_Data_1[[#This Row],[Order_Date]])</f>
        <v>2024</v>
      </c>
      <c r="U13" t="str">
        <f>TEXT(Sales_Data_1[[#This Row],[Order_Date]], "mmm")</f>
        <v>Feb</v>
      </c>
      <c r="V13">
        <f>MONTH(Sales_Data_1[[#This Row],[Order_Date]])</f>
        <v>2</v>
      </c>
      <c r="W13" t="str">
        <f>TEXT(Sales_Data_1[[#This Row],[Order_Date]], "yyyy-mm")</f>
        <v>2024-02</v>
      </c>
      <c r="X13">
        <f>Sales_Data_1[[#This Row],[Sales]]-Sales_Data_1[[#This Row],[Profit_Amount]]</f>
        <v>359.1</v>
      </c>
      <c r="Y13" t="str" cm="1">
        <f t="array" ref="Y13">_xlfn.IFS(Sales_Data_1[[#This Row],[Delivery_Days]]&lt;=3, "Fast", Sales_Data_1[[#This Row],[Delivery_Days]]&lt;= 7, "Standard", TRUE, "Delayed")</f>
        <v>Delayed</v>
      </c>
      <c r="Z13" t="str" cm="1">
        <f t="array" ref="Z13">_xlfn.IFS(Sales_Data_1[[#This Row],[Profit_Amount]]&gt; 0, "Profitable", Sales_Data_1[[#This Row],[Profit_Amount]] = 0, "Break-Even", TRUE, "Loss")</f>
        <v>Profitable</v>
      </c>
      <c r="AA13" t="str" cm="1">
        <f t="array" ref="AA13">_xlfn.IFS(Sales_Data_1[[#This Row],[Sales]]&gt;= 1000, "High Value", Sales_Data_1[[#This Row],[Sales]]&gt;= 300, "Mid Value", TRUE, "Low Value")</f>
        <v>Mid Value</v>
      </c>
    </row>
    <row r="14" spans="1:27" x14ac:dyDescent="0.3">
      <c r="A14" t="s">
        <v>2771</v>
      </c>
      <c r="B14" s="1">
        <v>45657</v>
      </c>
      <c r="C14" t="s">
        <v>40</v>
      </c>
      <c r="D14" t="s">
        <v>21</v>
      </c>
      <c r="E14" t="s">
        <v>2042</v>
      </c>
      <c r="F14" t="s">
        <v>33</v>
      </c>
      <c r="G14" t="s">
        <v>34</v>
      </c>
      <c r="H14" t="s">
        <v>141</v>
      </c>
      <c r="I14" t="s">
        <v>1516</v>
      </c>
      <c r="J14">
        <v>2</v>
      </c>
      <c r="K14">
        <v>307</v>
      </c>
      <c r="L14">
        <v>0.01</v>
      </c>
      <c r="M14">
        <v>303.93</v>
      </c>
      <c r="N14">
        <v>607.86</v>
      </c>
      <c r="O14">
        <v>0.4</v>
      </c>
      <c r="P14">
        <v>243.14</v>
      </c>
      <c r="Q14" t="s">
        <v>47</v>
      </c>
      <c r="R14" t="s">
        <v>28</v>
      </c>
      <c r="S14">
        <v>8</v>
      </c>
      <c r="T14">
        <f>YEAR(Sales_Data_1[[#This Row],[Order_Date]])</f>
        <v>2024</v>
      </c>
      <c r="U14" t="str">
        <f>TEXT(Sales_Data_1[[#This Row],[Order_Date]], "mmm")</f>
        <v>Dec</v>
      </c>
      <c r="V14">
        <f>MONTH(Sales_Data_1[[#This Row],[Order_Date]])</f>
        <v>12</v>
      </c>
      <c r="W14" t="str">
        <f>TEXT(Sales_Data_1[[#This Row],[Order_Date]], "yyyy-mm")</f>
        <v>2024-12</v>
      </c>
      <c r="X14">
        <f>Sales_Data_1[[#This Row],[Sales]]-Sales_Data_1[[#This Row],[Profit_Amount]]</f>
        <v>364.72</v>
      </c>
      <c r="Y14" t="str" cm="1">
        <f t="array" ref="Y14">_xlfn.IFS(Sales_Data_1[[#This Row],[Delivery_Days]]&lt;=3, "Fast", Sales_Data_1[[#This Row],[Delivery_Days]]&lt;= 7, "Standard", TRUE, "Delayed")</f>
        <v>Delayed</v>
      </c>
      <c r="Z14" t="str" cm="1">
        <f t="array" ref="Z14">_xlfn.IFS(Sales_Data_1[[#This Row],[Profit_Amount]]&gt; 0, "Profitable", Sales_Data_1[[#This Row],[Profit_Amount]] = 0, "Break-Even", TRUE, "Loss")</f>
        <v>Profitable</v>
      </c>
      <c r="AA14" t="str" cm="1">
        <f t="array" ref="AA14">_xlfn.IFS(Sales_Data_1[[#This Row],[Sales]]&gt;= 1000, "High Value", Sales_Data_1[[#This Row],[Sales]]&gt;= 300, "Mid Value", TRUE, "Low Value")</f>
        <v>Mid Value</v>
      </c>
    </row>
    <row r="15" spans="1:27" x14ac:dyDescent="0.3">
      <c r="A15" t="s">
        <v>2424</v>
      </c>
      <c r="B15" s="1">
        <v>45310</v>
      </c>
      <c r="C15" t="s">
        <v>40</v>
      </c>
      <c r="D15" t="s">
        <v>56</v>
      </c>
      <c r="E15" t="s">
        <v>67</v>
      </c>
      <c r="F15" t="s">
        <v>97</v>
      </c>
      <c r="G15" t="s">
        <v>24</v>
      </c>
      <c r="H15" t="s">
        <v>121</v>
      </c>
      <c r="I15" t="s">
        <v>834</v>
      </c>
      <c r="J15">
        <v>1</v>
      </c>
      <c r="K15">
        <v>1072</v>
      </c>
      <c r="L15">
        <v>0.08</v>
      </c>
      <c r="M15">
        <v>986.24</v>
      </c>
      <c r="N15">
        <v>986.24</v>
      </c>
      <c r="O15">
        <v>0.25</v>
      </c>
      <c r="P15">
        <v>246.56</v>
      </c>
      <c r="Q15" t="s">
        <v>47</v>
      </c>
      <c r="R15" t="s">
        <v>48</v>
      </c>
      <c r="S15">
        <v>6</v>
      </c>
      <c r="T15">
        <f>YEAR(Sales_Data_1[[#This Row],[Order_Date]])</f>
        <v>2024</v>
      </c>
      <c r="U15" t="str">
        <f>TEXT(Sales_Data_1[[#This Row],[Order_Date]], "mmm")</f>
        <v>Jan</v>
      </c>
      <c r="V15">
        <f>MONTH(Sales_Data_1[[#This Row],[Order_Date]])</f>
        <v>1</v>
      </c>
      <c r="W15" t="str">
        <f>TEXT(Sales_Data_1[[#This Row],[Order_Date]], "yyyy-mm")</f>
        <v>2024-01</v>
      </c>
      <c r="X15">
        <f>Sales_Data_1[[#This Row],[Sales]]-Sales_Data_1[[#This Row],[Profit_Amount]]</f>
        <v>739.68000000000006</v>
      </c>
      <c r="Y15" t="str" cm="1">
        <f t="array" ref="Y15">_xlfn.IFS(Sales_Data_1[[#This Row],[Delivery_Days]]&lt;=3, "Fast", Sales_Data_1[[#This Row],[Delivery_Days]]&lt;= 7, "Standard", TRUE, "Delayed")</f>
        <v>Standard</v>
      </c>
      <c r="Z15" t="str" cm="1">
        <f t="array" ref="Z15">_xlfn.IFS(Sales_Data_1[[#This Row],[Profit_Amount]]&gt; 0, "Profitable", Sales_Data_1[[#This Row],[Profit_Amount]] = 0, "Break-Even", TRUE, "Loss")</f>
        <v>Profitable</v>
      </c>
      <c r="AA15" t="str" cm="1">
        <f t="array" ref="AA15">_xlfn.IFS(Sales_Data_1[[#This Row],[Sales]]&gt;= 1000, "High Value", Sales_Data_1[[#This Row],[Sales]]&gt;= 300, "Mid Value", TRUE, "Low Value")</f>
        <v>Mid Value</v>
      </c>
    </row>
    <row r="16" spans="1:27" x14ac:dyDescent="0.3">
      <c r="A16" t="s">
        <v>3014</v>
      </c>
      <c r="B16" s="1">
        <v>45900</v>
      </c>
      <c r="C16" t="s">
        <v>63</v>
      </c>
      <c r="D16" t="s">
        <v>21</v>
      </c>
      <c r="E16" t="s">
        <v>67</v>
      </c>
      <c r="F16" t="s">
        <v>103</v>
      </c>
      <c r="G16" t="s">
        <v>34</v>
      </c>
      <c r="H16" t="s">
        <v>35</v>
      </c>
      <c r="I16" t="s">
        <v>1987</v>
      </c>
      <c r="J16">
        <v>1</v>
      </c>
      <c r="K16">
        <v>646</v>
      </c>
      <c r="L16">
        <v>0.04</v>
      </c>
      <c r="M16">
        <v>620.16</v>
      </c>
      <c r="N16">
        <v>620.16</v>
      </c>
      <c r="O16">
        <v>0.4</v>
      </c>
      <c r="P16">
        <v>248.06</v>
      </c>
      <c r="Q16" t="s">
        <v>27</v>
      </c>
      <c r="R16" t="s">
        <v>48</v>
      </c>
      <c r="S16">
        <v>5</v>
      </c>
      <c r="T16">
        <f>YEAR(Sales_Data_1[[#This Row],[Order_Date]])</f>
        <v>2025</v>
      </c>
      <c r="U16" t="str">
        <f>TEXT(Sales_Data_1[[#This Row],[Order_Date]], "mmm")</f>
        <v>Aug</v>
      </c>
      <c r="V16">
        <f>MONTH(Sales_Data_1[[#This Row],[Order_Date]])</f>
        <v>8</v>
      </c>
      <c r="W16" t="str">
        <f>TEXT(Sales_Data_1[[#This Row],[Order_Date]], "yyyy-mm")</f>
        <v>2025-08</v>
      </c>
      <c r="X16">
        <f>Sales_Data_1[[#This Row],[Sales]]-Sales_Data_1[[#This Row],[Profit_Amount]]</f>
        <v>372.09999999999997</v>
      </c>
      <c r="Y16" t="str" cm="1">
        <f t="array" ref="Y16">_xlfn.IFS(Sales_Data_1[[#This Row],[Delivery_Days]]&lt;=3, "Fast", Sales_Data_1[[#This Row],[Delivery_Days]]&lt;= 7, "Standard", TRUE, "Delayed")</f>
        <v>Standard</v>
      </c>
      <c r="Z16" t="str" cm="1">
        <f t="array" ref="Z16">_xlfn.IFS(Sales_Data_1[[#This Row],[Profit_Amount]]&gt; 0, "Profitable", Sales_Data_1[[#This Row],[Profit_Amount]] = 0, "Break-Even", TRUE, "Loss")</f>
        <v>Profitable</v>
      </c>
      <c r="AA16" t="str" cm="1">
        <f t="array" ref="AA16">_xlfn.IFS(Sales_Data_1[[#This Row],[Sales]]&gt;= 1000, "High Value", Sales_Data_1[[#This Row],[Sales]]&gt;= 300, "Mid Value", TRUE, "Low Value")</f>
        <v>Mid Value</v>
      </c>
    </row>
    <row r="17" spans="1:27" x14ac:dyDescent="0.3">
      <c r="A17" t="s">
        <v>2595</v>
      </c>
      <c r="B17" s="1">
        <v>45481</v>
      </c>
      <c r="C17" t="s">
        <v>63</v>
      </c>
      <c r="D17" t="s">
        <v>41</v>
      </c>
      <c r="E17" t="s">
        <v>42</v>
      </c>
      <c r="F17" t="s">
        <v>103</v>
      </c>
      <c r="G17" t="s">
        <v>34</v>
      </c>
      <c r="H17" t="s">
        <v>104</v>
      </c>
      <c r="I17" t="s">
        <v>1172</v>
      </c>
      <c r="J17">
        <v>1</v>
      </c>
      <c r="K17">
        <v>682</v>
      </c>
      <c r="L17">
        <v>0.05</v>
      </c>
      <c r="M17">
        <v>647.9</v>
      </c>
      <c r="N17">
        <v>647.9</v>
      </c>
      <c r="O17">
        <v>0.4</v>
      </c>
      <c r="P17">
        <v>259.16000000000003</v>
      </c>
      <c r="Q17" t="s">
        <v>27</v>
      </c>
      <c r="R17" t="s">
        <v>38</v>
      </c>
      <c r="S17">
        <v>8</v>
      </c>
      <c r="T17">
        <f>YEAR(Sales_Data_1[[#This Row],[Order_Date]])</f>
        <v>2024</v>
      </c>
      <c r="U17" t="str">
        <f>TEXT(Sales_Data_1[[#This Row],[Order_Date]], "mmm")</f>
        <v>Jul</v>
      </c>
      <c r="V17">
        <f>MONTH(Sales_Data_1[[#This Row],[Order_Date]])</f>
        <v>7</v>
      </c>
      <c r="W17" t="str">
        <f>TEXT(Sales_Data_1[[#This Row],[Order_Date]], "yyyy-mm")</f>
        <v>2024-07</v>
      </c>
      <c r="X17">
        <f>Sales_Data_1[[#This Row],[Sales]]-Sales_Data_1[[#This Row],[Profit_Amount]]</f>
        <v>388.73999999999995</v>
      </c>
      <c r="Y17" t="str" cm="1">
        <f t="array" ref="Y17">_xlfn.IFS(Sales_Data_1[[#This Row],[Delivery_Days]]&lt;=3, "Fast", Sales_Data_1[[#This Row],[Delivery_Days]]&lt;= 7, "Standard", TRUE, "Delayed")</f>
        <v>Delayed</v>
      </c>
      <c r="Z17" t="str" cm="1">
        <f t="array" ref="Z17">_xlfn.IFS(Sales_Data_1[[#This Row],[Profit_Amount]]&gt; 0, "Profitable", Sales_Data_1[[#This Row],[Profit_Amount]] = 0, "Break-Even", TRUE, "Loss")</f>
        <v>Profitable</v>
      </c>
      <c r="AA17" t="str" cm="1">
        <f t="array" ref="AA17">_xlfn.IFS(Sales_Data_1[[#This Row],[Sales]]&gt;= 1000, "High Value", Sales_Data_1[[#This Row],[Sales]]&gt;= 300, "Mid Value", TRUE, "Low Value")</f>
        <v>Mid Value</v>
      </c>
    </row>
    <row r="18" spans="1:27" x14ac:dyDescent="0.3">
      <c r="A18" t="s">
        <v>2803</v>
      </c>
      <c r="B18" s="1">
        <v>45689</v>
      </c>
      <c r="C18" t="s">
        <v>55</v>
      </c>
      <c r="D18" t="s">
        <v>56</v>
      </c>
      <c r="E18" t="s">
        <v>2042</v>
      </c>
      <c r="F18" t="s">
        <v>23</v>
      </c>
      <c r="G18" t="s">
        <v>34</v>
      </c>
      <c r="H18" t="s">
        <v>141</v>
      </c>
      <c r="I18" t="s">
        <v>1579</v>
      </c>
      <c r="J18">
        <v>2</v>
      </c>
      <c r="K18">
        <v>331</v>
      </c>
      <c r="L18">
        <v>0.02</v>
      </c>
      <c r="M18">
        <v>324.38</v>
      </c>
      <c r="N18">
        <v>648.76</v>
      </c>
      <c r="O18">
        <v>0.4</v>
      </c>
      <c r="P18">
        <v>259.5</v>
      </c>
      <c r="Q18" t="s">
        <v>27</v>
      </c>
      <c r="R18" t="s">
        <v>48</v>
      </c>
      <c r="S18">
        <v>1</v>
      </c>
      <c r="T18">
        <f>YEAR(Sales_Data_1[[#This Row],[Order_Date]])</f>
        <v>2025</v>
      </c>
      <c r="U18" t="str">
        <f>TEXT(Sales_Data_1[[#This Row],[Order_Date]], "mmm")</f>
        <v>Feb</v>
      </c>
      <c r="V18">
        <f>MONTH(Sales_Data_1[[#This Row],[Order_Date]])</f>
        <v>2</v>
      </c>
      <c r="W18" t="str">
        <f>TEXT(Sales_Data_1[[#This Row],[Order_Date]], "yyyy-mm")</f>
        <v>2025-02</v>
      </c>
      <c r="X18">
        <f>Sales_Data_1[[#This Row],[Sales]]-Sales_Data_1[[#This Row],[Profit_Amount]]</f>
        <v>389.26</v>
      </c>
      <c r="Y18" t="str" cm="1">
        <f t="array" ref="Y18">_xlfn.IFS(Sales_Data_1[[#This Row],[Delivery_Days]]&lt;=3, "Fast", Sales_Data_1[[#This Row],[Delivery_Days]]&lt;= 7, "Standard", TRUE, "Delayed")</f>
        <v>Fast</v>
      </c>
      <c r="Z18" t="str" cm="1">
        <f t="array" ref="Z18">_xlfn.IFS(Sales_Data_1[[#This Row],[Profit_Amount]]&gt; 0, "Profitable", Sales_Data_1[[#This Row],[Profit_Amount]] = 0, "Break-Even", TRUE, "Loss")</f>
        <v>Profitable</v>
      </c>
      <c r="AA18" t="str" cm="1">
        <f t="array" ref="AA18">_xlfn.IFS(Sales_Data_1[[#This Row],[Sales]]&gt;= 1000, "High Value", Sales_Data_1[[#This Row],[Sales]]&gt;= 300, "Mid Value", TRUE, "Low Value")</f>
        <v>Mid Value</v>
      </c>
    </row>
    <row r="19" spans="1:27" x14ac:dyDescent="0.3">
      <c r="A19" t="s">
        <v>2374</v>
      </c>
      <c r="B19" s="1">
        <v>45260</v>
      </c>
      <c r="C19" t="s">
        <v>20</v>
      </c>
      <c r="D19" t="s">
        <v>31</v>
      </c>
      <c r="E19" t="s">
        <v>42</v>
      </c>
      <c r="F19" t="s">
        <v>33</v>
      </c>
      <c r="G19" t="s">
        <v>34</v>
      </c>
      <c r="H19" t="s">
        <v>104</v>
      </c>
      <c r="I19" t="s">
        <v>736</v>
      </c>
      <c r="J19">
        <v>1</v>
      </c>
      <c r="K19">
        <v>783</v>
      </c>
      <c r="L19">
        <v>0.09</v>
      </c>
      <c r="M19">
        <v>712.53</v>
      </c>
      <c r="N19">
        <v>712.53</v>
      </c>
      <c r="O19">
        <v>0.4</v>
      </c>
      <c r="P19">
        <v>285.01</v>
      </c>
      <c r="Q19" t="s">
        <v>27</v>
      </c>
      <c r="R19" t="s">
        <v>38</v>
      </c>
      <c r="S19">
        <v>3</v>
      </c>
      <c r="T19">
        <f>YEAR(Sales_Data_1[[#This Row],[Order_Date]])</f>
        <v>2023</v>
      </c>
      <c r="U19" t="str">
        <f>TEXT(Sales_Data_1[[#This Row],[Order_Date]], "mmm")</f>
        <v>Nov</v>
      </c>
      <c r="V19">
        <f>MONTH(Sales_Data_1[[#This Row],[Order_Date]])</f>
        <v>11</v>
      </c>
      <c r="W19" t="str">
        <f>TEXT(Sales_Data_1[[#This Row],[Order_Date]], "yyyy-mm")</f>
        <v>2023-11</v>
      </c>
      <c r="X19">
        <f>Sales_Data_1[[#This Row],[Sales]]-Sales_Data_1[[#This Row],[Profit_Amount]]</f>
        <v>427.52</v>
      </c>
      <c r="Y19" t="str" cm="1">
        <f t="array" ref="Y19">_xlfn.IFS(Sales_Data_1[[#This Row],[Delivery_Days]]&lt;=3, "Fast", Sales_Data_1[[#This Row],[Delivery_Days]]&lt;= 7, "Standard", TRUE, "Delayed")</f>
        <v>Fast</v>
      </c>
      <c r="Z19" t="str" cm="1">
        <f t="array" ref="Z19">_xlfn.IFS(Sales_Data_1[[#This Row],[Profit_Amount]]&gt; 0, "Profitable", Sales_Data_1[[#This Row],[Profit_Amount]] = 0, "Break-Even", TRUE, "Loss")</f>
        <v>Profitable</v>
      </c>
      <c r="AA19" t="str" cm="1">
        <f t="array" ref="AA19">_xlfn.IFS(Sales_Data_1[[#This Row],[Sales]]&gt;= 1000, "High Value", Sales_Data_1[[#This Row],[Sales]]&gt;= 300, "Mid Value", TRUE, "Low Value")</f>
        <v>Mid Value</v>
      </c>
    </row>
    <row r="20" spans="1:27" x14ac:dyDescent="0.3">
      <c r="A20" t="s">
        <v>2410</v>
      </c>
      <c r="B20" s="1">
        <v>45296</v>
      </c>
      <c r="C20" t="s">
        <v>30</v>
      </c>
      <c r="D20" t="s">
        <v>31</v>
      </c>
      <c r="E20" t="s">
        <v>2040</v>
      </c>
      <c r="F20" t="s">
        <v>103</v>
      </c>
      <c r="G20" t="s">
        <v>34</v>
      </c>
      <c r="H20" t="s">
        <v>104</v>
      </c>
      <c r="I20" t="s">
        <v>806</v>
      </c>
      <c r="J20">
        <v>2</v>
      </c>
      <c r="K20">
        <v>462</v>
      </c>
      <c r="L20">
        <v>0.22</v>
      </c>
      <c r="M20">
        <v>360.36</v>
      </c>
      <c r="N20">
        <v>720.72</v>
      </c>
      <c r="O20">
        <v>0.4</v>
      </c>
      <c r="P20">
        <v>288.29000000000002</v>
      </c>
      <c r="Q20" t="s">
        <v>51</v>
      </c>
      <c r="R20" t="s">
        <v>48</v>
      </c>
      <c r="S20">
        <v>1</v>
      </c>
      <c r="T20">
        <f>YEAR(Sales_Data_1[[#This Row],[Order_Date]])</f>
        <v>2024</v>
      </c>
      <c r="U20" t="str">
        <f>TEXT(Sales_Data_1[[#This Row],[Order_Date]], "mmm")</f>
        <v>Jan</v>
      </c>
      <c r="V20">
        <f>MONTH(Sales_Data_1[[#This Row],[Order_Date]])</f>
        <v>1</v>
      </c>
      <c r="W20" t="str">
        <f>TEXT(Sales_Data_1[[#This Row],[Order_Date]], "yyyy-mm")</f>
        <v>2024-01</v>
      </c>
      <c r="X20">
        <f>Sales_Data_1[[#This Row],[Sales]]-Sales_Data_1[[#This Row],[Profit_Amount]]</f>
        <v>432.43</v>
      </c>
      <c r="Y20" t="str" cm="1">
        <f t="array" ref="Y20">_xlfn.IFS(Sales_Data_1[[#This Row],[Delivery_Days]]&lt;=3, "Fast", Sales_Data_1[[#This Row],[Delivery_Days]]&lt;= 7, "Standard", TRUE, "Delayed")</f>
        <v>Fast</v>
      </c>
      <c r="Z20" t="str" cm="1">
        <f t="array" ref="Z20">_xlfn.IFS(Sales_Data_1[[#This Row],[Profit_Amount]]&gt; 0, "Profitable", Sales_Data_1[[#This Row],[Profit_Amount]] = 0, "Break-Even", TRUE, "Loss")</f>
        <v>Profitable</v>
      </c>
      <c r="AA20" t="str" cm="1">
        <f t="array" ref="AA20">_xlfn.IFS(Sales_Data_1[[#This Row],[Sales]]&gt;= 1000, "High Value", Sales_Data_1[[#This Row],[Sales]]&gt;= 300, "Mid Value", TRUE, "Low Value")</f>
        <v>Mid Value</v>
      </c>
    </row>
    <row r="21" spans="1:27" x14ac:dyDescent="0.3">
      <c r="A21" t="s">
        <v>2167</v>
      </c>
      <c r="B21" s="1">
        <v>45053</v>
      </c>
      <c r="C21" t="s">
        <v>30</v>
      </c>
      <c r="D21" t="s">
        <v>21</v>
      </c>
      <c r="E21" t="s">
        <v>2040</v>
      </c>
      <c r="F21" t="s">
        <v>68</v>
      </c>
      <c r="G21" t="s">
        <v>34</v>
      </c>
      <c r="H21" t="s">
        <v>141</v>
      </c>
      <c r="I21" t="s">
        <v>324</v>
      </c>
      <c r="J21">
        <v>3</v>
      </c>
      <c r="K21">
        <v>332</v>
      </c>
      <c r="L21">
        <v>0.24</v>
      </c>
      <c r="M21">
        <v>252.32</v>
      </c>
      <c r="N21">
        <v>756.96</v>
      </c>
      <c r="O21">
        <v>0.4</v>
      </c>
      <c r="P21">
        <v>302.77999999999997</v>
      </c>
      <c r="Q21" t="s">
        <v>27</v>
      </c>
      <c r="R21" t="s">
        <v>48</v>
      </c>
      <c r="S21">
        <v>1</v>
      </c>
      <c r="T21">
        <f>YEAR(Sales_Data_1[[#This Row],[Order_Date]])</f>
        <v>2023</v>
      </c>
      <c r="U21" t="str">
        <f>TEXT(Sales_Data_1[[#This Row],[Order_Date]], "mmm")</f>
        <v>May</v>
      </c>
      <c r="V21">
        <f>MONTH(Sales_Data_1[[#This Row],[Order_Date]])</f>
        <v>5</v>
      </c>
      <c r="W21" t="str">
        <f>TEXT(Sales_Data_1[[#This Row],[Order_Date]], "yyyy-mm")</f>
        <v>2023-05</v>
      </c>
      <c r="X21">
        <f>Sales_Data_1[[#This Row],[Sales]]-Sales_Data_1[[#This Row],[Profit_Amount]]</f>
        <v>454.18000000000006</v>
      </c>
      <c r="Y21" t="str" cm="1">
        <f t="array" ref="Y21">_xlfn.IFS(Sales_Data_1[[#This Row],[Delivery_Days]]&lt;=3, "Fast", Sales_Data_1[[#This Row],[Delivery_Days]]&lt;= 7, "Standard", TRUE, "Delayed")</f>
        <v>Fast</v>
      </c>
      <c r="Z21" t="str" cm="1">
        <f t="array" ref="Z21">_xlfn.IFS(Sales_Data_1[[#This Row],[Profit_Amount]]&gt; 0, "Profitable", Sales_Data_1[[#This Row],[Profit_Amount]] = 0, "Break-Even", TRUE, "Loss")</f>
        <v>Profitable</v>
      </c>
      <c r="AA21" t="str" cm="1">
        <f t="array" ref="AA21">_xlfn.IFS(Sales_Data_1[[#This Row],[Sales]]&gt;= 1000, "High Value", Sales_Data_1[[#This Row],[Sales]]&gt;= 300, "Mid Value", TRUE, "Low Value")</f>
        <v>Mid Value</v>
      </c>
    </row>
    <row r="22" spans="1:27" x14ac:dyDescent="0.3">
      <c r="A22" t="s">
        <v>2643</v>
      </c>
      <c r="B22" s="1">
        <v>45529</v>
      </c>
      <c r="C22" t="s">
        <v>40</v>
      </c>
      <c r="D22" t="s">
        <v>31</v>
      </c>
      <c r="E22" t="s">
        <v>2042</v>
      </c>
      <c r="F22" t="s">
        <v>103</v>
      </c>
      <c r="G22" t="s">
        <v>34</v>
      </c>
      <c r="H22" t="s">
        <v>104</v>
      </c>
      <c r="I22" t="s">
        <v>1267</v>
      </c>
      <c r="J22">
        <v>3</v>
      </c>
      <c r="K22">
        <v>304</v>
      </c>
      <c r="L22">
        <v>0.17</v>
      </c>
      <c r="M22">
        <v>252.32</v>
      </c>
      <c r="N22">
        <v>756.96</v>
      </c>
      <c r="O22">
        <v>0.4</v>
      </c>
      <c r="P22">
        <v>302.77999999999997</v>
      </c>
      <c r="Q22" t="s">
        <v>27</v>
      </c>
      <c r="R22" t="s">
        <v>48</v>
      </c>
      <c r="S22">
        <v>8</v>
      </c>
      <c r="T22">
        <f>YEAR(Sales_Data_1[[#This Row],[Order_Date]])</f>
        <v>2024</v>
      </c>
      <c r="U22" t="str">
        <f>TEXT(Sales_Data_1[[#This Row],[Order_Date]], "mmm")</f>
        <v>Aug</v>
      </c>
      <c r="V22">
        <f>MONTH(Sales_Data_1[[#This Row],[Order_Date]])</f>
        <v>8</v>
      </c>
      <c r="W22" t="str">
        <f>TEXT(Sales_Data_1[[#This Row],[Order_Date]], "yyyy-mm")</f>
        <v>2024-08</v>
      </c>
      <c r="X22">
        <f>Sales_Data_1[[#This Row],[Sales]]-Sales_Data_1[[#This Row],[Profit_Amount]]</f>
        <v>454.18000000000006</v>
      </c>
      <c r="Y22" t="str" cm="1">
        <f t="array" ref="Y22">_xlfn.IFS(Sales_Data_1[[#This Row],[Delivery_Days]]&lt;=3, "Fast", Sales_Data_1[[#This Row],[Delivery_Days]]&lt;= 7, "Standard", TRUE, "Delayed")</f>
        <v>Delayed</v>
      </c>
      <c r="Z22" t="str" cm="1">
        <f t="array" ref="Z22">_xlfn.IFS(Sales_Data_1[[#This Row],[Profit_Amount]]&gt; 0, "Profitable", Sales_Data_1[[#This Row],[Profit_Amount]] = 0, "Break-Even", TRUE, "Loss")</f>
        <v>Profitable</v>
      </c>
      <c r="AA22" t="str" cm="1">
        <f t="array" ref="AA22">_xlfn.IFS(Sales_Data_1[[#This Row],[Sales]]&gt;= 1000, "High Value", Sales_Data_1[[#This Row],[Sales]]&gt;= 300, "Mid Value", TRUE, "Low Value")</f>
        <v>Mid Value</v>
      </c>
    </row>
    <row r="23" spans="1:27" x14ac:dyDescent="0.3">
      <c r="A23" t="s">
        <v>2123</v>
      </c>
      <c r="B23" s="1">
        <v>45009</v>
      </c>
      <c r="C23" t="s">
        <v>20</v>
      </c>
      <c r="D23" t="s">
        <v>31</v>
      </c>
      <c r="E23" t="s">
        <v>67</v>
      </c>
      <c r="F23" t="s">
        <v>23</v>
      </c>
      <c r="G23" t="s">
        <v>34</v>
      </c>
      <c r="H23" t="s">
        <v>104</v>
      </c>
      <c r="I23" t="s">
        <v>235</v>
      </c>
      <c r="J23">
        <v>1</v>
      </c>
      <c r="K23">
        <v>836</v>
      </c>
      <c r="L23">
        <v>0.09</v>
      </c>
      <c r="M23">
        <v>760.76</v>
      </c>
      <c r="N23">
        <v>760.76</v>
      </c>
      <c r="O23">
        <v>0.4</v>
      </c>
      <c r="P23">
        <v>304.3</v>
      </c>
      <c r="Q23" t="s">
        <v>47</v>
      </c>
      <c r="R23" t="s">
        <v>48</v>
      </c>
      <c r="S23">
        <v>5</v>
      </c>
      <c r="T23">
        <f>YEAR(Sales_Data_1[[#This Row],[Order_Date]])</f>
        <v>2023</v>
      </c>
      <c r="U23" t="str">
        <f>TEXT(Sales_Data_1[[#This Row],[Order_Date]], "mmm")</f>
        <v>Mar</v>
      </c>
      <c r="V23">
        <f>MONTH(Sales_Data_1[[#This Row],[Order_Date]])</f>
        <v>3</v>
      </c>
      <c r="W23" t="str">
        <f>TEXT(Sales_Data_1[[#This Row],[Order_Date]], "yyyy-mm")</f>
        <v>2023-03</v>
      </c>
      <c r="X23">
        <f>Sales_Data_1[[#This Row],[Sales]]-Sales_Data_1[[#This Row],[Profit_Amount]]</f>
        <v>456.46</v>
      </c>
      <c r="Y23" t="str" cm="1">
        <f t="array" ref="Y23">_xlfn.IFS(Sales_Data_1[[#This Row],[Delivery_Days]]&lt;=3, "Fast", Sales_Data_1[[#This Row],[Delivery_Days]]&lt;= 7, "Standard", TRUE, "Delayed")</f>
        <v>Standard</v>
      </c>
      <c r="Z23" t="str" cm="1">
        <f t="array" ref="Z23">_xlfn.IFS(Sales_Data_1[[#This Row],[Profit_Amount]]&gt; 0, "Profitable", Sales_Data_1[[#This Row],[Profit_Amount]] = 0, "Break-Even", TRUE, "Loss")</f>
        <v>Profitable</v>
      </c>
      <c r="AA23" t="str" cm="1">
        <f t="array" ref="AA23">_xlfn.IFS(Sales_Data_1[[#This Row],[Sales]]&gt;= 1000, "High Value", Sales_Data_1[[#This Row],[Sales]]&gt;= 300, "Mid Value", TRUE, "Low Value")</f>
        <v>Mid Value</v>
      </c>
    </row>
    <row r="24" spans="1:27" x14ac:dyDescent="0.3">
      <c r="A24" t="s">
        <v>2982</v>
      </c>
      <c r="B24" s="1">
        <v>45868</v>
      </c>
      <c r="C24" t="s">
        <v>20</v>
      </c>
      <c r="D24" t="s">
        <v>56</v>
      </c>
      <c r="E24" t="s">
        <v>67</v>
      </c>
      <c r="F24" t="s">
        <v>97</v>
      </c>
      <c r="G24" t="s">
        <v>34</v>
      </c>
      <c r="H24" t="s">
        <v>141</v>
      </c>
      <c r="I24" t="s">
        <v>1927</v>
      </c>
      <c r="J24">
        <v>4</v>
      </c>
      <c r="K24">
        <v>221</v>
      </c>
      <c r="L24">
        <v>0.13</v>
      </c>
      <c r="M24">
        <v>192.27</v>
      </c>
      <c r="N24">
        <v>769.08</v>
      </c>
      <c r="O24">
        <v>0.4</v>
      </c>
      <c r="P24">
        <v>307.63</v>
      </c>
      <c r="Q24" t="s">
        <v>51</v>
      </c>
      <c r="R24" t="s">
        <v>48</v>
      </c>
      <c r="S24">
        <v>8</v>
      </c>
      <c r="T24">
        <f>YEAR(Sales_Data_1[[#This Row],[Order_Date]])</f>
        <v>2025</v>
      </c>
      <c r="U24" t="str">
        <f>TEXT(Sales_Data_1[[#This Row],[Order_Date]], "mmm")</f>
        <v>Jul</v>
      </c>
      <c r="V24">
        <f>MONTH(Sales_Data_1[[#This Row],[Order_Date]])</f>
        <v>7</v>
      </c>
      <c r="W24" t="str">
        <f>TEXT(Sales_Data_1[[#This Row],[Order_Date]], "yyyy-mm")</f>
        <v>2025-07</v>
      </c>
      <c r="X24">
        <f>Sales_Data_1[[#This Row],[Sales]]-Sales_Data_1[[#This Row],[Profit_Amount]]</f>
        <v>461.45000000000005</v>
      </c>
      <c r="Y24" t="str" cm="1">
        <f t="array" ref="Y24">_xlfn.IFS(Sales_Data_1[[#This Row],[Delivery_Days]]&lt;=3, "Fast", Sales_Data_1[[#This Row],[Delivery_Days]]&lt;= 7, "Standard", TRUE, "Delayed")</f>
        <v>Delayed</v>
      </c>
      <c r="Z24" t="str" cm="1">
        <f t="array" ref="Z24">_xlfn.IFS(Sales_Data_1[[#This Row],[Profit_Amount]]&gt; 0, "Profitable", Sales_Data_1[[#This Row],[Profit_Amount]] = 0, "Break-Even", TRUE, "Loss")</f>
        <v>Profitable</v>
      </c>
      <c r="AA24" t="str" cm="1">
        <f t="array" ref="AA24">_xlfn.IFS(Sales_Data_1[[#This Row],[Sales]]&gt;= 1000, "High Value", Sales_Data_1[[#This Row],[Sales]]&gt;= 300, "Mid Value", TRUE, "Low Value")</f>
        <v>Mid Value</v>
      </c>
    </row>
    <row r="25" spans="1:27" x14ac:dyDescent="0.3">
      <c r="A25" t="s">
        <v>2514</v>
      </c>
      <c r="B25" s="1">
        <v>45400</v>
      </c>
      <c r="C25" t="s">
        <v>96</v>
      </c>
      <c r="D25" t="s">
        <v>21</v>
      </c>
      <c r="E25" t="s">
        <v>2040</v>
      </c>
      <c r="F25" t="s">
        <v>33</v>
      </c>
      <c r="G25" t="s">
        <v>34</v>
      </c>
      <c r="H25" t="s">
        <v>35</v>
      </c>
      <c r="I25" t="s">
        <v>1012</v>
      </c>
      <c r="J25">
        <v>3</v>
      </c>
      <c r="K25">
        <v>333</v>
      </c>
      <c r="L25">
        <v>0.23</v>
      </c>
      <c r="M25">
        <v>256.41000000000003</v>
      </c>
      <c r="N25">
        <v>769.23</v>
      </c>
      <c r="O25">
        <v>0.4</v>
      </c>
      <c r="P25">
        <v>307.69</v>
      </c>
      <c r="Q25" t="s">
        <v>51</v>
      </c>
      <c r="R25" t="s">
        <v>48</v>
      </c>
      <c r="S25">
        <v>1</v>
      </c>
      <c r="T25">
        <f>YEAR(Sales_Data_1[[#This Row],[Order_Date]])</f>
        <v>2024</v>
      </c>
      <c r="U25" t="str">
        <f>TEXT(Sales_Data_1[[#This Row],[Order_Date]], "mmm")</f>
        <v>Apr</v>
      </c>
      <c r="V25">
        <f>MONTH(Sales_Data_1[[#This Row],[Order_Date]])</f>
        <v>4</v>
      </c>
      <c r="W25" t="str">
        <f>TEXT(Sales_Data_1[[#This Row],[Order_Date]], "yyyy-mm")</f>
        <v>2024-04</v>
      </c>
      <c r="X25">
        <f>Sales_Data_1[[#This Row],[Sales]]-Sales_Data_1[[#This Row],[Profit_Amount]]</f>
        <v>461.54</v>
      </c>
      <c r="Y25" t="str" cm="1">
        <f t="array" ref="Y25">_xlfn.IFS(Sales_Data_1[[#This Row],[Delivery_Days]]&lt;=3, "Fast", Sales_Data_1[[#This Row],[Delivery_Days]]&lt;= 7, "Standard", TRUE, "Delayed")</f>
        <v>Fast</v>
      </c>
      <c r="Z25" t="str" cm="1">
        <f t="array" ref="Z25">_xlfn.IFS(Sales_Data_1[[#This Row],[Profit_Amount]]&gt; 0, "Profitable", Sales_Data_1[[#This Row],[Profit_Amount]] = 0, "Break-Even", TRUE, "Loss")</f>
        <v>Profitable</v>
      </c>
      <c r="AA25" t="str" cm="1">
        <f t="array" ref="AA25">_xlfn.IFS(Sales_Data_1[[#This Row],[Sales]]&gt;= 1000, "High Value", Sales_Data_1[[#This Row],[Sales]]&gt;= 300, "Mid Value", TRUE, "Low Value")</f>
        <v>Mid Value</v>
      </c>
    </row>
    <row r="26" spans="1:27" x14ac:dyDescent="0.3">
      <c r="A26" t="s">
        <v>2640</v>
      </c>
      <c r="B26" s="1">
        <v>45526</v>
      </c>
      <c r="C26" t="s">
        <v>30</v>
      </c>
      <c r="D26" t="s">
        <v>21</v>
      </c>
      <c r="E26" t="s">
        <v>2042</v>
      </c>
      <c r="F26" t="s">
        <v>103</v>
      </c>
      <c r="G26" t="s">
        <v>34</v>
      </c>
      <c r="H26" t="s">
        <v>104</v>
      </c>
      <c r="I26" t="s">
        <v>1261</v>
      </c>
      <c r="J26">
        <v>4</v>
      </c>
      <c r="K26">
        <v>220</v>
      </c>
      <c r="L26">
        <v>0.11</v>
      </c>
      <c r="M26">
        <v>195.8</v>
      </c>
      <c r="N26">
        <v>783.2</v>
      </c>
      <c r="O26">
        <v>0.4</v>
      </c>
      <c r="P26">
        <v>313.27999999999997</v>
      </c>
      <c r="Q26" t="s">
        <v>27</v>
      </c>
      <c r="R26" t="s">
        <v>48</v>
      </c>
      <c r="S26">
        <v>8</v>
      </c>
      <c r="T26">
        <f>YEAR(Sales_Data_1[[#This Row],[Order_Date]])</f>
        <v>2024</v>
      </c>
      <c r="U26" t="str">
        <f>TEXT(Sales_Data_1[[#This Row],[Order_Date]], "mmm")</f>
        <v>Aug</v>
      </c>
      <c r="V26">
        <f>MONTH(Sales_Data_1[[#This Row],[Order_Date]])</f>
        <v>8</v>
      </c>
      <c r="W26" t="str">
        <f>TEXT(Sales_Data_1[[#This Row],[Order_Date]], "yyyy-mm")</f>
        <v>2024-08</v>
      </c>
      <c r="X26">
        <f>Sales_Data_1[[#This Row],[Sales]]-Sales_Data_1[[#This Row],[Profit_Amount]]</f>
        <v>469.92000000000007</v>
      </c>
      <c r="Y26" t="str" cm="1">
        <f t="array" ref="Y26">_xlfn.IFS(Sales_Data_1[[#This Row],[Delivery_Days]]&lt;=3, "Fast", Sales_Data_1[[#This Row],[Delivery_Days]]&lt;= 7, "Standard", TRUE, "Delayed")</f>
        <v>Delayed</v>
      </c>
      <c r="Z26" t="str" cm="1">
        <f t="array" ref="Z26">_xlfn.IFS(Sales_Data_1[[#This Row],[Profit_Amount]]&gt; 0, "Profitable", Sales_Data_1[[#This Row],[Profit_Amount]] = 0, "Break-Even", TRUE, "Loss")</f>
        <v>Profitable</v>
      </c>
      <c r="AA26" t="str" cm="1">
        <f t="array" ref="AA26">_xlfn.IFS(Sales_Data_1[[#This Row],[Sales]]&gt;= 1000, "High Value", Sales_Data_1[[#This Row],[Sales]]&gt;= 300, "Mid Value", TRUE, "Low Value")</f>
        <v>Mid Value</v>
      </c>
    </row>
    <row r="27" spans="1:27" x14ac:dyDescent="0.3">
      <c r="A27" t="s">
        <v>2615</v>
      </c>
      <c r="B27" s="1">
        <v>45501</v>
      </c>
      <c r="C27" t="s">
        <v>40</v>
      </c>
      <c r="D27" t="s">
        <v>56</v>
      </c>
      <c r="E27" t="s">
        <v>42</v>
      </c>
      <c r="F27" t="s">
        <v>68</v>
      </c>
      <c r="G27" t="s">
        <v>34</v>
      </c>
      <c r="H27" t="s">
        <v>35</v>
      </c>
      <c r="I27" t="s">
        <v>1212</v>
      </c>
      <c r="J27">
        <v>2</v>
      </c>
      <c r="K27">
        <v>412</v>
      </c>
      <c r="L27">
        <v>0.02</v>
      </c>
      <c r="M27">
        <v>403.76</v>
      </c>
      <c r="N27">
        <v>807.52</v>
      </c>
      <c r="O27">
        <v>0.4</v>
      </c>
      <c r="P27">
        <v>323.01</v>
      </c>
      <c r="Q27" t="s">
        <v>37</v>
      </c>
      <c r="R27" t="s">
        <v>38</v>
      </c>
      <c r="S27">
        <v>8</v>
      </c>
      <c r="T27">
        <f>YEAR(Sales_Data_1[[#This Row],[Order_Date]])</f>
        <v>2024</v>
      </c>
      <c r="U27" t="str">
        <f>TEXT(Sales_Data_1[[#This Row],[Order_Date]], "mmm")</f>
        <v>Jul</v>
      </c>
      <c r="V27">
        <f>MONTH(Sales_Data_1[[#This Row],[Order_Date]])</f>
        <v>7</v>
      </c>
      <c r="W27" t="str">
        <f>TEXT(Sales_Data_1[[#This Row],[Order_Date]], "yyyy-mm")</f>
        <v>2024-07</v>
      </c>
      <c r="X27">
        <f>Sales_Data_1[[#This Row],[Sales]]-Sales_Data_1[[#This Row],[Profit_Amount]]</f>
        <v>484.51</v>
      </c>
      <c r="Y27" t="str" cm="1">
        <f t="array" ref="Y27">_xlfn.IFS(Sales_Data_1[[#This Row],[Delivery_Days]]&lt;=3, "Fast", Sales_Data_1[[#This Row],[Delivery_Days]]&lt;= 7, "Standard", TRUE, "Delayed")</f>
        <v>Delayed</v>
      </c>
      <c r="Z27" t="str" cm="1">
        <f t="array" ref="Z27">_xlfn.IFS(Sales_Data_1[[#This Row],[Profit_Amount]]&gt; 0, "Profitable", Sales_Data_1[[#This Row],[Profit_Amount]] = 0, "Break-Even", TRUE, "Loss")</f>
        <v>Profitable</v>
      </c>
      <c r="AA27" t="str" cm="1">
        <f t="array" ref="AA27">_xlfn.IFS(Sales_Data_1[[#This Row],[Sales]]&gt;= 1000, "High Value", Sales_Data_1[[#This Row],[Sales]]&gt;= 300, "Mid Value", TRUE, "Low Value")</f>
        <v>Mid Value</v>
      </c>
    </row>
    <row r="28" spans="1:27" x14ac:dyDescent="0.3">
      <c r="A28" t="s">
        <v>2825</v>
      </c>
      <c r="B28" s="1">
        <v>45711</v>
      </c>
      <c r="C28" t="s">
        <v>30</v>
      </c>
      <c r="D28" t="s">
        <v>21</v>
      </c>
      <c r="E28" t="s">
        <v>2040</v>
      </c>
      <c r="F28" t="s">
        <v>103</v>
      </c>
      <c r="G28" t="s">
        <v>34</v>
      </c>
      <c r="H28" t="s">
        <v>71</v>
      </c>
      <c r="I28" t="s">
        <v>1621</v>
      </c>
      <c r="J28">
        <v>2</v>
      </c>
      <c r="K28">
        <v>535</v>
      </c>
      <c r="L28">
        <v>0.22</v>
      </c>
      <c r="M28">
        <v>417.3</v>
      </c>
      <c r="N28">
        <v>834.6</v>
      </c>
      <c r="O28">
        <v>0.4</v>
      </c>
      <c r="P28">
        <v>333.84</v>
      </c>
      <c r="Q28" t="s">
        <v>47</v>
      </c>
      <c r="R28" t="s">
        <v>48</v>
      </c>
      <c r="S28">
        <v>7</v>
      </c>
      <c r="T28">
        <f>YEAR(Sales_Data_1[[#This Row],[Order_Date]])</f>
        <v>2025</v>
      </c>
      <c r="U28" t="str">
        <f>TEXT(Sales_Data_1[[#This Row],[Order_Date]], "mmm")</f>
        <v>Feb</v>
      </c>
      <c r="V28">
        <f>MONTH(Sales_Data_1[[#This Row],[Order_Date]])</f>
        <v>2</v>
      </c>
      <c r="W28" t="str">
        <f>TEXT(Sales_Data_1[[#This Row],[Order_Date]], "yyyy-mm")</f>
        <v>2025-02</v>
      </c>
      <c r="X28">
        <f>Sales_Data_1[[#This Row],[Sales]]-Sales_Data_1[[#This Row],[Profit_Amount]]</f>
        <v>500.76000000000005</v>
      </c>
      <c r="Y28" t="str" cm="1">
        <f t="array" ref="Y28">_xlfn.IFS(Sales_Data_1[[#This Row],[Delivery_Days]]&lt;=3, "Fast", Sales_Data_1[[#This Row],[Delivery_Days]]&lt;= 7, "Standard", TRUE, "Delayed")</f>
        <v>Standard</v>
      </c>
      <c r="Z28" t="str" cm="1">
        <f t="array" ref="Z28">_xlfn.IFS(Sales_Data_1[[#This Row],[Profit_Amount]]&gt; 0, "Profitable", Sales_Data_1[[#This Row],[Profit_Amount]] = 0, "Break-Even", TRUE, "Loss")</f>
        <v>Profitable</v>
      </c>
      <c r="AA28" t="str" cm="1">
        <f t="array" ref="AA28">_xlfn.IFS(Sales_Data_1[[#This Row],[Sales]]&gt;= 1000, "High Value", Sales_Data_1[[#This Row],[Sales]]&gt;= 300, "Mid Value", TRUE, "Low Value")</f>
        <v>Mid Value</v>
      </c>
    </row>
    <row r="29" spans="1:27" x14ac:dyDescent="0.3">
      <c r="A29" t="s">
        <v>2436</v>
      </c>
      <c r="B29" s="1">
        <v>45322</v>
      </c>
      <c r="C29" t="s">
        <v>40</v>
      </c>
      <c r="D29" t="s">
        <v>56</v>
      </c>
      <c r="E29" t="s">
        <v>67</v>
      </c>
      <c r="F29" t="s">
        <v>68</v>
      </c>
      <c r="G29" t="s">
        <v>34</v>
      </c>
      <c r="H29" t="s">
        <v>35</v>
      </c>
      <c r="I29" t="s">
        <v>858</v>
      </c>
      <c r="J29">
        <v>3</v>
      </c>
      <c r="K29">
        <v>348</v>
      </c>
      <c r="L29">
        <v>0.2</v>
      </c>
      <c r="M29">
        <v>278.39999999999998</v>
      </c>
      <c r="N29">
        <v>835.2</v>
      </c>
      <c r="O29">
        <v>0.4</v>
      </c>
      <c r="P29">
        <v>334.08</v>
      </c>
      <c r="Q29" t="s">
        <v>51</v>
      </c>
      <c r="R29" t="s">
        <v>48</v>
      </c>
      <c r="S29">
        <v>9</v>
      </c>
      <c r="T29">
        <f>YEAR(Sales_Data_1[[#This Row],[Order_Date]])</f>
        <v>2024</v>
      </c>
      <c r="U29" t="str">
        <f>TEXT(Sales_Data_1[[#This Row],[Order_Date]], "mmm")</f>
        <v>Jan</v>
      </c>
      <c r="V29">
        <f>MONTH(Sales_Data_1[[#This Row],[Order_Date]])</f>
        <v>1</v>
      </c>
      <c r="W29" t="str">
        <f>TEXT(Sales_Data_1[[#This Row],[Order_Date]], "yyyy-mm")</f>
        <v>2024-01</v>
      </c>
      <c r="X29">
        <f>Sales_Data_1[[#This Row],[Sales]]-Sales_Data_1[[#This Row],[Profit_Amount]]</f>
        <v>501.12000000000006</v>
      </c>
      <c r="Y29" t="str" cm="1">
        <f t="array" ref="Y29">_xlfn.IFS(Sales_Data_1[[#This Row],[Delivery_Days]]&lt;=3, "Fast", Sales_Data_1[[#This Row],[Delivery_Days]]&lt;= 7, "Standard", TRUE, "Delayed")</f>
        <v>Delayed</v>
      </c>
      <c r="Z29" t="str" cm="1">
        <f t="array" ref="Z29">_xlfn.IFS(Sales_Data_1[[#This Row],[Profit_Amount]]&gt; 0, "Profitable", Sales_Data_1[[#This Row],[Profit_Amount]] = 0, "Break-Even", TRUE, "Loss")</f>
        <v>Profitable</v>
      </c>
      <c r="AA29" t="str" cm="1">
        <f t="array" ref="AA29">_xlfn.IFS(Sales_Data_1[[#This Row],[Sales]]&gt;= 1000, "High Value", Sales_Data_1[[#This Row],[Sales]]&gt;= 300, "Mid Value", TRUE, "Low Value")</f>
        <v>Mid Value</v>
      </c>
    </row>
    <row r="30" spans="1:27" x14ac:dyDescent="0.3">
      <c r="A30" t="s">
        <v>2882</v>
      </c>
      <c r="B30" s="1">
        <v>45768</v>
      </c>
      <c r="C30" t="s">
        <v>63</v>
      </c>
      <c r="D30" t="s">
        <v>31</v>
      </c>
      <c r="E30" t="s">
        <v>67</v>
      </c>
      <c r="F30" t="s">
        <v>23</v>
      </c>
      <c r="G30" t="s">
        <v>34</v>
      </c>
      <c r="H30" t="s">
        <v>71</v>
      </c>
      <c r="I30" t="s">
        <v>1734</v>
      </c>
      <c r="J30">
        <v>1</v>
      </c>
      <c r="K30">
        <v>956</v>
      </c>
      <c r="L30">
        <v>0.11</v>
      </c>
      <c r="M30">
        <v>850.84</v>
      </c>
      <c r="N30">
        <v>850.84</v>
      </c>
      <c r="O30">
        <v>0.4</v>
      </c>
      <c r="P30">
        <v>340.34</v>
      </c>
      <c r="Q30" t="s">
        <v>51</v>
      </c>
      <c r="R30" t="s">
        <v>48</v>
      </c>
      <c r="S30">
        <v>8</v>
      </c>
      <c r="T30">
        <f>YEAR(Sales_Data_1[[#This Row],[Order_Date]])</f>
        <v>2025</v>
      </c>
      <c r="U30" t="str">
        <f>TEXT(Sales_Data_1[[#This Row],[Order_Date]], "mmm")</f>
        <v>Apr</v>
      </c>
      <c r="V30">
        <f>MONTH(Sales_Data_1[[#This Row],[Order_Date]])</f>
        <v>4</v>
      </c>
      <c r="W30" t="str">
        <f>TEXT(Sales_Data_1[[#This Row],[Order_Date]], "yyyy-mm")</f>
        <v>2025-04</v>
      </c>
      <c r="X30">
        <f>Sales_Data_1[[#This Row],[Sales]]-Sales_Data_1[[#This Row],[Profit_Amount]]</f>
        <v>510.50000000000006</v>
      </c>
      <c r="Y30" t="str" cm="1">
        <f t="array" ref="Y30">_xlfn.IFS(Sales_Data_1[[#This Row],[Delivery_Days]]&lt;=3, "Fast", Sales_Data_1[[#This Row],[Delivery_Days]]&lt;= 7, "Standard", TRUE, "Delayed")</f>
        <v>Delayed</v>
      </c>
      <c r="Z30" t="str" cm="1">
        <f t="array" ref="Z30">_xlfn.IFS(Sales_Data_1[[#This Row],[Profit_Amount]]&gt; 0, "Profitable", Sales_Data_1[[#This Row],[Profit_Amount]] = 0, "Break-Even", TRUE, "Loss")</f>
        <v>Profitable</v>
      </c>
      <c r="AA30" t="str" cm="1">
        <f t="array" ref="AA30">_xlfn.IFS(Sales_Data_1[[#This Row],[Sales]]&gt;= 1000, "High Value", Sales_Data_1[[#This Row],[Sales]]&gt;= 300, "Mid Value", TRUE, "Low Value")</f>
        <v>Mid Value</v>
      </c>
    </row>
    <row r="31" spans="1:27" x14ac:dyDescent="0.3">
      <c r="A31" t="s">
        <v>2875</v>
      </c>
      <c r="B31" s="1">
        <v>45761</v>
      </c>
      <c r="C31" t="s">
        <v>63</v>
      </c>
      <c r="D31" t="s">
        <v>41</v>
      </c>
      <c r="E31" t="s">
        <v>42</v>
      </c>
      <c r="F31" t="s">
        <v>97</v>
      </c>
      <c r="G31" t="s">
        <v>34</v>
      </c>
      <c r="H31" t="s">
        <v>71</v>
      </c>
      <c r="I31" t="s">
        <v>1720</v>
      </c>
      <c r="J31">
        <v>4</v>
      </c>
      <c r="K31">
        <v>249</v>
      </c>
      <c r="L31">
        <v>0.14000000000000001</v>
      </c>
      <c r="M31">
        <v>214.14</v>
      </c>
      <c r="N31">
        <v>856.56</v>
      </c>
      <c r="O31">
        <v>0.4</v>
      </c>
      <c r="P31">
        <v>342.62</v>
      </c>
      <c r="Q31" t="s">
        <v>27</v>
      </c>
      <c r="R31" t="s">
        <v>38</v>
      </c>
      <c r="S31">
        <v>8</v>
      </c>
      <c r="T31">
        <f>YEAR(Sales_Data_1[[#This Row],[Order_Date]])</f>
        <v>2025</v>
      </c>
      <c r="U31" t="str">
        <f>TEXT(Sales_Data_1[[#This Row],[Order_Date]], "mmm")</f>
        <v>Apr</v>
      </c>
      <c r="V31">
        <f>MONTH(Sales_Data_1[[#This Row],[Order_Date]])</f>
        <v>4</v>
      </c>
      <c r="W31" t="str">
        <f>TEXT(Sales_Data_1[[#This Row],[Order_Date]], "yyyy-mm")</f>
        <v>2025-04</v>
      </c>
      <c r="X31">
        <f>Sales_Data_1[[#This Row],[Sales]]-Sales_Data_1[[#This Row],[Profit_Amount]]</f>
        <v>513.93999999999994</v>
      </c>
      <c r="Y31" t="str" cm="1">
        <f t="array" ref="Y31">_xlfn.IFS(Sales_Data_1[[#This Row],[Delivery_Days]]&lt;=3, "Fast", Sales_Data_1[[#This Row],[Delivery_Days]]&lt;= 7, "Standard", TRUE, "Delayed")</f>
        <v>Delayed</v>
      </c>
      <c r="Z31" t="str" cm="1">
        <f t="array" ref="Z31">_xlfn.IFS(Sales_Data_1[[#This Row],[Profit_Amount]]&gt; 0, "Profitable", Sales_Data_1[[#This Row],[Profit_Amount]] = 0, "Break-Even", TRUE, "Loss")</f>
        <v>Profitable</v>
      </c>
      <c r="AA31" t="str" cm="1">
        <f t="array" ref="AA31">_xlfn.IFS(Sales_Data_1[[#This Row],[Sales]]&gt;= 1000, "High Value", Sales_Data_1[[#This Row],[Sales]]&gt;= 300, "Mid Value", TRUE, "Low Value")</f>
        <v>Mid Value</v>
      </c>
    </row>
    <row r="32" spans="1:27" x14ac:dyDescent="0.3">
      <c r="A32" t="s">
        <v>2661</v>
      </c>
      <c r="B32" s="1">
        <v>45547</v>
      </c>
      <c r="C32" t="s">
        <v>30</v>
      </c>
      <c r="D32" t="s">
        <v>41</v>
      </c>
      <c r="E32" t="s">
        <v>2042</v>
      </c>
      <c r="F32" t="s">
        <v>68</v>
      </c>
      <c r="G32" t="s">
        <v>34</v>
      </c>
      <c r="H32" t="s">
        <v>141</v>
      </c>
      <c r="I32" t="s">
        <v>1302</v>
      </c>
      <c r="J32">
        <v>1</v>
      </c>
      <c r="K32">
        <v>975</v>
      </c>
      <c r="L32">
        <v>0.08</v>
      </c>
      <c r="M32">
        <v>897</v>
      </c>
      <c r="N32">
        <v>897</v>
      </c>
      <c r="O32">
        <v>0.4</v>
      </c>
      <c r="P32">
        <v>358.8</v>
      </c>
      <c r="Q32" t="s">
        <v>37</v>
      </c>
      <c r="R32" t="s">
        <v>38</v>
      </c>
      <c r="S32">
        <v>6</v>
      </c>
      <c r="T32">
        <f>YEAR(Sales_Data_1[[#This Row],[Order_Date]])</f>
        <v>2024</v>
      </c>
      <c r="U32" t="str">
        <f>TEXT(Sales_Data_1[[#This Row],[Order_Date]], "mmm")</f>
        <v>Sep</v>
      </c>
      <c r="V32">
        <f>MONTH(Sales_Data_1[[#This Row],[Order_Date]])</f>
        <v>9</v>
      </c>
      <c r="W32" t="str">
        <f>TEXT(Sales_Data_1[[#This Row],[Order_Date]], "yyyy-mm")</f>
        <v>2024-09</v>
      </c>
      <c r="X32">
        <f>Sales_Data_1[[#This Row],[Sales]]-Sales_Data_1[[#This Row],[Profit_Amount]]</f>
        <v>538.20000000000005</v>
      </c>
      <c r="Y32" t="str" cm="1">
        <f t="array" ref="Y32">_xlfn.IFS(Sales_Data_1[[#This Row],[Delivery_Days]]&lt;=3, "Fast", Sales_Data_1[[#This Row],[Delivery_Days]]&lt;= 7, "Standard", TRUE, "Delayed")</f>
        <v>Standard</v>
      </c>
      <c r="Z32" t="str" cm="1">
        <f t="array" ref="Z32">_xlfn.IFS(Sales_Data_1[[#This Row],[Profit_Amount]]&gt; 0, "Profitable", Sales_Data_1[[#This Row],[Profit_Amount]] = 0, "Break-Even", TRUE, "Loss")</f>
        <v>Profitable</v>
      </c>
      <c r="AA32" t="str" cm="1">
        <f t="array" ref="AA32">_xlfn.IFS(Sales_Data_1[[#This Row],[Sales]]&gt;= 1000, "High Value", Sales_Data_1[[#This Row],[Sales]]&gt;= 300, "Mid Value", TRUE, "Low Value")</f>
        <v>Mid Value</v>
      </c>
    </row>
    <row r="33" spans="1:27" x14ac:dyDescent="0.3">
      <c r="A33" t="s">
        <v>2435</v>
      </c>
      <c r="B33" s="1">
        <v>45321</v>
      </c>
      <c r="C33" t="s">
        <v>20</v>
      </c>
      <c r="D33" t="s">
        <v>56</v>
      </c>
      <c r="E33" t="s">
        <v>2042</v>
      </c>
      <c r="F33" t="s">
        <v>68</v>
      </c>
      <c r="G33" t="s">
        <v>34</v>
      </c>
      <c r="H33" t="s">
        <v>141</v>
      </c>
      <c r="I33" t="s">
        <v>856</v>
      </c>
      <c r="J33">
        <v>3</v>
      </c>
      <c r="K33">
        <v>359</v>
      </c>
      <c r="L33">
        <v>0.16</v>
      </c>
      <c r="M33">
        <v>301.56</v>
      </c>
      <c r="N33">
        <v>904.68</v>
      </c>
      <c r="O33">
        <v>0.4</v>
      </c>
      <c r="P33">
        <v>361.87</v>
      </c>
      <c r="Q33" t="s">
        <v>27</v>
      </c>
      <c r="R33" t="s">
        <v>48</v>
      </c>
      <c r="S33">
        <v>5</v>
      </c>
      <c r="T33">
        <f>YEAR(Sales_Data_1[[#This Row],[Order_Date]])</f>
        <v>2024</v>
      </c>
      <c r="U33" t="str">
        <f>TEXT(Sales_Data_1[[#This Row],[Order_Date]], "mmm")</f>
        <v>Jan</v>
      </c>
      <c r="V33">
        <f>MONTH(Sales_Data_1[[#This Row],[Order_Date]])</f>
        <v>1</v>
      </c>
      <c r="W33" t="str">
        <f>TEXT(Sales_Data_1[[#This Row],[Order_Date]], "yyyy-mm")</f>
        <v>2024-01</v>
      </c>
      <c r="X33">
        <f>Sales_Data_1[[#This Row],[Sales]]-Sales_Data_1[[#This Row],[Profit_Amount]]</f>
        <v>542.80999999999995</v>
      </c>
      <c r="Y33" t="str" cm="1">
        <f t="array" ref="Y33">_xlfn.IFS(Sales_Data_1[[#This Row],[Delivery_Days]]&lt;=3, "Fast", Sales_Data_1[[#This Row],[Delivery_Days]]&lt;= 7, "Standard", TRUE, "Delayed")</f>
        <v>Standard</v>
      </c>
      <c r="Z33" t="str" cm="1">
        <f t="array" ref="Z33">_xlfn.IFS(Sales_Data_1[[#This Row],[Profit_Amount]]&gt; 0, "Profitable", Sales_Data_1[[#This Row],[Profit_Amount]] = 0, "Break-Even", TRUE, "Loss")</f>
        <v>Profitable</v>
      </c>
      <c r="AA33" t="str" cm="1">
        <f t="array" ref="AA33">_xlfn.IFS(Sales_Data_1[[#This Row],[Sales]]&gt;= 1000, "High Value", Sales_Data_1[[#This Row],[Sales]]&gt;= 300, "Mid Value", TRUE, "Low Value")</f>
        <v>Mid Value</v>
      </c>
    </row>
    <row r="34" spans="1:27" x14ac:dyDescent="0.3">
      <c r="A34" t="s">
        <v>2385</v>
      </c>
      <c r="B34" s="1">
        <v>45271</v>
      </c>
      <c r="C34" t="s">
        <v>55</v>
      </c>
      <c r="D34" t="s">
        <v>56</v>
      </c>
      <c r="E34" t="s">
        <v>67</v>
      </c>
      <c r="F34" t="s">
        <v>103</v>
      </c>
      <c r="G34" t="s">
        <v>57</v>
      </c>
      <c r="H34" t="s">
        <v>81</v>
      </c>
      <c r="I34" t="s">
        <v>758</v>
      </c>
      <c r="J34">
        <v>1</v>
      </c>
      <c r="K34">
        <v>2145</v>
      </c>
      <c r="L34">
        <v>0.12</v>
      </c>
      <c r="M34">
        <v>1887.6</v>
      </c>
      <c r="N34">
        <v>1887.6</v>
      </c>
      <c r="O34">
        <v>0.2</v>
      </c>
      <c r="P34">
        <v>377.52</v>
      </c>
      <c r="Q34" t="s">
        <v>51</v>
      </c>
      <c r="R34" t="s">
        <v>28</v>
      </c>
      <c r="S34">
        <v>3</v>
      </c>
      <c r="T34">
        <f>YEAR(Sales_Data_1[[#This Row],[Order_Date]])</f>
        <v>2023</v>
      </c>
      <c r="U34" t="str">
        <f>TEXT(Sales_Data_1[[#This Row],[Order_Date]], "mmm")</f>
        <v>Dec</v>
      </c>
      <c r="V34">
        <f>MONTH(Sales_Data_1[[#This Row],[Order_Date]])</f>
        <v>12</v>
      </c>
      <c r="W34" t="str">
        <f>TEXT(Sales_Data_1[[#This Row],[Order_Date]], "yyyy-mm")</f>
        <v>2023-12</v>
      </c>
      <c r="X34">
        <f>Sales_Data_1[[#This Row],[Sales]]-Sales_Data_1[[#This Row],[Profit_Amount]]</f>
        <v>1510.08</v>
      </c>
      <c r="Y34" t="str" cm="1">
        <f t="array" ref="Y34">_xlfn.IFS(Sales_Data_1[[#This Row],[Delivery_Days]]&lt;=3, "Fast", Sales_Data_1[[#This Row],[Delivery_Days]]&lt;= 7, "Standard", TRUE, "Delayed")</f>
        <v>Fast</v>
      </c>
      <c r="Z34" t="str" cm="1">
        <f t="array" ref="Z34">_xlfn.IFS(Sales_Data_1[[#This Row],[Profit_Amount]]&gt; 0, "Profitable", Sales_Data_1[[#This Row],[Profit_Amount]] = 0, "Break-Even", TRUE, "Loss")</f>
        <v>Profitable</v>
      </c>
      <c r="AA34" t="str" cm="1">
        <f t="array" ref="AA34">_xlfn.IFS(Sales_Data_1[[#This Row],[Sales]]&gt;= 1000, "High Value", Sales_Data_1[[#This Row],[Sales]]&gt;= 300, "Mid Value", TRUE, "Low Value")</f>
        <v>High Value</v>
      </c>
    </row>
    <row r="35" spans="1:27" x14ac:dyDescent="0.3">
      <c r="A35" t="s">
        <v>2338</v>
      </c>
      <c r="B35" s="1">
        <v>45224</v>
      </c>
      <c r="C35" t="s">
        <v>30</v>
      </c>
      <c r="D35" t="s">
        <v>31</v>
      </c>
      <c r="E35" t="s">
        <v>2042</v>
      </c>
      <c r="F35" t="s">
        <v>23</v>
      </c>
      <c r="G35" t="s">
        <v>44</v>
      </c>
      <c r="H35" t="s">
        <v>64</v>
      </c>
      <c r="I35" t="s">
        <v>665</v>
      </c>
      <c r="J35">
        <v>2</v>
      </c>
      <c r="K35">
        <v>605</v>
      </c>
      <c r="L35">
        <v>0.1</v>
      </c>
      <c r="M35">
        <v>544.5</v>
      </c>
      <c r="N35">
        <v>1089</v>
      </c>
      <c r="O35">
        <v>0.35</v>
      </c>
      <c r="P35">
        <v>381.15</v>
      </c>
      <c r="Q35" t="s">
        <v>37</v>
      </c>
      <c r="R35" t="s">
        <v>38</v>
      </c>
      <c r="S35">
        <v>7</v>
      </c>
      <c r="T35">
        <f>YEAR(Sales_Data_1[[#This Row],[Order_Date]])</f>
        <v>2023</v>
      </c>
      <c r="U35" t="str">
        <f>TEXT(Sales_Data_1[[#This Row],[Order_Date]], "mmm")</f>
        <v>Oct</v>
      </c>
      <c r="V35">
        <f>MONTH(Sales_Data_1[[#This Row],[Order_Date]])</f>
        <v>10</v>
      </c>
      <c r="W35" t="str">
        <f>TEXT(Sales_Data_1[[#This Row],[Order_Date]], "yyyy-mm")</f>
        <v>2023-10</v>
      </c>
      <c r="X35">
        <f>Sales_Data_1[[#This Row],[Sales]]-Sales_Data_1[[#This Row],[Profit_Amount]]</f>
        <v>707.85</v>
      </c>
      <c r="Y35" t="str" cm="1">
        <f t="array" ref="Y35">_xlfn.IFS(Sales_Data_1[[#This Row],[Delivery_Days]]&lt;=3, "Fast", Sales_Data_1[[#This Row],[Delivery_Days]]&lt;= 7, "Standard", TRUE, "Delayed")</f>
        <v>Standard</v>
      </c>
      <c r="Z35" t="str" cm="1">
        <f t="array" ref="Z35">_xlfn.IFS(Sales_Data_1[[#This Row],[Profit_Amount]]&gt; 0, "Profitable", Sales_Data_1[[#This Row],[Profit_Amount]] = 0, "Break-Even", TRUE, "Loss")</f>
        <v>Profitable</v>
      </c>
      <c r="AA35" t="str" cm="1">
        <f t="array" ref="AA35">_xlfn.IFS(Sales_Data_1[[#This Row],[Sales]]&gt;= 1000, "High Value", Sales_Data_1[[#This Row],[Sales]]&gt;= 300, "Mid Value", TRUE, "Low Value")</f>
        <v>High Value</v>
      </c>
    </row>
    <row r="36" spans="1:27" x14ac:dyDescent="0.3">
      <c r="A36" t="s">
        <v>2722</v>
      </c>
      <c r="B36" s="1">
        <v>45608</v>
      </c>
      <c r="C36" t="s">
        <v>96</v>
      </c>
      <c r="D36" t="s">
        <v>21</v>
      </c>
      <c r="E36" t="s">
        <v>67</v>
      </c>
      <c r="F36" t="s">
        <v>33</v>
      </c>
      <c r="G36" t="s">
        <v>34</v>
      </c>
      <c r="H36" t="s">
        <v>141</v>
      </c>
      <c r="I36" t="s">
        <v>1420</v>
      </c>
      <c r="J36">
        <v>1</v>
      </c>
      <c r="K36">
        <v>1135</v>
      </c>
      <c r="L36">
        <v>0.12</v>
      </c>
      <c r="M36">
        <v>998.8</v>
      </c>
      <c r="N36">
        <v>998.8</v>
      </c>
      <c r="O36">
        <v>0.4</v>
      </c>
      <c r="P36">
        <v>399.52</v>
      </c>
      <c r="Q36" t="s">
        <v>51</v>
      </c>
      <c r="R36" t="s">
        <v>38</v>
      </c>
      <c r="S36">
        <v>2</v>
      </c>
      <c r="T36">
        <f>YEAR(Sales_Data_1[[#This Row],[Order_Date]])</f>
        <v>2024</v>
      </c>
      <c r="U36" t="str">
        <f>TEXT(Sales_Data_1[[#This Row],[Order_Date]], "mmm")</f>
        <v>Nov</v>
      </c>
      <c r="V36">
        <f>MONTH(Sales_Data_1[[#This Row],[Order_Date]])</f>
        <v>11</v>
      </c>
      <c r="W36" t="str">
        <f>TEXT(Sales_Data_1[[#This Row],[Order_Date]], "yyyy-mm")</f>
        <v>2024-11</v>
      </c>
      <c r="X36">
        <f>Sales_Data_1[[#This Row],[Sales]]-Sales_Data_1[[#This Row],[Profit_Amount]]</f>
        <v>599.28</v>
      </c>
      <c r="Y36" t="str" cm="1">
        <f t="array" ref="Y36">_xlfn.IFS(Sales_Data_1[[#This Row],[Delivery_Days]]&lt;=3, "Fast", Sales_Data_1[[#This Row],[Delivery_Days]]&lt;= 7, "Standard", TRUE, "Delayed")</f>
        <v>Fast</v>
      </c>
      <c r="Z36" t="str" cm="1">
        <f t="array" ref="Z36">_xlfn.IFS(Sales_Data_1[[#This Row],[Profit_Amount]]&gt; 0, "Profitable", Sales_Data_1[[#This Row],[Profit_Amount]] = 0, "Break-Even", TRUE, "Loss")</f>
        <v>Profitable</v>
      </c>
      <c r="AA36" t="str" cm="1">
        <f t="array" ref="AA36">_xlfn.IFS(Sales_Data_1[[#This Row],[Sales]]&gt;= 1000, "High Value", Sales_Data_1[[#This Row],[Sales]]&gt;= 300, "Mid Value", TRUE, "Low Value")</f>
        <v>Mid Value</v>
      </c>
    </row>
    <row r="37" spans="1:27" x14ac:dyDescent="0.3">
      <c r="A37" t="s">
        <v>2468</v>
      </c>
      <c r="B37" s="1">
        <v>45354</v>
      </c>
      <c r="C37" t="s">
        <v>96</v>
      </c>
      <c r="D37" t="s">
        <v>41</v>
      </c>
      <c r="E37" t="s">
        <v>2042</v>
      </c>
      <c r="F37" t="s">
        <v>23</v>
      </c>
      <c r="G37" t="s">
        <v>34</v>
      </c>
      <c r="H37" t="s">
        <v>35</v>
      </c>
      <c r="I37" t="s">
        <v>922</v>
      </c>
      <c r="J37">
        <v>3</v>
      </c>
      <c r="K37">
        <v>436</v>
      </c>
      <c r="L37">
        <v>0.22</v>
      </c>
      <c r="M37">
        <v>340.08</v>
      </c>
      <c r="N37">
        <v>1020.24</v>
      </c>
      <c r="O37">
        <v>0.4</v>
      </c>
      <c r="P37">
        <v>408.1</v>
      </c>
      <c r="Q37" t="s">
        <v>27</v>
      </c>
      <c r="R37" t="s">
        <v>48</v>
      </c>
      <c r="S37">
        <v>3</v>
      </c>
      <c r="T37">
        <f>YEAR(Sales_Data_1[[#This Row],[Order_Date]])</f>
        <v>2024</v>
      </c>
      <c r="U37" t="str">
        <f>TEXT(Sales_Data_1[[#This Row],[Order_Date]], "mmm")</f>
        <v>Mar</v>
      </c>
      <c r="V37">
        <f>MONTH(Sales_Data_1[[#This Row],[Order_Date]])</f>
        <v>3</v>
      </c>
      <c r="W37" t="str">
        <f>TEXT(Sales_Data_1[[#This Row],[Order_Date]], "yyyy-mm")</f>
        <v>2024-03</v>
      </c>
      <c r="X37">
        <f>Sales_Data_1[[#This Row],[Sales]]-Sales_Data_1[[#This Row],[Profit_Amount]]</f>
        <v>612.14</v>
      </c>
      <c r="Y37" t="str" cm="1">
        <f t="array" ref="Y37">_xlfn.IFS(Sales_Data_1[[#This Row],[Delivery_Days]]&lt;=3, "Fast", Sales_Data_1[[#This Row],[Delivery_Days]]&lt;= 7, "Standard", TRUE, "Delayed")</f>
        <v>Fast</v>
      </c>
      <c r="Z37" t="str" cm="1">
        <f t="array" ref="Z37">_xlfn.IFS(Sales_Data_1[[#This Row],[Profit_Amount]]&gt; 0, "Profitable", Sales_Data_1[[#This Row],[Profit_Amount]] = 0, "Break-Even", TRUE, "Loss")</f>
        <v>Profitable</v>
      </c>
      <c r="AA37" t="str" cm="1">
        <f t="array" ref="AA37">_xlfn.IFS(Sales_Data_1[[#This Row],[Sales]]&gt;= 1000, "High Value", Sales_Data_1[[#This Row],[Sales]]&gt;= 300, "Mid Value", TRUE, "Low Value")</f>
        <v>High Value</v>
      </c>
    </row>
    <row r="38" spans="1:27" x14ac:dyDescent="0.3">
      <c r="A38" t="s">
        <v>2802</v>
      </c>
      <c r="B38" s="1">
        <v>45688</v>
      </c>
      <c r="C38" t="s">
        <v>63</v>
      </c>
      <c r="D38" t="s">
        <v>56</v>
      </c>
      <c r="E38" t="s">
        <v>67</v>
      </c>
      <c r="F38" t="s">
        <v>23</v>
      </c>
      <c r="G38" t="s">
        <v>44</v>
      </c>
      <c r="H38" t="s">
        <v>45</v>
      </c>
      <c r="I38" t="s">
        <v>1577</v>
      </c>
      <c r="J38">
        <v>1</v>
      </c>
      <c r="K38">
        <v>1197</v>
      </c>
      <c r="L38">
        <v>0.02</v>
      </c>
      <c r="M38">
        <v>1173.06</v>
      </c>
      <c r="N38">
        <v>1173.06</v>
      </c>
      <c r="O38">
        <v>0.35</v>
      </c>
      <c r="P38">
        <v>410.57</v>
      </c>
      <c r="Q38" t="s">
        <v>47</v>
      </c>
      <c r="R38" t="s">
        <v>48</v>
      </c>
      <c r="S38">
        <v>7</v>
      </c>
      <c r="T38">
        <f>YEAR(Sales_Data_1[[#This Row],[Order_Date]])</f>
        <v>2025</v>
      </c>
      <c r="U38" t="str">
        <f>TEXT(Sales_Data_1[[#This Row],[Order_Date]], "mmm")</f>
        <v>Jan</v>
      </c>
      <c r="V38">
        <f>MONTH(Sales_Data_1[[#This Row],[Order_Date]])</f>
        <v>1</v>
      </c>
      <c r="W38" t="str">
        <f>TEXT(Sales_Data_1[[#This Row],[Order_Date]], "yyyy-mm")</f>
        <v>2025-01</v>
      </c>
      <c r="X38">
        <f>Sales_Data_1[[#This Row],[Sales]]-Sales_Data_1[[#This Row],[Profit_Amount]]</f>
        <v>762.49</v>
      </c>
      <c r="Y38" t="str" cm="1">
        <f t="array" ref="Y38">_xlfn.IFS(Sales_Data_1[[#This Row],[Delivery_Days]]&lt;=3, "Fast", Sales_Data_1[[#This Row],[Delivery_Days]]&lt;= 7, "Standard", TRUE, "Delayed")</f>
        <v>Standard</v>
      </c>
      <c r="Z38" t="str" cm="1">
        <f t="array" ref="Z38">_xlfn.IFS(Sales_Data_1[[#This Row],[Profit_Amount]]&gt; 0, "Profitable", Sales_Data_1[[#This Row],[Profit_Amount]] = 0, "Break-Even", TRUE, "Loss")</f>
        <v>Profitable</v>
      </c>
      <c r="AA38" t="str" cm="1">
        <f t="array" ref="AA38">_xlfn.IFS(Sales_Data_1[[#This Row],[Sales]]&gt;= 1000, "High Value", Sales_Data_1[[#This Row],[Sales]]&gt;= 300, "Mid Value", TRUE, "Low Value")</f>
        <v>High Value</v>
      </c>
    </row>
    <row r="39" spans="1:27" x14ac:dyDescent="0.3">
      <c r="A39" t="s">
        <v>2701</v>
      </c>
      <c r="B39" s="1">
        <v>45587</v>
      </c>
      <c r="C39" t="s">
        <v>20</v>
      </c>
      <c r="D39" t="s">
        <v>21</v>
      </c>
      <c r="E39" t="s">
        <v>67</v>
      </c>
      <c r="F39" t="s">
        <v>68</v>
      </c>
      <c r="G39" t="s">
        <v>34</v>
      </c>
      <c r="H39" t="s">
        <v>71</v>
      </c>
      <c r="I39" t="s">
        <v>1380</v>
      </c>
      <c r="J39">
        <v>3</v>
      </c>
      <c r="K39">
        <v>368</v>
      </c>
      <c r="L39">
        <v>7.0000000000000007E-2</v>
      </c>
      <c r="M39">
        <v>342.24</v>
      </c>
      <c r="N39">
        <v>1026.72</v>
      </c>
      <c r="O39">
        <v>0.4</v>
      </c>
      <c r="P39">
        <v>410.69</v>
      </c>
      <c r="Q39" t="s">
        <v>27</v>
      </c>
      <c r="R39" t="s">
        <v>48</v>
      </c>
      <c r="S39">
        <v>5</v>
      </c>
      <c r="T39">
        <f>YEAR(Sales_Data_1[[#This Row],[Order_Date]])</f>
        <v>2024</v>
      </c>
      <c r="U39" t="str">
        <f>TEXT(Sales_Data_1[[#This Row],[Order_Date]], "mmm")</f>
        <v>Oct</v>
      </c>
      <c r="V39">
        <f>MONTH(Sales_Data_1[[#This Row],[Order_Date]])</f>
        <v>10</v>
      </c>
      <c r="W39" t="str">
        <f>TEXT(Sales_Data_1[[#This Row],[Order_Date]], "yyyy-mm")</f>
        <v>2024-10</v>
      </c>
      <c r="X39">
        <f>Sales_Data_1[[#This Row],[Sales]]-Sales_Data_1[[#This Row],[Profit_Amount]]</f>
        <v>616.03</v>
      </c>
      <c r="Y39" t="str" cm="1">
        <f t="array" ref="Y39">_xlfn.IFS(Sales_Data_1[[#This Row],[Delivery_Days]]&lt;=3, "Fast", Sales_Data_1[[#This Row],[Delivery_Days]]&lt;= 7, "Standard", TRUE, "Delayed")</f>
        <v>Standard</v>
      </c>
      <c r="Z39" t="str" cm="1">
        <f t="array" ref="Z39">_xlfn.IFS(Sales_Data_1[[#This Row],[Profit_Amount]]&gt; 0, "Profitable", Sales_Data_1[[#This Row],[Profit_Amount]] = 0, "Break-Even", TRUE, "Loss")</f>
        <v>Profitable</v>
      </c>
      <c r="AA39" t="str" cm="1">
        <f t="array" ref="AA39">_xlfn.IFS(Sales_Data_1[[#This Row],[Sales]]&gt;= 1000, "High Value", Sales_Data_1[[#This Row],[Sales]]&gt;= 300, "Mid Value", TRUE, "Low Value")</f>
        <v>High Value</v>
      </c>
    </row>
    <row r="40" spans="1:27" x14ac:dyDescent="0.3">
      <c r="A40" t="s">
        <v>2041</v>
      </c>
      <c r="B40" s="1">
        <v>44928</v>
      </c>
      <c r="C40" t="s">
        <v>30</v>
      </c>
      <c r="D40" t="s">
        <v>31</v>
      </c>
      <c r="E40" t="s">
        <v>2042</v>
      </c>
      <c r="F40" t="s">
        <v>33</v>
      </c>
      <c r="G40" t="s">
        <v>34</v>
      </c>
      <c r="H40" t="s">
        <v>35</v>
      </c>
      <c r="I40" t="s">
        <v>36</v>
      </c>
      <c r="J40">
        <v>2</v>
      </c>
      <c r="K40">
        <v>627</v>
      </c>
      <c r="L40">
        <v>0.18</v>
      </c>
      <c r="M40">
        <v>514.14</v>
      </c>
      <c r="N40">
        <v>1028.28</v>
      </c>
      <c r="O40">
        <v>0.4</v>
      </c>
      <c r="P40">
        <v>411.31</v>
      </c>
      <c r="Q40" t="s">
        <v>37</v>
      </c>
      <c r="R40" t="s">
        <v>38</v>
      </c>
      <c r="S40">
        <v>5</v>
      </c>
      <c r="T40">
        <f>YEAR(Sales_Data_1[[#This Row],[Order_Date]])</f>
        <v>2023</v>
      </c>
      <c r="U40" t="str">
        <f>TEXT(Sales_Data_1[[#This Row],[Order_Date]], "mmm")</f>
        <v>Jan</v>
      </c>
      <c r="V40">
        <f>MONTH(Sales_Data_1[[#This Row],[Order_Date]])</f>
        <v>1</v>
      </c>
      <c r="W40" t="str">
        <f>TEXT(Sales_Data_1[[#This Row],[Order_Date]], "yyyy-mm")</f>
        <v>2023-01</v>
      </c>
      <c r="X40">
        <f>Sales_Data_1[[#This Row],[Sales]]-Sales_Data_1[[#This Row],[Profit_Amount]]</f>
        <v>616.97</v>
      </c>
      <c r="Y40" t="str" cm="1">
        <f t="array" ref="Y40">_xlfn.IFS(Sales_Data_1[[#This Row],[Delivery_Days]]&lt;=3, "Fast", Sales_Data_1[[#This Row],[Delivery_Days]]&lt;= 7, "Standard", TRUE, "Delayed")</f>
        <v>Standard</v>
      </c>
      <c r="Z40" t="str" cm="1">
        <f t="array" ref="Z40">_xlfn.IFS(Sales_Data_1[[#This Row],[Profit_Amount]]&gt; 0, "Profitable", Sales_Data_1[[#This Row],[Profit_Amount]] = 0, "Break-Even", TRUE, "Loss")</f>
        <v>Profitable</v>
      </c>
      <c r="AA40" t="str" cm="1">
        <f t="array" ref="AA40">_xlfn.IFS(Sales_Data_1[[#This Row],[Sales]]&gt;= 1000, "High Value", Sales_Data_1[[#This Row],[Sales]]&gt;= 300, "Mid Value", TRUE, "Low Value")</f>
        <v>High Value</v>
      </c>
    </row>
    <row r="41" spans="1:27" x14ac:dyDescent="0.3">
      <c r="A41" t="s">
        <v>2200</v>
      </c>
      <c r="B41" s="1">
        <v>45086</v>
      </c>
      <c r="C41" t="s">
        <v>96</v>
      </c>
      <c r="D41" t="s">
        <v>41</v>
      </c>
      <c r="E41" t="s">
        <v>2040</v>
      </c>
      <c r="F41" t="s">
        <v>43</v>
      </c>
      <c r="G41" t="s">
        <v>44</v>
      </c>
      <c r="H41" t="s">
        <v>45</v>
      </c>
      <c r="I41" t="s">
        <v>390</v>
      </c>
      <c r="J41">
        <v>1</v>
      </c>
      <c r="K41">
        <v>1508</v>
      </c>
      <c r="L41">
        <v>0.18</v>
      </c>
      <c r="M41">
        <v>1236.56</v>
      </c>
      <c r="N41">
        <v>1236.56</v>
      </c>
      <c r="O41">
        <v>0.35</v>
      </c>
      <c r="P41">
        <v>432.8</v>
      </c>
      <c r="Q41" t="s">
        <v>51</v>
      </c>
      <c r="R41" t="s">
        <v>38</v>
      </c>
      <c r="S41">
        <v>1</v>
      </c>
      <c r="T41">
        <f>YEAR(Sales_Data_1[[#This Row],[Order_Date]])</f>
        <v>2023</v>
      </c>
      <c r="U41" t="str">
        <f>TEXT(Sales_Data_1[[#This Row],[Order_Date]], "mmm")</f>
        <v>Jun</v>
      </c>
      <c r="V41">
        <f>MONTH(Sales_Data_1[[#This Row],[Order_Date]])</f>
        <v>6</v>
      </c>
      <c r="W41" t="str">
        <f>TEXT(Sales_Data_1[[#This Row],[Order_Date]], "yyyy-mm")</f>
        <v>2023-06</v>
      </c>
      <c r="X41">
        <f>Sales_Data_1[[#This Row],[Sales]]-Sales_Data_1[[#This Row],[Profit_Amount]]</f>
        <v>803.76</v>
      </c>
      <c r="Y41" t="str" cm="1">
        <f t="array" ref="Y41">_xlfn.IFS(Sales_Data_1[[#This Row],[Delivery_Days]]&lt;=3, "Fast", Sales_Data_1[[#This Row],[Delivery_Days]]&lt;= 7, "Standard", TRUE, "Delayed")</f>
        <v>Fast</v>
      </c>
      <c r="Z41" t="str" cm="1">
        <f t="array" ref="Z41">_xlfn.IFS(Sales_Data_1[[#This Row],[Profit_Amount]]&gt; 0, "Profitable", Sales_Data_1[[#This Row],[Profit_Amount]] = 0, "Break-Even", TRUE, "Loss")</f>
        <v>Profitable</v>
      </c>
      <c r="AA41" t="str" cm="1">
        <f t="array" ref="AA41">_xlfn.IFS(Sales_Data_1[[#This Row],[Sales]]&gt;= 1000, "High Value", Sales_Data_1[[#This Row],[Sales]]&gt;= 300, "Mid Value", TRUE, "Low Value")</f>
        <v>High Value</v>
      </c>
    </row>
    <row r="42" spans="1:27" x14ac:dyDescent="0.3">
      <c r="A42" t="s">
        <v>2482</v>
      </c>
      <c r="B42" s="1">
        <v>45368</v>
      </c>
      <c r="C42" t="s">
        <v>30</v>
      </c>
      <c r="D42" t="s">
        <v>31</v>
      </c>
      <c r="E42" t="s">
        <v>2040</v>
      </c>
      <c r="F42" t="s">
        <v>97</v>
      </c>
      <c r="G42" t="s">
        <v>34</v>
      </c>
      <c r="H42" t="s">
        <v>141</v>
      </c>
      <c r="I42" t="s">
        <v>949</v>
      </c>
      <c r="J42">
        <v>1</v>
      </c>
      <c r="K42">
        <v>1384</v>
      </c>
      <c r="L42">
        <v>0.21</v>
      </c>
      <c r="M42">
        <v>1093.3599999999999</v>
      </c>
      <c r="N42">
        <v>1093.3599999999999</v>
      </c>
      <c r="O42">
        <v>0.4</v>
      </c>
      <c r="P42">
        <v>437.34</v>
      </c>
      <c r="Q42" t="s">
        <v>27</v>
      </c>
      <c r="R42" t="s">
        <v>48</v>
      </c>
      <c r="S42">
        <v>7</v>
      </c>
      <c r="T42">
        <f>YEAR(Sales_Data_1[[#This Row],[Order_Date]])</f>
        <v>2024</v>
      </c>
      <c r="U42" t="str">
        <f>TEXT(Sales_Data_1[[#This Row],[Order_Date]], "mmm")</f>
        <v>Mar</v>
      </c>
      <c r="V42">
        <f>MONTH(Sales_Data_1[[#This Row],[Order_Date]])</f>
        <v>3</v>
      </c>
      <c r="W42" t="str">
        <f>TEXT(Sales_Data_1[[#This Row],[Order_Date]], "yyyy-mm")</f>
        <v>2024-03</v>
      </c>
      <c r="X42">
        <f>Sales_Data_1[[#This Row],[Sales]]-Sales_Data_1[[#This Row],[Profit_Amount]]</f>
        <v>656.02</v>
      </c>
      <c r="Y42" t="str" cm="1">
        <f t="array" ref="Y42">_xlfn.IFS(Sales_Data_1[[#This Row],[Delivery_Days]]&lt;=3, "Fast", Sales_Data_1[[#This Row],[Delivery_Days]]&lt;= 7, "Standard", TRUE, "Delayed")</f>
        <v>Standard</v>
      </c>
      <c r="Z42" t="str" cm="1">
        <f t="array" ref="Z42">_xlfn.IFS(Sales_Data_1[[#This Row],[Profit_Amount]]&gt; 0, "Profitable", Sales_Data_1[[#This Row],[Profit_Amount]] = 0, "Break-Even", TRUE, "Loss")</f>
        <v>Profitable</v>
      </c>
      <c r="AA42" t="str" cm="1">
        <f t="array" ref="AA42">_xlfn.IFS(Sales_Data_1[[#This Row],[Sales]]&gt;= 1000, "High Value", Sales_Data_1[[#This Row],[Sales]]&gt;= 300, "Mid Value", TRUE, "Low Value")</f>
        <v>High Value</v>
      </c>
    </row>
    <row r="43" spans="1:27" x14ac:dyDescent="0.3">
      <c r="A43" t="s">
        <v>2885</v>
      </c>
      <c r="B43" s="1">
        <v>45771</v>
      </c>
      <c r="C43" t="s">
        <v>96</v>
      </c>
      <c r="D43" t="s">
        <v>56</v>
      </c>
      <c r="E43" t="s">
        <v>2040</v>
      </c>
      <c r="F43" t="s">
        <v>43</v>
      </c>
      <c r="G43" t="s">
        <v>34</v>
      </c>
      <c r="H43" t="s">
        <v>141</v>
      </c>
      <c r="I43" t="s">
        <v>1740</v>
      </c>
      <c r="J43">
        <v>1</v>
      </c>
      <c r="K43">
        <v>1121</v>
      </c>
      <c r="L43">
        <v>0.01</v>
      </c>
      <c r="M43">
        <v>1109.79</v>
      </c>
      <c r="N43">
        <v>1109.79</v>
      </c>
      <c r="O43">
        <v>0.4</v>
      </c>
      <c r="P43">
        <v>443.92</v>
      </c>
      <c r="Q43" t="s">
        <v>51</v>
      </c>
      <c r="R43" t="s">
        <v>48</v>
      </c>
      <c r="S43">
        <v>1</v>
      </c>
      <c r="T43">
        <f>YEAR(Sales_Data_1[[#This Row],[Order_Date]])</f>
        <v>2025</v>
      </c>
      <c r="U43" t="str">
        <f>TEXT(Sales_Data_1[[#This Row],[Order_Date]], "mmm")</f>
        <v>Apr</v>
      </c>
      <c r="V43">
        <f>MONTH(Sales_Data_1[[#This Row],[Order_Date]])</f>
        <v>4</v>
      </c>
      <c r="W43" t="str">
        <f>TEXT(Sales_Data_1[[#This Row],[Order_Date]], "yyyy-mm")</f>
        <v>2025-04</v>
      </c>
      <c r="X43">
        <f>Sales_Data_1[[#This Row],[Sales]]-Sales_Data_1[[#This Row],[Profit_Amount]]</f>
        <v>665.86999999999989</v>
      </c>
      <c r="Y43" t="str" cm="1">
        <f t="array" ref="Y43">_xlfn.IFS(Sales_Data_1[[#This Row],[Delivery_Days]]&lt;=3, "Fast", Sales_Data_1[[#This Row],[Delivery_Days]]&lt;= 7, "Standard", TRUE, "Delayed")</f>
        <v>Fast</v>
      </c>
      <c r="Z43" t="str" cm="1">
        <f t="array" ref="Z43">_xlfn.IFS(Sales_Data_1[[#This Row],[Profit_Amount]]&gt; 0, "Profitable", Sales_Data_1[[#This Row],[Profit_Amount]] = 0, "Break-Even", TRUE, "Loss")</f>
        <v>Profitable</v>
      </c>
      <c r="AA43" t="str" cm="1">
        <f t="array" ref="AA43">_xlfn.IFS(Sales_Data_1[[#This Row],[Sales]]&gt;= 1000, "High Value", Sales_Data_1[[#This Row],[Sales]]&gt;= 300, "Mid Value", TRUE, "Low Value")</f>
        <v>High Value</v>
      </c>
    </row>
    <row r="44" spans="1:27" x14ac:dyDescent="0.3">
      <c r="A44" t="s">
        <v>2328</v>
      </c>
      <c r="B44" s="1">
        <v>45214</v>
      </c>
      <c r="C44" t="s">
        <v>55</v>
      </c>
      <c r="D44" t="s">
        <v>31</v>
      </c>
      <c r="E44" t="s">
        <v>42</v>
      </c>
      <c r="F44" t="s">
        <v>103</v>
      </c>
      <c r="G44" t="s">
        <v>34</v>
      </c>
      <c r="H44" t="s">
        <v>104</v>
      </c>
      <c r="I44" t="s">
        <v>646</v>
      </c>
      <c r="J44">
        <v>2</v>
      </c>
      <c r="K44">
        <v>669</v>
      </c>
      <c r="L44">
        <v>0.15</v>
      </c>
      <c r="M44">
        <v>568.65</v>
      </c>
      <c r="N44">
        <v>1137.3</v>
      </c>
      <c r="O44">
        <v>0.4</v>
      </c>
      <c r="P44">
        <v>454.92</v>
      </c>
      <c r="Q44" t="s">
        <v>51</v>
      </c>
      <c r="R44" t="s">
        <v>48</v>
      </c>
      <c r="S44">
        <v>6</v>
      </c>
      <c r="T44">
        <f>YEAR(Sales_Data_1[[#This Row],[Order_Date]])</f>
        <v>2023</v>
      </c>
      <c r="U44" t="str">
        <f>TEXT(Sales_Data_1[[#This Row],[Order_Date]], "mmm")</f>
        <v>Oct</v>
      </c>
      <c r="V44">
        <f>MONTH(Sales_Data_1[[#This Row],[Order_Date]])</f>
        <v>10</v>
      </c>
      <c r="W44" t="str">
        <f>TEXT(Sales_Data_1[[#This Row],[Order_Date]], "yyyy-mm")</f>
        <v>2023-10</v>
      </c>
      <c r="X44">
        <f>Sales_Data_1[[#This Row],[Sales]]-Sales_Data_1[[#This Row],[Profit_Amount]]</f>
        <v>682.37999999999988</v>
      </c>
      <c r="Y44" t="str" cm="1">
        <f t="array" ref="Y44">_xlfn.IFS(Sales_Data_1[[#This Row],[Delivery_Days]]&lt;=3, "Fast", Sales_Data_1[[#This Row],[Delivery_Days]]&lt;= 7, "Standard", TRUE, "Delayed")</f>
        <v>Standard</v>
      </c>
      <c r="Z44" t="str" cm="1">
        <f t="array" ref="Z44">_xlfn.IFS(Sales_Data_1[[#This Row],[Profit_Amount]]&gt; 0, "Profitable", Sales_Data_1[[#This Row],[Profit_Amount]] = 0, "Break-Even", TRUE, "Loss")</f>
        <v>Profitable</v>
      </c>
      <c r="AA44" t="str" cm="1">
        <f t="array" ref="AA44">_xlfn.IFS(Sales_Data_1[[#This Row],[Sales]]&gt;= 1000, "High Value", Sales_Data_1[[#This Row],[Sales]]&gt;= 300, "Mid Value", TRUE, "Low Value")</f>
        <v>High Value</v>
      </c>
    </row>
    <row r="45" spans="1:27" x14ac:dyDescent="0.3">
      <c r="A45" t="s">
        <v>2379</v>
      </c>
      <c r="B45" s="1">
        <v>45265</v>
      </c>
      <c r="C45" t="s">
        <v>30</v>
      </c>
      <c r="D45" t="s">
        <v>41</v>
      </c>
      <c r="E45" t="s">
        <v>42</v>
      </c>
      <c r="F45" t="s">
        <v>33</v>
      </c>
      <c r="G45" t="s">
        <v>34</v>
      </c>
      <c r="H45" t="s">
        <v>35</v>
      </c>
      <c r="I45" t="s">
        <v>746</v>
      </c>
      <c r="J45">
        <v>5</v>
      </c>
      <c r="K45">
        <v>249</v>
      </c>
      <c r="L45">
        <v>0.08</v>
      </c>
      <c r="M45">
        <v>229.08</v>
      </c>
      <c r="N45">
        <v>1145.4000000000001</v>
      </c>
      <c r="O45">
        <v>0.4</v>
      </c>
      <c r="P45">
        <v>458.16</v>
      </c>
      <c r="Q45" t="s">
        <v>51</v>
      </c>
      <c r="R45" t="s">
        <v>38</v>
      </c>
      <c r="S45">
        <v>7</v>
      </c>
      <c r="T45">
        <f>YEAR(Sales_Data_1[[#This Row],[Order_Date]])</f>
        <v>2023</v>
      </c>
      <c r="U45" t="str">
        <f>TEXT(Sales_Data_1[[#This Row],[Order_Date]], "mmm")</f>
        <v>Dec</v>
      </c>
      <c r="V45">
        <f>MONTH(Sales_Data_1[[#This Row],[Order_Date]])</f>
        <v>12</v>
      </c>
      <c r="W45" t="str">
        <f>TEXT(Sales_Data_1[[#This Row],[Order_Date]], "yyyy-mm")</f>
        <v>2023-12</v>
      </c>
      <c r="X45">
        <f>Sales_Data_1[[#This Row],[Sales]]-Sales_Data_1[[#This Row],[Profit_Amount]]</f>
        <v>687.24</v>
      </c>
      <c r="Y45" t="str" cm="1">
        <f t="array" ref="Y45">_xlfn.IFS(Sales_Data_1[[#This Row],[Delivery_Days]]&lt;=3, "Fast", Sales_Data_1[[#This Row],[Delivery_Days]]&lt;= 7, "Standard", TRUE, "Delayed")</f>
        <v>Standard</v>
      </c>
      <c r="Z45" t="str" cm="1">
        <f t="array" ref="Z45">_xlfn.IFS(Sales_Data_1[[#This Row],[Profit_Amount]]&gt; 0, "Profitable", Sales_Data_1[[#This Row],[Profit_Amount]] = 0, "Break-Even", TRUE, "Loss")</f>
        <v>Profitable</v>
      </c>
      <c r="AA45" t="str" cm="1">
        <f t="array" ref="AA45">_xlfn.IFS(Sales_Data_1[[#This Row],[Sales]]&gt;= 1000, "High Value", Sales_Data_1[[#This Row],[Sales]]&gt;= 300, "Mid Value", TRUE, "Low Value")</f>
        <v>High Value</v>
      </c>
    </row>
    <row r="46" spans="1:27" x14ac:dyDescent="0.3">
      <c r="A46" t="s">
        <v>2584</v>
      </c>
      <c r="B46" s="1">
        <v>45470</v>
      </c>
      <c r="C46" t="s">
        <v>63</v>
      </c>
      <c r="D46" t="s">
        <v>31</v>
      </c>
      <c r="E46" t="s">
        <v>2040</v>
      </c>
      <c r="F46" t="s">
        <v>43</v>
      </c>
      <c r="G46" t="s">
        <v>24</v>
      </c>
      <c r="H46" t="s">
        <v>121</v>
      </c>
      <c r="I46" t="s">
        <v>1150</v>
      </c>
      <c r="J46">
        <v>1</v>
      </c>
      <c r="K46">
        <v>2403</v>
      </c>
      <c r="L46">
        <v>0.21</v>
      </c>
      <c r="M46">
        <v>1898.37</v>
      </c>
      <c r="N46">
        <v>1898.37</v>
      </c>
      <c r="O46">
        <v>0.25</v>
      </c>
      <c r="P46">
        <v>474.59</v>
      </c>
      <c r="Q46" t="s">
        <v>51</v>
      </c>
      <c r="R46" t="s">
        <v>38</v>
      </c>
      <c r="S46">
        <v>6</v>
      </c>
      <c r="T46">
        <f>YEAR(Sales_Data_1[[#This Row],[Order_Date]])</f>
        <v>2024</v>
      </c>
      <c r="U46" t="str">
        <f>TEXT(Sales_Data_1[[#This Row],[Order_Date]], "mmm")</f>
        <v>Jun</v>
      </c>
      <c r="V46">
        <f>MONTH(Sales_Data_1[[#This Row],[Order_Date]])</f>
        <v>6</v>
      </c>
      <c r="W46" t="str">
        <f>TEXT(Sales_Data_1[[#This Row],[Order_Date]], "yyyy-mm")</f>
        <v>2024-06</v>
      </c>
      <c r="X46">
        <f>Sales_Data_1[[#This Row],[Sales]]-Sales_Data_1[[#This Row],[Profit_Amount]]</f>
        <v>1423.78</v>
      </c>
      <c r="Y46" t="str" cm="1">
        <f t="array" ref="Y46">_xlfn.IFS(Sales_Data_1[[#This Row],[Delivery_Days]]&lt;=3, "Fast", Sales_Data_1[[#This Row],[Delivery_Days]]&lt;= 7, "Standard", TRUE, "Delayed")</f>
        <v>Standard</v>
      </c>
      <c r="Z46" t="str" cm="1">
        <f t="array" ref="Z46">_xlfn.IFS(Sales_Data_1[[#This Row],[Profit_Amount]]&gt; 0, "Profitable", Sales_Data_1[[#This Row],[Profit_Amount]] = 0, "Break-Even", TRUE, "Loss")</f>
        <v>Profitable</v>
      </c>
      <c r="AA46" t="str" cm="1">
        <f t="array" ref="AA46">_xlfn.IFS(Sales_Data_1[[#This Row],[Sales]]&gt;= 1000, "High Value", Sales_Data_1[[#This Row],[Sales]]&gt;= 300, "Mid Value", TRUE, "Low Value")</f>
        <v>High Value</v>
      </c>
    </row>
    <row r="47" spans="1:27" x14ac:dyDescent="0.3">
      <c r="A47" t="s">
        <v>2671</v>
      </c>
      <c r="B47" s="1">
        <v>45557</v>
      </c>
      <c r="C47" t="s">
        <v>20</v>
      </c>
      <c r="D47" t="s">
        <v>41</v>
      </c>
      <c r="E47" t="s">
        <v>42</v>
      </c>
      <c r="F47" t="s">
        <v>23</v>
      </c>
      <c r="G47" t="s">
        <v>34</v>
      </c>
      <c r="H47" t="s">
        <v>141</v>
      </c>
      <c r="I47" t="s">
        <v>1322</v>
      </c>
      <c r="J47">
        <v>5</v>
      </c>
      <c r="K47">
        <v>286</v>
      </c>
      <c r="L47">
        <v>0.16</v>
      </c>
      <c r="M47">
        <v>240.24</v>
      </c>
      <c r="N47">
        <v>1201.2</v>
      </c>
      <c r="O47">
        <v>0.4</v>
      </c>
      <c r="P47">
        <v>480.48</v>
      </c>
      <c r="Q47" t="s">
        <v>37</v>
      </c>
      <c r="R47" t="s">
        <v>48</v>
      </c>
      <c r="S47">
        <v>4</v>
      </c>
      <c r="T47">
        <f>YEAR(Sales_Data_1[[#This Row],[Order_Date]])</f>
        <v>2024</v>
      </c>
      <c r="U47" t="str">
        <f>TEXT(Sales_Data_1[[#This Row],[Order_Date]], "mmm")</f>
        <v>Sep</v>
      </c>
      <c r="V47">
        <f>MONTH(Sales_Data_1[[#This Row],[Order_Date]])</f>
        <v>9</v>
      </c>
      <c r="W47" t="str">
        <f>TEXT(Sales_Data_1[[#This Row],[Order_Date]], "yyyy-mm")</f>
        <v>2024-09</v>
      </c>
      <c r="X47">
        <f>Sales_Data_1[[#This Row],[Sales]]-Sales_Data_1[[#This Row],[Profit_Amount]]</f>
        <v>720.72</v>
      </c>
      <c r="Y47" t="str" cm="1">
        <f t="array" ref="Y47">_xlfn.IFS(Sales_Data_1[[#This Row],[Delivery_Days]]&lt;=3, "Fast", Sales_Data_1[[#This Row],[Delivery_Days]]&lt;= 7, "Standard", TRUE, "Delayed")</f>
        <v>Standard</v>
      </c>
      <c r="Z47" t="str" cm="1">
        <f t="array" ref="Z47">_xlfn.IFS(Sales_Data_1[[#This Row],[Profit_Amount]]&gt; 0, "Profitable", Sales_Data_1[[#This Row],[Profit_Amount]] = 0, "Break-Even", TRUE, "Loss")</f>
        <v>Profitable</v>
      </c>
      <c r="AA47" t="str" cm="1">
        <f t="array" ref="AA47">_xlfn.IFS(Sales_Data_1[[#This Row],[Sales]]&gt;= 1000, "High Value", Sales_Data_1[[#This Row],[Sales]]&gt;= 300, "Mid Value", TRUE, "Low Value")</f>
        <v>High Value</v>
      </c>
    </row>
    <row r="48" spans="1:27" x14ac:dyDescent="0.3">
      <c r="A48" t="s">
        <v>2269</v>
      </c>
      <c r="B48" s="1">
        <v>45155</v>
      </c>
      <c r="C48" t="s">
        <v>63</v>
      </c>
      <c r="D48" t="s">
        <v>41</v>
      </c>
      <c r="E48" t="s">
        <v>42</v>
      </c>
      <c r="F48" t="s">
        <v>43</v>
      </c>
      <c r="G48" t="s">
        <v>44</v>
      </c>
      <c r="H48" t="s">
        <v>138</v>
      </c>
      <c r="I48" t="s">
        <v>528</v>
      </c>
      <c r="J48">
        <v>1</v>
      </c>
      <c r="K48">
        <v>1500</v>
      </c>
      <c r="L48">
        <v>0.08</v>
      </c>
      <c r="M48">
        <v>1380</v>
      </c>
      <c r="N48">
        <v>1380</v>
      </c>
      <c r="O48">
        <v>0.35</v>
      </c>
      <c r="P48">
        <v>483</v>
      </c>
      <c r="Q48" t="s">
        <v>37</v>
      </c>
      <c r="R48" t="s">
        <v>48</v>
      </c>
      <c r="S48">
        <v>5</v>
      </c>
      <c r="T48">
        <f>YEAR(Sales_Data_1[[#This Row],[Order_Date]])</f>
        <v>2023</v>
      </c>
      <c r="U48" t="str">
        <f>TEXT(Sales_Data_1[[#This Row],[Order_Date]], "mmm")</f>
        <v>Aug</v>
      </c>
      <c r="V48">
        <f>MONTH(Sales_Data_1[[#This Row],[Order_Date]])</f>
        <v>8</v>
      </c>
      <c r="W48" t="str">
        <f>TEXT(Sales_Data_1[[#This Row],[Order_Date]], "yyyy-mm")</f>
        <v>2023-08</v>
      </c>
      <c r="X48">
        <f>Sales_Data_1[[#This Row],[Sales]]-Sales_Data_1[[#This Row],[Profit_Amount]]</f>
        <v>897</v>
      </c>
      <c r="Y48" t="str" cm="1">
        <f t="array" ref="Y48">_xlfn.IFS(Sales_Data_1[[#This Row],[Delivery_Days]]&lt;=3, "Fast", Sales_Data_1[[#This Row],[Delivery_Days]]&lt;= 7, "Standard", TRUE, "Delayed")</f>
        <v>Standard</v>
      </c>
      <c r="Z48" t="str" cm="1">
        <f t="array" ref="Z48">_xlfn.IFS(Sales_Data_1[[#This Row],[Profit_Amount]]&gt; 0, "Profitable", Sales_Data_1[[#This Row],[Profit_Amount]] = 0, "Break-Even", TRUE, "Loss")</f>
        <v>Profitable</v>
      </c>
      <c r="AA48" t="str" cm="1">
        <f t="array" ref="AA48">_xlfn.IFS(Sales_Data_1[[#This Row],[Sales]]&gt;= 1000, "High Value", Sales_Data_1[[#This Row],[Sales]]&gt;= 300, "Mid Value", TRUE, "Low Value")</f>
        <v>High Value</v>
      </c>
    </row>
    <row r="49" spans="1:27" x14ac:dyDescent="0.3">
      <c r="A49" t="s">
        <v>2519</v>
      </c>
      <c r="B49" s="1">
        <v>45405</v>
      </c>
      <c r="C49" t="s">
        <v>40</v>
      </c>
      <c r="D49" t="s">
        <v>21</v>
      </c>
      <c r="E49" t="s">
        <v>67</v>
      </c>
      <c r="F49" t="s">
        <v>23</v>
      </c>
      <c r="G49" t="s">
        <v>34</v>
      </c>
      <c r="H49" t="s">
        <v>104</v>
      </c>
      <c r="I49" t="s">
        <v>1022</v>
      </c>
      <c r="J49">
        <v>6</v>
      </c>
      <c r="K49">
        <v>272</v>
      </c>
      <c r="L49">
        <v>0.25</v>
      </c>
      <c r="M49">
        <v>204</v>
      </c>
      <c r="N49">
        <v>1224</v>
      </c>
      <c r="O49">
        <v>0.4</v>
      </c>
      <c r="P49">
        <v>489.6</v>
      </c>
      <c r="Q49" t="s">
        <v>27</v>
      </c>
      <c r="R49" t="s">
        <v>48</v>
      </c>
      <c r="S49">
        <v>2</v>
      </c>
      <c r="T49">
        <f>YEAR(Sales_Data_1[[#This Row],[Order_Date]])</f>
        <v>2024</v>
      </c>
      <c r="U49" t="str">
        <f>TEXT(Sales_Data_1[[#This Row],[Order_Date]], "mmm")</f>
        <v>Apr</v>
      </c>
      <c r="V49">
        <f>MONTH(Sales_Data_1[[#This Row],[Order_Date]])</f>
        <v>4</v>
      </c>
      <c r="W49" t="str">
        <f>TEXT(Sales_Data_1[[#This Row],[Order_Date]], "yyyy-mm")</f>
        <v>2024-04</v>
      </c>
      <c r="X49">
        <f>Sales_Data_1[[#This Row],[Sales]]-Sales_Data_1[[#This Row],[Profit_Amount]]</f>
        <v>734.4</v>
      </c>
      <c r="Y49" t="str" cm="1">
        <f t="array" ref="Y49">_xlfn.IFS(Sales_Data_1[[#This Row],[Delivery_Days]]&lt;=3, "Fast", Sales_Data_1[[#This Row],[Delivery_Days]]&lt;= 7, "Standard", TRUE, "Delayed")</f>
        <v>Fast</v>
      </c>
      <c r="Z49" t="str" cm="1">
        <f t="array" ref="Z49">_xlfn.IFS(Sales_Data_1[[#This Row],[Profit_Amount]]&gt; 0, "Profitable", Sales_Data_1[[#This Row],[Profit_Amount]] = 0, "Break-Even", TRUE, "Loss")</f>
        <v>Profitable</v>
      </c>
      <c r="AA49" t="str" cm="1">
        <f t="array" ref="AA49">_xlfn.IFS(Sales_Data_1[[#This Row],[Sales]]&gt;= 1000, "High Value", Sales_Data_1[[#This Row],[Sales]]&gt;= 300, "Mid Value", TRUE, "Low Value")</f>
        <v>High Value</v>
      </c>
    </row>
    <row r="50" spans="1:27" x14ac:dyDescent="0.3">
      <c r="A50" t="s">
        <v>2316</v>
      </c>
      <c r="B50" s="1">
        <v>45202</v>
      </c>
      <c r="C50" t="s">
        <v>55</v>
      </c>
      <c r="D50" t="s">
        <v>21</v>
      </c>
      <c r="E50" t="s">
        <v>2042</v>
      </c>
      <c r="F50" t="s">
        <v>103</v>
      </c>
      <c r="G50" t="s">
        <v>44</v>
      </c>
      <c r="H50" t="s">
        <v>64</v>
      </c>
      <c r="I50" t="s">
        <v>622</v>
      </c>
      <c r="J50">
        <v>3</v>
      </c>
      <c r="K50">
        <v>520</v>
      </c>
      <c r="L50">
        <v>0.1</v>
      </c>
      <c r="M50">
        <v>468</v>
      </c>
      <c r="N50">
        <v>1404</v>
      </c>
      <c r="O50">
        <v>0.35</v>
      </c>
      <c r="P50">
        <v>491.4</v>
      </c>
      <c r="Q50" t="s">
        <v>47</v>
      </c>
      <c r="R50" t="s">
        <v>48</v>
      </c>
      <c r="S50">
        <v>9</v>
      </c>
      <c r="T50">
        <f>YEAR(Sales_Data_1[[#This Row],[Order_Date]])</f>
        <v>2023</v>
      </c>
      <c r="U50" t="str">
        <f>TEXT(Sales_Data_1[[#This Row],[Order_Date]], "mmm")</f>
        <v>Oct</v>
      </c>
      <c r="V50">
        <f>MONTH(Sales_Data_1[[#This Row],[Order_Date]])</f>
        <v>10</v>
      </c>
      <c r="W50" t="str">
        <f>TEXT(Sales_Data_1[[#This Row],[Order_Date]], "yyyy-mm")</f>
        <v>2023-10</v>
      </c>
      <c r="X50">
        <f>Sales_Data_1[[#This Row],[Sales]]-Sales_Data_1[[#This Row],[Profit_Amount]]</f>
        <v>912.6</v>
      </c>
      <c r="Y50" t="str" cm="1">
        <f t="array" ref="Y50">_xlfn.IFS(Sales_Data_1[[#This Row],[Delivery_Days]]&lt;=3, "Fast", Sales_Data_1[[#This Row],[Delivery_Days]]&lt;= 7, "Standard", TRUE, "Delayed")</f>
        <v>Delayed</v>
      </c>
      <c r="Z50" t="str" cm="1">
        <f t="array" ref="Z50">_xlfn.IFS(Sales_Data_1[[#This Row],[Profit_Amount]]&gt; 0, "Profitable", Sales_Data_1[[#This Row],[Profit_Amount]] = 0, "Break-Even", TRUE, "Loss")</f>
        <v>Profitable</v>
      </c>
      <c r="AA50" t="str" cm="1">
        <f t="array" ref="AA50">_xlfn.IFS(Sales_Data_1[[#This Row],[Sales]]&gt;= 1000, "High Value", Sales_Data_1[[#This Row],[Sales]]&gt;= 300, "Mid Value", TRUE, "Low Value")</f>
        <v>High Value</v>
      </c>
    </row>
    <row r="51" spans="1:27" x14ac:dyDescent="0.3">
      <c r="A51" t="s">
        <v>3019</v>
      </c>
      <c r="B51" s="1">
        <v>45905</v>
      </c>
      <c r="C51" t="s">
        <v>30</v>
      </c>
      <c r="D51" t="s">
        <v>56</v>
      </c>
      <c r="E51" t="s">
        <v>67</v>
      </c>
      <c r="F51" t="s">
        <v>43</v>
      </c>
      <c r="G51" t="s">
        <v>44</v>
      </c>
      <c r="H51" t="s">
        <v>116</v>
      </c>
      <c r="I51" t="s">
        <v>1997</v>
      </c>
      <c r="J51">
        <v>1</v>
      </c>
      <c r="K51">
        <v>1567</v>
      </c>
      <c r="L51">
        <v>0.1</v>
      </c>
      <c r="M51">
        <v>1410.3</v>
      </c>
      <c r="N51">
        <v>1410.3</v>
      </c>
      <c r="O51">
        <v>0.35</v>
      </c>
      <c r="P51">
        <v>493.6</v>
      </c>
      <c r="Q51" t="s">
        <v>47</v>
      </c>
      <c r="R51" t="s">
        <v>48</v>
      </c>
      <c r="S51">
        <v>3</v>
      </c>
      <c r="T51">
        <f>YEAR(Sales_Data_1[[#This Row],[Order_Date]])</f>
        <v>2025</v>
      </c>
      <c r="U51" t="str">
        <f>TEXT(Sales_Data_1[[#This Row],[Order_Date]], "mmm")</f>
        <v>Sep</v>
      </c>
      <c r="V51">
        <f>MONTH(Sales_Data_1[[#This Row],[Order_Date]])</f>
        <v>9</v>
      </c>
      <c r="W51" t="str">
        <f>TEXT(Sales_Data_1[[#This Row],[Order_Date]], "yyyy-mm")</f>
        <v>2025-09</v>
      </c>
      <c r="X51">
        <f>Sales_Data_1[[#This Row],[Sales]]-Sales_Data_1[[#This Row],[Profit_Amount]]</f>
        <v>916.69999999999993</v>
      </c>
      <c r="Y51" t="str" cm="1">
        <f t="array" ref="Y51">_xlfn.IFS(Sales_Data_1[[#This Row],[Delivery_Days]]&lt;=3, "Fast", Sales_Data_1[[#This Row],[Delivery_Days]]&lt;= 7, "Standard", TRUE, "Delayed")</f>
        <v>Fast</v>
      </c>
      <c r="Z51" t="str" cm="1">
        <f t="array" ref="Z51">_xlfn.IFS(Sales_Data_1[[#This Row],[Profit_Amount]]&gt; 0, "Profitable", Sales_Data_1[[#This Row],[Profit_Amount]] = 0, "Break-Even", TRUE, "Loss")</f>
        <v>Profitable</v>
      </c>
      <c r="AA51" t="str" cm="1">
        <f t="array" ref="AA51">_xlfn.IFS(Sales_Data_1[[#This Row],[Sales]]&gt;= 1000, "High Value", Sales_Data_1[[#This Row],[Sales]]&gt;= 300, "Mid Value", TRUE, "Low Value")</f>
        <v>High Value</v>
      </c>
    </row>
    <row r="52" spans="1:27" x14ac:dyDescent="0.3">
      <c r="A52" t="s">
        <v>2208</v>
      </c>
      <c r="B52" s="1">
        <v>45094</v>
      </c>
      <c r="C52" t="s">
        <v>96</v>
      </c>
      <c r="D52" t="s">
        <v>41</v>
      </c>
      <c r="E52" t="s">
        <v>67</v>
      </c>
      <c r="F52" t="s">
        <v>68</v>
      </c>
      <c r="G52" t="s">
        <v>44</v>
      </c>
      <c r="H52" t="s">
        <v>138</v>
      </c>
      <c r="I52" t="s">
        <v>406</v>
      </c>
      <c r="J52">
        <v>3</v>
      </c>
      <c r="K52">
        <v>625</v>
      </c>
      <c r="L52">
        <v>0.23</v>
      </c>
      <c r="M52">
        <v>481.25</v>
      </c>
      <c r="N52">
        <v>1443.75</v>
      </c>
      <c r="O52">
        <v>0.35</v>
      </c>
      <c r="P52">
        <v>505.31</v>
      </c>
      <c r="Q52" t="s">
        <v>51</v>
      </c>
      <c r="R52" t="s">
        <v>48</v>
      </c>
      <c r="S52">
        <v>8</v>
      </c>
      <c r="T52">
        <f>YEAR(Sales_Data_1[[#This Row],[Order_Date]])</f>
        <v>2023</v>
      </c>
      <c r="U52" t="str">
        <f>TEXT(Sales_Data_1[[#This Row],[Order_Date]], "mmm")</f>
        <v>Jun</v>
      </c>
      <c r="V52">
        <f>MONTH(Sales_Data_1[[#This Row],[Order_Date]])</f>
        <v>6</v>
      </c>
      <c r="W52" t="str">
        <f>TEXT(Sales_Data_1[[#This Row],[Order_Date]], "yyyy-mm")</f>
        <v>2023-06</v>
      </c>
      <c r="X52">
        <f>Sales_Data_1[[#This Row],[Sales]]-Sales_Data_1[[#This Row],[Profit_Amount]]</f>
        <v>938.44</v>
      </c>
      <c r="Y52" t="str" cm="1">
        <f t="array" ref="Y52">_xlfn.IFS(Sales_Data_1[[#This Row],[Delivery_Days]]&lt;=3, "Fast", Sales_Data_1[[#This Row],[Delivery_Days]]&lt;= 7, "Standard", TRUE, "Delayed")</f>
        <v>Delayed</v>
      </c>
      <c r="Z52" t="str" cm="1">
        <f t="array" ref="Z52">_xlfn.IFS(Sales_Data_1[[#This Row],[Profit_Amount]]&gt; 0, "Profitable", Sales_Data_1[[#This Row],[Profit_Amount]] = 0, "Break-Even", TRUE, "Loss")</f>
        <v>Profitable</v>
      </c>
      <c r="AA52" t="str" cm="1">
        <f t="array" ref="AA52">_xlfn.IFS(Sales_Data_1[[#This Row],[Sales]]&gt;= 1000, "High Value", Sales_Data_1[[#This Row],[Sales]]&gt;= 300, "Mid Value", TRUE, "Low Value")</f>
        <v>High Value</v>
      </c>
    </row>
    <row r="53" spans="1:27" x14ac:dyDescent="0.3">
      <c r="A53" t="s">
        <v>2390</v>
      </c>
      <c r="B53" s="1">
        <v>45276</v>
      </c>
      <c r="C53" t="s">
        <v>20</v>
      </c>
      <c r="D53" t="s">
        <v>21</v>
      </c>
      <c r="E53" t="s">
        <v>42</v>
      </c>
      <c r="F53" t="s">
        <v>68</v>
      </c>
      <c r="G53" t="s">
        <v>34</v>
      </c>
      <c r="H53" t="s">
        <v>35</v>
      </c>
      <c r="I53" t="s">
        <v>686</v>
      </c>
      <c r="J53">
        <v>1</v>
      </c>
      <c r="K53">
        <v>1331</v>
      </c>
      <c r="L53">
        <v>0.05</v>
      </c>
      <c r="M53">
        <v>1264.45</v>
      </c>
      <c r="N53">
        <v>1264.45</v>
      </c>
      <c r="O53">
        <v>0.4</v>
      </c>
      <c r="P53">
        <v>505.78</v>
      </c>
      <c r="Q53" t="s">
        <v>51</v>
      </c>
      <c r="R53" t="s">
        <v>48</v>
      </c>
      <c r="S53">
        <v>3</v>
      </c>
      <c r="T53">
        <f>YEAR(Sales_Data_1[[#This Row],[Order_Date]])</f>
        <v>2023</v>
      </c>
      <c r="U53" t="str">
        <f>TEXT(Sales_Data_1[[#This Row],[Order_Date]], "mmm")</f>
        <v>Dec</v>
      </c>
      <c r="V53">
        <f>MONTH(Sales_Data_1[[#This Row],[Order_Date]])</f>
        <v>12</v>
      </c>
      <c r="W53" t="str">
        <f>TEXT(Sales_Data_1[[#This Row],[Order_Date]], "yyyy-mm")</f>
        <v>2023-12</v>
      </c>
      <c r="X53">
        <f>Sales_Data_1[[#This Row],[Sales]]-Sales_Data_1[[#This Row],[Profit_Amount]]</f>
        <v>758.67000000000007</v>
      </c>
      <c r="Y53" t="str" cm="1">
        <f t="array" ref="Y53">_xlfn.IFS(Sales_Data_1[[#This Row],[Delivery_Days]]&lt;=3, "Fast", Sales_Data_1[[#This Row],[Delivery_Days]]&lt;= 7, "Standard", TRUE, "Delayed")</f>
        <v>Fast</v>
      </c>
      <c r="Z53" t="str" cm="1">
        <f t="array" ref="Z53">_xlfn.IFS(Sales_Data_1[[#This Row],[Profit_Amount]]&gt; 0, "Profitable", Sales_Data_1[[#This Row],[Profit_Amount]] = 0, "Break-Even", TRUE, "Loss")</f>
        <v>Profitable</v>
      </c>
      <c r="AA53" t="str" cm="1">
        <f t="array" ref="AA53">_xlfn.IFS(Sales_Data_1[[#This Row],[Sales]]&gt;= 1000, "High Value", Sales_Data_1[[#This Row],[Sales]]&gt;= 300, "Mid Value", TRUE, "Low Value")</f>
        <v>High Value</v>
      </c>
    </row>
    <row r="54" spans="1:27" x14ac:dyDescent="0.3">
      <c r="A54" t="s">
        <v>2497</v>
      </c>
      <c r="B54" s="1">
        <v>45383</v>
      </c>
      <c r="C54" t="s">
        <v>40</v>
      </c>
      <c r="D54" t="s">
        <v>41</v>
      </c>
      <c r="E54" t="s">
        <v>42</v>
      </c>
      <c r="F54" t="s">
        <v>97</v>
      </c>
      <c r="G54" t="s">
        <v>34</v>
      </c>
      <c r="H54" t="s">
        <v>71</v>
      </c>
      <c r="I54" t="s">
        <v>979</v>
      </c>
      <c r="J54">
        <v>3</v>
      </c>
      <c r="K54">
        <v>510</v>
      </c>
      <c r="L54">
        <v>0.16</v>
      </c>
      <c r="M54">
        <v>428.4</v>
      </c>
      <c r="N54">
        <v>1285.2</v>
      </c>
      <c r="O54">
        <v>0.4</v>
      </c>
      <c r="P54">
        <v>514.08000000000004</v>
      </c>
      <c r="Q54" t="s">
        <v>37</v>
      </c>
      <c r="R54" t="s">
        <v>48</v>
      </c>
      <c r="S54">
        <v>7</v>
      </c>
      <c r="T54">
        <f>YEAR(Sales_Data_1[[#This Row],[Order_Date]])</f>
        <v>2024</v>
      </c>
      <c r="U54" t="str">
        <f>TEXT(Sales_Data_1[[#This Row],[Order_Date]], "mmm")</f>
        <v>Apr</v>
      </c>
      <c r="V54">
        <f>MONTH(Sales_Data_1[[#This Row],[Order_Date]])</f>
        <v>4</v>
      </c>
      <c r="W54" t="str">
        <f>TEXT(Sales_Data_1[[#This Row],[Order_Date]], "yyyy-mm")</f>
        <v>2024-04</v>
      </c>
      <c r="X54">
        <f>Sales_Data_1[[#This Row],[Sales]]-Sales_Data_1[[#This Row],[Profit_Amount]]</f>
        <v>771.12</v>
      </c>
      <c r="Y54" t="str" cm="1">
        <f t="array" ref="Y54">_xlfn.IFS(Sales_Data_1[[#This Row],[Delivery_Days]]&lt;=3, "Fast", Sales_Data_1[[#This Row],[Delivery_Days]]&lt;= 7, "Standard", TRUE, "Delayed")</f>
        <v>Standard</v>
      </c>
      <c r="Z54" t="str" cm="1">
        <f t="array" ref="Z54">_xlfn.IFS(Sales_Data_1[[#This Row],[Profit_Amount]]&gt; 0, "Profitable", Sales_Data_1[[#This Row],[Profit_Amount]] = 0, "Break-Even", TRUE, "Loss")</f>
        <v>Profitable</v>
      </c>
      <c r="AA54" t="str" cm="1">
        <f t="array" ref="AA54">_xlfn.IFS(Sales_Data_1[[#This Row],[Sales]]&gt;= 1000, "High Value", Sales_Data_1[[#This Row],[Sales]]&gt;= 300, "Mid Value", TRUE, "Low Value")</f>
        <v>High Value</v>
      </c>
    </row>
    <row r="55" spans="1:27" x14ac:dyDescent="0.3">
      <c r="A55" t="s">
        <v>2053</v>
      </c>
      <c r="B55" s="1">
        <v>44939</v>
      </c>
      <c r="C55" t="s">
        <v>30</v>
      </c>
      <c r="D55" t="s">
        <v>31</v>
      </c>
      <c r="E55" t="s">
        <v>2040</v>
      </c>
      <c r="F55" t="s">
        <v>33</v>
      </c>
      <c r="G55" t="s">
        <v>34</v>
      </c>
      <c r="H55" t="s">
        <v>35</v>
      </c>
      <c r="I55" t="s">
        <v>79</v>
      </c>
      <c r="J55">
        <v>1</v>
      </c>
      <c r="K55">
        <v>1307</v>
      </c>
      <c r="L55">
        <v>0</v>
      </c>
      <c r="M55">
        <v>1307</v>
      </c>
      <c r="N55">
        <v>1307</v>
      </c>
      <c r="O55">
        <v>0.4</v>
      </c>
      <c r="P55">
        <v>522.79999999999995</v>
      </c>
      <c r="Q55" t="s">
        <v>27</v>
      </c>
      <c r="R55" t="s">
        <v>48</v>
      </c>
      <c r="S55">
        <v>2</v>
      </c>
      <c r="T55">
        <f>YEAR(Sales_Data_1[[#This Row],[Order_Date]])</f>
        <v>2023</v>
      </c>
      <c r="U55" t="str">
        <f>TEXT(Sales_Data_1[[#This Row],[Order_Date]], "mmm")</f>
        <v>Jan</v>
      </c>
      <c r="V55">
        <f>MONTH(Sales_Data_1[[#This Row],[Order_Date]])</f>
        <v>1</v>
      </c>
      <c r="W55" t="str">
        <f>TEXT(Sales_Data_1[[#This Row],[Order_Date]], "yyyy-mm")</f>
        <v>2023-01</v>
      </c>
      <c r="X55">
        <f>Sales_Data_1[[#This Row],[Sales]]-Sales_Data_1[[#This Row],[Profit_Amount]]</f>
        <v>784.2</v>
      </c>
      <c r="Y55" t="str" cm="1">
        <f t="array" ref="Y55">_xlfn.IFS(Sales_Data_1[[#This Row],[Delivery_Days]]&lt;=3, "Fast", Sales_Data_1[[#This Row],[Delivery_Days]]&lt;= 7, "Standard", TRUE, "Delayed")</f>
        <v>Fast</v>
      </c>
      <c r="Z55" t="str" cm="1">
        <f t="array" ref="Z55">_xlfn.IFS(Sales_Data_1[[#This Row],[Profit_Amount]]&gt; 0, "Profitable", Sales_Data_1[[#This Row],[Profit_Amount]] = 0, "Break-Even", TRUE, "Loss")</f>
        <v>Profitable</v>
      </c>
      <c r="AA55" t="str" cm="1">
        <f t="array" ref="AA55">_xlfn.IFS(Sales_Data_1[[#This Row],[Sales]]&gt;= 1000, "High Value", Sales_Data_1[[#This Row],[Sales]]&gt;= 300, "Mid Value", TRUE, "Low Value")</f>
        <v>High Value</v>
      </c>
    </row>
    <row r="56" spans="1:27" x14ac:dyDescent="0.3">
      <c r="A56" t="s">
        <v>2153</v>
      </c>
      <c r="B56" s="1">
        <v>45039</v>
      </c>
      <c r="C56" t="s">
        <v>30</v>
      </c>
      <c r="D56" t="s">
        <v>21</v>
      </c>
      <c r="E56" t="s">
        <v>2040</v>
      </c>
      <c r="F56" t="s">
        <v>43</v>
      </c>
      <c r="G56" t="s">
        <v>34</v>
      </c>
      <c r="H56" t="s">
        <v>71</v>
      </c>
      <c r="I56" t="s">
        <v>296</v>
      </c>
      <c r="J56">
        <v>3</v>
      </c>
      <c r="K56">
        <v>460</v>
      </c>
      <c r="L56">
        <v>0.03</v>
      </c>
      <c r="M56">
        <v>446.2</v>
      </c>
      <c r="N56">
        <v>1338.6</v>
      </c>
      <c r="O56">
        <v>0.4</v>
      </c>
      <c r="P56">
        <v>535.44000000000005</v>
      </c>
      <c r="Q56" t="s">
        <v>27</v>
      </c>
      <c r="R56" t="s">
        <v>48</v>
      </c>
      <c r="S56">
        <v>1</v>
      </c>
      <c r="T56">
        <f>YEAR(Sales_Data_1[[#This Row],[Order_Date]])</f>
        <v>2023</v>
      </c>
      <c r="U56" t="str">
        <f>TEXT(Sales_Data_1[[#This Row],[Order_Date]], "mmm")</f>
        <v>Apr</v>
      </c>
      <c r="V56">
        <f>MONTH(Sales_Data_1[[#This Row],[Order_Date]])</f>
        <v>4</v>
      </c>
      <c r="W56" t="str">
        <f>TEXT(Sales_Data_1[[#This Row],[Order_Date]], "yyyy-mm")</f>
        <v>2023-04</v>
      </c>
      <c r="X56">
        <f>Sales_Data_1[[#This Row],[Sales]]-Sales_Data_1[[#This Row],[Profit_Amount]]</f>
        <v>803.15999999999985</v>
      </c>
      <c r="Y56" t="str" cm="1">
        <f t="array" ref="Y56">_xlfn.IFS(Sales_Data_1[[#This Row],[Delivery_Days]]&lt;=3, "Fast", Sales_Data_1[[#This Row],[Delivery_Days]]&lt;= 7, "Standard", TRUE, "Delayed")</f>
        <v>Fast</v>
      </c>
      <c r="Z56" t="str" cm="1">
        <f t="array" ref="Z56">_xlfn.IFS(Sales_Data_1[[#This Row],[Profit_Amount]]&gt; 0, "Profitable", Sales_Data_1[[#This Row],[Profit_Amount]] = 0, "Break-Even", TRUE, "Loss")</f>
        <v>Profitable</v>
      </c>
      <c r="AA56" t="str" cm="1">
        <f t="array" ref="AA56">_xlfn.IFS(Sales_Data_1[[#This Row],[Sales]]&gt;= 1000, "High Value", Sales_Data_1[[#This Row],[Sales]]&gt;= 300, "Mid Value", TRUE, "Low Value")</f>
        <v>High Value</v>
      </c>
    </row>
    <row r="57" spans="1:27" x14ac:dyDescent="0.3">
      <c r="A57" t="s">
        <v>2520</v>
      </c>
      <c r="B57" s="1">
        <v>45406</v>
      </c>
      <c r="C57" t="s">
        <v>20</v>
      </c>
      <c r="D57" t="s">
        <v>31</v>
      </c>
      <c r="E57" t="s">
        <v>67</v>
      </c>
      <c r="F57" t="s">
        <v>97</v>
      </c>
      <c r="G57" t="s">
        <v>34</v>
      </c>
      <c r="H57" t="s">
        <v>71</v>
      </c>
      <c r="I57" t="s">
        <v>1024</v>
      </c>
      <c r="J57">
        <v>3</v>
      </c>
      <c r="K57">
        <v>598</v>
      </c>
      <c r="L57">
        <v>0.25</v>
      </c>
      <c r="M57">
        <v>448.5</v>
      </c>
      <c r="N57">
        <v>1345.5</v>
      </c>
      <c r="O57">
        <v>0.4</v>
      </c>
      <c r="P57">
        <v>538.20000000000005</v>
      </c>
      <c r="Q57" t="s">
        <v>51</v>
      </c>
      <c r="R57" t="s">
        <v>48</v>
      </c>
      <c r="S57">
        <v>4</v>
      </c>
      <c r="T57">
        <f>YEAR(Sales_Data_1[[#This Row],[Order_Date]])</f>
        <v>2024</v>
      </c>
      <c r="U57" t="str">
        <f>TEXT(Sales_Data_1[[#This Row],[Order_Date]], "mmm")</f>
        <v>Apr</v>
      </c>
      <c r="V57">
        <f>MONTH(Sales_Data_1[[#This Row],[Order_Date]])</f>
        <v>4</v>
      </c>
      <c r="W57" t="str">
        <f>TEXT(Sales_Data_1[[#This Row],[Order_Date]], "yyyy-mm")</f>
        <v>2024-04</v>
      </c>
      <c r="X57">
        <f>Sales_Data_1[[#This Row],[Sales]]-Sales_Data_1[[#This Row],[Profit_Amount]]</f>
        <v>807.3</v>
      </c>
      <c r="Y57" t="str" cm="1">
        <f t="array" ref="Y57">_xlfn.IFS(Sales_Data_1[[#This Row],[Delivery_Days]]&lt;=3, "Fast", Sales_Data_1[[#This Row],[Delivery_Days]]&lt;= 7, "Standard", TRUE, "Delayed")</f>
        <v>Standard</v>
      </c>
      <c r="Z57" t="str" cm="1">
        <f t="array" ref="Z57">_xlfn.IFS(Sales_Data_1[[#This Row],[Profit_Amount]]&gt; 0, "Profitable", Sales_Data_1[[#This Row],[Profit_Amount]] = 0, "Break-Even", TRUE, "Loss")</f>
        <v>Profitable</v>
      </c>
      <c r="AA57" t="str" cm="1">
        <f t="array" ref="AA57">_xlfn.IFS(Sales_Data_1[[#This Row],[Sales]]&gt;= 1000, "High Value", Sales_Data_1[[#This Row],[Sales]]&gt;= 300, "Mid Value", TRUE, "Low Value")</f>
        <v>High Value</v>
      </c>
    </row>
    <row r="58" spans="1:27" x14ac:dyDescent="0.3">
      <c r="A58" t="s">
        <v>2892</v>
      </c>
      <c r="B58" s="1">
        <v>45778</v>
      </c>
      <c r="C58" t="s">
        <v>30</v>
      </c>
      <c r="D58" t="s">
        <v>21</v>
      </c>
      <c r="E58" t="s">
        <v>2042</v>
      </c>
      <c r="F58" t="s">
        <v>97</v>
      </c>
      <c r="G58" t="s">
        <v>34</v>
      </c>
      <c r="H58" t="s">
        <v>35</v>
      </c>
      <c r="I58" t="s">
        <v>1754</v>
      </c>
      <c r="J58">
        <v>1</v>
      </c>
      <c r="K58">
        <v>1483</v>
      </c>
      <c r="L58">
        <v>0.09</v>
      </c>
      <c r="M58">
        <v>1349.53</v>
      </c>
      <c r="N58">
        <v>1349.53</v>
      </c>
      <c r="O58">
        <v>0.4</v>
      </c>
      <c r="P58">
        <v>539.80999999999995</v>
      </c>
      <c r="Q58" t="s">
        <v>51</v>
      </c>
      <c r="R58" t="s">
        <v>48</v>
      </c>
      <c r="S58">
        <v>7</v>
      </c>
      <c r="T58">
        <f>YEAR(Sales_Data_1[[#This Row],[Order_Date]])</f>
        <v>2025</v>
      </c>
      <c r="U58" t="str">
        <f>TEXT(Sales_Data_1[[#This Row],[Order_Date]], "mmm")</f>
        <v>May</v>
      </c>
      <c r="V58">
        <f>MONTH(Sales_Data_1[[#This Row],[Order_Date]])</f>
        <v>5</v>
      </c>
      <c r="W58" t="str">
        <f>TEXT(Sales_Data_1[[#This Row],[Order_Date]], "yyyy-mm")</f>
        <v>2025-05</v>
      </c>
      <c r="X58">
        <f>Sales_Data_1[[#This Row],[Sales]]-Sales_Data_1[[#This Row],[Profit_Amount]]</f>
        <v>809.72</v>
      </c>
      <c r="Y58" t="str" cm="1">
        <f t="array" ref="Y58">_xlfn.IFS(Sales_Data_1[[#This Row],[Delivery_Days]]&lt;=3, "Fast", Sales_Data_1[[#This Row],[Delivery_Days]]&lt;= 7, "Standard", TRUE, "Delayed")</f>
        <v>Standard</v>
      </c>
      <c r="Z58" t="str" cm="1">
        <f t="array" ref="Z58">_xlfn.IFS(Sales_Data_1[[#This Row],[Profit_Amount]]&gt; 0, "Profitable", Sales_Data_1[[#This Row],[Profit_Amount]] = 0, "Break-Even", TRUE, "Loss")</f>
        <v>Profitable</v>
      </c>
      <c r="AA58" t="str" cm="1">
        <f t="array" ref="AA58">_xlfn.IFS(Sales_Data_1[[#This Row],[Sales]]&gt;= 1000, "High Value", Sales_Data_1[[#This Row],[Sales]]&gt;= 300, "Mid Value", TRUE, "Low Value")</f>
        <v>High Value</v>
      </c>
    </row>
    <row r="59" spans="1:27" x14ac:dyDescent="0.3">
      <c r="A59" t="s">
        <v>2115</v>
      </c>
      <c r="B59" s="1">
        <v>45001</v>
      </c>
      <c r="C59" t="s">
        <v>20</v>
      </c>
      <c r="D59" t="s">
        <v>41</v>
      </c>
      <c r="E59" t="s">
        <v>42</v>
      </c>
      <c r="F59" t="s">
        <v>68</v>
      </c>
      <c r="G59" t="s">
        <v>34</v>
      </c>
      <c r="H59" t="s">
        <v>35</v>
      </c>
      <c r="I59" t="s">
        <v>219</v>
      </c>
      <c r="J59">
        <v>2</v>
      </c>
      <c r="K59">
        <v>777</v>
      </c>
      <c r="L59">
        <v>0.13</v>
      </c>
      <c r="M59">
        <v>675.99</v>
      </c>
      <c r="N59">
        <v>1351.98</v>
      </c>
      <c r="O59">
        <v>0.4</v>
      </c>
      <c r="P59">
        <v>540.79</v>
      </c>
      <c r="Q59" t="s">
        <v>27</v>
      </c>
      <c r="R59" t="s">
        <v>48</v>
      </c>
      <c r="S59">
        <v>4</v>
      </c>
      <c r="T59">
        <f>YEAR(Sales_Data_1[[#This Row],[Order_Date]])</f>
        <v>2023</v>
      </c>
      <c r="U59" t="str">
        <f>TEXT(Sales_Data_1[[#This Row],[Order_Date]], "mmm")</f>
        <v>Mar</v>
      </c>
      <c r="V59">
        <f>MONTH(Sales_Data_1[[#This Row],[Order_Date]])</f>
        <v>3</v>
      </c>
      <c r="W59" t="str">
        <f>TEXT(Sales_Data_1[[#This Row],[Order_Date]], "yyyy-mm")</f>
        <v>2023-03</v>
      </c>
      <c r="X59">
        <f>Sales_Data_1[[#This Row],[Sales]]-Sales_Data_1[[#This Row],[Profit_Amount]]</f>
        <v>811.19</v>
      </c>
      <c r="Y59" t="str" cm="1">
        <f t="array" ref="Y59">_xlfn.IFS(Sales_Data_1[[#This Row],[Delivery_Days]]&lt;=3, "Fast", Sales_Data_1[[#This Row],[Delivery_Days]]&lt;= 7, "Standard", TRUE, "Delayed")</f>
        <v>Standard</v>
      </c>
      <c r="Z59" t="str" cm="1">
        <f t="array" ref="Z59">_xlfn.IFS(Sales_Data_1[[#This Row],[Profit_Amount]]&gt; 0, "Profitable", Sales_Data_1[[#This Row],[Profit_Amount]] = 0, "Break-Even", TRUE, "Loss")</f>
        <v>Profitable</v>
      </c>
      <c r="AA59" t="str" cm="1">
        <f t="array" ref="AA59">_xlfn.IFS(Sales_Data_1[[#This Row],[Sales]]&gt;= 1000, "High Value", Sales_Data_1[[#This Row],[Sales]]&gt;= 300, "Mid Value", TRUE, "Low Value")</f>
        <v>High Value</v>
      </c>
    </row>
    <row r="60" spans="1:27" x14ac:dyDescent="0.3">
      <c r="A60" t="s">
        <v>2503</v>
      </c>
      <c r="B60" s="1">
        <v>45389</v>
      </c>
      <c r="C60" t="s">
        <v>40</v>
      </c>
      <c r="D60" t="s">
        <v>41</v>
      </c>
      <c r="E60" t="s">
        <v>2042</v>
      </c>
      <c r="F60" t="s">
        <v>97</v>
      </c>
      <c r="G60" t="s">
        <v>34</v>
      </c>
      <c r="H60" t="s">
        <v>71</v>
      </c>
      <c r="I60" t="s">
        <v>991</v>
      </c>
      <c r="J60">
        <v>3</v>
      </c>
      <c r="K60">
        <v>541</v>
      </c>
      <c r="L60">
        <v>0.16</v>
      </c>
      <c r="M60">
        <v>454.44</v>
      </c>
      <c r="N60">
        <v>1363.32</v>
      </c>
      <c r="O60">
        <v>0.4</v>
      </c>
      <c r="P60">
        <v>545.33000000000004</v>
      </c>
      <c r="Q60" t="s">
        <v>27</v>
      </c>
      <c r="R60" t="s">
        <v>38</v>
      </c>
      <c r="S60">
        <v>4</v>
      </c>
      <c r="T60">
        <f>YEAR(Sales_Data_1[[#This Row],[Order_Date]])</f>
        <v>2024</v>
      </c>
      <c r="U60" t="str">
        <f>TEXT(Sales_Data_1[[#This Row],[Order_Date]], "mmm")</f>
        <v>Apr</v>
      </c>
      <c r="V60">
        <f>MONTH(Sales_Data_1[[#This Row],[Order_Date]])</f>
        <v>4</v>
      </c>
      <c r="W60" t="str">
        <f>TEXT(Sales_Data_1[[#This Row],[Order_Date]], "yyyy-mm")</f>
        <v>2024-04</v>
      </c>
      <c r="X60">
        <f>Sales_Data_1[[#This Row],[Sales]]-Sales_Data_1[[#This Row],[Profit_Amount]]</f>
        <v>817.9899999999999</v>
      </c>
      <c r="Y60" t="str" cm="1">
        <f t="array" ref="Y60">_xlfn.IFS(Sales_Data_1[[#This Row],[Delivery_Days]]&lt;=3, "Fast", Sales_Data_1[[#This Row],[Delivery_Days]]&lt;= 7, "Standard", TRUE, "Delayed")</f>
        <v>Standard</v>
      </c>
      <c r="Z60" t="str" cm="1">
        <f t="array" ref="Z60">_xlfn.IFS(Sales_Data_1[[#This Row],[Profit_Amount]]&gt; 0, "Profitable", Sales_Data_1[[#This Row],[Profit_Amount]] = 0, "Break-Even", TRUE, "Loss")</f>
        <v>Profitable</v>
      </c>
      <c r="AA60" t="str" cm="1">
        <f t="array" ref="AA60">_xlfn.IFS(Sales_Data_1[[#This Row],[Sales]]&gt;= 1000, "High Value", Sales_Data_1[[#This Row],[Sales]]&gt;= 300, "Mid Value", TRUE, "Low Value")</f>
        <v>High Value</v>
      </c>
    </row>
    <row r="61" spans="1:27" x14ac:dyDescent="0.3">
      <c r="A61" t="s">
        <v>2947</v>
      </c>
      <c r="B61" s="1">
        <v>45833</v>
      </c>
      <c r="C61" t="s">
        <v>63</v>
      </c>
      <c r="D61" t="s">
        <v>41</v>
      </c>
      <c r="E61" t="s">
        <v>42</v>
      </c>
      <c r="F61" t="s">
        <v>33</v>
      </c>
      <c r="G61" t="s">
        <v>34</v>
      </c>
      <c r="H61" t="s">
        <v>71</v>
      </c>
      <c r="I61" t="s">
        <v>1862</v>
      </c>
      <c r="J61">
        <v>4</v>
      </c>
      <c r="K61">
        <v>364</v>
      </c>
      <c r="L61">
        <v>0.05</v>
      </c>
      <c r="M61">
        <v>345.8</v>
      </c>
      <c r="N61">
        <v>1383.2</v>
      </c>
      <c r="O61">
        <v>0.4</v>
      </c>
      <c r="P61">
        <v>553.28</v>
      </c>
      <c r="Q61" t="s">
        <v>47</v>
      </c>
      <c r="R61" t="s">
        <v>48</v>
      </c>
      <c r="S61">
        <v>2</v>
      </c>
      <c r="T61">
        <f>YEAR(Sales_Data_1[[#This Row],[Order_Date]])</f>
        <v>2025</v>
      </c>
      <c r="U61" t="str">
        <f>TEXT(Sales_Data_1[[#This Row],[Order_Date]], "mmm")</f>
        <v>Jun</v>
      </c>
      <c r="V61">
        <f>MONTH(Sales_Data_1[[#This Row],[Order_Date]])</f>
        <v>6</v>
      </c>
      <c r="W61" t="str">
        <f>TEXT(Sales_Data_1[[#This Row],[Order_Date]], "yyyy-mm")</f>
        <v>2025-06</v>
      </c>
      <c r="X61">
        <f>Sales_Data_1[[#This Row],[Sales]]-Sales_Data_1[[#This Row],[Profit_Amount]]</f>
        <v>829.92000000000007</v>
      </c>
      <c r="Y61" t="str" cm="1">
        <f t="array" ref="Y61">_xlfn.IFS(Sales_Data_1[[#This Row],[Delivery_Days]]&lt;=3, "Fast", Sales_Data_1[[#This Row],[Delivery_Days]]&lt;= 7, "Standard", TRUE, "Delayed")</f>
        <v>Fast</v>
      </c>
      <c r="Z61" t="str" cm="1">
        <f t="array" ref="Z61">_xlfn.IFS(Sales_Data_1[[#This Row],[Profit_Amount]]&gt; 0, "Profitable", Sales_Data_1[[#This Row],[Profit_Amount]] = 0, "Break-Even", TRUE, "Loss")</f>
        <v>Profitable</v>
      </c>
      <c r="AA61" t="str" cm="1">
        <f t="array" ref="AA61">_xlfn.IFS(Sales_Data_1[[#This Row],[Sales]]&gt;= 1000, "High Value", Sales_Data_1[[#This Row],[Sales]]&gt;= 300, "Mid Value", TRUE, "Low Value")</f>
        <v>High Value</v>
      </c>
    </row>
    <row r="62" spans="1:27" x14ac:dyDescent="0.3">
      <c r="A62" t="s">
        <v>2342</v>
      </c>
      <c r="B62" s="1">
        <v>45228</v>
      </c>
      <c r="C62" t="s">
        <v>20</v>
      </c>
      <c r="D62" t="s">
        <v>21</v>
      </c>
      <c r="E62" t="s">
        <v>67</v>
      </c>
      <c r="F62" t="s">
        <v>103</v>
      </c>
      <c r="G62" t="s">
        <v>34</v>
      </c>
      <c r="H62" t="s">
        <v>71</v>
      </c>
      <c r="I62" t="s">
        <v>673</v>
      </c>
      <c r="J62">
        <v>2</v>
      </c>
      <c r="K62">
        <v>788</v>
      </c>
      <c r="L62">
        <v>0.12</v>
      </c>
      <c r="M62">
        <v>693.44</v>
      </c>
      <c r="N62">
        <v>1386.88</v>
      </c>
      <c r="O62">
        <v>0.4</v>
      </c>
      <c r="P62">
        <v>554.75</v>
      </c>
      <c r="Q62" t="s">
        <v>27</v>
      </c>
      <c r="R62" t="s">
        <v>48</v>
      </c>
      <c r="S62">
        <v>6</v>
      </c>
      <c r="T62">
        <f>YEAR(Sales_Data_1[[#This Row],[Order_Date]])</f>
        <v>2023</v>
      </c>
      <c r="U62" t="str">
        <f>TEXT(Sales_Data_1[[#This Row],[Order_Date]], "mmm")</f>
        <v>Oct</v>
      </c>
      <c r="V62">
        <f>MONTH(Sales_Data_1[[#This Row],[Order_Date]])</f>
        <v>10</v>
      </c>
      <c r="W62" t="str">
        <f>TEXT(Sales_Data_1[[#This Row],[Order_Date]], "yyyy-mm")</f>
        <v>2023-10</v>
      </c>
      <c r="X62">
        <f>Sales_Data_1[[#This Row],[Sales]]-Sales_Data_1[[#This Row],[Profit_Amount]]</f>
        <v>832.13000000000011</v>
      </c>
      <c r="Y62" t="str" cm="1">
        <f t="array" ref="Y62">_xlfn.IFS(Sales_Data_1[[#This Row],[Delivery_Days]]&lt;=3, "Fast", Sales_Data_1[[#This Row],[Delivery_Days]]&lt;= 7, "Standard", TRUE, "Delayed")</f>
        <v>Standard</v>
      </c>
      <c r="Z62" t="str" cm="1">
        <f t="array" ref="Z62">_xlfn.IFS(Sales_Data_1[[#This Row],[Profit_Amount]]&gt; 0, "Profitable", Sales_Data_1[[#This Row],[Profit_Amount]] = 0, "Break-Even", TRUE, "Loss")</f>
        <v>Profitable</v>
      </c>
      <c r="AA62" t="str" cm="1">
        <f t="array" ref="AA62">_xlfn.IFS(Sales_Data_1[[#This Row],[Sales]]&gt;= 1000, "High Value", Sales_Data_1[[#This Row],[Sales]]&gt;= 300, "Mid Value", TRUE, "Low Value")</f>
        <v>High Value</v>
      </c>
    </row>
    <row r="63" spans="1:27" x14ac:dyDescent="0.3">
      <c r="A63" t="s">
        <v>2183</v>
      </c>
      <c r="B63" s="1">
        <v>45069</v>
      </c>
      <c r="C63" t="s">
        <v>20</v>
      </c>
      <c r="D63" t="s">
        <v>21</v>
      </c>
      <c r="E63" t="s">
        <v>2040</v>
      </c>
      <c r="F63" t="s">
        <v>43</v>
      </c>
      <c r="G63" t="s">
        <v>24</v>
      </c>
      <c r="H63" t="s">
        <v>121</v>
      </c>
      <c r="I63" t="s">
        <v>356</v>
      </c>
      <c r="J63">
        <v>1</v>
      </c>
      <c r="K63">
        <v>2274</v>
      </c>
      <c r="L63">
        <v>0</v>
      </c>
      <c r="M63">
        <v>2274</v>
      </c>
      <c r="N63">
        <v>2274</v>
      </c>
      <c r="O63">
        <v>0.25</v>
      </c>
      <c r="P63">
        <v>568.5</v>
      </c>
      <c r="Q63" t="s">
        <v>37</v>
      </c>
      <c r="R63" t="s">
        <v>48</v>
      </c>
      <c r="S63">
        <v>8</v>
      </c>
      <c r="T63">
        <f>YEAR(Sales_Data_1[[#This Row],[Order_Date]])</f>
        <v>2023</v>
      </c>
      <c r="U63" t="str">
        <f>TEXT(Sales_Data_1[[#This Row],[Order_Date]], "mmm")</f>
        <v>May</v>
      </c>
      <c r="V63">
        <f>MONTH(Sales_Data_1[[#This Row],[Order_Date]])</f>
        <v>5</v>
      </c>
      <c r="W63" t="str">
        <f>TEXT(Sales_Data_1[[#This Row],[Order_Date]], "yyyy-mm")</f>
        <v>2023-05</v>
      </c>
      <c r="X63">
        <f>Sales_Data_1[[#This Row],[Sales]]-Sales_Data_1[[#This Row],[Profit_Amount]]</f>
        <v>1705.5</v>
      </c>
      <c r="Y63" t="str" cm="1">
        <f t="array" ref="Y63">_xlfn.IFS(Sales_Data_1[[#This Row],[Delivery_Days]]&lt;=3, "Fast", Sales_Data_1[[#This Row],[Delivery_Days]]&lt;= 7, "Standard", TRUE, "Delayed")</f>
        <v>Delayed</v>
      </c>
      <c r="Z63" t="str" cm="1">
        <f t="array" ref="Z63">_xlfn.IFS(Sales_Data_1[[#This Row],[Profit_Amount]]&gt; 0, "Profitable", Sales_Data_1[[#This Row],[Profit_Amount]] = 0, "Break-Even", TRUE, "Loss")</f>
        <v>Profitable</v>
      </c>
      <c r="AA63" t="str" cm="1">
        <f t="array" ref="AA63">_xlfn.IFS(Sales_Data_1[[#This Row],[Sales]]&gt;= 1000, "High Value", Sales_Data_1[[#This Row],[Sales]]&gt;= 300, "Mid Value", TRUE, "Low Value")</f>
        <v>High Value</v>
      </c>
    </row>
    <row r="64" spans="1:27" x14ac:dyDescent="0.3">
      <c r="A64" t="s">
        <v>2684</v>
      </c>
      <c r="B64" s="1">
        <v>45570</v>
      </c>
      <c r="C64" t="s">
        <v>63</v>
      </c>
      <c r="D64" t="s">
        <v>21</v>
      </c>
      <c r="E64" t="s">
        <v>2042</v>
      </c>
      <c r="F64" t="s">
        <v>68</v>
      </c>
      <c r="G64" t="s">
        <v>44</v>
      </c>
      <c r="H64" t="s">
        <v>45</v>
      </c>
      <c r="I64" t="s">
        <v>1348</v>
      </c>
      <c r="J64">
        <v>2</v>
      </c>
      <c r="K64">
        <v>1062</v>
      </c>
      <c r="L64">
        <v>0.23</v>
      </c>
      <c r="M64">
        <v>817.74</v>
      </c>
      <c r="N64">
        <v>1635.48</v>
      </c>
      <c r="O64">
        <v>0.35</v>
      </c>
      <c r="P64">
        <v>572.41999999999996</v>
      </c>
      <c r="Q64" t="s">
        <v>47</v>
      </c>
      <c r="R64" t="s">
        <v>48</v>
      </c>
      <c r="S64">
        <v>8</v>
      </c>
      <c r="T64">
        <f>YEAR(Sales_Data_1[[#This Row],[Order_Date]])</f>
        <v>2024</v>
      </c>
      <c r="U64" t="str">
        <f>TEXT(Sales_Data_1[[#This Row],[Order_Date]], "mmm")</f>
        <v>Oct</v>
      </c>
      <c r="V64">
        <f>MONTH(Sales_Data_1[[#This Row],[Order_Date]])</f>
        <v>10</v>
      </c>
      <c r="W64" t="str">
        <f>TEXT(Sales_Data_1[[#This Row],[Order_Date]], "yyyy-mm")</f>
        <v>2024-10</v>
      </c>
      <c r="X64">
        <f>Sales_Data_1[[#This Row],[Sales]]-Sales_Data_1[[#This Row],[Profit_Amount]]</f>
        <v>1063.06</v>
      </c>
      <c r="Y64" t="str" cm="1">
        <f t="array" ref="Y64">_xlfn.IFS(Sales_Data_1[[#This Row],[Delivery_Days]]&lt;=3, "Fast", Sales_Data_1[[#This Row],[Delivery_Days]]&lt;= 7, "Standard", TRUE, "Delayed")</f>
        <v>Delayed</v>
      </c>
      <c r="Z64" t="str" cm="1">
        <f t="array" ref="Z64">_xlfn.IFS(Sales_Data_1[[#This Row],[Profit_Amount]]&gt; 0, "Profitable", Sales_Data_1[[#This Row],[Profit_Amount]] = 0, "Break-Even", TRUE, "Loss")</f>
        <v>Profitable</v>
      </c>
      <c r="AA64" t="str" cm="1">
        <f t="array" ref="AA64">_xlfn.IFS(Sales_Data_1[[#This Row],[Sales]]&gt;= 1000, "High Value", Sales_Data_1[[#This Row],[Sales]]&gt;= 300, "Mid Value", TRUE, "Low Value")</f>
        <v>High Value</v>
      </c>
    </row>
    <row r="65" spans="1:27" x14ac:dyDescent="0.3">
      <c r="A65" t="s">
        <v>2045</v>
      </c>
      <c r="B65" s="1">
        <v>44931</v>
      </c>
      <c r="C65" t="s">
        <v>20</v>
      </c>
      <c r="D65" t="s">
        <v>21</v>
      </c>
      <c r="E65" t="s">
        <v>2042</v>
      </c>
      <c r="F65" t="s">
        <v>23</v>
      </c>
      <c r="G65" t="s">
        <v>34</v>
      </c>
      <c r="H65" t="s">
        <v>35</v>
      </c>
      <c r="I65" t="s">
        <v>53</v>
      </c>
      <c r="J65">
        <v>2</v>
      </c>
      <c r="K65">
        <v>834</v>
      </c>
      <c r="L65">
        <v>0.12</v>
      </c>
      <c r="M65">
        <v>733.92</v>
      </c>
      <c r="N65">
        <v>1467.84</v>
      </c>
      <c r="O65">
        <v>0.4</v>
      </c>
      <c r="P65">
        <v>587.14</v>
      </c>
      <c r="Q65" t="s">
        <v>37</v>
      </c>
      <c r="R65" t="s">
        <v>48</v>
      </c>
      <c r="S65">
        <v>9</v>
      </c>
      <c r="T65">
        <f>YEAR(Sales_Data_1[[#This Row],[Order_Date]])</f>
        <v>2023</v>
      </c>
      <c r="U65" t="str">
        <f>TEXT(Sales_Data_1[[#This Row],[Order_Date]], "mmm")</f>
        <v>Jan</v>
      </c>
      <c r="V65">
        <f>MONTH(Sales_Data_1[[#This Row],[Order_Date]])</f>
        <v>1</v>
      </c>
      <c r="W65" t="str">
        <f>TEXT(Sales_Data_1[[#This Row],[Order_Date]], "yyyy-mm")</f>
        <v>2023-01</v>
      </c>
      <c r="X65">
        <f>Sales_Data_1[[#This Row],[Sales]]-Sales_Data_1[[#This Row],[Profit_Amount]]</f>
        <v>880.69999999999993</v>
      </c>
      <c r="Y65" t="str" cm="1">
        <f t="array" ref="Y65">_xlfn.IFS(Sales_Data_1[[#This Row],[Delivery_Days]]&lt;=3, "Fast", Sales_Data_1[[#This Row],[Delivery_Days]]&lt;= 7, "Standard", TRUE, "Delayed")</f>
        <v>Delayed</v>
      </c>
      <c r="Z65" t="str" cm="1">
        <f t="array" ref="Z65">_xlfn.IFS(Sales_Data_1[[#This Row],[Profit_Amount]]&gt; 0, "Profitable", Sales_Data_1[[#This Row],[Profit_Amount]] = 0, "Break-Even", TRUE, "Loss")</f>
        <v>Profitable</v>
      </c>
      <c r="AA65" t="str" cm="1">
        <f t="array" ref="AA65">_xlfn.IFS(Sales_Data_1[[#This Row],[Sales]]&gt;= 1000, "High Value", Sales_Data_1[[#This Row],[Sales]]&gt;= 300, "Mid Value", TRUE, "Low Value")</f>
        <v>High Value</v>
      </c>
    </row>
    <row r="66" spans="1:27" x14ac:dyDescent="0.3">
      <c r="A66" t="s">
        <v>2970</v>
      </c>
      <c r="B66" s="1">
        <v>45856</v>
      </c>
      <c r="C66" t="s">
        <v>30</v>
      </c>
      <c r="D66" t="s">
        <v>56</v>
      </c>
      <c r="E66" t="s">
        <v>67</v>
      </c>
      <c r="F66" t="s">
        <v>103</v>
      </c>
      <c r="G66" t="s">
        <v>34</v>
      </c>
      <c r="H66" t="s">
        <v>141</v>
      </c>
      <c r="I66" t="s">
        <v>1903</v>
      </c>
      <c r="J66">
        <v>8</v>
      </c>
      <c r="K66">
        <v>227</v>
      </c>
      <c r="L66">
        <v>0.18</v>
      </c>
      <c r="M66">
        <v>186.14</v>
      </c>
      <c r="N66">
        <v>1489.12</v>
      </c>
      <c r="O66">
        <v>0.4</v>
      </c>
      <c r="P66">
        <v>595.65</v>
      </c>
      <c r="Q66" t="s">
        <v>37</v>
      </c>
      <c r="R66" t="s">
        <v>38</v>
      </c>
      <c r="S66">
        <v>2</v>
      </c>
      <c r="T66">
        <f>YEAR(Sales_Data_1[[#This Row],[Order_Date]])</f>
        <v>2025</v>
      </c>
      <c r="U66" t="str">
        <f>TEXT(Sales_Data_1[[#This Row],[Order_Date]], "mmm")</f>
        <v>Jul</v>
      </c>
      <c r="V66">
        <f>MONTH(Sales_Data_1[[#This Row],[Order_Date]])</f>
        <v>7</v>
      </c>
      <c r="W66" t="str">
        <f>TEXT(Sales_Data_1[[#This Row],[Order_Date]], "yyyy-mm")</f>
        <v>2025-07</v>
      </c>
      <c r="X66">
        <f>Sales_Data_1[[#This Row],[Sales]]-Sales_Data_1[[#This Row],[Profit_Amount]]</f>
        <v>893.46999999999991</v>
      </c>
      <c r="Y66" t="str" cm="1">
        <f t="array" ref="Y66">_xlfn.IFS(Sales_Data_1[[#This Row],[Delivery_Days]]&lt;=3, "Fast", Sales_Data_1[[#This Row],[Delivery_Days]]&lt;= 7, "Standard", TRUE, "Delayed")</f>
        <v>Fast</v>
      </c>
      <c r="Z66" t="str" cm="1">
        <f t="array" ref="Z66">_xlfn.IFS(Sales_Data_1[[#This Row],[Profit_Amount]]&gt; 0, "Profitable", Sales_Data_1[[#This Row],[Profit_Amount]] = 0, "Break-Even", TRUE, "Loss")</f>
        <v>Profitable</v>
      </c>
      <c r="AA66" t="str" cm="1">
        <f t="array" ref="AA66">_xlfn.IFS(Sales_Data_1[[#This Row],[Sales]]&gt;= 1000, "High Value", Sales_Data_1[[#This Row],[Sales]]&gt;= 300, "Mid Value", TRUE, "Low Value")</f>
        <v>High Value</v>
      </c>
    </row>
    <row r="67" spans="1:27" x14ac:dyDescent="0.3">
      <c r="A67" t="s">
        <v>2284</v>
      </c>
      <c r="B67" s="1">
        <v>45170</v>
      </c>
      <c r="C67" t="s">
        <v>63</v>
      </c>
      <c r="D67" t="s">
        <v>56</v>
      </c>
      <c r="E67" t="s">
        <v>67</v>
      </c>
      <c r="F67" t="s">
        <v>68</v>
      </c>
      <c r="G67" t="s">
        <v>44</v>
      </c>
      <c r="H67" t="s">
        <v>116</v>
      </c>
      <c r="I67" t="s">
        <v>558</v>
      </c>
      <c r="J67">
        <v>1</v>
      </c>
      <c r="K67">
        <v>1940</v>
      </c>
      <c r="L67">
        <v>0.11</v>
      </c>
      <c r="M67">
        <v>1726.6</v>
      </c>
      <c r="N67">
        <v>1726.6</v>
      </c>
      <c r="O67">
        <v>0.35</v>
      </c>
      <c r="P67">
        <v>604.30999999999995</v>
      </c>
      <c r="Q67" t="s">
        <v>37</v>
      </c>
      <c r="R67" t="s">
        <v>48</v>
      </c>
      <c r="S67">
        <v>4</v>
      </c>
      <c r="T67">
        <f>YEAR(Sales_Data_1[[#This Row],[Order_Date]])</f>
        <v>2023</v>
      </c>
      <c r="U67" t="str">
        <f>TEXT(Sales_Data_1[[#This Row],[Order_Date]], "mmm")</f>
        <v>Sep</v>
      </c>
      <c r="V67">
        <f>MONTH(Sales_Data_1[[#This Row],[Order_Date]])</f>
        <v>9</v>
      </c>
      <c r="W67" t="str">
        <f>TEXT(Sales_Data_1[[#This Row],[Order_Date]], "yyyy-mm")</f>
        <v>2023-09</v>
      </c>
      <c r="X67">
        <f>Sales_Data_1[[#This Row],[Sales]]-Sales_Data_1[[#This Row],[Profit_Amount]]</f>
        <v>1122.29</v>
      </c>
      <c r="Y67" t="str" cm="1">
        <f t="array" ref="Y67">_xlfn.IFS(Sales_Data_1[[#This Row],[Delivery_Days]]&lt;=3, "Fast", Sales_Data_1[[#This Row],[Delivery_Days]]&lt;= 7, "Standard", TRUE, "Delayed")</f>
        <v>Standard</v>
      </c>
      <c r="Z67" t="str" cm="1">
        <f t="array" ref="Z67">_xlfn.IFS(Sales_Data_1[[#This Row],[Profit_Amount]]&gt; 0, "Profitable", Sales_Data_1[[#This Row],[Profit_Amount]] = 0, "Break-Even", TRUE, "Loss")</f>
        <v>Profitable</v>
      </c>
      <c r="AA67" t="str" cm="1">
        <f t="array" ref="AA67">_xlfn.IFS(Sales_Data_1[[#This Row],[Sales]]&gt;= 1000, "High Value", Sales_Data_1[[#This Row],[Sales]]&gt;= 300, "Mid Value", TRUE, "Low Value")</f>
        <v>High Value</v>
      </c>
    </row>
    <row r="68" spans="1:27" x14ac:dyDescent="0.3">
      <c r="A68" t="s">
        <v>2911</v>
      </c>
      <c r="B68" s="1">
        <v>45797</v>
      </c>
      <c r="C68" t="s">
        <v>40</v>
      </c>
      <c r="D68" t="s">
        <v>31</v>
      </c>
      <c r="E68" t="s">
        <v>2040</v>
      </c>
      <c r="F68" t="s">
        <v>103</v>
      </c>
      <c r="G68" t="s">
        <v>44</v>
      </c>
      <c r="H68" t="s">
        <v>138</v>
      </c>
      <c r="I68" t="s">
        <v>1791</v>
      </c>
      <c r="J68">
        <v>1</v>
      </c>
      <c r="K68">
        <v>1931</v>
      </c>
      <c r="L68">
        <v>0.08</v>
      </c>
      <c r="M68">
        <v>1776.52</v>
      </c>
      <c r="N68">
        <v>1776.52</v>
      </c>
      <c r="O68">
        <v>0.35</v>
      </c>
      <c r="P68">
        <v>621.78</v>
      </c>
      <c r="Q68" t="s">
        <v>37</v>
      </c>
      <c r="R68" t="s">
        <v>48</v>
      </c>
      <c r="S68">
        <v>1</v>
      </c>
      <c r="T68">
        <f>YEAR(Sales_Data_1[[#This Row],[Order_Date]])</f>
        <v>2025</v>
      </c>
      <c r="U68" t="str">
        <f>TEXT(Sales_Data_1[[#This Row],[Order_Date]], "mmm")</f>
        <v>May</v>
      </c>
      <c r="V68">
        <f>MONTH(Sales_Data_1[[#This Row],[Order_Date]])</f>
        <v>5</v>
      </c>
      <c r="W68" t="str">
        <f>TEXT(Sales_Data_1[[#This Row],[Order_Date]], "yyyy-mm")</f>
        <v>2025-05</v>
      </c>
      <c r="X68">
        <f>Sales_Data_1[[#This Row],[Sales]]-Sales_Data_1[[#This Row],[Profit_Amount]]</f>
        <v>1154.74</v>
      </c>
      <c r="Y68" t="str" cm="1">
        <f t="array" ref="Y68">_xlfn.IFS(Sales_Data_1[[#This Row],[Delivery_Days]]&lt;=3, "Fast", Sales_Data_1[[#This Row],[Delivery_Days]]&lt;= 7, "Standard", TRUE, "Delayed")</f>
        <v>Fast</v>
      </c>
      <c r="Z68" t="str" cm="1">
        <f t="array" ref="Z68">_xlfn.IFS(Sales_Data_1[[#This Row],[Profit_Amount]]&gt; 0, "Profitable", Sales_Data_1[[#This Row],[Profit_Amount]] = 0, "Break-Even", TRUE, "Loss")</f>
        <v>Profitable</v>
      </c>
      <c r="AA68" t="str" cm="1">
        <f t="array" ref="AA68">_xlfn.IFS(Sales_Data_1[[#This Row],[Sales]]&gt;= 1000, "High Value", Sales_Data_1[[#This Row],[Sales]]&gt;= 300, "Mid Value", TRUE, "Low Value")</f>
        <v>High Value</v>
      </c>
    </row>
    <row r="69" spans="1:27" x14ac:dyDescent="0.3">
      <c r="A69" t="s">
        <v>2341</v>
      </c>
      <c r="B69" s="1">
        <v>45227</v>
      </c>
      <c r="C69" t="s">
        <v>20</v>
      </c>
      <c r="D69" t="s">
        <v>41</v>
      </c>
      <c r="E69" t="s">
        <v>2040</v>
      </c>
      <c r="F69" t="s">
        <v>43</v>
      </c>
      <c r="G69" t="s">
        <v>34</v>
      </c>
      <c r="H69" t="s">
        <v>104</v>
      </c>
      <c r="I69" t="s">
        <v>671</v>
      </c>
      <c r="J69">
        <v>8</v>
      </c>
      <c r="K69">
        <v>201</v>
      </c>
      <c r="L69">
        <v>0.02</v>
      </c>
      <c r="M69">
        <v>196.98</v>
      </c>
      <c r="N69">
        <v>1575.84</v>
      </c>
      <c r="O69">
        <v>0.4</v>
      </c>
      <c r="P69">
        <v>630.34</v>
      </c>
      <c r="Q69" t="s">
        <v>27</v>
      </c>
      <c r="R69" t="s">
        <v>48</v>
      </c>
      <c r="S69">
        <v>6</v>
      </c>
      <c r="T69">
        <f>YEAR(Sales_Data_1[[#This Row],[Order_Date]])</f>
        <v>2023</v>
      </c>
      <c r="U69" t="str">
        <f>TEXT(Sales_Data_1[[#This Row],[Order_Date]], "mmm")</f>
        <v>Oct</v>
      </c>
      <c r="V69">
        <f>MONTH(Sales_Data_1[[#This Row],[Order_Date]])</f>
        <v>10</v>
      </c>
      <c r="W69" t="str">
        <f>TEXT(Sales_Data_1[[#This Row],[Order_Date]], "yyyy-mm")</f>
        <v>2023-10</v>
      </c>
      <c r="X69">
        <f>Sales_Data_1[[#This Row],[Sales]]-Sales_Data_1[[#This Row],[Profit_Amount]]</f>
        <v>945.49999999999989</v>
      </c>
      <c r="Y69" t="str" cm="1">
        <f t="array" ref="Y69">_xlfn.IFS(Sales_Data_1[[#This Row],[Delivery_Days]]&lt;=3, "Fast", Sales_Data_1[[#This Row],[Delivery_Days]]&lt;= 7, "Standard", TRUE, "Delayed")</f>
        <v>Standard</v>
      </c>
      <c r="Z69" t="str" cm="1">
        <f t="array" ref="Z69">_xlfn.IFS(Sales_Data_1[[#This Row],[Profit_Amount]]&gt; 0, "Profitable", Sales_Data_1[[#This Row],[Profit_Amount]] = 0, "Break-Even", TRUE, "Loss")</f>
        <v>Profitable</v>
      </c>
      <c r="AA69" t="str" cm="1">
        <f t="array" ref="AA69">_xlfn.IFS(Sales_Data_1[[#This Row],[Sales]]&gt;= 1000, "High Value", Sales_Data_1[[#This Row],[Sales]]&gt;= 300, "Mid Value", TRUE, "Low Value")</f>
        <v>High Value</v>
      </c>
    </row>
    <row r="70" spans="1:27" x14ac:dyDescent="0.3">
      <c r="A70" t="s">
        <v>2720</v>
      </c>
      <c r="B70" s="1">
        <v>45606</v>
      </c>
      <c r="C70" t="s">
        <v>30</v>
      </c>
      <c r="D70" t="s">
        <v>56</v>
      </c>
      <c r="E70" t="s">
        <v>42</v>
      </c>
      <c r="F70" t="s">
        <v>23</v>
      </c>
      <c r="G70" t="s">
        <v>34</v>
      </c>
      <c r="H70" t="s">
        <v>104</v>
      </c>
      <c r="I70" t="s">
        <v>1416</v>
      </c>
      <c r="J70">
        <v>2</v>
      </c>
      <c r="K70">
        <v>982</v>
      </c>
      <c r="L70">
        <v>0.19</v>
      </c>
      <c r="M70">
        <v>795.42</v>
      </c>
      <c r="N70">
        <v>1590.84</v>
      </c>
      <c r="O70">
        <v>0.4</v>
      </c>
      <c r="P70">
        <v>636.34</v>
      </c>
      <c r="Q70" t="s">
        <v>37</v>
      </c>
      <c r="R70" t="s">
        <v>48</v>
      </c>
      <c r="S70">
        <v>8</v>
      </c>
      <c r="T70">
        <f>YEAR(Sales_Data_1[[#This Row],[Order_Date]])</f>
        <v>2024</v>
      </c>
      <c r="U70" t="str">
        <f>TEXT(Sales_Data_1[[#This Row],[Order_Date]], "mmm")</f>
        <v>Nov</v>
      </c>
      <c r="V70">
        <f>MONTH(Sales_Data_1[[#This Row],[Order_Date]])</f>
        <v>11</v>
      </c>
      <c r="W70" t="str">
        <f>TEXT(Sales_Data_1[[#This Row],[Order_Date]], "yyyy-mm")</f>
        <v>2024-11</v>
      </c>
      <c r="X70">
        <f>Sales_Data_1[[#This Row],[Sales]]-Sales_Data_1[[#This Row],[Profit_Amount]]</f>
        <v>954.49999999999989</v>
      </c>
      <c r="Y70" t="str" cm="1">
        <f t="array" ref="Y70">_xlfn.IFS(Sales_Data_1[[#This Row],[Delivery_Days]]&lt;=3, "Fast", Sales_Data_1[[#This Row],[Delivery_Days]]&lt;= 7, "Standard", TRUE, "Delayed")</f>
        <v>Delayed</v>
      </c>
      <c r="Z70" t="str" cm="1">
        <f t="array" ref="Z70">_xlfn.IFS(Sales_Data_1[[#This Row],[Profit_Amount]]&gt; 0, "Profitable", Sales_Data_1[[#This Row],[Profit_Amount]] = 0, "Break-Even", TRUE, "Loss")</f>
        <v>Profitable</v>
      </c>
      <c r="AA70" t="str" cm="1">
        <f t="array" ref="AA70">_xlfn.IFS(Sales_Data_1[[#This Row],[Sales]]&gt;= 1000, "High Value", Sales_Data_1[[#This Row],[Sales]]&gt;= 300, "Mid Value", TRUE, "Low Value")</f>
        <v>High Value</v>
      </c>
    </row>
    <row r="71" spans="1:27" x14ac:dyDescent="0.3">
      <c r="A71" t="s">
        <v>2932</v>
      </c>
      <c r="B71" s="1">
        <v>45818</v>
      </c>
      <c r="C71" t="s">
        <v>55</v>
      </c>
      <c r="D71" t="s">
        <v>56</v>
      </c>
      <c r="E71" t="s">
        <v>42</v>
      </c>
      <c r="F71" t="s">
        <v>23</v>
      </c>
      <c r="G71" t="s">
        <v>34</v>
      </c>
      <c r="H71" t="s">
        <v>35</v>
      </c>
      <c r="I71" t="s">
        <v>1833</v>
      </c>
      <c r="J71">
        <v>4</v>
      </c>
      <c r="K71">
        <v>449</v>
      </c>
      <c r="L71">
        <v>0.09</v>
      </c>
      <c r="M71">
        <v>408.59</v>
      </c>
      <c r="N71">
        <v>1634.36</v>
      </c>
      <c r="O71">
        <v>0.4</v>
      </c>
      <c r="P71">
        <v>653.74</v>
      </c>
      <c r="Q71" t="s">
        <v>47</v>
      </c>
      <c r="R71" t="s">
        <v>48</v>
      </c>
      <c r="S71">
        <v>8</v>
      </c>
      <c r="T71">
        <f>YEAR(Sales_Data_1[[#This Row],[Order_Date]])</f>
        <v>2025</v>
      </c>
      <c r="U71" t="str">
        <f>TEXT(Sales_Data_1[[#This Row],[Order_Date]], "mmm")</f>
        <v>Jun</v>
      </c>
      <c r="V71">
        <f>MONTH(Sales_Data_1[[#This Row],[Order_Date]])</f>
        <v>6</v>
      </c>
      <c r="W71" t="str">
        <f>TEXT(Sales_Data_1[[#This Row],[Order_Date]], "yyyy-mm")</f>
        <v>2025-06</v>
      </c>
      <c r="X71">
        <f>Sales_Data_1[[#This Row],[Sales]]-Sales_Data_1[[#This Row],[Profit_Amount]]</f>
        <v>980.61999999999989</v>
      </c>
      <c r="Y71" t="str" cm="1">
        <f t="array" ref="Y71">_xlfn.IFS(Sales_Data_1[[#This Row],[Delivery_Days]]&lt;=3, "Fast", Sales_Data_1[[#This Row],[Delivery_Days]]&lt;= 7, "Standard", TRUE, "Delayed")</f>
        <v>Delayed</v>
      </c>
      <c r="Z71" t="str" cm="1">
        <f t="array" ref="Z71">_xlfn.IFS(Sales_Data_1[[#This Row],[Profit_Amount]]&gt; 0, "Profitable", Sales_Data_1[[#This Row],[Profit_Amount]] = 0, "Break-Even", TRUE, "Loss")</f>
        <v>Profitable</v>
      </c>
      <c r="AA71" t="str" cm="1">
        <f t="array" ref="AA71">_xlfn.IFS(Sales_Data_1[[#This Row],[Sales]]&gt;= 1000, "High Value", Sales_Data_1[[#This Row],[Sales]]&gt;= 300, "Mid Value", TRUE, "Low Value")</f>
        <v>High Value</v>
      </c>
    </row>
    <row r="72" spans="1:27" x14ac:dyDescent="0.3">
      <c r="A72" t="s">
        <v>2109</v>
      </c>
      <c r="B72" s="1">
        <v>44995</v>
      </c>
      <c r="C72" t="s">
        <v>30</v>
      </c>
      <c r="D72" t="s">
        <v>31</v>
      </c>
      <c r="E72" t="s">
        <v>2042</v>
      </c>
      <c r="F72" t="s">
        <v>97</v>
      </c>
      <c r="G72" t="s">
        <v>24</v>
      </c>
      <c r="H72" t="s">
        <v>186</v>
      </c>
      <c r="I72" t="s">
        <v>207</v>
      </c>
      <c r="J72">
        <v>1</v>
      </c>
      <c r="K72">
        <v>2712</v>
      </c>
      <c r="L72">
        <v>0.03</v>
      </c>
      <c r="M72">
        <v>2630.64</v>
      </c>
      <c r="N72">
        <v>2630.64</v>
      </c>
      <c r="O72">
        <v>0.25</v>
      </c>
      <c r="P72">
        <v>657.66</v>
      </c>
      <c r="Q72" t="s">
        <v>51</v>
      </c>
      <c r="R72" t="s">
        <v>48</v>
      </c>
      <c r="S72">
        <v>7</v>
      </c>
      <c r="T72">
        <f>YEAR(Sales_Data_1[[#This Row],[Order_Date]])</f>
        <v>2023</v>
      </c>
      <c r="U72" t="str">
        <f>TEXT(Sales_Data_1[[#This Row],[Order_Date]], "mmm")</f>
        <v>Mar</v>
      </c>
      <c r="V72">
        <f>MONTH(Sales_Data_1[[#This Row],[Order_Date]])</f>
        <v>3</v>
      </c>
      <c r="W72" t="str">
        <f>TEXT(Sales_Data_1[[#This Row],[Order_Date]], "yyyy-mm")</f>
        <v>2023-03</v>
      </c>
      <c r="X72">
        <f>Sales_Data_1[[#This Row],[Sales]]-Sales_Data_1[[#This Row],[Profit_Amount]]</f>
        <v>1972.98</v>
      </c>
      <c r="Y72" t="str" cm="1">
        <f t="array" ref="Y72">_xlfn.IFS(Sales_Data_1[[#This Row],[Delivery_Days]]&lt;=3, "Fast", Sales_Data_1[[#This Row],[Delivery_Days]]&lt;= 7, "Standard", TRUE, "Delayed")</f>
        <v>Standard</v>
      </c>
      <c r="Z72" t="str" cm="1">
        <f t="array" ref="Z72">_xlfn.IFS(Sales_Data_1[[#This Row],[Profit_Amount]]&gt; 0, "Profitable", Sales_Data_1[[#This Row],[Profit_Amount]] = 0, "Break-Even", TRUE, "Loss")</f>
        <v>Profitable</v>
      </c>
      <c r="AA72" t="str" cm="1">
        <f t="array" ref="AA72">_xlfn.IFS(Sales_Data_1[[#This Row],[Sales]]&gt;= 1000, "High Value", Sales_Data_1[[#This Row],[Sales]]&gt;= 300, "Mid Value", TRUE, "Low Value")</f>
        <v>High Value</v>
      </c>
    </row>
    <row r="73" spans="1:27" x14ac:dyDescent="0.3">
      <c r="A73" t="s">
        <v>2075</v>
      </c>
      <c r="B73" s="1">
        <v>44961</v>
      </c>
      <c r="C73" t="s">
        <v>40</v>
      </c>
      <c r="D73" t="s">
        <v>41</v>
      </c>
      <c r="E73" t="s">
        <v>67</v>
      </c>
      <c r="F73" t="s">
        <v>97</v>
      </c>
      <c r="G73" t="s">
        <v>44</v>
      </c>
      <c r="H73" t="s">
        <v>64</v>
      </c>
      <c r="I73" t="s">
        <v>134</v>
      </c>
      <c r="J73">
        <v>1</v>
      </c>
      <c r="K73">
        <v>2427</v>
      </c>
      <c r="L73">
        <v>0.22</v>
      </c>
      <c r="M73">
        <v>1893.06</v>
      </c>
      <c r="N73">
        <v>1893.06</v>
      </c>
      <c r="O73">
        <v>0.35</v>
      </c>
      <c r="P73">
        <v>662.57</v>
      </c>
      <c r="Q73" t="s">
        <v>47</v>
      </c>
      <c r="R73" t="s">
        <v>48</v>
      </c>
      <c r="S73">
        <v>7</v>
      </c>
      <c r="T73">
        <f>YEAR(Sales_Data_1[[#This Row],[Order_Date]])</f>
        <v>2023</v>
      </c>
      <c r="U73" t="str">
        <f>TEXT(Sales_Data_1[[#This Row],[Order_Date]], "mmm")</f>
        <v>Feb</v>
      </c>
      <c r="V73">
        <f>MONTH(Sales_Data_1[[#This Row],[Order_Date]])</f>
        <v>2</v>
      </c>
      <c r="W73" t="str">
        <f>TEXT(Sales_Data_1[[#This Row],[Order_Date]], "yyyy-mm")</f>
        <v>2023-02</v>
      </c>
      <c r="X73">
        <f>Sales_Data_1[[#This Row],[Sales]]-Sales_Data_1[[#This Row],[Profit_Amount]]</f>
        <v>1230.4899999999998</v>
      </c>
      <c r="Y73" t="str" cm="1">
        <f t="array" ref="Y73">_xlfn.IFS(Sales_Data_1[[#This Row],[Delivery_Days]]&lt;=3, "Fast", Sales_Data_1[[#This Row],[Delivery_Days]]&lt;= 7, "Standard", TRUE, "Delayed")</f>
        <v>Standard</v>
      </c>
      <c r="Z73" t="str" cm="1">
        <f t="array" ref="Z73">_xlfn.IFS(Sales_Data_1[[#This Row],[Profit_Amount]]&gt; 0, "Profitable", Sales_Data_1[[#This Row],[Profit_Amount]] = 0, "Break-Even", TRUE, "Loss")</f>
        <v>Profitable</v>
      </c>
      <c r="AA73" t="str" cm="1">
        <f t="array" ref="AA73">_xlfn.IFS(Sales_Data_1[[#This Row],[Sales]]&gt;= 1000, "High Value", Sales_Data_1[[#This Row],[Sales]]&gt;= 300, "Mid Value", TRUE, "Low Value")</f>
        <v>High Value</v>
      </c>
    </row>
    <row r="74" spans="1:27" x14ac:dyDescent="0.3">
      <c r="A74" t="s">
        <v>2420</v>
      </c>
      <c r="B74" s="1">
        <v>45306</v>
      </c>
      <c r="C74" t="s">
        <v>63</v>
      </c>
      <c r="D74" t="s">
        <v>31</v>
      </c>
      <c r="E74" t="s">
        <v>67</v>
      </c>
      <c r="F74" t="s">
        <v>33</v>
      </c>
      <c r="G74" t="s">
        <v>34</v>
      </c>
      <c r="H74" t="s">
        <v>104</v>
      </c>
      <c r="I74" t="s">
        <v>826</v>
      </c>
      <c r="J74">
        <v>2</v>
      </c>
      <c r="K74">
        <v>943</v>
      </c>
      <c r="L74">
        <v>0.12</v>
      </c>
      <c r="M74">
        <v>829.84</v>
      </c>
      <c r="N74">
        <v>1659.68</v>
      </c>
      <c r="O74">
        <v>0.4</v>
      </c>
      <c r="P74">
        <v>663.87</v>
      </c>
      <c r="Q74" t="s">
        <v>27</v>
      </c>
      <c r="R74" t="s">
        <v>48</v>
      </c>
      <c r="S74">
        <v>9</v>
      </c>
      <c r="T74">
        <f>YEAR(Sales_Data_1[[#This Row],[Order_Date]])</f>
        <v>2024</v>
      </c>
      <c r="U74" t="str">
        <f>TEXT(Sales_Data_1[[#This Row],[Order_Date]], "mmm")</f>
        <v>Jan</v>
      </c>
      <c r="V74">
        <f>MONTH(Sales_Data_1[[#This Row],[Order_Date]])</f>
        <v>1</v>
      </c>
      <c r="W74" t="str">
        <f>TEXT(Sales_Data_1[[#This Row],[Order_Date]], "yyyy-mm")</f>
        <v>2024-01</v>
      </c>
      <c r="X74">
        <f>Sales_Data_1[[#This Row],[Sales]]-Sales_Data_1[[#This Row],[Profit_Amount]]</f>
        <v>995.81000000000006</v>
      </c>
      <c r="Y74" t="str" cm="1">
        <f t="array" ref="Y74">_xlfn.IFS(Sales_Data_1[[#This Row],[Delivery_Days]]&lt;=3, "Fast", Sales_Data_1[[#This Row],[Delivery_Days]]&lt;= 7, "Standard", TRUE, "Delayed")</f>
        <v>Delayed</v>
      </c>
      <c r="Z74" t="str" cm="1">
        <f t="array" ref="Z74">_xlfn.IFS(Sales_Data_1[[#This Row],[Profit_Amount]]&gt; 0, "Profitable", Sales_Data_1[[#This Row],[Profit_Amount]] = 0, "Break-Even", TRUE, "Loss")</f>
        <v>Profitable</v>
      </c>
      <c r="AA74" t="str" cm="1">
        <f t="array" ref="AA74">_xlfn.IFS(Sales_Data_1[[#This Row],[Sales]]&gt;= 1000, "High Value", Sales_Data_1[[#This Row],[Sales]]&gt;= 300, "Mid Value", TRUE, "Low Value")</f>
        <v>High Value</v>
      </c>
    </row>
    <row r="75" spans="1:27" x14ac:dyDescent="0.3">
      <c r="A75" t="s">
        <v>2320</v>
      </c>
      <c r="B75" s="1">
        <v>45206</v>
      </c>
      <c r="C75" t="s">
        <v>30</v>
      </c>
      <c r="D75" t="s">
        <v>41</v>
      </c>
      <c r="E75" t="s">
        <v>2040</v>
      </c>
      <c r="F75" t="s">
        <v>33</v>
      </c>
      <c r="G75" t="s">
        <v>44</v>
      </c>
      <c r="H75" t="s">
        <v>64</v>
      </c>
      <c r="I75" t="s">
        <v>630</v>
      </c>
      <c r="J75">
        <v>1</v>
      </c>
      <c r="K75">
        <v>2338</v>
      </c>
      <c r="L75">
        <v>0.18</v>
      </c>
      <c r="M75">
        <v>1917.16</v>
      </c>
      <c r="N75">
        <v>1917.16</v>
      </c>
      <c r="O75">
        <v>0.35</v>
      </c>
      <c r="P75">
        <v>671.01</v>
      </c>
      <c r="Q75" t="s">
        <v>27</v>
      </c>
      <c r="R75" t="s">
        <v>48</v>
      </c>
      <c r="S75">
        <v>9</v>
      </c>
      <c r="T75">
        <f>YEAR(Sales_Data_1[[#This Row],[Order_Date]])</f>
        <v>2023</v>
      </c>
      <c r="U75" t="str">
        <f>TEXT(Sales_Data_1[[#This Row],[Order_Date]], "mmm")</f>
        <v>Oct</v>
      </c>
      <c r="V75">
        <f>MONTH(Sales_Data_1[[#This Row],[Order_Date]])</f>
        <v>10</v>
      </c>
      <c r="W75" t="str">
        <f>TEXT(Sales_Data_1[[#This Row],[Order_Date]], "yyyy-mm")</f>
        <v>2023-10</v>
      </c>
      <c r="X75">
        <f>Sales_Data_1[[#This Row],[Sales]]-Sales_Data_1[[#This Row],[Profit_Amount]]</f>
        <v>1246.1500000000001</v>
      </c>
      <c r="Y75" t="str" cm="1">
        <f t="array" ref="Y75">_xlfn.IFS(Sales_Data_1[[#This Row],[Delivery_Days]]&lt;=3, "Fast", Sales_Data_1[[#This Row],[Delivery_Days]]&lt;= 7, "Standard", TRUE, "Delayed")</f>
        <v>Delayed</v>
      </c>
      <c r="Z75" t="str" cm="1">
        <f t="array" ref="Z75">_xlfn.IFS(Sales_Data_1[[#This Row],[Profit_Amount]]&gt; 0, "Profitable", Sales_Data_1[[#This Row],[Profit_Amount]] = 0, "Break-Even", TRUE, "Loss")</f>
        <v>Profitable</v>
      </c>
      <c r="AA75" t="str" cm="1">
        <f t="array" ref="AA75">_xlfn.IFS(Sales_Data_1[[#This Row],[Sales]]&gt;= 1000, "High Value", Sales_Data_1[[#This Row],[Sales]]&gt;= 300, "Mid Value", TRUE, "Low Value")</f>
        <v>High Value</v>
      </c>
    </row>
    <row r="76" spans="1:27" x14ac:dyDescent="0.3">
      <c r="A76" t="s">
        <v>2076</v>
      </c>
      <c r="B76" s="1">
        <v>44962</v>
      </c>
      <c r="C76" t="s">
        <v>55</v>
      </c>
      <c r="D76" t="s">
        <v>41</v>
      </c>
      <c r="E76" t="s">
        <v>67</v>
      </c>
      <c r="F76" t="s">
        <v>103</v>
      </c>
      <c r="G76" t="s">
        <v>34</v>
      </c>
      <c r="H76" t="s">
        <v>104</v>
      </c>
      <c r="I76" t="s">
        <v>136</v>
      </c>
      <c r="J76">
        <v>4</v>
      </c>
      <c r="K76">
        <v>508</v>
      </c>
      <c r="L76">
        <v>0.17</v>
      </c>
      <c r="M76">
        <v>421.64</v>
      </c>
      <c r="N76">
        <v>1686.56</v>
      </c>
      <c r="O76">
        <v>0.4</v>
      </c>
      <c r="P76">
        <v>674.62</v>
      </c>
      <c r="Q76" t="s">
        <v>47</v>
      </c>
      <c r="R76" t="s">
        <v>48</v>
      </c>
      <c r="S76">
        <v>1</v>
      </c>
      <c r="T76">
        <f>YEAR(Sales_Data_1[[#This Row],[Order_Date]])</f>
        <v>2023</v>
      </c>
      <c r="U76" t="str">
        <f>TEXT(Sales_Data_1[[#This Row],[Order_Date]], "mmm")</f>
        <v>Feb</v>
      </c>
      <c r="V76">
        <f>MONTH(Sales_Data_1[[#This Row],[Order_Date]])</f>
        <v>2</v>
      </c>
      <c r="W76" t="str">
        <f>TEXT(Sales_Data_1[[#This Row],[Order_Date]], "yyyy-mm")</f>
        <v>2023-02</v>
      </c>
      <c r="X76">
        <f>Sales_Data_1[[#This Row],[Sales]]-Sales_Data_1[[#This Row],[Profit_Amount]]</f>
        <v>1011.9399999999999</v>
      </c>
      <c r="Y76" t="str" cm="1">
        <f t="array" ref="Y76">_xlfn.IFS(Sales_Data_1[[#This Row],[Delivery_Days]]&lt;=3, "Fast", Sales_Data_1[[#This Row],[Delivery_Days]]&lt;= 7, "Standard", TRUE, "Delayed")</f>
        <v>Fast</v>
      </c>
      <c r="Z76" t="str" cm="1">
        <f t="array" ref="Z76">_xlfn.IFS(Sales_Data_1[[#This Row],[Profit_Amount]]&gt; 0, "Profitable", Sales_Data_1[[#This Row],[Profit_Amount]] = 0, "Break-Even", TRUE, "Loss")</f>
        <v>Profitable</v>
      </c>
      <c r="AA76" t="str" cm="1">
        <f t="array" ref="AA76">_xlfn.IFS(Sales_Data_1[[#This Row],[Sales]]&gt;= 1000, "High Value", Sales_Data_1[[#This Row],[Sales]]&gt;= 300, "Mid Value", TRUE, "Low Value")</f>
        <v>High Value</v>
      </c>
    </row>
    <row r="77" spans="1:27" x14ac:dyDescent="0.3">
      <c r="A77" t="s">
        <v>2622</v>
      </c>
      <c r="B77" s="1">
        <v>45508</v>
      </c>
      <c r="C77" t="s">
        <v>30</v>
      </c>
      <c r="D77" t="s">
        <v>31</v>
      </c>
      <c r="E77" t="s">
        <v>42</v>
      </c>
      <c r="F77" t="s">
        <v>68</v>
      </c>
      <c r="G77" t="s">
        <v>34</v>
      </c>
      <c r="H77" t="s">
        <v>141</v>
      </c>
      <c r="I77" t="s">
        <v>1226</v>
      </c>
      <c r="J77">
        <v>2</v>
      </c>
      <c r="K77">
        <v>871</v>
      </c>
      <c r="L77">
        <v>0.02</v>
      </c>
      <c r="M77">
        <v>853.58</v>
      </c>
      <c r="N77">
        <v>1707.16</v>
      </c>
      <c r="O77">
        <v>0.4</v>
      </c>
      <c r="P77">
        <v>682.86</v>
      </c>
      <c r="Q77" t="s">
        <v>37</v>
      </c>
      <c r="R77" t="s">
        <v>48</v>
      </c>
      <c r="S77">
        <v>9</v>
      </c>
      <c r="T77">
        <f>YEAR(Sales_Data_1[[#This Row],[Order_Date]])</f>
        <v>2024</v>
      </c>
      <c r="U77" t="str">
        <f>TEXT(Sales_Data_1[[#This Row],[Order_Date]], "mmm")</f>
        <v>Aug</v>
      </c>
      <c r="V77">
        <f>MONTH(Sales_Data_1[[#This Row],[Order_Date]])</f>
        <v>8</v>
      </c>
      <c r="W77" t="str">
        <f>TEXT(Sales_Data_1[[#This Row],[Order_Date]], "yyyy-mm")</f>
        <v>2024-08</v>
      </c>
      <c r="X77">
        <f>Sales_Data_1[[#This Row],[Sales]]-Sales_Data_1[[#This Row],[Profit_Amount]]</f>
        <v>1024.3000000000002</v>
      </c>
      <c r="Y77" t="str" cm="1">
        <f t="array" ref="Y77">_xlfn.IFS(Sales_Data_1[[#This Row],[Delivery_Days]]&lt;=3, "Fast", Sales_Data_1[[#This Row],[Delivery_Days]]&lt;= 7, "Standard", TRUE, "Delayed")</f>
        <v>Delayed</v>
      </c>
      <c r="Z77" t="str" cm="1">
        <f t="array" ref="Z77">_xlfn.IFS(Sales_Data_1[[#This Row],[Profit_Amount]]&gt; 0, "Profitable", Sales_Data_1[[#This Row],[Profit_Amount]] = 0, "Break-Even", TRUE, "Loss")</f>
        <v>Profitable</v>
      </c>
      <c r="AA77" t="str" cm="1">
        <f t="array" ref="AA77">_xlfn.IFS(Sales_Data_1[[#This Row],[Sales]]&gt;= 1000, "High Value", Sales_Data_1[[#This Row],[Sales]]&gt;= 300, "Mid Value", TRUE, "Low Value")</f>
        <v>High Value</v>
      </c>
    </row>
    <row r="78" spans="1:27" x14ac:dyDescent="0.3">
      <c r="A78" t="s">
        <v>2832</v>
      </c>
      <c r="B78" s="1">
        <v>45718</v>
      </c>
      <c r="C78" t="s">
        <v>96</v>
      </c>
      <c r="D78" t="s">
        <v>21</v>
      </c>
      <c r="E78" t="s">
        <v>2040</v>
      </c>
      <c r="F78" t="s">
        <v>68</v>
      </c>
      <c r="G78" t="s">
        <v>34</v>
      </c>
      <c r="H78" t="s">
        <v>141</v>
      </c>
      <c r="I78" t="s">
        <v>1635</v>
      </c>
      <c r="J78">
        <v>5</v>
      </c>
      <c r="K78">
        <v>361</v>
      </c>
      <c r="L78">
        <v>0.05</v>
      </c>
      <c r="M78">
        <v>342.95</v>
      </c>
      <c r="N78">
        <v>1714.75</v>
      </c>
      <c r="O78">
        <v>0.4</v>
      </c>
      <c r="P78">
        <v>685.9</v>
      </c>
      <c r="Q78" t="s">
        <v>27</v>
      </c>
      <c r="R78" t="s">
        <v>38</v>
      </c>
      <c r="S78">
        <v>2</v>
      </c>
      <c r="T78">
        <f>YEAR(Sales_Data_1[[#This Row],[Order_Date]])</f>
        <v>2025</v>
      </c>
      <c r="U78" t="str">
        <f>TEXT(Sales_Data_1[[#This Row],[Order_Date]], "mmm")</f>
        <v>Mar</v>
      </c>
      <c r="V78">
        <f>MONTH(Sales_Data_1[[#This Row],[Order_Date]])</f>
        <v>3</v>
      </c>
      <c r="W78" t="str">
        <f>TEXT(Sales_Data_1[[#This Row],[Order_Date]], "yyyy-mm")</f>
        <v>2025-03</v>
      </c>
      <c r="X78">
        <f>Sales_Data_1[[#This Row],[Sales]]-Sales_Data_1[[#This Row],[Profit_Amount]]</f>
        <v>1028.8499999999999</v>
      </c>
      <c r="Y78" t="str" cm="1">
        <f t="array" ref="Y78">_xlfn.IFS(Sales_Data_1[[#This Row],[Delivery_Days]]&lt;=3, "Fast", Sales_Data_1[[#This Row],[Delivery_Days]]&lt;= 7, "Standard", TRUE, "Delayed")</f>
        <v>Fast</v>
      </c>
      <c r="Z78" t="str" cm="1">
        <f t="array" ref="Z78">_xlfn.IFS(Sales_Data_1[[#This Row],[Profit_Amount]]&gt; 0, "Profitable", Sales_Data_1[[#This Row],[Profit_Amount]] = 0, "Break-Even", TRUE, "Loss")</f>
        <v>Profitable</v>
      </c>
      <c r="AA78" t="str" cm="1">
        <f t="array" ref="AA78">_xlfn.IFS(Sales_Data_1[[#This Row],[Sales]]&gt;= 1000, "High Value", Sales_Data_1[[#This Row],[Sales]]&gt;= 300, "Mid Value", TRUE, "Low Value")</f>
        <v>High Value</v>
      </c>
    </row>
    <row r="79" spans="1:27" x14ac:dyDescent="0.3">
      <c r="A79" t="s">
        <v>2326</v>
      </c>
      <c r="B79" s="1">
        <v>45212</v>
      </c>
      <c r="C79" t="s">
        <v>20</v>
      </c>
      <c r="D79" t="s">
        <v>21</v>
      </c>
      <c r="E79" t="s">
        <v>2042</v>
      </c>
      <c r="F79" t="s">
        <v>97</v>
      </c>
      <c r="G79" t="s">
        <v>34</v>
      </c>
      <c r="H79" t="s">
        <v>141</v>
      </c>
      <c r="I79" t="s">
        <v>642</v>
      </c>
      <c r="J79">
        <v>2</v>
      </c>
      <c r="K79">
        <v>988</v>
      </c>
      <c r="L79">
        <v>0.13</v>
      </c>
      <c r="M79">
        <v>859.56</v>
      </c>
      <c r="N79">
        <v>1719.12</v>
      </c>
      <c r="O79">
        <v>0.4</v>
      </c>
      <c r="P79">
        <v>687.65</v>
      </c>
      <c r="Q79" t="s">
        <v>27</v>
      </c>
      <c r="R79" t="s">
        <v>48</v>
      </c>
      <c r="S79">
        <v>3</v>
      </c>
      <c r="T79">
        <f>YEAR(Sales_Data_1[[#This Row],[Order_Date]])</f>
        <v>2023</v>
      </c>
      <c r="U79" t="str">
        <f>TEXT(Sales_Data_1[[#This Row],[Order_Date]], "mmm")</f>
        <v>Oct</v>
      </c>
      <c r="V79">
        <f>MONTH(Sales_Data_1[[#This Row],[Order_Date]])</f>
        <v>10</v>
      </c>
      <c r="W79" t="str">
        <f>TEXT(Sales_Data_1[[#This Row],[Order_Date]], "yyyy-mm")</f>
        <v>2023-10</v>
      </c>
      <c r="X79">
        <f>Sales_Data_1[[#This Row],[Sales]]-Sales_Data_1[[#This Row],[Profit_Amount]]</f>
        <v>1031.4699999999998</v>
      </c>
      <c r="Y79" t="str" cm="1">
        <f t="array" ref="Y79">_xlfn.IFS(Sales_Data_1[[#This Row],[Delivery_Days]]&lt;=3, "Fast", Sales_Data_1[[#This Row],[Delivery_Days]]&lt;= 7, "Standard", TRUE, "Delayed")</f>
        <v>Fast</v>
      </c>
      <c r="Z79" t="str" cm="1">
        <f t="array" ref="Z79">_xlfn.IFS(Sales_Data_1[[#This Row],[Profit_Amount]]&gt; 0, "Profitable", Sales_Data_1[[#This Row],[Profit_Amount]] = 0, "Break-Even", TRUE, "Loss")</f>
        <v>Profitable</v>
      </c>
      <c r="AA79" t="str" cm="1">
        <f t="array" ref="AA79">_xlfn.IFS(Sales_Data_1[[#This Row],[Sales]]&gt;= 1000, "High Value", Sales_Data_1[[#This Row],[Sales]]&gt;= 300, "Mid Value", TRUE, "Low Value")</f>
        <v>High Value</v>
      </c>
    </row>
    <row r="80" spans="1:27" x14ac:dyDescent="0.3">
      <c r="A80" t="s">
        <v>2881</v>
      </c>
      <c r="B80" s="1">
        <v>45767</v>
      </c>
      <c r="C80" t="s">
        <v>20</v>
      </c>
      <c r="D80" t="s">
        <v>31</v>
      </c>
      <c r="E80" t="s">
        <v>2040</v>
      </c>
      <c r="F80" t="s">
        <v>103</v>
      </c>
      <c r="G80" t="s">
        <v>34</v>
      </c>
      <c r="H80" t="s">
        <v>141</v>
      </c>
      <c r="I80" t="s">
        <v>1732</v>
      </c>
      <c r="J80">
        <v>3</v>
      </c>
      <c r="K80">
        <v>762</v>
      </c>
      <c r="L80">
        <v>0.24</v>
      </c>
      <c r="M80">
        <v>579.12</v>
      </c>
      <c r="N80">
        <v>1737.36</v>
      </c>
      <c r="O80">
        <v>0.4</v>
      </c>
      <c r="P80">
        <v>694.94</v>
      </c>
      <c r="Q80" t="s">
        <v>47</v>
      </c>
      <c r="R80" t="s">
        <v>48</v>
      </c>
      <c r="S80">
        <v>6</v>
      </c>
      <c r="T80">
        <f>YEAR(Sales_Data_1[[#This Row],[Order_Date]])</f>
        <v>2025</v>
      </c>
      <c r="U80" t="str">
        <f>TEXT(Sales_Data_1[[#This Row],[Order_Date]], "mmm")</f>
        <v>Apr</v>
      </c>
      <c r="V80">
        <f>MONTH(Sales_Data_1[[#This Row],[Order_Date]])</f>
        <v>4</v>
      </c>
      <c r="W80" t="str">
        <f>TEXT(Sales_Data_1[[#This Row],[Order_Date]], "yyyy-mm")</f>
        <v>2025-04</v>
      </c>
      <c r="X80">
        <f>Sales_Data_1[[#This Row],[Sales]]-Sales_Data_1[[#This Row],[Profit_Amount]]</f>
        <v>1042.4199999999998</v>
      </c>
      <c r="Y80" t="str" cm="1">
        <f t="array" ref="Y80">_xlfn.IFS(Sales_Data_1[[#This Row],[Delivery_Days]]&lt;=3, "Fast", Sales_Data_1[[#This Row],[Delivery_Days]]&lt;= 7, "Standard", TRUE, "Delayed")</f>
        <v>Standard</v>
      </c>
      <c r="Z80" t="str" cm="1">
        <f t="array" ref="Z80">_xlfn.IFS(Sales_Data_1[[#This Row],[Profit_Amount]]&gt; 0, "Profitable", Sales_Data_1[[#This Row],[Profit_Amount]] = 0, "Break-Even", TRUE, "Loss")</f>
        <v>Profitable</v>
      </c>
      <c r="AA80" t="str" cm="1">
        <f t="array" ref="AA80">_xlfn.IFS(Sales_Data_1[[#This Row],[Sales]]&gt;= 1000, "High Value", Sales_Data_1[[#This Row],[Sales]]&gt;= 300, "Mid Value", TRUE, "Low Value")</f>
        <v>High Value</v>
      </c>
    </row>
    <row r="81" spans="1:27" x14ac:dyDescent="0.3">
      <c r="A81" t="s">
        <v>3015</v>
      </c>
      <c r="B81" s="1">
        <v>45901</v>
      </c>
      <c r="C81" t="s">
        <v>30</v>
      </c>
      <c r="D81" t="s">
        <v>41</v>
      </c>
      <c r="E81" t="s">
        <v>67</v>
      </c>
      <c r="F81" t="s">
        <v>23</v>
      </c>
      <c r="G81" t="s">
        <v>24</v>
      </c>
      <c r="H81" t="s">
        <v>25</v>
      </c>
      <c r="I81" t="s">
        <v>1989</v>
      </c>
      <c r="J81">
        <v>1</v>
      </c>
      <c r="K81">
        <v>3113</v>
      </c>
      <c r="L81">
        <v>0.1</v>
      </c>
      <c r="M81">
        <v>2801.7</v>
      </c>
      <c r="N81">
        <v>2801.7</v>
      </c>
      <c r="O81">
        <v>0.25</v>
      </c>
      <c r="P81">
        <v>700.42</v>
      </c>
      <c r="Q81" t="s">
        <v>27</v>
      </c>
      <c r="R81" t="s">
        <v>48</v>
      </c>
      <c r="S81">
        <v>5</v>
      </c>
      <c r="T81">
        <f>YEAR(Sales_Data_1[[#This Row],[Order_Date]])</f>
        <v>2025</v>
      </c>
      <c r="U81" t="str">
        <f>TEXT(Sales_Data_1[[#This Row],[Order_Date]], "mmm")</f>
        <v>Sep</v>
      </c>
      <c r="V81">
        <f>MONTH(Sales_Data_1[[#This Row],[Order_Date]])</f>
        <v>9</v>
      </c>
      <c r="W81" t="str">
        <f>TEXT(Sales_Data_1[[#This Row],[Order_Date]], "yyyy-mm")</f>
        <v>2025-09</v>
      </c>
      <c r="X81">
        <f>Sales_Data_1[[#This Row],[Sales]]-Sales_Data_1[[#This Row],[Profit_Amount]]</f>
        <v>2101.2799999999997</v>
      </c>
      <c r="Y81" t="str" cm="1">
        <f t="array" ref="Y81">_xlfn.IFS(Sales_Data_1[[#This Row],[Delivery_Days]]&lt;=3, "Fast", Sales_Data_1[[#This Row],[Delivery_Days]]&lt;= 7, "Standard", TRUE, "Delayed")</f>
        <v>Standard</v>
      </c>
      <c r="Z81" t="str" cm="1">
        <f t="array" ref="Z81">_xlfn.IFS(Sales_Data_1[[#This Row],[Profit_Amount]]&gt; 0, "Profitable", Sales_Data_1[[#This Row],[Profit_Amount]] = 0, "Break-Even", TRUE, "Loss")</f>
        <v>Profitable</v>
      </c>
      <c r="AA81" t="str" cm="1">
        <f t="array" ref="AA81">_xlfn.IFS(Sales_Data_1[[#This Row],[Sales]]&gt;= 1000, "High Value", Sales_Data_1[[#This Row],[Sales]]&gt;= 300, "Mid Value", TRUE, "Low Value")</f>
        <v>High Value</v>
      </c>
    </row>
    <row r="82" spans="1:27" x14ac:dyDescent="0.3">
      <c r="A82" t="s">
        <v>2989</v>
      </c>
      <c r="B82" s="1">
        <v>45875</v>
      </c>
      <c r="C82" t="s">
        <v>30</v>
      </c>
      <c r="D82" t="s">
        <v>56</v>
      </c>
      <c r="E82" t="s">
        <v>67</v>
      </c>
      <c r="F82" t="s">
        <v>23</v>
      </c>
      <c r="G82" t="s">
        <v>34</v>
      </c>
      <c r="H82" t="s">
        <v>104</v>
      </c>
      <c r="I82" t="s">
        <v>1940</v>
      </c>
      <c r="J82">
        <v>3</v>
      </c>
      <c r="K82">
        <v>770</v>
      </c>
      <c r="L82">
        <v>0.24</v>
      </c>
      <c r="M82">
        <v>585.20000000000005</v>
      </c>
      <c r="N82">
        <v>1755.6</v>
      </c>
      <c r="O82">
        <v>0.4</v>
      </c>
      <c r="P82">
        <v>702.24</v>
      </c>
      <c r="Q82" t="s">
        <v>37</v>
      </c>
      <c r="R82" t="s">
        <v>48</v>
      </c>
      <c r="S82">
        <v>4</v>
      </c>
      <c r="T82">
        <f>YEAR(Sales_Data_1[[#This Row],[Order_Date]])</f>
        <v>2025</v>
      </c>
      <c r="U82" t="str">
        <f>TEXT(Sales_Data_1[[#This Row],[Order_Date]], "mmm")</f>
        <v>Aug</v>
      </c>
      <c r="V82">
        <f>MONTH(Sales_Data_1[[#This Row],[Order_Date]])</f>
        <v>8</v>
      </c>
      <c r="W82" t="str">
        <f>TEXT(Sales_Data_1[[#This Row],[Order_Date]], "yyyy-mm")</f>
        <v>2025-08</v>
      </c>
      <c r="X82">
        <f>Sales_Data_1[[#This Row],[Sales]]-Sales_Data_1[[#This Row],[Profit_Amount]]</f>
        <v>1053.3599999999999</v>
      </c>
      <c r="Y82" t="str" cm="1">
        <f t="array" ref="Y82">_xlfn.IFS(Sales_Data_1[[#This Row],[Delivery_Days]]&lt;=3, "Fast", Sales_Data_1[[#This Row],[Delivery_Days]]&lt;= 7, "Standard", TRUE, "Delayed")</f>
        <v>Standard</v>
      </c>
      <c r="Z82" t="str" cm="1">
        <f t="array" ref="Z82">_xlfn.IFS(Sales_Data_1[[#This Row],[Profit_Amount]]&gt; 0, "Profitable", Sales_Data_1[[#This Row],[Profit_Amount]] = 0, "Break-Even", TRUE, "Loss")</f>
        <v>Profitable</v>
      </c>
      <c r="AA82" t="str" cm="1">
        <f t="array" ref="AA82">_xlfn.IFS(Sales_Data_1[[#This Row],[Sales]]&gt;= 1000, "High Value", Sales_Data_1[[#This Row],[Sales]]&gt;= 300, "Mid Value", TRUE, "Low Value")</f>
        <v>High Value</v>
      </c>
    </row>
    <row r="83" spans="1:27" x14ac:dyDescent="0.3">
      <c r="A83" t="s">
        <v>2406</v>
      </c>
      <c r="B83" s="1">
        <v>45292</v>
      </c>
      <c r="C83" t="s">
        <v>30</v>
      </c>
      <c r="D83" t="s">
        <v>31</v>
      </c>
      <c r="E83" t="s">
        <v>2040</v>
      </c>
      <c r="F83" t="s">
        <v>97</v>
      </c>
      <c r="G83" t="s">
        <v>34</v>
      </c>
      <c r="H83" t="s">
        <v>71</v>
      </c>
      <c r="I83" t="s">
        <v>798</v>
      </c>
      <c r="J83">
        <v>3</v>
      </c>
      <c r="K83">
        <v>708</v>
      </c>
      <c r="L83">
        <v>0.16</v>
      </c>
      <c r="M83">
        <v>594.72</v>
      </c>
      <c r="N83">
        <v>1784.16</v>
      </c>
      <c r="O83">
        <v>0.4</v>
      </c>
      <c r="P83">
        <v>713.66</v>
      </c>
      <c r="Q83" t="s">
        <v>27</v>
      </c>
      <c r="R83" t="s">
        <v>38</v>
      </c>
      <c r="S83">
        <v>8</v>
      </c>
      <c r="T83">
        <f>YEAR(Sales_Data_1[[#This Row],[Order_Date]])</f>
        <v>2024</v>
      </c>
      <c r="U83" t="str">
        <f>TEXT(Sales_Data_1[[#This Row],[Order_Date]], "mmm")</f>
        <v>Jan</v>
      </c>
      <c r="V83">
        <f>MONTH(Sales_Data_1[[#This Row],[Order_Date]])</f>
        <v>1</v>
      </c>
      <c r="W83" t="str">
        <f>TEXT(Sales_Data_1[[#This Row],[Order_Date]], "yyyy-mm")</f>
        <v>2024-01</v>
      </c>
      <c r="X83">
        <f>Sales_Data_1[[#This Row],[Sales]]-Sales_Data_1[[#This Row],[Profit_Amount]]</f>
        <v>1070.5</v>
      </c>
      <c r="Y83" t="str" cm="1">
        <f t="array" ref="Y83">_xlfn.IFS(Sales_Data_1[[#This Row],[Delivery_Days]]&lt;=3, "Fast", Sales_Data_1[[#This Row],[Delivery_Days]]&lt;= 7, "Standard", TRUE, "Delayed")</f>
        <v>Delayed</v>
      </c>
      <c r="Z83" t="str" cm="1">
        <f t="array" ref="Z83">_xlfn.IFS(Sales_Data_1[[#This Row],[Profit_Amount]]&gt; 0, "Profitable", Sales_Data_1[[#This Row],[Profit_Amount]] = 0, "Break-Even", TRUE, "Loss")</f>
        <v>Profitable</v>
      </c>
      <c r="AA83" t="str" cm="1">
        <f t="array" ref="AA83">_xlfn.IFS(Sales_Data_1[[#This Row],[Sales]]&gt;= 1000, "High Value", Sales_Data_1[[#This Row],[Sales]]&gt;= 300, "Mid Value", TRUE, "Low Value")</f>
        <v>High Value</v>
      </c>
    </row>
    <row r="84" spans="1:27" x14ac:dyDescent="0.3">
      <c r="A84" t="s">
        <v>2095</v>
      </c>
      <c r="B84" s="1">
        <v>44981</v>
      </c>
      <c r="C84" t="s">
        <v>96</v>
      </c>
      <c r="D84" t="s">
        <v>21</v>
      </c>
      <c r="E84" t="s">
        <v>67</v>
      </c>
      <c r="F84" t="s">
        <v>23</v>
      </c>
      <c r="G84" t="s">
        <v>44</v>
      </c>
      <c r="H84" t="s">
        <v>138</v>
      </c>
      <c r="I84" t="s">
        <v>176</v>
      </c>
      <c r="J84">
        <v>3</v>
      </c>
      <c r="K84">
        <v>852</v>
      </c>
      <c r="L84">
        <v>0.2</v>
      </c>
      <c r="M84">
        <v>681.6</v>
      </c>
      <c r="N84">
        <v>2044.8</v>
      </c>
      <c r="O84">
        <v>0.35</v>
      </c>
      <c r="P84">
        <v>715.68</v>
      </c>
      <c r="Q84" t="s">
        <v>27</v>
      </c>
      <c r="R84" t="s">
        <v>48</v>
      </c>
      <c r="S84">
        <v>7</v>
      </c>
      <c r="T84">
        <f>YEAR(Sales_Data_1[[#This Row],[Order_Date]])</f>
        <v>2023</v>
      </c>
      <c r="U84" t="str">
        <f>TEXT(Sales_Data_1[[#This Row],[Order_Date]], "mmm")</f>
        <v>Feb</v>
      </c>
      <c r="V84">
        <f>MONTH(Sales_Data_1[[#This Row],[Order_Date]])</f>
        <v>2</v>
      </c>
      <c r="W84" t="str">
        <f>TEXT(Sales_Data_1[[#This Row],[Order_Date]], "yyyy-mm")</f>
        <v>2023-02</v>
      </c>
      <c r="X84">
        <f>Sales_Data_1[[#This Row],[Sales]]-Sales_Data_1[[#This Row],[Profit_Amount]]</f>
        <v>1329.12</v>
      </c>
      <c r="Y84" t="str" cm="1">
        <f t="array" ref="Y84">_xlfn.IFS(Sales_Data_1[[#This Row],[Delivery_Days]]&lt;=3, "Fast", Sales_Data_1[[#This Row],[Delivery_Days]]&lt;= 7, "Standard", TRUE, "Delayed")</f>
        <v>Standard</v>
      </c>
      <c r="Z84" t="str" cm="1">
        <f t="array" ref="Z84">_xlfn.IFS(Sales_Data_1[[#This Row],[Profit_Amount]]&gt; 0, "Profitable", Sales_Data_1[[#This Row],[Profit_Amount]] = 0, "Break-Even", TRUE, "Loss")</f>
        <v>Profitable</v>
      </c>
      <c r="AA84" t="str" cm="1">
        <f t="array" ref="AA84">_xlfn.IFS(Sales_Data_1[[#This Row],[Sales]]&gt;= 1000, "High Value", Sales_Data_1[[#This Row],[Sales]]&gt;= 300, "Mid Value", TRUE, "Low Value")</f>
        <v>High Value</v>
      </c>
    </row>
    <row r="85" spans="1:27" x14ac:dyDescent="0.3">
      <c r="A85" t="s">
        <v>2811</v>
      </c>
      <c r="B85" s="1">
        <v>45697</v>
      </c>
      <c r="C85" t="s">
        <v>30</v>
      </c>
      <c r="D85" t="s">
        <v>56</v>
      </c>
      <c r="E85" t="s">
        <v>2040</v>
      </c>
      <c r="F85" t="s">
        <v>43</v>
      </c>
      <c r="G85" t="s">
        <v>34</v>
      </c>
      <c r="H85" t="s">
        <v>71</v>
      </c>
      <c r="I85" t="s">
        <v>1594</v>
      </c>
      <c r="J85">
        <v>2</v>
      </c>
      <c r="K85">
        <v>1021</v>
      </c>
      <c r="L85">
        <v>0.12</v>
      </c>
      <c r="M85">
        <v>898.48</v>
      </c>
      <c r="N85">
        <v>1796.96</v>
      </c>
      <c r="O85">
        <v>0.4</v>
      </c>
      <c r="P85">
        <v>718.78</v>
      </c>
      <c r="Q85" t="s">
        <v>37</v>
      </c>
      <c r="R85" t="s">
        <v>48</v>
      </c>
      <c r="S85">
        <v>5</v>
      </c>
      <c r="T85">
        <f>YEAR(Sales_Data_1[[#This Row],[Order_Date]])</f>
        <v>2025</v>
      </c>
      <c r="U85" t="str">
        <f>TEXT(Sales_Data_1[[#This Row],[Order_Date]], "mmm")</f>
        <v>Feb</v>
      </c>
      <c r="V85">
        <f>MONTH(Sales_Data_1[[#This Row],[Order_Date]])</f>
        <v>2</v>
      </c>
      <c r="W85" t="str">
        <f>TEXT(Sales_Data_1[[#This Row],[Order_Date]], "yyyy-mm")</f>
        <v>2025-02</v>
      </c>
      <c r="X85">
        <f>Sales_Data_1[[#This Row],[Sales]]-Sales_Data_1[[#This Row],[Profit_Amount]]</f>
        <v>1078.18</v>
      </c>
      <c r="Y85" t="str" cm="1">
        <f t="array" ref="Y85">_xlfn.IFS(Sales_Data_1[[#This Row],[Delivery_Days]]&lt;=3, "Fast", Sales_Data_1[[#This Row],[Delivery_Days]]&lt;= 7, "Standard", TRUE, "Delayed")</f>
        <v>Standard</v>
      </c>
      <c r="Z85" t="str" cm="1">
        <f t="array" ref="Z85">_xlfn.IFS(Sales_Data_1[[#This Row],[Profit_Amount]]&gt; 0, "Profitable", Sales_Data_1[[#This Row],[Profit_Amount]] = 0, "Break-Even", TRUE, "Loss")</f>
        <v>Profitable</v>
      </c>
      <c r="AA85" t="str" cm="1">
        <f t="array" ref="AA85">_xlfn.IFS(Sales_Data_1[[#This Row],[Sales]]&gt;= 1000, "High Value", Sales_Data_1[[#This Row],[Sales]]&gt;= 300, "Mid Value", TRUE, "Low Value")</f>
        <v>High Value</v>
      </c>
    </row>
    <row r="86" spans="1:27" x14ac:dyDescent="0.3">
      <c r="A86" t="s">
        <v>2437</v>
      </c>
      <c r="B86" s="1">
        <v>45323</v>
      </c>
      <c r="C86" t="s">
        <v>63</v>
      </c>
      <c r="D86" t="s">
        <v>56</v>
      </c>
      <c r="E86" t="s">
        <v>2040</v>
      </c>
      <c r="F86" t="s">
        <v>33</v>
      </c>
      <c r="G86" t="s">
        <v>34</v>
      </c>
      <c r="H86" t="s">
        <v>71</v>
      </c>
      <c r="I86" t="s">
        <v>860</v>
      </c>
      <c r="J86">
        <v>2</v>
      </c>
      <c r="K86">
        <v>975</v>
      </c>
      <c r="L86">
        <v>7.0000000000000007E-2</v>
      </c>
      <c r="M86">
        <v>906.75</v>
      </c>
      <c r="N86">
        <v>1813.5</v>
      </c>
      <c r="O86">
        <v>0.4</v>
      </c>
      <c r="P86">
        <v>725.4</v>
      </c>
      <c r="Q86" t="s">
        <v>47</v>
      </c>
      <c r="R86" t="s">
        <v>48</v>
      </c>
      <c r="S86">
        <v>4</v>
      </c>
      <c r="T86">
        <f>YEAR(Sales_Data_1[[#This Row],[Order_Date]])</f>
        <v>2024</v>
      </c>
      <c r="U86" t="str">
        <f>TEXT(Sales_Data_1[[#This Row],[Order_Date]], "mmm")</f>
        <v>Feb</v>
      </c>
      <c r="V86">
        <f>MONTH(Sales_Data_1[[#This Row],[Order_Date]])</f>
        <v>2</v>
      </c>
      <c r="W86" t="str">
        <f>TEXT(Sales_Data_1[[#This Row],[Order_Date]], "yyyy-mm")</f>
        <v>2024-02</v>
      </c>
      <c r="X86">
        <f>Sales_Data_1[[#This Row],[Sales]]-Sales_Data_1[[#This Row],[Profit_Amount]]</f>
        <v>1088.0999999999999</v>
      </c>
      <c r="Y86" t="str" cm="1">
        <f t="array" ref="Y86">_xlfn.IFS(Sales_Data_1[[#This Row],[Delivery_Days]]&lt;=3, "Fast", Sales_Data_1[[#This Row],[Delivery_Days]]&lt;= 7, "Standard", TRUE, "Delayed")</f>
        <v>Standard</v>
      </c>
      <c r="Z86" t="str" cm="1">
        <f t="array" ref="Z86">_xlfn.IFS(Sales_Data_1[[#This Row],[Profit_Amount]]&gt; 0, "Profitable", Sales_Data_1[[#This Row],[Profit_Amount]] = 0, "Break-Even", TRUE, "Loss")</f>
        <v>Profitable</v>
      </c>
      <c r="AA86" t="str" cm="1">
        <f t="array" ref="AA86">_xlfn.IFS(Sales_Data_1[[#This Row],[Sales]]&gt;= 1000, "High Value", Sales_Data_1[[#This Row],[Sales]]&gt;= 300, "Mid Value", TRUE, "Low Value")</f>
        <v>High Value</v>
      </c>
    </row>
    <row r="87" spans="1:27" x14ac:dyDescent="0.3">
      <c r="A87" t="s">
        <v>2500</v>
      </c>
      <c r="B87" s="1">
        <v>45386</v>
      </c>
      <c r="C87" t="s">
        <v>40</v>
      </c>
      <c r="D87" t="s">
        <v>41</v>
      </c>
      <c r="E87" t="s">
        <v>67</v>
      </c>
      <c r="F87" t="s">
        <v>43</v>
      </c>
      <c r="G87" t="s">
        <v>44</v>
      </c>
      <c r="H87" t="s">
        <v>138</v>
      </c>
      <c r="I87" t="s">
        <v>985</v>
      </c>
      <c r="J87">
        <v>3</v>
      </c>
      <c r="K87">
        <v>905</v>
      </c>
      <c r="L87">
        <v>0.21</v>
      </c>
      <c r="M87">
        <v>714.95</v>
      </c>
      <c r="N87">
        <v>2144.85</v>
      </c>
      <c r="O87">
        <v>0.35</v>
      </c>
      <c r="P87">
        <v>750.7</v>
      </c>
      <c r="Q87" t="s">
        <v>51</v>
      </c>
      <c r="R87" t="s">
        <v>48</v>
      </c>
      <c r="S87">
        <v>5</v>
      </c>
      <c r="T87">
        <f>YEAR(Sales_Data_1[[#This Row],[Order_Date]])</f>
        <v>2024</v>
      </c>
      <c r="U87" t="str">
        <f>TEXT(Sales_Data_1[[#This Row],[Order_Date]], "mmm")</f>
        <v>Apr</v>
      </c>
      <c r="V87">
        <f>MONTH(Sales_Data_1[[#This Row],[Order_Date]])</f>
        <v>4</v>
      </c>
      <c r="W87" t="str">
        <f>TEXT(Sales_Data_1[[#This Row],[Order_Date]], "yyyy-mm")</f>
        <v>2024-04</v>
      </c>
      <c r="X87">
        <f>Sales_Data_1[[#This Row],[Sales]]-Sales_Data_1[[#This Row],[Profit_Amount]]</f>
        <v>1394.1499999999999</v>
      </c>
      <c r="Y87" t="str" cm="1">
        <f t="array" ref="Y87">_xlfn.IFS(Sales_Data_1[[#This Row],[Delivery_Days]]&lt;=3, "Fast", Sales_Data_1[[#This Row],[Delivery_Days]]&lt;= 7, "Standard", TRUE, "Delayed")</f>
        <v>Standard</v>
      </c>
      <c r="Z87" t="str" cm="1">
        <f t="array" ref="Z87">_xlfn.IFS(Sales_Data_1[[#This Row],[Profit_Amount]]&gt; 0, "Profitable", Sales_Data_1[[#This Row],[Profit_Amount]] = 0, "Break-Even", TRUE, "Loss")</f>
        <v>Profitable</v>
      </c>
      <c r="AA87" t="str" cm="1">
        <f t="array" ref="AA87">_xlfn.IFS(Sales_Data_1[[#This Row],[Sales]]&gt;= 1000, "High Value", Sales_Data_1[[#This Row],[Sales]]&gt;= 300, "Mid Value", TRUE, "Low Value")</f>
        <v>High Value</v>
      </c>
    </row>
    <row r="88" spans="1:27" x14ac:dyDescent="0.3">
      <c r="A88" t="s">
        <v>2078</v>
      </c>
      <c r="B88" s="1">
        <v>44964</v>
      </c>
      <c r="C88" t="s">
        <v>20</v>
      </c>
      <c r="D88" t="s">
        <v>56</v>
      </c>
      <c r="E88" t="s">
        <v>2040</v>
      </c>
      <c r="F88" t="s">
        <v>103</v>
      </c>
      <c r="G88" t="s">
        <v>34</v>
      </c>
      <c r="H88" t="s">
        <v>141</v>
      </c>
      <c r="I88" t="s">
        <v>142</v>
      </c>
      <c r="J88">
        <v>4</v>
      </c>
      <c r="K88">
        <v>506</v>
      </c>
      <c r="L88">
        <v>0.06</v>
      </c>
      <c r="M88">
        <v>475.64</v>
      </c>
      <c r="N88">
        <v>1902.56</v>
      </c>
      <c r="O88">
        <v>0.4</v>
      </c>
      <c r="P88">
        <v>761.02</v>
      </c>
      <c r="Q88" t="s">
        <v>27</v>
      </c>
      <c r="R88" t="s">
        <v>48</v>
      </c>
      <c r="S88">
        <v>9</v>
      </c>
      <c r="T88">
        <f>YEAR(Sales_Data_1[[#This Row],[Order_Date]])</f>
        <v>2023</v>
      </c>
      <c r="U88" t="str">
        <f>TEXT(Sales_Data_1[[#This Row],[Order_Date]], "mmm")</f>
        <v>Feb</v>
      </c>
      <c r="V88">
        <f>MONTH(Sales_Data_1[[#This Row],[Order_Date]])</f>
        <v>2</v>
      </c>
      <c r="W88" t="str">
        <f>TEXT(Sales_Data_1[[#This Row],[Order_Date]], "yyyy-mm")</f>
        <v>2023-02</v>
      </c>
      <c r="X88">
        <f>Sales_Data_1[[#This Row],[Sales]]-Sales_Data_1[[#This Row],[Profit_Amount]]</f>
        <v>1141.54</v>
      </c>
      <c r="Y88" t="str" cm="1">
        <f t="array" ref="Y88">_xlfn.IFS(Sales_Data_1[[#This Row],[Delivery_Days]]&lt;=3, "Fast", Sales_Data_1[[#This Row],[Delivery_Days]]&lt;= 7, "Standard", TRUE, "Delayed")</f>
        <v>Delayed</v>
      </c>
      <c r="Z88" t="str" cm="1">
        <f t="array" ref="Z88">_xlfn.IFS(Sales_Data_1[[#This Row],[Profit_Amount]]&gt; 0, "Profitable", Sales_Data_1[[#This Row],[Profit_Amount]] = 0, "Break-Even", TRUE, "Loss")</f>
        <v>Profitable</v>
      </c>
      <c r="AA88" t="str" cm="1">
        <f t="array" ref="AA88">_xlfn.IFS(Sales_Data_1[[#This Row],[Sales]]&gt;= 1000, "High Value", Sales_Data_1[[#This Row],[Sales]]&gt;= 300, "Mid Value", TRUE, "Low Value")</f>
        <v>High Value</v>
      </c>
    </row>
    <row r="89" spans="1:27" x14ac:dyDescent="0.3">
      <c r="A89" t="s">
        <v>2886</v>
      </c>
      <c r="B89" s="1">
        <v>45772</v>
      </c>
      <c r="C89" t="s">
        <v>40</v>
      </c>
      <c r="D89" t="s">
        <v>21</v>
      </c>
      <c r="E89" t="s">
        <v>67</v>
      </c>
      <c r="F89" t="s">
        <v>33</v>
      </c>
      <c r="G89" t="s">
        <v>34</v>
      </c>
      <c r="H89" t="s">
        <v>71</v>
      </c>
      <c r="I89" t="s">
        <v>1742</v>
      </c>
      <c r="J89">
        <v>3</v>
      </c>
      <c r="K89">
        <v>780</v>
      </c>
      <c r="L89">
        <v>0.17</v>
      </c>
      <c r="M89">
        <v>647.4</v>
      </c>
      <c r="N89">
        <v>1942.2</v>
      </c>
      <c r="O89">
        <v>0.4</v>
      </c>
      <c r="P89">
        <v>776.88</v>
      </c>
      <c r="Q89" t="s">
        <v>51</v>
      </c>
      <c r="R89" t="s">
        <v>48</v>
      </c>
      <c r="S89">
        <v>1</v>
      </c>
      <c r="T89">
        <f>YEAR(Sales_Data_1[[#This Row],[Order_Date]])</f>
        <v>2025</v>
      </c>
      <c r="U89" t="str">
        <f>TEXT(Sales_Data_1[[#This Row],[Order_Date]], "mmm")</f>
        <v>Apr</v>
      </c>
      <c r="V89">
        <f>MONTH(Sales_Data_1[[#This Row],[Order_Date]])</f>
        <v>4</v>
      </c>
      <c r="W89" t="str">
        <f>TEXT(Sales_Data_1[[#This Row],[Order_Date]], "yyyy-mm")</f>
        <v>2025-04</v>
      </c>
      <c r="X89">
        <f>Sales_Data_1[[#This Row],[Sales]]-Sales_Data_1[[#This Row],[Profit_Amount]]</f>
        <v>1165.3200000000002</v>
      </c>
      <c r="Y89" t="str" cm="1">
        <f t="array" ref="Y89">_xlfn.IFS(Sales_Data_1[[#This Row],[Delivery_Days]]&lt;=3, "Fast", Sales_Data_1[[#This Row],[Delivery_Days]]&lt;= 7, "Standard", TRUE, "Delayed")</f>
        <v>Fast</v>
      </c>
      <c r="Z89" t="str" cm="1">
        <f t="array" ref="Z89">_xlfn.IFS(Sales_Data_1[[#This Row],[Profit_Amount]]&gt; 0, "Profitable", Sales_Data_1[[#This Row],[Profit_Amount]] = 0, "Break-Even", TRUE, "Loss")</f>
        <v>Profitable</v>
      </c>
      <c r="AA89" t="str" cm="1">
        <f t="array" ref="AA89">_xlfn.IFS(Sales_Data_1[[#This Row],[Sales]]&gt;= 1000, "High Value", Sales_Data_1[[#This Row],[Sales]]&gt;= 300, "Mid Value", TRUE, "Low Value")</f>
        <v>High Value</v>
      </c>
    </row>
    <row r="90" spans="1:27" x14ac:dyDescent="0.3">
      <c r="A90" t="s">
        <v>2309</v>
      </c>
      <c r="B90" s="1">
        <v>45195</v>
      </c>
      <c r="C90" t="s">
        <v>55</v>
      </c>
      <c r="D90" t="s">
        <v>21</v>
      </c>
      <c r="E90" t="s">
        <v>67</v>
      </c>
      <c r="F90" t="s">
        <v>23</v>
      </c>
      <c r="G90" t="s">
        <v>34</v>
      </c>
      <c r="H90" t="s">
        <v>141</v>
      </c>
      <c r="I90" t="s">
        <v>608</v>
      </c>
      <c r="J90">
        <v>2</v>
      </c>
      <c r="K90">
        <v>982</v>
      </c>
      <c r="L90">
        <v>0.01</v>
      </c>
      <c r="M90">
        <v>972.18</v>
      </c>
      <c r="N90">
        <v>1944.36</v>
      </c>
      <c r="O90">
        <v>0.4</v>
      </c>
      <c r="P90">
        <v>777.74</v>
      </c>
      <c r="Q90" t="s">
        <v>37</v>
      </c>
      <c r="R90" t="s">
        <v>48</v>
      </c>
      <c r="S90">
        <v>1</v>
      </c>
      <c r="T90">
        <f>YEAR(Sales_Data_1[[#This Row],[Order_Date]])</f>
        <v>2023</v>
      </c>
      <c r="U90" t="str">
        <f>TEXT(Sales_Data_1[[#This Row],[Order_Date]], "mmm")</f>
        <v>Sep</v>
      </c>
      <c r="V90">
        <f>MONTH(Sales_Data_1[[#This Row],[Order_Date]])</f>
        <v>9</v>
      </c>
      <c r="W90" t="str">
        <f>TEXT(Sales_Data_1[[#This Row],[Order_Date]], "yyyy-mm")</f>
        <v>2023-09</v>
      </c>
      <c r="X90">
        <f>Sales_Data_1[[#This Row],[Sales]]-Sales_Data_1[[#This Row],[Profit_Amount]]</f>
        <v>1166.6199999999999</v>
      </c>
      <c r="Y90" t="str" cm="1">
        <f t="array" ref="Y90">_xlfn.IFS(Sales_Data_1[[#This Row],[Delivery_Days]]&lt;=3, "Fast", Sales_Data_1[[#This Row],[Delivery_Days]]&lt;= 7, "Standard", TRUE, "Delayed")</f>
        <v>Fast</v>
      </c>
      <c r="Z90" t="str" cm="1">
        <f t="array" ref="Z90">_xlfn.IFS(Sales_Data_1[[#This Row],[Profit_Amount]]&gt; 0, "Profitable", Sales_Data_1[[#This Row],[Profit_Amount]] = 0, "Break-Even", TRUE, "Loss")</f>
        <v>Profitable</v>
      </c>
      <c r="AA90" t="str" cm="1">
        <f t="array" ref="AA90">_xlfn.IFS(Sales_Data_1[[#This Row],[Sales]]&gt;= 1000, "High Value", Sales_Data_1[[#This Row],[Sales]]&gt;= 300, "Mid Value", TRUE, "Low Value")</f>
        <v>High Value</v>
      </c>
    </row>
    <row r="91" spans="1:27" x14ac:dyDescent="0.3">
      <c r="A91" t="s">
        <v>2062</v>
      </c>
      <c r="B91" s="1">
        <v>44948</v>
      </c>
      <c r="C91" t="s">
        <v>96</v>
      </c>
      <c r="D91" t="s">
        <v>21</v>
      </c>
      <c r="E91" t="s">
        <v>2042</v>
      </c>
      <c r="F91" t="s">
        <v>103</v>
      </c>
      <c r="G91" t="s">
        <v>34</v>
      </c>
      <c r="H91" t="s">
        <v>104</v>
      </c>
      <c r="I91" t="s">
        <v>105</v>
      </c>
      <c r="J91">
        <v>9</v>
      </c>
      <c r="K91">
        <v>221</v>
      </c>
      <c r="L91">
        <v>0.01</v>
      </c>
      <c r="M91">
        <v>218.79</v>
      </c>
      <c r="N91">
        <v>1969.11</v>
      </c>
      <c r="O91">
        <v>0.4</v>
      </c>
      <c r="P91">
        <v>787.64</v>
      </c>
      <c r="Q91" t="s">
        <v>51</v>
      </c>
      <c r="R91" t="s">
        <v>48</v>
      </c>
      <c r="S91">
        <v>9</v>
      </c>
      <c r="T91">
        <f>YEAR(Sales_Data_1[[#This Row],[Order_Date]])</f>
        <v>2023</v>
      </c>
      <c r="U91" t="str">
        <f>TEXT(Sales_Data_1[[#This Row],[Order_Date]], "mmm")</f>
        <v>Jan</v>
      </c>
      <c r="V91">
        <f>MONTH(Sales_Data_1[[#This Row],[Order_Date]])</f>
        <v>1</v>
      </c>
      <c r="W91" t="str">
        <f>TEXT(Sales_Data_1[[#This Row],[Order_Date]], "yyyy-mm")</f>
        <v>2023-01</v>
      </c>
      <c r="X91">
        <f>Sales_Data_1[[#This Row],[Sales]]-Sales_Data_1[[#This Row],[Profit_Amount]]</f>
        <v>1181.4699999999998</v>
      </c>
      <c r="Y91" t="str" cm="1">
        <f t="array" ref="Y91">_xlfn.IFS(Sales_Data_1[[#This Row],[Delivery_Days]]&lt;=3, "Fast", Sales_Data_1[[#This Row],[Delivery_Days]]&lt;= 7, "Standard", TRUE, "Delayed")</f>
        <v>Delayed</v>
      </c>
      <c r="Z91" t="str" cm="1">
        <f t="array" ref="Z91">_xlfn.IFS(Sales_Data_1[[#This Row],[Profit_Amount]]&gt; 0, "Profitable", Sales_Data_1[[#This Row],[Profit_Amount]] = 0, "Break-Even", TRUE, "Loss")</f>
        <v>Profitable</v>
      </c>
      <c r="AA91" t="str" cm="1">
        <f t="array" ref="AA91">_xlfn.IFS(Sales_Data_1[[#This Row],[Sales]]&gt;= 1000, "High Value", Sales_Data_1[[#This Row],[Sales]]&gt;= 300, "Mid Value", TRUE, "Low Value")</f>
        <v>High Value</v>
      </c>
    </row>
    <row r="92" spans="1:27" x14ac:dyDescent="0.3">
      <c r="A92" t="s">
        <v>2772</v>
      </c>
      <c r="B92" s="1">
        <v>45658</v>
      </c>
      <c r="C92" t="s">
        <v>20</v>
      </c>
      <c r="D92" t="s">
        <v>21</v>
      </c>
      <c r="E92" t="s">
        <v>2040</v>
      </c>
      <c r="F92" t="s">
        <v>97</v>
      </c>
      <c r="G92" t="s">
        <v>34</v>
      </c>
      <c r="H92" t="s">
        <v>35</v>
      </c>
      <c r="I92" t="s">
        <v>1518</v>
      </c>
      <c r="J92">
        <v>2</v>
      </c>
      <c r="K92">
        <v>1351</v>
      </c>
      <c r="L92">
        <v>0.24</v>
      </c>
      <c r="M92">
        <v>1026.76</v>
      </c>
      <c r="N92">
        <v>2053.52</v>
      </c>
      <c r="O92">
        <v>0.4</v>
      </c>
      <c r="P92">
        <v>821.41</v>
      </c>
      <c r="Q92" t="s">
        <v>51</v>
      </c>
      <c r="R92" t="s">
        <v>48</v>
      </c>
      <c r="S92">
        <v>6</v>
      </c>
      <c r="T92">
        <f>YEAR(Sales_Data_1[[#This Row],[Order_Date]])</f>
        <v>2025</v>
      </c>
      <c r="U92" t="str">
        <f>TEXT(Sales_Data_1[[#This Row],[Order_Date]], "mmm")</f>
        <v>Jan</v>
      </c>
      <c r="V92">
        <f>MONTH(Sales_Data_1[[#This Row],[Order_Date]])</f>
        <v>1</v>
      </c>
      <c r="W92" t="str">
        <f>TEXT(Sales_Data_1[[#This Row],[Order_Date]], "yyyy-mm")</f>
        <v>2025-01</v>
      </c>
      <c r="X92">
        <f>Sales_Data_1[[#This Row],[Sales]]-Sales_Data_1[[#This Row],[Profit_Amount]]</f>
        <v>1232.1100000000001</v>
      </c>
      <c r="Y92" t="str" cm="1">
        <f t="array" ref="Y92">_xlfn.IFS(Sales_Data_1[[#This Row],[Delivery_Days]]&lt;=3, "Fast", Sales_Data_1[[#This Row],[Delivery_Days]]&lt;= 7, "Standard", TRUE, "Delayed")</f>
        <v>Standard</v>
      </c>
      <c r="Z92" t="str" cm="1">
        <f t="array" ref="Z92">_xlfn.IFS(Sales_Data_1[[#This Row],[Profit_Amount]]&gt; 0, "Profitable", Sales_Data_1[[#This Row],[Profit_Amount]] = 0, "Break-Even", TRUE, "Loss")</f>
        <v>Profitable</v>
      </c>
      <c r="AA92" t="str" cm="1">
        <f t="array" ref="AA92">_xlfn.IFS(Sales_Data_1[[#This Row],[Sales]]&gt;= 1000, "High Value", Sales_Data_1[[#This Row],[Sales]]&gt;= 300, "Mid Value", TRUE, "Low Value")</f>
        <v>High Value</v>
      </c>
    </row>
    <row r="93" spans="1:27" x14ac:dyDescent="0.3">
      <c r="A93" t="s">
        <v>2564</v>
      </c>
      <c r="B93" s="1">
        <v>45450</v>
      </c>
      <c r="C93" t="s">
        <v>63</v>
      </c>
      <c r="D93" t="s">
        <v>31</v>
      </c>
      <c r="E93" t="s">
        <v>42</v>
      </c>
      <c r="F93" t="s">
        <v>43</v>
      </c>
      <c r="G93" t="s">
        <v>44</v>
      </c>
      <c r="H93" t="s">
        <v>116</v>
      </c>
      <c r="I93" t="s">
        <v>1111</v>
      </c>
      <c r="J93">
        <v>2</v>
      </c>
      <c r="K93">
        <v>1189</v>
      </c>
      <c r="L93">
        <v>0.01</v>
      </c>
      <c r="M93">
        <v>1177.1099999999999</v>
      </c>
      <c r="N93">
        <v>2354.2199999999998</v>
      </c>
      <c r="O93">
        <v>0.35</v>
      </c>
      <c r="P93">
        <v>823.98</v>
      </c>
      <c r="Q93" t="s">
        <v>27</v>
      </c>
      <c r="R93" t="s">
        <v>48</v>
      </c>
      <c r="S93">
        <v>7</v>
      </c>
      <c r="T93">
        <f>YEAR(Sales_Data_1[[#This Row],[Order_Date]])</f>
        <v>2024</v>
      </c>
      <c r="U93" t="str">
        <f>TEXT(Sales_Data_1[[#This Row],[Order_Date]], "mmm")</f>
        <v>Jun</v>
      </c>
      <c r="V93">
        <f>MONTH(Sales_Data_1[[#This Row],[Order_Date]])</f>
        <v>6</v>
      </c>
      <c r="W93" t="str">
        <f>TEXT(Sales_Data_1[[#This Row],[Order_Date]], "yyyy-mm")</f>
        <v>2024-06</v>
      </c>
      <c r="X93">
        <f>Sales_Data_1[[#This Row],[Sales]]-Sales_Data_1[[#This Row],[Profit_Amount]]</f>
        <v>1530.2399999999998</v>
      </c>
      <c r="Y93" t="str" cm="1">
        <f t="array" ref="Y93">_xlfn.IFS(Sales_Data_1[[#This Row],[Delivery_Days]]&lt;=3, "Fast", Sales_Data_1[[#This Row],[Delivery_Days]]&lt;= 7, "Standard", TRUE, "Delayed")</f>
        <v>Standard</v>
      </c>
      <c r="Z93" t="str" cm="1">
        <f t="array" ref="Z93">_xlfn.IFS(Sales_Data_1[[#This Row],[Profit_Amount]]&gt; 0, "Profitable", Sales_Data_1[[#This Row],[Profit_Amount]] = 0, "Break-Even", TRUE, "Loss")</f>
        <v>Profitable</v>
      </c>
      <c r="AA93" t="str" cm="1">
        <f t="array" ref="AA93">_xlfn.IFS(Sales_Data_1[[#This Row],[Sales]]&gt;= 1000, "High Value", Sales_Data_1[[#This Row],[Sales]]&gt;= 300, "Mid Value", TRUE, "Low Value")</f>
        <v>High Value</v>
      </c>
    </row>
    <row r="94" spans="1:27" x14ac:dyDescent="0.3">
      <c r="A94" t="s">
        <v>2327</v>
      </c>
      <c r="B94" s="1">
        <v>45213</v>
      </c>
      <c r="C94" t="s">
        <v>30</v>
      </c>
      <c r="D94" t="s">
        <v>31</v>
      </c>
      <c r="E94" t="s">
        <v>67</v>
      </c>
      <c r="F94" t="s">
        <v>68</v>
      </c>
      <c r="G94" t="s">
        <v>24</v>
      </c>
      <c r="H94" t="s">
        <v>25</v>
      </c>
      <c r="I94" t="s">
        <v>644</v>
      </c>
      <c r="J94">
        <v>3</v>
      </c>
      <c r="K94">
        <v>1140</v>
      </c>
      <c r="L94">
        <v>0.03</v>
      </c>
      <c r="M94">
        <v>1105.8</v>
      </c>
      <c r="N94">
        <v>3317.4</v>
      </c>
      <c r="O94">
        <v>0.25</v>
      </c>
      <c r="P94">
        <v>829.35</v>
      </c>
      <c r="Q94" t="s">
        <v>27</v>
      </c>
      <c r="R94" t="s">
        <v>48</v>
      </c>
      <c r="S94">
        <v>8</v>
      </c>
      <c r="T94">
        <f>YEAR(Sales_Data_1[[#This Row],[Order_Date]])</f>
        <v>2023</v>
      </c>
      <c r="U94" t="str">
        <f>TEXT(Sales_Data_1[[#This Row],[Order_Date]], "mmm")</f>
        <v>Oct</v>
      </c>
      <c r="V94">
        <f>MONTH(Sales_Data_1[[#This Row],[Order_Date]])</f>
        <v>10</v>
      </c>
      <c r="W94" t="str">
        <f>TEXT(Sales_Data_1[[#This Row],[Order_Date]], "yyyy-mm")</f>
        <v>2023-10</v>
      </c>
      <c r="X94">
        <f>Sales_Data_1[[#This Row],[Sales]]-Sales_Data_1[[#This Row],[Profit_Amount]]</f>
        <v>2488.0500000000002</v>
      </c>
      <c r="Y94" t="str" cm="1">
        <f t="array" ref="Y94">_xlfn.IFS(Sales_Data_1[[#This Row],[Delivery_Days]]&lt;=3, "Fast", Sales_Data_1[[#This Row],[Delivery_Days]]&lt;= 7, "Standard", TRUE, "Delayed")</f>
        <v>Delayed</v>
      </c>
      <c r="Z94" t="str" cm="1">
        <f t="array" ref="Z94">_xlfn.IFS(Sales_Data_1[[#This Row],[Profit_Amount]]&gt; 0, "Profitable", Sales_Data_1[[#This Row],[Profit_Amount]] = 0, "Break-Even", TRUE, "Loss")</f>
        <v>Profitable</v>
      </c>
      <c r="AA94" t="str" cm="1">
        <f t="array" ref="AA94">_xlfn.IFS(Sales_Data_1[[#This Row],[Sales]]&gt;= 1000, "High Value", Sales_Data_1[[#This Row],[Sales]]&gt;= 300, "Mid Value", TRUE, "Low Value")</f>
        <v>High Value</v>
      </c>
    </row>
    <row r="95" spans="1:27" x14ac:dyDescent="0.3">
      <c r="A95" t="s">
        <v>2738</v>
      </c>
      <c r="B95" s="1">
        <v>45624</v>
      </c>
      <c r="C95" t="s">
        <v>55</v>
      </c>
      <c r="D95" t="s">
        <v>21</v>
      </c>
      <c r="E95" t="s">
        <v>2042</v>
      </c>
      <c r="F95" t="s">
        <v>43</v>
      </c>
      <c r="G95" t="s">
        <v>57</v>
      </c>
      <c r="H95" t="s">
        <v>58</v>
      </c>
      <c r="I95" t="s">
        <v>1452</v>
      </c>
      <c r="J95">
        <v>1</v>
      </c>
      <c r="K95">
        <v>4196</v>
      </c>
      <c r="L95">
        <v>0.01</v>
      </c>
      <c r="M95">
        <v>4154.04</v>
      </c>
      <c r="N95">
        <v>4154.04</v>
      </c>
      <c r="O95">
        <v>0.2</v>
      </c>
      <c r="P95">
        <v>830.81</v>
      </c>
      <c r="Q95" t="s">
        <v>27</v>
      </c>
      <c r="R95" t="s">
        <v>48</v>
      </c>
      <c r="S95">
        <v>9</v>
      </c>
      <c r="T95">
        <f>YEAR(Sales_Data_1[[#This Row],[Order_Date]])</f>
        <v>2024</v>
      </c>
      <c r="U95" t="str">
        <f>TEXT(Sales_Data_1[[#This Row],[Order_Date]], "mmm")</f>
        <v>Nov</v>
      </c>
      <c r="V95">
        <f>MONTH(Sales_Data_1[[#This Row],[Order_Date]])</f>
        <v>11</v>
      </c>
      <c r="W95" t="str">
        <f>TEXT(Sales_Data_1[[#This Row],[Order_Date]], "yyyy-mm")</f>
        <v>2024-11</v>
      </c>
      <c r="X95">
        <f>Sales_Data_1[[#This Row],[Sales]]-Sales_Data_1[[#This Row],[Profit_Amount]]</f>
        <v>3323.23</v>
      </c>
      <c r="Y95" t="str" cm="1">
        <f t="array" ref="Y95">_xlfn.IFS(Sales_Data_1[[#This Row],[Delivery_Days]]&lt;=3, "Fast", Sales_Data_1[[#This Row],[Delivery_Days]]&lt;= 7, "Standard", TRUE, "Delayed")</f>
        <v>Delayed</v>
      </c>
      <c r="Z95" t="str" cm="1">
        <f t="array" ref="Z95">_xlfn.IFS(Sales_Data_1[[#This Row],[Profit_Amount]]&gt; 0, "Profitable", Sales_Data_1[[#This Row],[Profit_Amount]] = 0, "Break-Even", TRUE, "Loss")</f>
        <v>Profitable</v>
      </c>
      <c r="AA95" t="str" cm="1">
        <f t="array" ref="AA95">_xlfn.IFS(Sales_Data_1[[#This Row],[Sales]]&gt;= 1000, "High Value", Sales_Data_1[[#This Row],[Sales]]&gt;= 300, "Mid Value", TRUE, "Low Value")</f>
        <v>High Value</v>
      </c>
    </row>
    <row r="96" spans="1:27" x14ac:dyDescent="0.3">
      <c r="A96" t="s">
        <v>2268</v>
      </c>
      <c r="B96" s="1">
        <v>45154</v>
      </c>
      <c r="C96" t="s">
        <v>20</v>
      </c>
      <c r="D96" t="s">
        <v>21</v>
      </c>
      <c r="E96" t="s">
        <v>2040</v>
      </c>
      <c r="F96" t="s">
        <v>68</v>
      </c>
      <c r="G96" t="s">
        <v>57</v>
      </c>
      <c r="H96" t="s">
        <v>81</v>
      </c>
      <c r="I96" t="s">
        <v>526</v>
      </c>
      <c r="J96">
        <v>1</v>
      </c>
      <c r="K96">
        <v>5553</v>
      </c>
      <c r="L96">
        <v>0.24</v>
      </c>
      <c r="M96">
        <v>4220.28</v>
      </c>
      <c r="N96">
        <v>4220.28</v>
      </c>
      <c r="O96">
        <v>0.2</v>
      </c>
      <c r="P96">
        <v>844.06</v>
      </c>
      <c r="Q96" t="s">
        <v>27</v>
      </c>
      <c r="R96" t="s">
        <v>48</v>
      </c>
      <c r="S96">
        <v>4</v>
      </c>
      <c r="T96">
        <f>YEAR(Sales_Data_1[[#This Row],[Order_Date]])</f>
        <v>2023</v>
      </c>
      <c r="U96" t="str">
        <f>TEXT(Sales_Data_1[[#This Row],[Order_Date]], "mmm")</f>
        <v>Aug</v>
      </c>
      <c r="V96">
        <f>MONTH(Sales_Data_1[[#This Row],[Order_Date]])</f>
        <v>8</v>
      </c>
      <c r="W96" t="str">
        <f>TEXT(Sales_Data_1[[#This Row],[Order_Date]], "yyyy-mm")</f>
        <v>2023-08</v>
      </c>
      <c r="X96">
        <f>Sales_Data_1[[#This Row],[Sales]]-Sales_Data_1[[#This Row],[Profit_Amount]]</f>
        <v>3376.22</v>
      </c>
      <c r="Y96" t="str" cm="1">
        <f t="array" ref="Y96">_xlfn.IFS(Sales_Data_1[[#This Row],[Delivery_Days]]&lt;=3, "Fast", Sales_Data_1[[#This Row],[Delivery_Days]]&lt;= 7, "Standard", TRUE, "Delayed")</f>
        <v>Standard</v>
      </c>
      <c r="Z96" t="str" cm="1">
        <f t="array" ref="Z96">_xlfn.IFS(Sales_Data_1[[#This Row],[Profit_Amount]]&gt; 0, "Profitable", Sales_Data_1[[#This Row],[Profit_Amount]] = 0, "Break-Even", TRUE, "Loss")</f>
        <v>Profitable</v>
      </c>
      <c r="AA96" t="str" cm="1">
        <f t="array" ref="AA96">_xlfn.IFS(Sales_Data_1[[#This Row],[Sales]]&gt;= 1000, "High Value", Sales_Data_1[[#This Row],[Sales]]&gt;= 300, "Mid Value", TRUE, "Low Value")</f>
        <v>High Value</v>
      </c>
    </row>
    <row r="97" spans="1:27" x14ac:dyDescent="0.3">
      <c r="A97" t="s">
        <v>3010</v>
      </c>
      <c r="B97" s="1">
        <v>45896</v>
      </c>
      <c r="C97" t="s">
        <v>63</v>
      </c>
      <c r="D97" t="s">
        <v>21</v>
      </c>
      <c r="E97" t="s">
        <v>67</v>
      </c>
      <c r="F97" t="s">
        <v>97</v>
      </c>
      <c r="G97" t="s">
        <v>34</v>
      </c>
      <c r="H97" t="s">
        <v>35</v>
      </c>
      <c r="I97" t="s">
        <v>1979</v>
      </c>
      <c r="J97">
        <v>9</v>
      </c>
      <c r="K97">
        <v>257</v>
      </c>
      <c r="L97">
        <v>0.08</v>
      </c>
      <c r="M97">
        <v>236.44</v>
      </c>
      <c r="N97">
        <v>2127.96</v>
      </c>
      <c r="O97">
        <v>0.4</v>
      </c>
      <c r="P97">
        <v>851.18</v>
      </c>
      <c r="Q97" t="s">
        <v>37</v>
      </c>
      <c r="R97" t="s">
        <v>38</v>
      </c>
      <c r="S97">
        <v>3</v>
      </c>
      <c r="T97">
        <f>YEAR(Sales_Data_1[[#This Row],[Order_Date]])</f>
        <v>2025</v>
      </c>
      <c r="U97" t="str">
        <f>TEXT(Sales_Data_1[[#This Row],[Order_Date]], "mmm")</f>
        <v>Aug</v>
      </c>
      <c r="V97">
        <f>MONTH(Sales_Data_1[[#This Row],[Order_Date]])</f>
        <v>8</v>
      </c>
      <c r="W97" t="str">
        <f>TEXT(Sales_Data_1[[#This Row],[Order_Date]], "yyyy-mm")</f>
        <v>2025-08</v>
      </c>
      <c r="X97">
        <f>Sales_Data_1[[#This Row],[Sales]]-Sales_Data_1[[#This Row],[Profit_Amount]]</f>
        <v>1276.7800000000002</v>
      </c>
      <c r="Y97" t="str" cm="1">
        <f t="array" ref="Y97">_xlfn.IFS(Sales_Data_1[[#This Row],[Delivery_Days]]&lt;=3, "Fast", Sales_Data_1[[#This Row],[Delivery_Days]]&lt;= 7, "Standard", TRUE, "Delayed")</f>
        <v>Fast</v>
      </c>
      <c r="Z97" t="str" cm="1">
        <f t="array" ref="Z97">_xlfn.IFS(Sales_Data_1[[#This Row],[Profit_Amount]]&gt; 0, "Profitable", Sales_Data_1[[#This Row],[Profit_Amount]] = 0, "Break-Even", TRUE, "Loss")</f>
        <v>Profitable</v>
      </c>
      <c r="AA97" t="str" cm="1">
        <f t="array" ref="AA97">_xlfn.IFS(Sales_Data_1[[#This Row],[Sales]]&gt;= 1000, "High Value", Sales_Data_1[[#This Row],[Sales]]&gt;= 300, "Mid Value", TRUE, "Low Value")</f>
        <v>High Value</v>
      </c>
    </row>
    <row r="98" spans="1:27" x14ac:dyDescent="0.3">
      <c r="A98" t="s">
        <v>2496</v>
      </c>
      <c r="B98" s="1">
        <v>45382</v>
      </c>
      <c r="C98" t="s">
        <v>20</v>
      </c>
      <c r="D98" t="s">
        <v>41</v>
      </c>
      <c r="E98" t="s">
        <v>2040</v>
      </c>
      <c r="F98" t="s">
        <v>97</v>
      </c>
      <c r="G98" t="s">
        <v>57</v>
      </c>
      <c r="H98" t="s">
        <v>81</v>
      </c>
      <c r="I98" t="s">
        <v>977</v>
      </c>
      <c r="J98">
        <v>1</v>
      </c>
      <c r="K98">
        <v>5267</v>
      </c>
      <c r="L98">
        <v>0.19</v>
      </c>
      <c r="M98">
        <v>4266.2700000000004</v>
      </c>
      <c r="N98">
        <v>4266.2700000000004</v>
      </c>
      <c r="O98">
        <v>0.2</v>
      </c>
      <c r="P98">
        <v>853.25</v>
      </c>
      <c r="Q98" t="s">
        <v>47</v>
      </c>
      <c r="R98" t="s">
        <v>48</v>
      </c>
      <c r="S98">
        <v>6</v>
      </c>
      <c r="T98">
        <f>YEAR(Sales_Data_1[[#This Row],[Order_Date]])</f>
        <v>2024</v>
      </c>
      <c r="U98" t="str">
        <f>TEXT(Sales_Data_1[[#This Row],[Order_Date]], "mmm")</f>
        <v>Mar</v>
      </c>
      <c r="V98">
        <f>MONTH(Sales_Data_1[[#This Row],[Order_Date]])</f>
        <v>3</v>
      </c>
      <c r="W98" t="str">
        <f>TEXT(Sales_Data_1[[#This Row],[Order_Date]], "yyyy-mm")</f>
        <v>2024-03</v>
      </c>
      <c r="X98">
        <f>Sales_Data_1[[#This Row],[Sales]]-Sales_Data_1[[#This Row],[Profit_Amount]]</f>
        <v>3413.0200000000004</v>
      </c>
      <c r="Y98" t="str" cm="1">
        <f t="array" ref="Y98">_xlfn.IFS(Sales_Data_1[[#This Row],[Delivery_Days]]&lt;=3, "Fast", Sales_Data_1[[#This Row],[Delivery_Days]]&lt;= 7, "Standard", TRUE, "Delayed")</f>
        <v>Standard</v>
      </c>
      <c r="Z98" t="str" cm="1">
        <f t="array" ref="Z98">_xlfn.IFS(Sales_Data_1[[#This Row],[Profit_Amount]]&gt; 0, "Profitable", Sales_Data_1[[#This Row],[Profit_Amount]] = 0, "Break-Even", TRUE, "Loss")</f>
        <v>Profitable</v>
      </c>
      <c r="AA98" t="str" cm="1">
        <f t="array" ref="AA98">_xlfn.IFS(Sales_Data_1[[#This Row],[Sales]]&gt;= 1000, "High Value", Sales_Data_1[[#This Row],[Sales]]&gt;= 300, "Mid Value", TRUE, "Low Value")</f>
        <v>High Value</v>
      </c>
    </row>
    <row r="99" spans="1:27" x14ac:dyDescent="0.3">
      <c r="A99" t="s">
        <v>3030</v>
      </c>
      <c r="B99" s="1">
        <v>45916</v>
      </c>
      <c r="C99" t="s">
        <v>40</v>
      </c>
      <c r="D99" t="s">
        <v>21</v>
      </c>
      <c r="E99" t="s">
        <v>2040</v>
      </c>
      <c r="F99" t="s">
        <v>97</v>
      </c>
      <c r="G99" t="s">
        <v>57</v>
      </c>
      <c r="H99" t="s">
        <v>81</v>
      </c>
      <c r="I99" t="s">
        <v>2019</v>
      </c>
      <c r="J99">
        <v>1</v>
      </c>
      <c r="K99">
        <v>4551</v>
      </c>
      <c r="L99">
        <v>0.06</v>
      </c>
      <c r="M99">
        <v>4277.9399999999996</v>
      </c>
      <c r="N99">
        <v>4277.9399999999996</v>
      </c>
      <c r="O99">
        <v>0.2</v>
      </c>
      <c r="P99">
        <v>855.59</v>
      </c>
      <c r="Q99" t="s">
        <v>47</v>
      </c>
      <c r="R99" t="s">
        <v>48</v>
      </c>
      <c r="S99">
        <v>1</v>
      </c>
      <c r="T99">
        <f>YEAR(Sales_Data_1[[#This Row],[Order_Date]])</f>
        <v>2025</v>
      </c>
      <c r="U99" t="str">
        <f>TEXT(Sales_Data_1[[#This Row],[Order_Date]], "mmm")</f>
        <v>Sep</v>
      </c>
      <c r="V99">
        <f>MONTH(Sales_Data_1[[#This Row],[Order_Date]])</f>
        <v>9</v>
      </c>
      <c r="W99" t="str">
        <f>TEXT(Sales_Data_1[[#This Row],[Order_Date]], "yyyy-mm")</f>
        <v>2025-09</v>
      </c>
      <c r="X99">
        <f>Sales_Data_1[[#This Row],[Sales]]-Sales_Data_1[[#This Row],[Profit_Amount]]</f>
        <v>3422.3499999999995</v>
      </c>
      <c r="Y99" t="str" cm="1">
        <f t="array" ref="Y99">_xlfn.IFS(Sales_Data_1[[#This Row],[Delivery_Days]]&lt;=3, "Fast", Sales_Data_1[[#This Row],[Delivery_Days]]&lt;= 7, "Standard", TRUE, "Delayed")</f>
        <v>Fast</v>
      </c>
      <c r="Z99" t="str" cm="1">
        <f t="array" ref="Z99">_xlfn.IFS(Sales_Data_1[[#This Row],[Profit_Amount]]&gt; 0, "Profitable", Sales_Data_1[[#This Row],[Profit_Amount]] = 0, "Break-Even", TRUE, "Loss")</f>
        <v>Profitable</v>
      </c>
      <c r="AA99" t="str" cm="1">
        <f t="array" ref="AA99">_xlfn.IFS(Sales_Data_1[[#This Row],[Sales]]&gt;= 1000, "High Value", Sales_Data_1[[#This Row],[Sales]]&gt;= 300, "Mid Value", TRUE, "Low Value")</f>
        <v>High Value</v>
      </c>
    </row>
    <row r="100" spans="1:27" x14ac:dyDescent="0.3">
      <c r="A100" t="s">
        <v>2747</v>
      </c>
      <c r="B100" s="1">
        <v>45633</v>
      </c>
      <c r="C100" t="s">
        <v>40</v>
      </c>
      <c r="D100" t="s">
        <v>31</v>
      </c>
      <c r="E100" t="s">
        <v>42</v>
      </c>
      <c r="F100" t="s">
        <v>43</v>
      </c>
      <c r="G100" t="s">
        <v>34</v>
      </c>
      <c r="H100" t="s">
        <v>71</v>
      </c>
      <c r="I100" t="s">
        <v>1469</v>
      </c>
      <c r="J100">
        <v>5</v>
      </c>
      <c r="K100">
        <v>434</v>
      </c>
      <c r="L100">
        <v>0.01</v>
      </c>
      <c r="M100">
        <v>429.66</v>
      </c>
      <c r="N100">
        <v>2148.3000000000002</v>
      </c>
      <c r="O100">
        <v>0.4</v>
      </c>
      <c r="P100">
        <v>859.32</v>
      </c>
      <c r="Q100" t="s">
        <v>47</v>
      </c>
      <c r="R100" t="s">
        <v>38</v>
      </c>
      <c r="S100">
        <v>7</v>
      </c>
      <c r="T100">
        <f>YEAR(Sales_Data_1[[#This Row],[Order_Date]])</f>
        <v>2024</v>
      </c>
      <c r="U100" t="str">
        <f>TEXT(Sales_Data_1[[#This Row],[Order_Date]], "mmm")</f>
        <v>Dec</v>
      </c>
      <c r="V100">
        <f>MONTH(Sales_Data_1[[#This Row],[Order_Date]])</f>
        <v>12</v>
      </c>
      <c r="W100" t="str">
        <f>TEXT(Sales_Data_1[[#This Row],[Order_Date]], "yyyy-mm")</f>
        <v>2024-12</v>
      </c>
      <c r="X100">
        <f>Sales_Data_1[[#This Row],[Sales]]-Sales_Data_1[[#This Row],[Profit_Amount]]</f>
        <v>1288.98</v>
      </c>
      <c r="Y100" t="str" cm="1">
        <f t="array" ref="Y100">_xlfn.IFS(Sales_Data_1[[#This Row],[Delivery_Days]]&lt;=3, "Fast", Sales_Data_1[[#This Row],[Delivery_Days]]&lt;= 7, "Standard", TRUE, "Delayed")</f>
        <v>Standard</v>
      </c>
      <c r="Z100" t="str" cm="1">
        <f t="array" ref="Z100">_xlfn.IFS(Sales_Data_1[[#This Row],[Profit_Amount]]&gt; 0, "Profitable", Sales_Data_1[[#This Row],[Profit_Amount]] = 0, "Break-Even", TRUE, "Loss")</f>
        <v>Profitable</v>
      </c>
      <c r="AA100" t="str" cm="1">
        <f t="array" ref="AA100">_xlfn.IFS(Sales_Data_1[[#This Row],[Sales]]&gt;= 1000, "High Value", Sales_Data_1[[#This Row],[Sales]]&gt;= 300, "Mid Value", TRUE, "Low Value")</f>
        <v>High Value</v>
      </c>
    </row>
    <row r="101" spans="1:27" x14ac:dyDescent="0.3">
      <c r="A101" t="s">
        <v>3035</v>
      </c>
      <c r="B101" s="1">
        <v>45921</v>
      </c>
      <c r="C101" t="s">
        <v>96</v>
      </c>
      <c r="D101" t="s">
        <v>56</v>
      </c>
      <c r="E101" t="s">
        <v>42</v>
      </c>
      <c r="F101" t="s">
        <v>68</v>
      </c>
      <c r="G101" t="s">
        <v>34</v>
      </c>
      <c r="H101" t="s">
        <v>141</v>
      </c>
      <c r="I101" t="s">
        <v>2028</v>
      </c>
      <c r="J101">
        <v>6</v>
      </c>
      <c r="K101">
        <v>363</v>
      </c>
      <c r="L101">
        <v>0.01</v>
      </c>
      <c r="M101">
        <v>359.37</v>
      </c>
      <c r="N101">
        <v>2156.2199999999998</v>
      </c>
      <c r="O101">
        <v>0.4</v>
      </c>
      <c r="P101">
        <v>862.49</v>
      </c>
      <c r="Q101" t="s">
        <v>37</v>
      </c>
      <c r="R101" t="s">
        <v>38</v>
      </c>
      <c r="S101">
        <v>8</v>
      </c>
      <c r="T101">
        <f>YEAR(Sales_Data_1[[#This Row],[Order_Date]])</f>
        <v>2025</v>
      </c>
      <c r="U101" t="str">
        <f>TEXT(Sales_Data_1[[#This Row],[Order_Date]], "mmm")</f>
        <v>Sep</v>
      </c>
      <c r="V101">
        <f>MONTH(Sales_Data_1[[#This Row],[Order_Date]])</f>
        <v>9</v>
      </c>
      <c r="W101" t="str">
        <f>TEXT(Sales_Data_1[[#This Row],[Order_Date]], "yyyy-mm")</f>
        <v>2025-09</v>
      </c>
      <c r="X101">
        <f>Sales_Data_1[[#This Row],[Sales]]-Sales_Data_1[[#This Row],[Profit_Amount]]</f>
        <v>1293.7299999999998</v>
      </c>
      <c r="Y101" t="str" cm="1">
        <f t="array" ref="Y101">_xlfn.IFS(Sales_Data_1[[#This Row],[Delivery_Days]]&lt;=3, "Fast", Sales_Data_1[[#This Row],[Delivery_Days]]&lt;= 7, "Standard", TRUE, "Delayed")</f>
        <v>Delayed</v>
      </c>
      <c r="Z101" t="str" cm="1">
        <f t="array" ref="Z101">_xlfn.IFS(Sales_Data_1[[#This Row],[Profit_Amount]]&gt; 0, "Profitable", Sales_Data_1[[#This Row],[Profit_Amount]] = 0, "Break-Even", TRUE, "Loss")</f>
        <v>Profitable</v>
      </c>
      <c r="AA101" t="str" cm="1">
        <f t="array" ref="AA101">_xlfn.IFS(Sales_Data_1[[#This Row],[Sales]]&gt;= 1000, "High Value", Sales_Data_1[[#This Row],[Sales]]&gt;= 300, "Mid Value", TRUE, "Low Value")</f>
        <v>High Value</v>
      </c>
    </row>
    <row r="102" spans="1:27" x14ac:dyDescent="0.3">
      <c r="A102" t="s">
        <v>2058</v>
      </c>
      <c r="B102" s="1">
        <v>44944</v>
      </c>
      <c r="C102" t="s">
        <v>63</v>
      </c>
      <c r="D102" t="s">
        <v>41</v>
      </c>
      <c r="E102" t="s">
        <v>2040</v>
      </c>
      <c r="F102" t="s">
        <v>68</v>
      </c>
      <c r="G102" t="s">
        <v>34</v>
      </c>
      <c r="H102" t="s">
        <v>71</v>
      </c>
      <c r="I102" t="s">
        <v>90</v>
      </c>
      <c r="J102">
        <v>4</v>
      </c>
      <c r="K102">
        <v>658</v>
      </c>
      <c r="L102">
        <v>0.18</v>
      </c>
      <c r="M102">
        <v>539.55999999999995</v>
      </c>
      <c r="N102">
        <v>2158.2399999999998</v>
      </c>
      <c r="O102">
        <v>0.4</v>
      </c>
      <c r="P102">
        <v>863.3</v>
      </c>
      <c r="Q102" t="s">
        <v>37</v>
      </c>
      <c r="R102" t="s">
        <v>48</v>
      </c>
      <c r="S102">
        <v>6</v>
      </c>
      <c r="T102">
        <f>YEAR(Sales_Data_1[[#This Row],[Order_Date]])</f>
        <v>2023</v>
      </c>
      <c r="U102" t="str">
        <f>TEXT(Sales_Data_1[[#This Row],[Order_Date]], "mmm")</f>
        <v>Jan</v>
      </c>
      <c r="V102">
        <f>MONTH(Sales_Data_1[[#This Row],[Order_Date]])</f>
        <v>1</v>
      </c>
      <c r="W102" t="str">
        <f>TEXT(Sales_Data_1[[#This Row],[Order_Date]], "yyyy-mm")</f>
        <v>2023-01</v>
      </c>
      <c r="X102">
        <f>Sales_Data_1[[#This Row],[Sales]]-Sales_Data_1[[#This Row],[Profit_Amount]]</f>
        <v>1294.9399999999998</v>
      </c>
      <c r="Y102" t="str" cm="1">
        <f t="array" ref="Y102">_xlfn.IFS(Sales_Data_1[[#This Row],[Delivery_Days]]&lt;=3, "Fast", Sales_Data_1[[#This Row],[Delivery_Days]]&lt;= 7, "Standard", TRUE, "Delayed")</f>
        <v>Standard</v>
      </c>
      <c r="Z102" t="str" cm="1">
        <f t="array" ref="Z102">_xlfn.IFS(Sales_Data_1[[#This Row],[Profit_Amount]]&gt; 0, "Profitable", Sales_Data_1[[#This Row],[Profit_Amount]] = 0, "Break-Even", TRUE, "Loss")</f>
        <v>Profitable</v>
      </c>
      <c r="AA102" t="str" cm="1">
        <f t="array" ref="AA102">_xlfn.IFS(Sales_Data_1[[#This Row],[Sales]]&gt;= 1000, "High Value", Sales_Data_1[[#This Row],[Sales]]&gt;= 300, "Mid Value", TRUE, "Low Value")</f>
        <v>High Value</v>
      </c>
    </row>
    <row r="103" spans="1:27" x14ac:dyDescent="0.3">
      <c r="A103" t="s">
        <v>2344</v>
      </c>
      <c r="B103" s="1">
        <v>45230</v>
      </c>
      <c r="C103" t="s">
        <v>63</v>
      </c>
      <c r="D103" t="s">
        <v>56</v>
      </c>
      <c r="E103" t="s">
        <v>2042</v>
      </c>
      <c r="F103" t="s">
        <v>68</v>
      </c>
      <c r="G103" t="s">
        <v>34</v>
      </c>
      <c r="H103" t="s">
        <v>71</v>
      </c>
      <c r="I103" t="s">
        <v>677</v>
      </c>
      <c r="J103">
        <v>9</v>
      </c>
      <c r="K103">
        <v>289</v>
      </c>
      <c r="L103">
        <v>0.16</v>
      </c>
      <c r="M103">
        <v>242.76</v>
      </c>
      <c r="N103">
        <v>2184.84</v>
      </c>
      <c r="O103">
        <v>0.4</v>
      </c>
      <c r="P103">
        <v>873.94</v>
      </c>
      <c r="Q103" t="s">
        <v>27</v>
      </c>
      <c r="R103" t="s">
        <v>48</v>
      </c>
      <c r="S103">
        <v>6</v>
      </c>
      <c r="T103">
        <f>YEAR(Sales_Data_1[[#This Row],[Order_Date]])</f>
        <v>2023</v>
      </c>
      <c r="U103" t="str">
        <f>TEXT(Sales_Data_1[[#This Row],[Order_Date]], "mmm")</f>
        <v>Oct</v>
      </c>
      <c r="V103">
        <f>MONTH(Sales_Data_1[[#This Row],[Order_Date]])</f>
        <v>10</v>
      </c>
      <c r="W103" t="str">
        <f>TEXT(Sales_Data_1[[#This Row],[Order_Date]], "yyyy-mm")</f>
        <v>2023-10</v>
      </c>
      <c r="X103">
        <f>Sales_Data_1[[#This Row],[Sales]]-Sales_Data_1[[#This Row],[Profit_Amount]]</f>
        <v>1310.9</v>
      </c>
      <c r="Y103" t="str" cm="1">
        <f t="array" ref="Y103">_xlfn.IFS(Sales_Data_1[[#This Row],[Delivery_Days]]&lt;=3, "Fast", Sales_Data_1[[#This Row],[Delivery_Days]]&lt;= 7, "Standard", TRUE, "Delayed")</f>
        <v>Standard</v>
      </c>
      <c r="Z103" t="str" cm="1">
        <f t="array" ref="Z103">_xlfn.IFS(Sales_Data_1[[#This Row],[Profit_Amount]]&gt; 0, "Profitable", Sales_Data_1[[#This Row],[Profit_Amount]] = 0, "Break-Even", TRUE, "Loss")</f>
        <v>Profitable</v>
      </c>
      <c r="AA103" t="str" cm="1">
        <f t="array" ref="AA103">_xlfn.IFS(Sales_Data_1[[#This Row],[Sales]]&gt;= 1000, "High Value", Sales_Data_1[[#This Row],[Sales]]&gt;= 300, "Mid Value", TRUE, "Low Value")</f>
        <v>High Value</v>
      </c>
    </row>
    <row r="104" spans="1:27" x14ac:dyDescent="0.3">
      <c r="A104" t="s">
        <v>2801</v>
      </c>
      <c r="B104" s="1">
        <v>45687</v>
      </c>
      <c r="C104" t="s">
        <v>20</v>
      </c>
      <c r="D104" t="s">
        <v>41</v>
      </c>
      <c r="E104" t="s">
        <v>67</v>
      </c>
      <c r="F104" t="s">
        <v>23</v>
      </c>
      <c r="G104" t="s">
        <v>44</v>
      </c>
      <c r="H104" t="s">
        <v>138</v>
      </c>
      <c r="I104" t="s">
        <v>1575</v>
      </c>
      <c r="J104">
        <v>2</v>
      </c>
      <c r="K104">
        <v>1624</v>
      </c>
      <c r="L104">
        <v>0.23</v>
      </c>
      <c r="M104">
        <v>1250.48</v>
      </c>
      <c r="N104">
        <v>2500.96</v>
      </c>
      <c r="O104">
        <v>0.35</v>
      </c>
      <c r="P104">
        <v>875.34</v>
      </c>
      <c r="Q104" t="s">
        <v>27</v>
      </c>
      <c r="R104" t="s">
        <v>48</v>
      </c>
      <c r="S104">
        <v>8</v>
      </c>
      <c r="T104">
        <f>YEAR(Sales_Data_1[[#This Row],[Order_Date]])</f>
        <v>2025</v>
      </c>
      <c r="U104" t="str">
        <f>TEXT(Sales_Data_1[[#This Row],[Order_Date]], "mmm")</f>
        <v>Jan</v>
      </c>
      <c r="V104">
        <f>MONTH(Sales_Data_1[[#This Row],[Order_Date]])</f>
        <v>1</v>
      </c>
      <c r="W104" t="str">
        <f>TEXT(Sales_Data_1[[#This Row],[Order_Date]], "yyyy-mm")</f>
        <v>2025-01</v>
      </c>
      <c r="X104">
        <f>Sales_Data_1[[#This Row],[Sales]]-Sales_Data_1[[#This Row],[Profit_Amount]]</f>
        <v>1625.62</v>
      </c>
      <c r="Y104" t="str" cm="1">
        <f t="array" ref="Y104">_xlfn.IFS(Sales_Data_1[[#This Row],[Delivery_Days]]&lt;=3, "Fast", Sales_Data_1[[#This Row],[Delivery_Days]]&lt;= 7, "Standard", TRUE, "Delayed")</f>
        <v>Delayed</v>
      </c>
      <c r="Z104" t="str" cm="1">
        <f t="array" ref="Z104">_xlfn.IFS(Sales_Data_1[[#This Row],[Profit_Amount]]&gt; 0, "Profitable", Sales_Data_1[[#This Row],[Profit_Amount]] = 0, "Break-Even", TRUE, "Loss")</f>
        <v>Profitable</v>
      </c>
      <c r="AA104" t="str" cm="1">
        <f t="array" ref="AA104">_xlfn.IFS(Sales_Data_1[[#This Row],[Sales]]&gt;= 1000, "High Value", Sales_Data_1[[#This Row],[Sales]]&gt;= 300, "Mid Value", TRUE, "Low Value")</f>
        <v>High Value</v>
      </c>
    </row>
    <row r="105" spans="1:27" x14ac:dyDescent="0.3">
      <c r="A105" t="s">
        <v>2636</v>
      </c>
      <c r="B105" s="1">
        <v>45522</v>
      </c>
      <c r="C105" t="s">
        <v>30</v>
      </c>
      <c r="D105" t="s">
        <v>21</v>
      </c>
      <c r="E105" t="s">
        <v>67</v>
      </c>
      <c r="F105" t="s">
        <v>43</v>
      </c>
      <c r="G105" t="s">
        <v>34</v>
      </c>
      <c r="H105" t="s">
        <v>141</v>
      </c>
      <c r="I105" t="s">
        <v>1253</v>
      </c>
      <c r="J105">
        <v>3</v>
      </c>
      <c r="K105">
        <v>793</v>
      </c>
      <c r="L105">
        <v>0.08</v>
      </c>
      <c r="M105">
        <v>729.56</v>
      </c>
      <c r="N105">
        <v>2188.6799999999998</v>
      </c>
      <c r="O105">
        <v>0.4</v>
      </c>
      <c r="P105">
        <v>875.47</v>
      </c>
      <c r="Q105" t="s">
        <v>47</v>
      </c>
      <c r="R105" t="s">
        <v>48</v>
      </c>
      <c r="S105">
        <v>6</v>
      </c>
      <c r="T105">
        <f>YEAR(Sales_Data_1[[#This Row],[Order_Date]])</f>
        <v>2024</v>
      </c>
      <c r="U105" t="str">
        <f>TEXT(Sales_Data_1[[#This Row],[Order_Date]], "mmm")</f>
        <v>Aug</v>
      </c>
      <c r="V105">
        <f>MONTH(Sales_Data_1[[#This Row],[Order_Date]])</f>
        <v>8</v>
      </c>
      <c r="W105" t="str">
        <f>TEXT(Sales_Data_1[[#This Row],[Order_Date]], "yyyy-mm")</f>
        <v>2024-08</v>
      </c>
      <c r="X105">
        <f>Sales_Data_1[[#This Row],[Sales]]-Sales_Data_1[[#This Row],[Profit_Amount]]</f>
        <v>1313.2099999999998</v>
      </c>
      <c r="Y105" t="str" cm="1">
        <f t="array" ref="Y105">_xlfn.IFS(Sales_Data_1[[#This Row],[Delivery_Days]]&lt;=3, "Fast", Sales_Data_1[[#This Row],[Delivery_Days]]&lt;= 7, "Standard", TRUE, "Delayed")</f>
        <v>Standard</v>
      </c>
      <c r="Z105" t="str" cm="1">
        <f t="array" ref="Z105">_xlfn.IFS(Sales_Data_1[[#This Row],[Profit_Amount]]&gt; 0, "Profitable", Sales_Data_1[[#This Row],[Profit_Amount]] = 0, "Break-Even", TRUE, "Loss")</f>
        <v>Profitable</v>
      </c>
      <c r="AA105" t="str" cm="1">
        <f t="array" ref="AA105">_xlfn.IFS(Sales_Data_1[[#This Row],[Sales]]&gt;= 1000, "High Value", Sales_Data_1[[#This Row],[Sales]]&gt;= 300, "Mid Value", TRUE, "Low Value")</f>
        <v>High Value</v>
      </c>
    </row>
    <row r="106" spans="1:27" x14ac:dyDescent="0.3">
      <c r="A106" t="s">
        <v>2809</v>
      </c>
      <c r="B106" s="1">
        <v>45695</v>
      </c>
      <c r="C106" t="s">
        <v>63</v>
      </c>
      <c r="D106" t="s">
        <v>56</v>
      </c>
      <c r="E106" t="s">
        <v>2040</v>
      </c>
      <c r="F106" t="s">
        <v>43</v>
      </c>
      <c r="G106" t="s">
        <v>34</v>
      </c>
      <c r="H106" t="s">
        <v>35</v>
      </c>
      <c r="I106" t="s">
        <v>1590</v>
      </c>
      <c r="J106">
        <v>6</v>
      </c>
      <c r="K106">
        <v>426</v>
      </c>
      <c r="L106">
        <v>0.13</v>
      </c>
      <c r="M106">
        <v>370.62</v>
      </c>
      <c r="N106">
        <v>2223.7199999999998</v>
      </c>
      <c r="O106">
        <v>0.4</v>
      </c>
      <c r="P106">
        <v>889.49</v>
      </c>
      <c r="Q106" t="s">
        <v>37</v>
      </c>
      <c r="R106" t="s">
        <v>48</v>
      </c>
      <c r="S106">
        <v>3</v>
      </c>
      <c r="T106">
        <f>YEAR(Sales_Data_1[[#This Row],[Order_Date]])</f>
        <v>2025</v>
      </c>
      <c r="U106" t="str">
        <f>TEXT(Sales_Data_1[[#This Row],[Order_Date]], "mmm")</f>
        <v>Feb</v>
      </c>
      <c r="V106">
        <f>MONTH(Sales_Data_1[[#This Row],[Order_Date]])</f>
        <v>2</v>
      </c>
      <c r="W106" t="str">
        <f>TEXT(Sales_Data_1[[#This Row],[Order_Date]], "yyyy-mm")</f>
        <v>2025-02</v>
      </c>
      <c r="X106">
        <f>Sales_Data_1[[#This Row],[Sales]]-Sales_Data_1[[#This Row],[Profit_Amount]]</f>
        <v>1334.2299999999998</v>
      </c>
      <c r="Y106" t="str" cm="1">
        <f t="array" ref="Y106">_xlfn.IFS(Sales_Data_1[[#This Row],[Delivery_Days]]&lt;=3, "Fast", Sales_Data_1[[#This Row],[Delivery_Days]]&lt;= 7, "Standard", TRUE, "Delayed")</f>
        <v>Fast</v>
      </c>
      <c r="Z106" t="str" cm="1">
        <f t="array" ref="Z106">_xlfn.IFS(Sales_Data_1[[#This Row],[Profit_Amount]]&gt; 0, "Profitable", Sales_Data_1[[#This Row],[Profit_Amount]] = 0, "Break-Even", TRUE, "Loss")</f>
        <v>Profitable</v>
      </c>
      <c r="AA106" t="str" cm="1">
        <f t="array" ref="AA106">_xlfn.IFS(Sales_Data_1[[#This Row],[Sales]]&gt;= 1000, "High Value", Sales_Data_1[[#This Row],[Sales]]&gt;= 300, "Mid Value", TRUE, "Low Value")</f>
        <v>High Value</v>
      </c>
    </row>
    <row r="107" spans="1:27" x14ac:dyDescent="0.3">
      <c r="A107" t="s">
        <v>2761</v>
      </c>
      <c r="B107" s="1">
        <v>45647</v>
      </c>
      <c r="C107" t="s">
        <v>63</v>
      </c>
      <c r="D107" t="s">
        <v>31</v>
      </c>
      <c r="E107" t="s">
        <v>42</v>
      </c>
      <c r="F107" t="s">
        <v>33</v>
      </c>
      <c r="G107" t="s">
        <v>44</v>
      </c>
      <c r="H107" t="s">
        <v>138</v>
      </c>
      <c r="I107" t="s">
        <v>1497</v>
      </c>
      <c r="J107">
        <v>1</v>
      </c>
      <c r="K107">
        <v>2968</v>
      </c>
      <c r="L107">
        <v>0.14000000000000001</v>
      </c>
      <c r="M107">
        <v>2552.48</v>
      </c>
      <c r="N107">
        <v>2552.48</v>
      </c>
      <c r="O107">
        <v>0.35</v>
      </c>
      <c r="P107">
        <v>893.37</v>
      </c>
      <c r="Q107" t="s">
        <v>27</v>
      </c>
      <c r="R107" t="s">
        <v>48</v>
      </c>
      <c r="S107">
        <v>3</v>
      </c>
      <c r="T107">
        <f>YEAR(Sales_Data_1[[#This Row],[Order_Date]])</f>
        <v>2024</v>
      </c>
      <c r="U107" t="str">
        <f>TEXT(Sales_Data_1[[#This Row],[Order_Date]], "mmm")</f>
        <v>Dec</v>
      </c>
      <c r="V107">
        <f>MONTH(Sales_Data_1[[#This Row],[Order_Date]])</f>
        <v>12</v>
      </c>
      <c r="W107" t="str">
        <f>TEXT(Sales_Data_1[[#This Row],[Order_Date]], "yyyy-mm")</f>
        <v>2024-12</v>
      </c>
      <c r="X107">
        <f>Sales_Data_1[[#This Row],[Sales]]-Sales_Data_1[[#This Row],[Profit_Amount]]</f>
        <v>1659.1100000000001</v>
      </c>
      <c r="Y107" t="str" cm="1">
        <f t="array" ref="Y107">_xlfn.IFS(Sales_Data_1[[#This Row],[Delivery_Days]]&lt;=3, "Fast", Sales_Data_1[[#This Row],[Delivery_Days]]&lt;= 7, "Standard", TRUE, "Delayed")</f>
        <v>Fast</v>
      </c>
      <c r="Z107" t="str" cm="1">
        <f t="array" ref="Z107">_xlfn.IFS(Sales_Data_1[[#This Row],[Profit_Amount]]&gt; 0, "Profitable", Sales_Data_1[[#This Row],[Profit_Amount]] = 0, "Break-Even", TRUE, "Loss")</f>
        <v>Profitable</v>
      </c>
      <c r="AA107" t="str" cm="1">
        <f t="array" ref="AA107">_xlfn.IFS(Sales_Data_1[[#This Row],[Sales]]&gt;= 1000, "High Value", Sales_Data_1[[#This Row],[Sales]]&gt;= 300, "Mid Value", TRUE, "Low Value")</f>
        <v>High Value</v>
      </c>
    </row>
    <row r="108" spans="1:27" x14ac:dyDescent="0.3">
      <c r="A108" t="s">
        <v>2984</v>
      </c>
      <c r="B108" s="1">
        <v>45870</v>
      </c>
      <c r="C108" t="s">
        <v>63</v>
      </c>
      <c r="D108" t="s">
        <v>21</v>
      </c>
      <c r="E108" t="s">
        <v>2042</v>
      </c>
      <c r="F108" t="s">
        <v>103</v>
      </c>
      <c r="G108" t="s">
        <v>44</v>
      </c>
      <c r="H108" t="s">
        <v>138</v>
      </c>
      <c r="I108" t="s">
        <v>1931</v>
      </c>
      <c r="J108">
        <v>5</v>
      </c>
      <c r="K108">
        <v>597</v>
      </c>
      <c r="L108">
        <v>0.14000000000000001</v>
      </c>
      <c r="M108">
        <v>513.41999999999996</v>
      </c>
      <c r="N108">
        <v>2567.1</v>
      </c>
      <c r="O108">
        <v>0.35</v>
      </c>
      <c r="P108">
        <v>898.48</v>
      </c>
      <c r="Q108" t="s">
        <v>27</v>
      </c>
      <c r="R108" t="s">
        <v>38</v>
      </c>
      <c r="S108">
        <v>3</v>
      </c>
      <c r="T108">
        <f>YEAR(Sales_Data_1[[#This Row],[Order_Date]])</f>
        <v>2025</v>
      </c>
      <c r="U108" t="str">
        <f>TEXT(Sales_Data_1[[#This Row],[Order_Date]], "mmm")</f>
        <v>Aug</v>
      </c>
      <c r="V108">
        <f>MONTH(Sales_Data_1[[#This Row],[Order_Date]])</f>
        <v>8</v>
      </c>
      <c r="W108" t="str">
        <f>TEXT(Sales_Data_1[[#This Row],[Order_Date]], "yyyy-mm")</f>
        <v>2025-08</v>
      </c>
      <c r="X108">
        <f>Sales_Data_1[[#This Row],[Sales]]-Sales_Data_1[[#This Row],[Profit_Amount]]</f>
        <v>1668.62</v>
      </c>
      <c r="Y108" t="str" cm="1">
        <f t="array" ref="Y108">_xlfn.IFS(Sales_Data_1[[#This Row],[Delivery_Days]]&lt;=3, "Fast", Sales_Data_1[[#This Row],[Delivery_Days]]&lt;= 7, "Standard", TRUE, "Delayed")</f>
        <v>Fast</v>
      </c>
      <c r="Z108" t="str" cm="1">
        <f t="array" ref="Z108">_xlfn.IFS(Sales_Data_1[[#This Row],[Profit_Amount]]&gt; 0, "Profitable", Sales_Data_1[[#This Row],[Profit_Amount]] = 0, "Break-Even", TRUE, "Loss")</f>
        <v>Profitable</v>
      </c>
      <c r="AA108" t="str" cm="1">
        <f t="array" ref="AA108">_xlfn.IFS(Sales_Data_1[[#This Row],[Sales]]&gt;= 1000, "High Value", Sales_Data_1[[#This Row],[Sales]]&gt;= 300, "Mid Value", TRUE, "Low Value")</f>
        <v>High Value</v>
      </c>
    </row>
    <row r="109" spans="1:27" x14ac:dyDescent="0.3">
      <c r="A109" t="s">
        <v>2733</v>
      </c>
      <c r="B109" s="1">
        <v>45619</v>
      </c>
      <c r="C109" t="s">
        <v>40</v>
      </c>
      <c r="D109" t="s">
        <v>31</v>
      </c>
      <c r="E109" t="s">
        <v>2042</v>
      </c>
      <c r="F109" t="s">
        <v>43</v>
      </c>
      <c r="G109" t="s">
        <v>24</v>
      </c>
      <c r="H109" t="s">
        <v>74</v>
      </c>
      <c r="I109" t="s">
        <v>1442</v>
      </c>
      <c r="J109">
        <v>4</v>
      </c>
      <c r="K109">
        <v>1038</v>
      </c>
      <c r="L109">
        <v>0.13</v>
      </c>
      <c r="M109">
        <v>903.06</v>
      </c>
      <c r="N109">
        <v>3612.24</v>
      </c>
      <c r="O109">
        <v>0.25</v>
      </c>
      <c r="P109">
        <v>903.06</v>
      </c>
      <c r="Q109" t="s">
        <v>47</v>
      </c>
      <c r="R109" t="s">
        <v>38</v>
      </c>
      <c r="S109">
        <v>8</v>
      </c>
      <c r="T109">
        <f>YEAR(Sales_Data_1[[#This Row],[Order_Date]])</f>
        <v>2024</v>
      </c>
      <c r="U109" t="str">
        <f>TEXT(Sales_Data_1[[#This Row],[Order_Date]], "mmm")</f>
        <v>Nov</v>
      </c>
      <c r="V109">
        <f>MONTH(Sales_Data_1[[#This Row],[Order_Date]])</f>
        <v>11</v>
      </c>
      <c r="W109" t="str">
        <f>TEXT(Sales_Data_1[[#This Row],[Order_Date]], "yyyy-mm")</f>
        <v>2024-11</v>
      </c>
      <c r="X109">
        <f>Sales_Data_1[[#This Row],[Sales]]-Sales_Data_1[[#This Row],[Profit_Amount]]</f>
        <v>2709.18</v>
      </c>
      <c r="Y109" t="str" cm="1">
        <f t="array" ref="Y109">_xlfn.IFS(Sales_Data_1[[#This Row],[Delivery_Days]]&lt;=3, "Fast", Sales_Data_1[[#This Row],[Delivery_Days]]&lt;= 7, "Standard", TRUE, "Delayed")</f>
        <v>Delayed</v>
      </c>
      <c r="Z109" t="str" cm="1">
        <f t="array" ref="Z109">_xlfn.IFS(Sales_Data_1[[#This Row],[Profit_Amount]]&gt; 0, "Profitable", Sales_Data_1[[#This Row],[Profit_Amount]] = 0, "Break-Even", TRUE, "Loss")</f>
        <v>Profitable</v>
      </c>
      <c r="AA109" t="str" cm="1">
        <f t="array" ref="AA109">_xlfn.IFS(Sales_Data_1[[#This Row],[Sales]]&gt;= 1000, "High Value", Sales_Data_1[[#This Row],[Sales]]&gt;= 300, "Mid Value", TRUE, "Low Value")</f>
        <v>High Value</v>
      </c>
    </row>
    <row r="110" spans="1:27" x14ac:dyDescent="0.3">
      <c r="A110" t="s">
        <v>2280</v>
      </c>
      <c r="B110" s="1">
        <v>45166</v>
      </c>
      <c r="C110" t="s">
        <v>55</v>
      </c>
      <c r="D110" t="s">
        <v>56</v>
      </c>
      <c r="E110" t="s">
        <v>2040</v>
      </c>
      <c r="F110" t="s">
        <v>103</v>
      </c>
      <c r="G110" t="s">
        <v>34</v>
      </c>
      <c r="H110" t="s">
        <v>104</v>
      </c>
      <c r="I110" t="s">
        <v>550</v>
      </c>
      <c r="J110">
        <v>8</v>
      </c>
      <c r="K110">
        <v>342</v>
      </c>
      <c r="L110">
        <v>0.17</v>
      </c>
      <c r="M110">
        <v>283.86</v>
      </c>
      <c r="N110">
        <v>2270.88</v>
      </c>
      <c r="O110">
        <v>0.4</v>
      </c>
      <c r="P110">
        <v>908.35</v>
      </c>
      <c r="Q110" t="s">
        <v>51</v>
      </c>
      <c r="R110" t="s">
        <v>28</v>
      </c>
      <c r="S110">
        <v>5</v>
      </c>
      <c r="T110">
        <f>YEAR(Sales_Data_1[[#This Row],[Order_Date]])</f>
        <v>2023</v>
      </c>
      <c r="U110" t="str">
        <f>TEXT(Sales_Data_1[[#This Row],[Order_Date]], "mmm")</f>
        <v>Aug</v>
      </c>
      <c r="V110">
        <f>MONTH(Sales_Data_1[[#This Row],[Order_Date]])</f>
        <v>8</v>
      </c>
      <c r="W110" t="str">
        <f>TEXT(Sales_Data_1[[#This Row],[Order_Date]], "yyyy-mm")</f>
        <v>2023-08</v>
      </c>
      <c r="X110">
        <f>Sales_Data_1[[#This Row],[Sales]]-Sales_Data_1[[#This Row],[Profit_Amount]]</f>
        <v>1362.5300000000002</v>
      </c>
      <c r="Y110" t="str" cm="1">
        <f t="array" ref="Y110">_xlfn.IFS(Sales_Data_1[[#This Row],[Delivery_Days]]&lt;=3, "Fast", Sales_Data_1[[#This Row],[Delivery_Days]]&lt;= 7, "Standard", TRUE, "Delayed")</f>
        <v>Standard</v>
      </c>
      <c r="Z110" t="str" cm="1">
        <f t="array" ref="Z110">_xlfn.IFS(Sales_Data_1[[#This Row],[Profit_Amount]]&gt; 0, "Profitable", Sales_Data_1[[#This Row],[Profit_Amount]] = 0, "Break-Even", TRUE, "Loss")</f>
        <v>Profitable</v>
      </c>
      <c r="AA110" t="str" cm="1">
        <f t="array" ref="AA110">_xlfn.IFS(Sales_Data_1[[#This Row],[Sales]]&gt;= 1000, "High Value", Sales_Data_1[[#This Row],[Sales]]&gt;= 300, "Mid Value", TRUE, "Low Value")</f>
        <v>High Value</v>
      </c>
    </row>
    <row r="111" spans="1:27" x14ac:dyDescent="0.3">
      <c r="A111" t="s">
        <v>2603</v>
      </c>
      <c r="B111" s="1">
        <v>45489</v>
      </c>
      <c r="C111" t="s">
        <v>40</v>
      </c>
      <c r="D111" t="s">
        <v>56</v>
      </c>
      <c r="E111" t="s">
        <v>42</v>
      </c>
      <c r="F111" t="s">
        <v>33</v>
      </c>
      <c r="G111" t="s">
        <v>34</v>
      </c>
      <c r="H111" t="s">
        <v>35</v>
      </c>
      <c r="I111" t="s">
        <v>1188</v>
      </c>
      <c r="J111">
        <v>2</v>
      </c>
      <c r="K111">
        <v>1406</v>
      </c>
      <c r="L111">
        <v>0.19</v>
      </c>
      <c r="M111">
        <v>1138.8599999999999</v>
      </c>
      <c r="N111">
        <v>2277.7199999999998</v>
      </c>
      <c r="O111">
        <v>0.4</v>
      </c>
      <c r="P111">
        <v>911.09</v>
      </c>
      <c r="Q111" t="s">
        <v>51</v>
      </c>
      <c r="R111" t="s">
        <v>48</v>
      </c>
      <c r="S111">
        <v>2</v>
      </c>
      <c r="T111">
        <f>YEAR(Sales_Data_1[[#This Row],[Order_Date]])</f>
        <v>2024</v>
      </c>
      <c r="U111" t="str">
        <f>TEXT(Sales_Data_1[[#This Row],[Order_Date]], "mmm")</f>
        <v>Jul</v>
      </c>
      <c r="V111">
        <f>MONTH(Sales_Data_1[[#This Row],[Order_Date]])</f>
        <v>7</v>
      </c>
      <c r="W111" t="str">
        <f>TEXT(Sales_Data_1[[#This Row],[Order_Date]], "yyyy-mm")</f>
        <v>2024-07</v>
      </c>
      <c r="X111">
        <f>Sales_Data_1[[#This Row],[Sales]]-Sales_Data_1[[#This Row],[Profit_Amount]]</f>
        <v>1366.6299999999997</v>
      </c>
      <c r="Y111" t="str" cm="1">
        <f t="array" ref="Y111">_xlfn.IFS(Sales_Data_1[[#This Row],[Delivery_Days]]&lt;=3, "Fast", Sales_Data_1[[#This Row],[Delivery_Days]]&lt;= 7, "Standard", TRUE, "Delayed")</f>
        <v>Fast</v>
      </c>
      <c r="Z111" t="str" cm="1">
        <f t="array" ref="Z111">_xlfn.IFS(Sales_Data_1[[#This Row],[Profit_Amount]]&gt; 0, "Profitable", Sales_Data_1[[#This Row],[Profit_Amount]] = 0, "Break-Even", TRUE, "Loss")</f>
        <v>Profitable</v>
      </c>
      <c r="AA111" t="str" cm="1">
        <f t="array" ref="AA111">_xlfn.IFS(Sales_Data_1[[#This Row],[Sales]]&gt;= 1000, "High Value", Sales_Data_1[[#This Row],[Sales]]&gt;= 300, "Mid Value", TRUE, "Low Value")</f>
        <v>High Value</v>
      </c>
    </row>
    <row r="112" spans="1:27" x14ac:dyDescent="0.3">
      <c r="A112" t="s">
        <v>2459</v>
      </c>
      <c r="B112" s="1">
        <v>45345</v>
      </c>
      <c r="C112" t="s">
        <v>40</v>
      </c>
      <c r="D112" t="s">
        <v>41</v>
      </c>
      <c r="E112" t="s">
        <v>2040</v>
      </c>
      <c r="F112" t="s">
        <v>103</v>
      </c>
      <c r="G112" t="s">
        <v>34</v>
      </c>
      <c r="H112" t="s">
        <v>71</v>
      </c>
      <c r="I112" t="s">
        <v>904</v>
      </c>
      <c r="J112">
        <v>5</v>
      </c>
      <c r="K112">
        <v>486</v>
      </c>
      <c r="L112">
        <v>0.06</v>
      </c>
      <c r="M112">
        <v>456.84</v>
      </c>
      <c r="N112">
        <v>2284.1999999999998</v>
      </c>
      <c r="O112">
        <v>0.4</v>
      </c>
      <c r="P112">
        <v>913.68</v>
      </c>
      <c r="Q112" t="s">
        <v>27</v>
      </c>
      <c r="R112" t="s">
        <v>48</v>
      </c>
      <c r="S112">
        <v>3</v>
      </c>
      <c r="T112">
        <f>YEAR(Sales_Data_1[[#This Row],[Order_Date]])</f>
        <v>2024</v>
      </c>
      <c r="U112" t="str">
        <f>TEXT(Sales_Data_1[[#This Row],[Order_Date]], "mmm")</f>
        <v>Feb</v>
      </c>
      <c r="V112">
        <f>MONTH(Sales_Data_1[[#This Row],[Order_Date]])</f>
        <v>2</v>
      </c>
      <c r="W112" t="str">
        <f>TEXT(Sales_Data_1[[#This Row],[Order_Date]], "yyyy-mm")</f>
        <v>2024-02</v>
      </c>
      <c r="X112">
        <f>Sales_Data_1[[#This Row],[Sales]]-Sales_Data_1[[#This Row],[Profit_Amount]]</f>
        <v>1370.52</v>
      </c>
      <c r="Y112" t="str" cm="1">
        <f t="array" ref="Y112">_xlfn.IFS(Sales_Data_1[[#This Row],[Delivery_Days]]&lt;=3, "Fast", Sales_Data_1[[#This Row],[Delivery_Days]]&lt;= 7, "Standard", TRUE, "Delayed")</f>
        <v>Fast</v>
      </c>
      <c r="Z112" t="str" cm="1">
        <f t="array" ref="Z112">_xlfn.IFS(Sales_Data_1[[#This Row],[Profit_Amount]]&gt; 0, "Profitable", Sales_Data_1[[#This Row],[Profit_Amount]] = 0, "Break-Even", TRUE, "Loss")</f>
        <v>Profitable</v>
      </c>
      <c r="AA112" t="str" cm="1">
        <f t="array" ref="AA112">_xlfn.IFS(Sales_Data_1[[#This Row],[Sales]]&gt;= 1000, "High Value", Sales_Data_1[[#This Row],[Sales]]&gt;= 300, "Mid Value", TRUE, "Low Value")</f>
        <v>High Value</v>
      </c>
    </row>
    <row r="113" spans="1:27" x14ac:dyDescent="0.3">
      <c r="A113" t="s">
        <v>2508</v>
      </c>
      <c r="B113" s="1">
        <v>45394</v>
      </c>
      <c r="C113" t="s">
        <v>96</v>
      </c>
      <c r="D113" t="s">
        <v>31</v>
      </c>
      <c r="E113" t="s">
        <v>2040</v>
      </c>
      <c r="F113" t="s">
        <v>23</v>
      </c>
      <c r="G113" t="s">
        <v>44</v>
      </c>
      <c r="H113" t="s">
        <v>138</v>
      </c>
      <c r="I113" t="s">
        <v>1001</v>
      </c>
      <c r="J113">
        <v>1</v>
      </c>
      <c r="K113">
        <v>3225</v>
      </c>
      <c r="L113">
        <v>0.19</v>
      </c>
      <c r="M113">
        <v>2612.25</v>
      </c>
      <c r="N113">
        <v>2612.25</v>
      </c>
      <c r="O113">
        <v>0.35</v>
      </c>
      <c r="P113">
        <v>914.29</v>
      </c>
      <c r="Q113" t="s">
        <v>27</v>
      </c>
      <c r="R113" t="s">
        <v>48</v>
      </c>
      <c r="S113">
        <v>7</v>
      </c>
      <c r="T113">
        <f>YEAR(Sales_Data_1[[#This Row],[Order_Date]])</f>
        <v>2024</v>
      </c>
      <c r="U113" t="str">
        <f>TEXT(Sales_Data_1[[#This Row],[Order_Date]], "mmm")</f>
        <v>Apr</v>
      </c>
      <c r="V113">
        <f>MONTH(Sales_Data_1[[#This Row],[Order_Date]])</f>
        <v>4</v>
      </c>
      <c r="W113" t="str">
        <f>TEXT(Sales_Data_1[[#This Row],[Order_Date]], "yyyy-mm")</f>
        <v>2024-04</v>
      </c>
      <c r="X113">
        <f>Sales_Data_1[[#This Row],[Sales]]-Sales_Data_1[[#This Row],[Profit_Amount]]</f>
        <v>1697.96</v>
      </c>
      <c r="Y113" t="str" cm="1">
        <f t="array" ref="Y113">_xlfn.IFS(Sales_Data_1[[#This Row],[Delivery_Days]]&lt;=3, "Fast", Sales_Data_1[[#This Row],[Delivery_Days]]&lt;= 7, "Standard", TRUE, "Delayed")</f>
        <v>Standard</v>
      </c>
      <c r="Z113" t="str" cm="1">
        <f t="array" ref="Z113">_xlfn.IFS(Sales_Data_1[[#This Row],[Profit_Amount]]&gt; 0, "Profitable", Sales_Data_1[[#This Row],[Profit_Amount]] = 0, "Break-Even", TRUE, "Loss")</f>
        <v>Profitable</v>
      </c>
      <c r="AA113" t="str" cm="1">
        <f t="array" ref="AA113">_xlfn.IFS(Sales_Data_1[[#This Row],[Sales]]&gt;= 1000, "High Value", Sales_Data_1[[#This Row],[Sales]]&gt;= 300, "Mid Value", TRUE, "Low Value")</f>
        <v>High Value</v>
      </c>
    </row>
    <row r="114" spans="1:27" x14ac:dyDescent="0.3">
      <c r="A114" t="s">
        <v>2975</v>
      </c>
      <c r="B114" s="1">
        <v>45861</v>
      </c>
      <c r="C114" t="s">
        <v>20</v>
      </c>
      <c r="D114" t="s">
        <v>56</v>
      </c>
      <c r="E114" t="s">
        <v>67</v>
      </c>
      <c r="F114" t="s">
        <v>23</v>
      </c>
      <c r="G114" t="s">
        <v>34</v>
      </c>
      <c r="H114" t="s">
        <v>104</v>
      </c>
      <c r="I114" t="s">
        <v>1913</v>
      </c>
      <c r="J114">
        <v>4</v>
      </c>
      <c r="K114">
        <v>728</v>
      </c>
      <c r="L114">
        <v>0.21</v>
      </c>
      <c r="M114">
        <v>575.12</v>
      </c>
      <c r="N114">
        <v>2300.48</v>
      </c>
      <c r="O114">
        <v>0.4</v>
      </c>
      <c r="P114">
        <v>920.19</v>
      </c>
      <c r="Q114" t="s">
        <v>51</v>
      </c>
      <c r="R114" t="s">
        <v>28</v>
      </c>
      <c r="S114">
        <v>6</v>
      </c>
      <c r="T114">
        <f>YEAR(Sales_Data_1[[#This Row],[Order_Date]])</f>
        <v>2025</v>
      </c>
      <c r="U114" t="str">
        <f>TEXT(Sales_Data_1[[#This Row],[Order_Date]], "mmm")</f>
        <v>Jul</v>
      </c>
      <c r="V114">
        <f>MONTH(Sales_Data_1[[#This Row],[Order_Date]])</f>
        <v>7</v>
      </c>
      <c r="W114" t="str">
        <f>TEXT(Sales_Data_1[[#This Row],[Order_Date]], "yyyy-mm")</f>
        <v>2025-07</v>
      </c>
      <c r="X114">
        <f>Sales_Data_1[[#This Row],[Sales]]-Sales_Data_1[[#This Row],[Profit_Amount]]</f>
        <v>1380.29</v>
      </c>
      <c r="Y114" t="str" cm="1">
        <f t="array" ref="Y114">_xlfn.IFS(Sales_Data_1[[#This Row],[Delivery_Days]]&lt;=3, "Fast", Sales_Data_1[[#This Row],[Delivery_Days]]&lt;= 7, "Standard", TRUE, "Delayed")</f>
        <v>Standard</v>
      </c>
      <c r="Z114" t="str" cm="1">
        <f t="array" ref="Z114">_xlfn.IFS(Sales_Data_1[[#This Row],[Profit_Amount]]&gt; 0, "Profitable", Sales_Data_1[[#This Row],[Profit_Amount]] = 0, "Break-Even", TRUE, "Loss")</f>
        <v>Profitable</v>
      </c>
      <c r="AA114" t="str" cm="1">
        <f t="array" ref="AA114">_xlfn.IFS(Sales_Data_1[[#This Row],[Sales]]&gt;= 1000, "High Value", Sales_Data_1[[#This Row],[Sales]]&gt;= 300, "Mid Value", TRUE, "Low Value")</f>
        <v>High Value</v>
      </c>
    </row>
    <row r="115" spans="1:27" x14ac:dyDescent="0.3">
      <c r="A115" t="s">
        <v>2694</v>
      </c>
      <c r="B115" s="1">
        <v>45580</v>
      </c>
      <c r="C115" t="s">
        <v>63</v>
      </c>
      <c r="D115" t="s">
        <v>31</v>
      </c>
      <c r="E115" t="s">
        <v>2040</v>
      </c>
      <c r="F115" t="s">
        <v>23</v>
      </c>
      <c r="G115" t="s">
        <v>34</v>
      </c>
      <c r="H115" t="s">
        <v>141</v>
      </c>
      <c r="I115" t="s">
        <v>1366</v>
      </c>
      <c r="J115">
        <v>2</v>
      </c>
      <c r="K115">
        <v>1446</v>
      </c>
      <c r="L115">
        <v>0.2</v>
      </c>
      <c r="M115">
        <v>1156.8</v>
      </c>
      <c r="N115">
        <v>2313.6</v>
      </c>
      <c r="O115">
        <v>0.4</v>
      </c>
      <c r="P115">
        <v>925.44</v>
      </c>
      <c r="Q115" t="s">
        <v>27</v>
      </c>
      <c r="R115" t="s">
        <v>48</v>
      </c>
      <c r="S115">
        <v>7</v>
      </c>
      <c r="T115">
        <f>YEAR(Sales_Data_1[[#This Row],[Order_Date]])</f>
        <v>2024</v>
      </c>
      <c r="U115" t="str">
        <f>TEXT(Sales_Data_1[[#This Row],[Order_Date]], "mmm")</f>
        <v>Oct</v>
      </c>
      <c r="V115">
        <f>MONTH(Sales_Data_1[[#This Row],[Order_Date]])</f>
        <v>10</v>
      </c>
      <c r="W115" t="str">
        <f>TEXT(Sales_Data_1[[#This Row],[Order_Date]], "yyyy-mm")</f>
        <v>2024-10</v>
      </c>
      <c r="X115">
        <f>Sales_Data_1[[#This Row],[Sales]]-Sales_Data_1[[#This Row],[Profit_Amount]]</f>
        <v>1388.1599999999999</v>
      </c>
      <c r="Y115" t="str" cm="1">
        <f t="array" ref="Y115">_xlfn.IFS(Sales_Data_1[[#This Row],[Delivery_Days]]&lt;=3, "Fast", Sales_Data_1[[#This Row],[Delivery_Days]]&lt;= 7, "Standard", TRUE, "Delayed")</f>
        <v>Standard</v>
      </c>
      <c r="Z115" t="str" cm="1">
        <f t="array" ref="Z115">_xlfn.IFS(Sales_Data_1[[#This Row],[Profit_Amount]]&gt; 0, "Profitable", Sales_Data_1[[#This Row],[Profit_Amount]] = 0, "Break-Even", TRUE, "Loss")</f>
        <v>Profitable</v>
      </c>
      <c r="AA115" t="str" cm="1">
        <f t="array" ref="AA115">_xlfn.IFS(Sales_Data_1[[#This Row],[Sales]]&gt;= 1000, "High Value", Sales_Data_1[[#This Row],[Sales]]&gt;= 300, "Mid Value", TRUE, "Low Value")</f>
        <v>High Value</v>
      </c>
    </row>
    <row r="116" spans="1:27" x14ac:dyDescent="0.3">
      <c r="A116" t="s">
        <v>2670</v>
      </c>
      <c r="B116" s="1">
        <v>45556</v>
      </c>
      <c r="C116" t="s">
        <v>20</v>
      </c>
      <c r="D116" t="s">
        <v>21</v>
      </c>
      <c r="E116" t="s">
        <v>67</v>
      </c>
      <c r="F116" t="s">
        <v>103</v>
      </c>
      <c r="G116" t="s">
        <v>24</v>
      </c>
      <c r="H116" t="s">
        <v>186</v>
      </c>
      <c r="I116" t="s">
        <v>1320</v>
      </c>
      <c r="J116">
        <v>1</v>
      </c>
      <c r="K116">
        <v>4271</v>
      </c>
      <c r="L116">
        <v>0.12</v>
      </c>
      <c r="M116">
        <v>3758.48</v>
      </c>
      <c r="N116">
        <v>3758.48</v>
      </c>
      <c r="O116">
        <v>0.25</v>
      </c>
      <c r="P116">
        <v>939.62</v>
      </c>
      <c r="Q116" t="s">
        <v>27</v>
      </c>
      <c r="R116" t="s">
        <v>48</v>
      </c>
      <c r="S116">
        <v>2</v>
      </c>
      <c r="T116">
        <f>YEAR(Sales_Data_1[[#This Row],[Order_Date]])</f>
        <v>2024</v>
      </c>
      <c r="U116" t="str">
        <f>TEXT(Sales_Data_1[[#This Row],[Order_Date]], "mmm")</f>
        <v>Sep</v>
      </c>
      <c r="V116">
        <f>MONTH(Sales_Data_1[[#This Row],[Order_Date]])</f>
        <v>9</v>
      </c>
      <c r="W116" t="str">
        <f>TEXT(Sales_Data_1[[#This Row],[Order_Date]], "yyyy-mm")</f>
        <v>2024-09</v>
      </c>
      <c r="X116">
        <f>Sales_Data_1[[#This Row],[Sales]]-Sales_Data_1[[#This Row],[Profit_Amount]]</f>
        <v>2818.86</v>
      </c>
      <c r="Y116" t="str" cm="1">
        <f t="array" ref="Y116">_xlfn.IFS(Sales_Data_1[[#This Row],[Delivery_Days]]&lt;=3, "Fast", Sales_Data_1[[#This Row],[Delivery_Days]]&lt;= 7, "Standard", TRUE, "Delayed")</f>
        <v>Fast</v>
      </c>
      <c r="Z116" t="str" cm="1">
        <f t="array" ref="Z116">_xlfn.IFS(Sales_Data_1[[#This Row],[Profit_Amount]]&gt; 0, "Profitable", Sales_Data_1[[#This Row],[Profit_Amount]] = 0, "Break-Even", TRUE, "Loss")</f>
        <v>Profitable</v>
      </c>
      <c r="AA116" t="str" cm="1">
        <f t="array" ref="AA116">_xlfn.IFS(Sales_Data_1[[#This Row],[Sales]]&gt;= 1000, "High Value", Sales_Data_1[[#This Row],[Sales]]&gt;= 300, "Mid Value", TRUE, "Low Value")</f>
        <v>High Value</v>
      </c>
    </row>
    <row r="117" spans="1:27" x14ac:dyDescent="0.3">
      <c r="A117" t="s">
        <v>2044</v>
      </c>
      <c r="B117" s="1">
        <v>44930</v>
      </c>
      <c r="C117" t="s">
        <v>20</v>
      </c>
      <c r="D117" t="s">
        <v>41</v>
      </c>
      <c r="E117" t="s">
        <v>2040</v>
      </c>
      <c r="F117" t="s">
        <v>43</v>
      </c>
      <c r="G117" t="s">
        <v>34</v>
      </c>
      <c r="H117" t="s">
        <v>35</v>
      </c>
      <c r="I117" t="s">
        <v>50</v>
      </c>
      <c r="J117">
        <v>6</v>
      </c>
      <c r="K117">
        <v>516</v>
      </c>
      <c r="L117">
        <v>0.24</v>
      </c>
      <c r="M117">
        <v>392.16</v>
      </c>
      <c r="N117">
        <v>2352.96</v>
      </c>
      <c r="O117">
        <v>0.4</v>
      </c>
      <c r="P117">
        <v>941.18</v>
      </c>
      <c r="Q117" t="s">
        <v>51</v>
      </c>
      <c r="R117" t="s">
        <v>38</v>
      </c>
      <c r="S117">
        <v>9</v>
      </c>
      <c r="T117">
        <f>YEAR(Sales_Data_1[[#This Row],[Order_Date]])</f>
        <v>2023</v>
      </c>
      <c r="U117" t="str">
        <f>TEXT(Sales_Data_1[[#This Row],[Order_Date]], "mmm")</f>
        <v>Jan</v>
      </c>
      <c r="V117">
        <f>MONTH(Sales_Data_1[[#This Row],[Order_Date]])</f>
        <v>1</v>
      </c>
      <c r="W117" t="str">
        <f>TEXT(Sales_Data_1[[#This Row],[Order_Date]], "yyyy-mm")</f>
        <v>2023-01</v>
      </c>
      <c r="X117">
        <f>Sales_Data_1[[#This Row],[Sales]]-Sales_Data_1[[#This Row],[Profit_Amount]]</f>
        <v>1411.7800000000002</v>
      </c>
      <c r="Y117" t="str" cm="1">
        <f t="array" ref="Y117">_xlfn.IFS(Sales_Data_1[[#This Row],[Delivery_Days]]&lt;=3, "Fast", Sales_Data_1[[#This Row],[Delivery_Days]]&lt;= 7, "Standard", TRUE, "Delayed")</f>
        <v>Delayed</v>
      </c>
      <c r="Z117" t="str" cm="1">
        <f t="array" ref="Z117">_xlfn.IFS(Sales_Data_1[[#This Row],[Profit_Amount]]&gt; 0, "Profitable", Sales_Data_1[[#This Row],[Profit_Amount]] = 0, "Break-Even", TRUE, "Loss")</f>
        <v>Profitable</v>
      </c>
      <c r="AA117" t="str" cm="1">
        <f t="array" ref="AA117">_xlfn.IFS(Sales_Data_1[[#This Row],[Sales]]&gt;= 1000, "High Value", Sales_Data_1[[#This Row],[Sales]]&gt;= 300, "Mid Value", TRUE, "Low Value")</f>
        <v>High Value</v>
      </c>
    </row>
    <row r="118" spans="1:27" x14ac:dyDescent="0.3">
      <c r="A118" t="s">
        <v>2837</v>
      </c>
      <c r="B118" s="1">
        <v>45723</v>
      </c>
      <c r="C118" t="s">
        <v>40</v>
      </c>
      <c r="D118" t="s">
        <v>56</v>
      </c>
      <c r="E118" t="s">
        <v>2042</v>
      </c>
      <c r="F118" t="s">
        <v>97</v>
      </c>
      <c r="G118" t="s">
        <v>34</v>
      </c>
      <c r="H118" t="s">
        <v>71</v>
      </c>
      <c r="I118" t="s">
        <v>1645</v>
      </c>
      <c r="J118">
        <v>7</v>
      </c>
      <c r="K118">
        <v>410</v>
      </c>
      <c r="L118">
        <v>0.18</v>
      </c>
      <c r="M118">
        <v>336.2</v>
      </c>
      <c r="N118">
        <v>2353.4</v>
      </c>
      <c r="O118">
        <v>0.4</v>
      </c>
      <c r="P118">
        <v>941.36</v>
      </c>
      <c r="Q118" t="s">
        <v>47</v>
      </c>
      <c r="R118" t="s">
        <v>48</v>
      </c>
      <c r="S118">
        <v>6</v>
      </c>
      <c r="T118">
        <f>YEAR(Sales_Data_1[[#This Row],[Order_Date]])</f>
        <v>2025</v>
      </c>
      <c r="U118" t="str">
        <f>TEXT(Sales_Data_1[[#This Row],[Order_Date]], "mmm")</f>
        <v>Mar</v>
      </c>
      <c r="V118">
        <f>MONTH(Sales_Data_1[[#This Row],[Order_Date]])</f>
        <v>3</v>
      </c>
      <c r="W118" t="str">
        <f>TEXT(Sales_Data_1[[#This Row],[Order_Date]], "yyyy-mm")</f>
        <v>2025-03</v>
      </c>
      <c r="X118">
        <f>Sales_Data_1[[#This Row],[Sales]]-Sales_Data_1[[#This Row],[Profit_Amount]]</f>
        <v>1412.04</v>
      </c>
      <c r="Y118" t="str" cm="1">
        <f t="array" ref="Y118">_xlfn.IFS(Sales_Data_1[[#This Row],[Delivery_Days]]&lt;=3, "Fast", Sales_Data_1[[#This Row],[Delivery_Days]]&lt;= 7, "Standard", TRUE, "Delayed")</f>
        <v>Standard</v>
      </c>
      <c r="Z118" t="str" cm="1">
        <f t="array" ref="Z118">_xlfn.IFS(Sales_Data_1[[#This Row],[Profit_Amount]]&gt; 0, "Profitable", Sales_Data_1[[#This Row],[Profit_Amount]] = 0, "Break-Even", TRUE, "Loss")</f>
        <v>Profitable</v>
      </c>
      <c r="AA118" t="str" cm="1">
        <f t="array" ref="AA118">_xlfn.IFS(Sales_Data_1[[#This Row],[Sales]]&gt;= 1000, "High Value", Sales_Data_1[[#This Row],[Sales]]&gt;= 300, "Mid Value", TRUE, "Low Value")</f>
        <v>High Value</v>
      </c>
    </row>
    <row r="119" spans="1:27" x14ac:dyDescent="0.3">
      <c r="A119" t="s">
        <v>2558</v>
      </c>
      <c r="B119" s="1">
        <v>45444</v>
      </c>
      <c r="C119" t="s">
        <v>63</v>
      </c>
      <c r="D119" t="s">
        <v>21</v>
      </c>
      <c r="E119" t="s">
        <v>2042</v>
      </c>
      <c r="F119" t="s">
        <v>23</v>
      </c>
      <c r="G119" t="s">
        <v>34</v>
      </c>
      <c r="H119" t="s">
        <v>141</v>
      </c>
      <c r="I119" t="s">
        <v>1099</v>
      </c>
      <c r="J119">
        <v>3</v>
      </c>
      <c r="K119">
        <v>862</v>
      </c>
      <c r="L119">
        <v>7.0000000000000007E-2</v>
      </c>
      <c r="M119">
        <v>801.66</v>
      </c>
      <c r="N119">
        <v>2404.98</v>
      </c>
      <c r="O119">
        <v>0.4</v>
      </c>
      <c r="P119">
        <v>961.99</v>
      </c>
      <c r="Q119" t="s">
        <v>51</v>
      </c>
      <c r="R119" t="s">
        <v>38</v>
      </c>
      <c r="S119">
        <v>5</v>
      </c>
      <c r="T119">
        <f>YEAR(Sales_Data_1[[#This Row],[Order_Date]])</f>
        <v>2024</v>
      </c>
      <c r="U119" t="str">
        <f>TEXT(Sales_Data_1[[#This Row],[Order_Date]], "mmm")</f>
        <v>Jun</v>
      </c>
      <c r="V119">
        <f>MONTH(Sales_Data_1[[#This Row],[Order_Date]])</f>
        <v>6</v>
      </c>
      <c r="W119" t="str">
        <f>TEXT(Sales_Data_1[[#This Row],[Order_Date]], "yyyy-mm")</f>
        <v>2024-06</v>
      </c>
      <c r="X119">
        <f>Sales_Data_1[[#This Row],[Sales]]-Sales_Data_1[[#This Row],[Profit_Amount]]</f>
        <v>1442.99</v>
      </c>
      <c r="Y119" t="str" cm="1">
        <f t="array" ref="Y119">_xlfn.IFS(Sales_Data_1[[#This Row],[Delivery_Days]]&lt;=3, "Fast", Sales_Data_1[[#This Row],[Delivery_Days]]&lt;= 7, "Standard", TRUE, "Delayed")</f>
        <v>Standard</v>
      </c>
      <c r="Z119" t="str" cm="1">
        <f t="array" ref="Z119">_xlfn.IFS(Sales_Data_1[[#This Row],[Profit_Amount]]&gt; 0, "Profitable", Sales_Data_1[[#This Row],[Profit_Amount]] = 0, "Break-Even", TRUE, "Loss")</f>
        <v>Profitable</v>
      </c>
      <c r="AA119" t="str" cm="1">
        <f t="array" ref="AA119">_xlfn.IFS(Sales_Data_1[[#This Row],[Sales]]&gt;= 1000, "High Value", Sales_Data_1[[#This Row],[Sales]]&gt;= 300, "Mid Value", TRUE, "Low Value")</f>
        <v>High Value</v>
      </c>
    </row>
    <row r="120" spans="1:27" x14ac:dyDescent="0.3">
      <c r="A120" t="s">
        <v>2254</v>
      </c>
      <c r="B120" s="1">
        <v>45140</v>
      </c>
      <c r="C120" t="s">
        <v>20</v>
      </c>
      <c r="D120" t="s">
        <v>41</v>
      </c>
      <c r="E120" t="s">
        <v>2040</v>
      </c>
      <c r="F120" t="s">
        <v>68</v>
      </c>
      <c r="G120" t="s">
        <v>57</v>
      </c>
      <c r="H120" t="s">
        <v>81</v>
      </c>
      <c r="I120" t="s">
        <v>498</v>
      </c>
      <c r="J120">
        <v>1</v>
      </c>
      <c r="K120">
        <v>6033</v>
      </c>
      <c r="L120">
        <v>0.2</v>
      </c>
      <c r="M120">
        <v>4826.3999999999996</v>
      </c>
      <c r="N120">
        <v>4826.3999999999996</v>
      </c>
      <c r="O120">
        <v>0.2</v>
      </c>
      <c r="P120">
        <v>965.28</v>
      </c>
      <c r="Q120" t="s">
        <v>37</v>
      </c>
      <c r="R120" t="s">
        <v>48</v>
      </c>
      <c r="S120">
        <v>1</v>
      </c>
      <c r="T120">
        <f>YEAR(Sales_Data_1[[#This Row],[Order_Date]])</f>
        <v>2023</v>
      </c>
      <c r="U120" t="str">
        <f>TEXT(Sales_Data_1[[#This Row],[Order_Date]], "mmm")</f>
        <v>Aug</v>
      </c>
      <c r="V120">
        <f>MONTH(Sales_Data_1[[#This Row],[Order_Date]])</f>
        <v>8</v>
      </c>
      <c r="W120" t="str">
        <f>TEXT(Sales_Data_1[[#This Row],[Order_Date]], "yyyy-mm")</f>
        <v>2023-08</v>
      </c>
      <c r="X120">
        <f>Sales_Data_1[[#This Row],[Sales]]-Sales_Data_1[[#This Row],[Profit_Amount]]</f>
        <v>3861.12</v>
      </c>
      <c r="Y120" t="str" cm="1">
        <f t="array" ref="Y120">_xlfn.IFS(Sales_Data_1[[#This Row],[Delivery_Days]]&lt;=3, "Fast", Sales_Data_1[[#This Row],[Delivery_Days]]&lt;= 7, "Standard", TRUE, "Delayed")</f>
        <v>Fast</v>
      </c>
      <c r="Z120" t="str" cm="1">
        <f t="array" ref="Z120">_xlfn.IFS(Sales_Data_1[[#This Row],[Profit_Amount]]&gt; 0, "Profitable", Sales_Data_1[[#This Row],[Profit_Amount]] = 0, "Break-Even", TRUE, "Loss")</f>
        <v>Profitable</v>
      </c>
      <c r="AA120" t="str" cm="1">
        <f t="array" ref="AA120">_xlfn.IFS(Sales_Data_1[[#This Row],[Sales]]&gt;= 1000, "High Value", Sales_Data_1[[#This Row],[Sales]]&gt;= 300, "Mid Value", TRUE, "Low Value")</f>
        <v>High Value</v>
      </c>
    </row>
    <row r="121" spans="1:27" x14ac:dyDescent="0.3">
      <c r="A121" t="s">
        <v>2959</v>
      </c>
      <c r="B121" s="1">
        <v>45845</v>
      </c>
      <c r="C121" t="s">
        <v>40</v>
      </c>
      <c r="D121" t="s">
        <v>21</v>
      </c>
      <c r="E121" t="s">
        <v>42</v>
      </c>
      <c r="F121" t="s">
        <v>103</v>
      </c>
      <c r="G121" t="s">
        <v>34</v>
      </c>
      <c r="H121" t="s">
        <v>35</v>
      </c>
      <c r="I121" t="s">
        <v>1883</v>
      </c>
      <c r="J121">
        <v>4</v>
      </c>
      <c r="K121">
        <v>644</v>
      </c>
      <c r="L121">
        <v>0.06</v>
      </c>
      <c r="M121">
        <v>605.36</v>
      </c>
      <c r="N121">
        <v>2421.44</v>
      </c>
      <c r="O121">
        <v>0.4</v>
      </c>
      <c r="P121">
        <v>968.58</v>
      </c>
      <c r="Q121" t="s">
        <v>51</v>
      </c>
      <c r="R121" t="s">
        <v>48</v>
      </c>
      <c r="S121">
        <v>6</v>
      </c>
      <c r="T121">
        <f>YEAR(Sales_Data_1[[#This Row],[Order_Date]])</f>
        <v>2025</v>
      </c>
      <c r="U121" t="str">
        <f>TEXT(Sales_Data_1[[#This Row],[Order_Date]], "mmm")</f>
        <v>Jul</v>
      </c>
      <c r="V121">
        <f>MONTH(Sales_Data_1[[#This Row],[Order_Date]])</f>
        <v>7</v>
      </c>
      <c r="W121" t="str">
        <f>TEXT(Sales_Data_1[[#This Row],[Order_Date]], "yyyy-mm")</f>
        <v>2025-07</v>
      </c>
      <c r="X121">
        <f>Sales_Data_1[[#This Row],[Sales]]-Sales_Data_1[[#This Row],[Profit_Amount]]</f>
        <v>1452.8600000000001</v>
      </c>
      <c r="Y121" t="str" cm="1">
        <f t="array" ref="Y121">_xlfn.IFS(Sales_Data_1[[#This Row],[Delivery_Days]]&lt;=3, "Fast", Sales_Data_1[[#This Row],[Delivery_Days]]&lt;= 7, "Standard", TRUE, "Delayed")</f>
        <v>Standard</v>
      </c>
      <c r="Z121" t="str" cm="1">
        <f t="array" ref="Z121">_xlfn.IFS(Sales_Data_1[[#This Row],[Profit_Amount]]&gt; 0, "Profitable", Sales_Data_1[[#This Row],[Profit_Amount]] = 0, "Break-Even", TRUE, "Loss")</f>
        <v>Profitable</v>
      </c>
      <c r="AA121" t="str" cm="1">
        <f t="array" ref="AA121">_xlfn.IFS(Sales_Data_1[[#This Row],[Sales]]&gt;= 1000, "High Value", Sales_Data_1[[#This Row],[Sales]]&gt;= 300, "Mid Value", TRUE, "Low Value")</f>
        <v>High Value</v>
      </c>
    </row>
    <row r="122" spans="1:27" x14ac:dyDescent="0.3">
      <c r="A122" t="s">
        <v>3040</v>
      </c>
      <c r="B122" s="1">
        <v>45926</v>
      </c>
      <c r="C122" t="s">
        <v>63</v>
      </c>
      <c r="D122" t="s">
        <v>21</v>
      </c>
      <c r="E122" t="s">
        <v>2040</v>
      </c>
      <c r="F122" t="s">
        <v>68</v>
      </c>
      <c r="G122" t="s">
        <v>44</v>
      </c>
      <c r="H122" t="s">
        <v>116</v>
      </c>
      <c r="I122" t="s">
        <v>2038</v>
      </c>
      <c r="J122">
        <v>1</v>
      </c>
      <c r="K122">
        <v>2785</v>
      </c>
      <c r="L122">
        <v>0</v>
      </c>
      <c r="M122">
        <v>2785</v>
      </c>
      <c r="N122">
        <v>2785</v>
      </c>
      <c r="O122">
        <v>0.35</v>
      </c>
      <c r="P122">
        <v>974.75</v>
      </c>
      <c r="Q122" t="s">
        <v>27</v>
      </c>
      <c r="R122" t="s">
        <v>48</v>
      </c>
      <c r="S122">
        <v>8</v>
      </c>
      <c r="T122">
        <f>YEAR(Sales_Data_1[[#This Row],[Order_Date]])</f>
        <v>2025</v>
      </c>
      <c r="U122" t="str">
        <f>TEXT(Sales_Data_1[[#This Row],[Order_Date]], "mmm")</f>
        <v>Sep</v>
      </c>
      <c r="V122">
        <f>MONTH(Sales_Data_1[[#This Row],[Order_Date]])</f>
        <v>9</v>
      </c>
      <c r="W122" t="str">
        <f>TEXT(Sales_Data_1[[#This Row],[Order_Date]], "yyyy-mm")</f>
        <v>2025-09</v>
      </c>
      <c r="X122">
        <f>Sales_Data_1[[#This Row],[Sales]]-Sales_Data_1[[#This Row],[Profit_Amount]]</f>
        <v>1810.25</v>
      </c>
      <c r="Y122" t="str" cm="1">
        <f t="array" ref="Y122">_xlfn.IFS(Sales_Data_1[[#This Row],[Delivery_Days]]&lt;=3, "Fast", Sales_Data_1[[#This Row],[Delivery_Days]]&lt;= 7, "Standard", TRUE, "Delayed")</f>
        <v>Delayed</v>
      </c>
      <c r="Z122" t="str" cm="1">
        <f t="array" ref="Z122">_xlfn.IFS(Sales_Data_1[[#This Row],[Profit_Amount]]&gt; 0, "Profitable", Sales_Data_1[[#This Row],[Profit_Amount]] = 0, "Break-Even", TRUE, "Loss")</f>
        <v>Profitable</v>
      </c>
      <c r="AA122" t="str" cm="1">
        <f t="array" ref="AA122">_xlfn.IFS(Sales_Data_1[[#This Row],[Sales]]&gt;= 1000, "High Value", Sales_Data_1[[#This Row],[Sales]]&gt;= 300, "Mid Value", TRUE, "Low Value")</f>
        <v>High Value</v>
      </c>
    </row>
    <row r="123" spans="1:27" x14ac:dyDescent="0.3">
      <c r="A123" t="s">
        <v>2906</v>
      </c>
      <c r="B123" s="1">
        <v>45792</v>
      </c>
      <c r="C123" t="s">
        <v>55</v>
      </c>
      <c r="D123" t="s">
        <v>21</v>
      </c>
      <c r="E123" t="s">
        <v>67</v>
      </c>
      <c r="F123" t="s">
        <v>68</v>
      </c>
      <c r="G123" t="s">
        <v>34</v>
      </c>
      <c r="H123" t="s">
        <v>71</v>
      </c>
      <c r="I123" t="s">
        <v>1782</v>
      </c>
      <c r="J123">
        <v>7</v>
      </c>
      <c r="K123">
        <v>387</v>
      </c>
      <c r="L123">
        <v>0.1</v>
      </c>
      <c r="M123">
        <v>348.3</v>
      </c>
      <c r="N123">
        <v>2438.1</v>
      </c>
      <c r="O123">
        <v>0.4</v>
      </c>
      <c r="P123">
        <v>975.24</v>
      </c>
      <c r="Q123" t="s">
        <v>37</v>
      </c>
      <c r="R123" t="s">
        <v>48</v>
      </c>
      <c r="S123">
        <v>2</v>
      </c>
      <c r="T123">
        <f>YEAR(Sales_Data_1[[#This Row],[Order_Date]])</f>
        <v>2025</v>
      </c>
      <c r="U123" t="str">
        <f>TEXT(Sales_Data_1[[#This Row],[Order_Date]], "mmm")</f>
        <v>May</v>
      </c>
      <c r="V123">
        <f>MONTH(Sales_Data_1[[#This Row],[Order_Date]])</f>
        <v>5</v>
      </c>
      <c r="W123" t="str">
        <f>TEXT(Sales_Data_1[[#This Row],[Order_Date]], "yyyy-mm")</f>
        <v>2025-05</v>
      </c>
      <c r="X123">
        <f>Sales_Data_1[[#This Row],[Sales]]-Sales_Data_1[[#This Row],[Profit_Amount]]</f>
        <v>1462.86</v>
      </c>
      <c r="Y123" t="str" cm="1">
        <f t="array" ref="Y123">_xlfn.IFS(Sales_Data_1[[#This Row],[Delivery_Days]]&lt;=3, "Fast", Sales_Data_1[[#This Row],[Delivery_Days]]&lt;= 7, "Standard", TRUE, "Delayed")</f>
        <v>Fast</v>
      </c>
      <c r="Z123" t="str" cm="1">
        <f t="array" ref="Z123">_xlfn.IFS(Sales_Data_1[[#This Row],[Profit_Amount]]&gt; 0, "Profitable", Sales_Data_1[[#This Row],[Profit_Amount]] = 0, "Break-Even", TRUE, "Loss")</f>
        <v>Profitable</v>
      </c>
      <c r="AA123" t="str" cm="1">
        <f t="array" ref="AA123">_xlfn.IFS(Sales_Data_1[[#This Row],[Sales]]&gt;= 1000, "High Value", Sales_Data_1[[#This Row],[Sales]]&gt;= 300, "Mid Value", TRUE, "Low Value")</f>
        <v>High Value</v>
      </c>
    </row>
    <row r="124" spans="1:27" x14ac:dyDescent="0.3">
      <c r="A124" t="s">
        <v>2731</v>
      </c>
      <c r="B124" s="1">
        <v>45617</v>
      </c>
      <c r="C124" t="s">
        <v>63</v>
      </c>
      <c r="D124" t="s">
        <v>21</v>
      </c>
      <c r="E124" t="s">
        <v>42</v>
      </c>
      <c r="F124" t="s">
        <v>103</v>
      </c>
      <c r="G124" t="s">
        <v>34</v>
      </c>
      <c r="H124" t="s">
        <v>35</v>
      </c>
      <c r="I124" t="s">
        <v>1438</v>
      </c>
      <c r="J124">
        <v>8</v>
      </c>
      <c r="K124">
        <v>321</v>
      </c>
      <c r="L124">
        <v>0.05</v>
      </c>
      <c r="M124">
        <v>304.95</v>
      </c>
      <c r="N124">
        <v>2439.6</v>
      </c>
      <c r="O124">
        <v>0.4</v>
      </c>
      <c r="P124">
        <v>975.84</v>
      </c>
      <c r="Q124" t="s">
        <v>47</v>
      </c>
      <c r="R124" t="s">
        <v>48</v>
      </c>
      <c r="S124">
        <v>5</v>
      </c>
      <c r="T124">
        <f>YEAR(Sales_Data_1[[#This Row],[Order_Date]])</f>
        <v>2024</v>
      </c>
      <c r="U124" t="str">
        <f>TEXT(Sales_Data_1[[#This Row],[Order_Date]], "mmm")</f>
        <v>Nov</v>
      </c>
      <c r="V124">
        <f>MONTH(Sales_Data_1[[#This Row],[Order_Date]])</f>
        <v>11</v>
      </c>
      <c r="W124" t="str">
        <f>TEXT(Sales_Data_1[[#This Row],[Order_Date]], "yyyy-mm")</f>
        <v>2024-11</v>
      </c>
      <c r="X124">
        <f>Sales_Data_1[[#This Row],[Sales]]-Sales_Data_1[[#This Row],[Profit_Amount]]</f>
        <v>1463.7599999999998</v>
      </c>
      <c r="Y124" t="str" cm="1">
        <f t="array" ref="Y124">_xlfn.IFS(Sales_Data_1[[#This Row],[Delivery_Days]]&lt;=3, "Fast", Sales_Data_1[[#This Row],[Delivery_Days]]&lt;= 7, "Standard", TRUE, "Delayed")</f>
        <v>Standard</v>
      </c>
      <c r="Z124" t="str" cm="1">
        <f t="array" ref="Z124">_xlfn.IFS(Sales_Data_1[[#This Row],[Profit_Amount]]&gt; 0, "Profitable", Sales_Data_1[[#This Row],[Profit_Amount]] = 0, "Break-Even", TRUE, "Loss")</f>
        <v>Profitable</v>
      </c>
      <c r="AA124" t="str" cm="1">
        <f t="array" ref="AA124">_xlfn.IFS(Sales_Data_1[[#This Row],[Sales]]&gt;= 1000, "High Value", Sales_Data_1[[#This Row],[Sales]]&gt;= 300, "Mid Value", TRUE, "Low Value")</f>
        <v>High Value</v>
      </c>
    </row>
    <row r="125" spans="1:27" x14ac:dyDescent="0.3">
      <c r="A125" t="s">
        <v>2276</v>
      </c>
      <c r="B125" s="1">
        <v>45162</v>
      </c>
      <c r="C125" t="s">
        <v>55</v>
      </c>
      <c r="D125" t="s">
        <v>31</v>
      </c>
      <c r="E125" t="s">
        <v>42</v>
      </c>
      <c r="F125" t="s">
        <v>103</v>
      </c>
      <c r="G125" t="s">
        <v>57</v>
      </c>
      <c r="H125" t="s">
        <v>100</v>
      </c>
      <c r="I125" t="s">
        <v>542</v>
      </c>
      <c r="J125">
        <v>1</v>
      </c>
      <c r="K125">
        <v>5726</v>
      </c>
      <c r="L125">
        <v>0.14000000000000001</v>
      </c>
      <c r="M125">
        <v>4924.3599999999997</v>
      </c>
      <c r="N125">
        <v>4924.3599999999997</v>
      </c>
      <c r="O125">
        <v>0.2</v>
      </c>
      <c r="P125">
        <v>984.87</v>
      </c>
      <c r="Q125" t="s">
        <v>51</v>
      </c>
      <c r="R125" t="s">
        <v>38</v>
      </c>
      <c r="S125">
        <v>3</v>
      </c>
      <c r="T125">
        <f>YEAR(Sales_Data_1[[#This Row],[Order_Date]])</f>
        <v>2023</v>
      </c>
      <c r="U125" t="str">
        <f>TEXT(Sales_Data_1[[#This Row],[Order_Date]], "mmm")</f>
        <v>Aug</v>
      </c>
      <c r="V125">
        <f>MONTH(Sales_Data_1[[#This Row],[Order_Date]])</f>
        <v>8</v>
      </c>
      <c r="W125" t="str">
        <f>TEXT(Sales_Data_1[[#This Row],[Order_Date]], "yyyy-mm")</f>
        <v>2023-08</v>
      </c>
      <c r="X125">
        <f>Sales_Data_1[[#This Row],[Sales]]-Sales_Data_1[[#This Row],[Profit_Amount]]</f>
        <v>3939.49</v>
      </c>
      <c r="Y125" t="str" cm="1">
        <f t="array" ref="Y125">_xlfn.IFS(Sales_Data_1[[#This Row],[Delivery_Days]]&lt;=3, "Fast", Sales_Data_1[[#This Row],[Delivery_Days]]&lt;= 7, "Standard", TRUE, "Delayed")</f>
        <v>Fast</v>
      </c>
      <c r="Z125" t="str" cm="1">
        <f t="array" ref="Z125">_xlfn.IFS(Sales_Data_1[[#This Row],[Profit_Amount]]&gt; 0, "Profitable", Sales_Data_1[[#This Row],[Profit_Amount]] = 0, "Break-Even", TRUE, "Loss")</f>
        <v>Profitable</v>
      </c>
      <c r="AA125" t="str" cm="1">
        <f t="array" ref="AA125">_xlfn.IFS(Sales_Data_1[[#This Row],[Sales]]&gt;= 1000, "High Value", Sales_Data_1[[#This Row],[Sales]]&gt;= 300, "Mid Value", TRUE, "Low Value")</f>
        <v>High Value</v>
      </c>
    </row>
    <row r="126" spans="1:27" x14ac:dyDescent="0.3">
      <c r="A126" t="s">
        <v>2293</v>
      </c>
      <c r="B126" s="1">
        <v>45179</v>
      </c>
      <c r="C126" t="s">
        <v>63</v>
      </c>
      <c r="D126" t="s">
        <v>21</v>
      </c>
      <c r="E126" t="s">
        <v>2042</v>
      </c>
      <c r="F126" t="s">
        <v>23</v>
      </c>
      <c r="G126" t="s">
        <v>24</v>
      </c>
      <c r="H126" t="s">
        <v>74</v>
      </c>
      <c r="I126" t="s">
        <v>576</v>
      </c>
      <c r="J126">
        <v>1</v>
      </c>
      <c r="K126">
        <v>3989</v>
      </c>
      <c r="L126">
        <v>0</v>
      </c>
      <c r="M126">
        <v>3989</v>
      </c>
      <c r="N126">
        <v>3989</v>
      </c>
      <c r="O126">
        <v>0.25</v>
      </c>
      <c r="P126">
        <v>997.25</v>
      </c>
      <c r="Q126" t="s">
        <v>37</v>
      </c>
      <c r="R126" t="s">
        <v>48</v>
      </c>
      <c r="S126">
        <v>7</v>
      </c>
      <c r="T126">
        <f>YEAR(Sales_Data_1[[#This Row],[Order_Date]])</f>
        <v>2023</v>
      </c>
      <c r="U126" t="str">
        <f>TEXT(Sales_Data_1[[#This Row],[Order_Date]], "mmm")</f>
        <v>Sep</v>
      </c>
      <c r="V126">
        <f>MONTH(Sales_Data_1[[#This Row],[Order_Date]])</f>
        <v>9</v>
      </c>
      <c r="W126" t="str">
        <f>TEXT(Sales_Data_1[[#This Row],[Order_Date]], "yyyy-mm")</f>
        <v>2023-09</v>
      </c>
      <c r="X126">
        <f>Sales_Data_1[[#This Row],[Sales]]-Sales_Data_1[[#This Row],[Profit_Amount]]</f>
        <v>2991.75</v>
      </c>
      <c r="Y126" t="str" cm="1">
        <f t="array" ref="Y126">_xlfn.IFS(Sales_Data_1[[#This Row],[Delivery_Days]]&lt;=3, "Fast", Sales_Data_1[[#This Row],[Delivery_Days]]&lt;= 7, "Standard", TRUE, "Delayed")</f>
        <v>Standard</v>
      </c>
      <c r="Z126" t="str" cm="1">
        <f t="array" ref="Z126">_xlfn.IFS(Sales_Data_1[[#This Row],[Profit_Amount]]&gt; 0, "Profitable", Sales_Data_1[[#This Row],[Profit_Amount]] = 0, "Break-Even", TRUE, "Loss")</f>
        <v>Profitable</v>
      </c>
      <c r="AA126" t="str" cm="1">
        <f t="array" ref="AA126">_xlfn.IFS(Sales_Data_1[[#This Row],[Sales]]&gt;= 1000, "High Value", Sales_Data_1[[#This Row],[Sales]]&gt;= 300, "Mid Value", TRUE, "Low Value")</f>
        <v>High Value</v>
      </c>
    </row>
    <row r="127" spans="1:27" x14ac:dyDescent="0.3">
      <c r="A127" t="s">
        <v>2840</v>
      </c>
      <c r="B127" s="1">
        <v>45726</v>
      </c>
      <c r="C127" t="s">
        <v>96</v>
      </c>
      <c r="D127" t="s">
        <v>41</v>
      </c>
      <c r="E127" t="s">
        <v>2042</v>
      </c>
      <c r="F127" t="s">
        <v>43</v>
      </c>
      <c r="G127" t="s">
        <v>44</v>
      </c>
      <c r="H127" t="s">
        <v>116</v>
      </c>
      <c r="I127" t="s">
        <v>1651</v>
      </c>
      <c r="J127">
        <v>2</v>
      </c>
      <c r="K127">
        <v>1632</v>
      </c>
      <c r="L127">
        <v>0.12</v>
      </c>
      <c r="M127">
        <v>1436.16</v>
      </c>
      <c r="N127">
        <v>2872.32</v>
      </c>
      <c r="O127">
        <v>0.35</v>
      </c>
      <c r="P127">
        <v>1005.31</v>
      </c>
      <c r="Q127" t="s">
        <v>51</v>
      </c>
      <c r="R127" t="s">
        <v>48</v>
      </c>
      <c r="S127">
        <v>5</v>
      </c>
      <c r="T127">
        <f>YEAR(Sales_Data_1[[#This Row],[Order_Date]])</f>
        <v>2025</v>
      </c>
      <c r="U127" t="str">
        <f>TEXT(Sales_Data_1[[#This Row],[Order_Date]], "mmm")</f>
        <v>Mar</v>
      </c>
      <c r="V127">
        <f>MONTH(Sales_Data_1[[#This Row],[Order_Date]])</f>
        <v>3</v>
      </c>
      <c r="W127" t="str">
        <f>TEXT(Sales_Data_1[[#This Row],[Order_Date]], "yyyy-mm")</f>
        <v>2025-03</v>
      </c>
      <c r="X127">
        <f>Sales_Data_1[[#This Row],[Sales]]-Sales_Data_1[[#This Row],[Profit_Amount]]</f>
        <v>1867.0100000000002</v>
      </c>
      <c r="Y127" t="str" cm="1">
        <f t="array" ref="Y127">_xlfn.IFS(Sales_Data_1[[#This Row],[Delivery_Days]]&lt;=3, "Fast", Sales_Data_1[[#This Row],[Delivery_Days]]&lt;= 7, "Standard", TRUE, "Delayed")</f>
        <v>Standard</v>
      </c>
      <c r="Z127" t="str" cm="1">
        <f t="array" ref="Z127">_xlfn.IFS(Sales_Data_1[[#This Row],[Profit_Amount]]&gt; 0, "Profitable", Sales_Data_1[[#This Row],[Profit_Amount]] = 0, "Break-Even", TRUE, "Loss")</f>
        <v>Profitable</v>
      </c>
      <c r="AA127" t="str" cm="1">
        <f t="array" ref="AA127">_xlfn.IFS(Sales_Data_1[[#This Row],[Sales]]&gt;= 1000, "High Value", Sales_Data_1[[#This Row],[Sales]]&gt;= 300, "Mid Value", TRUE, "Low Value")</f>
        <v>High Value</v>
      </c>
    </row>
    <row r="128" spans="1:27" x14ac:dyDescent="0.3">
      <c r="A128" t="s">
        <v>2464</v>
      </c>
      <c r="B128" s="1">
        <v>45350</v>
      </c>
      <c r="C128" t="s">
        <v>55</v>
      </c>
      <c r="D128" t="s">
        <v>56</v>
      </c>
      <c r="E128" t="s">
        <v>2040</v>
      </c>
      <c r="F128" t="s">
        <v>97</v>
      </c>
      <c r="G128" t="s">
        <v>57</v>
      </c>
      <c r="H128" t="s">
        <v>100</v>
      </c>
      <c r="I128" t="s">
        <v>914</v>
      </c>
      <c r="J128">
        <v>1</v>
      </c>
      <c r="K128">
        <v>5083</v>
      </c>
      <c r="L128">
        <v>0.01</v>
      </c>
      <c r="M128">
        <v>5032.17</v>
      </c>
      <c r="N128">
        <v>5032.17</v>
      </c>
      <c r="O128">
        <v>0.2</v>
      </c>
      <c r="P128">
        <v>1006.43</v>
      </c>
      <c r="Q128" t="s">
        <v>47</v>
      </c>
      <c r="R128" t="s">
        <v>48</v>
      </c>
      <c r="S128">
        <v>4</v>
      </c>
      <c r="T128">
        <f>YEAR(Sales_Data_1[[#This Row],[Order_Date]])</f>
        <v>2024</v>
      </c>
      <c r="U128" t="str">
        <f>TEXT(Sales_Data_1[[#This Row],[Order_Date]], "mmm")</f>
        <v>Feb</v>
      </c>
      <c r="V128">
        <f>MONTH(Sales_Data_1[[#This Row],[Order_Date]])</f>
        <v>2</v>
      </c>
      <c r="W128" t="str">
        <f>TEXT(Sales_Data_1[[#This Row],[Order_Date]], "yyyy-mm")</f>
        <v>2024-02</v>
      </c>
      <c r="X128">
        <f>Sales_Data_1[[#This Row],[Sales]]-Sales_Data_1[[#This Row],[Profit_Amount]]</f>
        <v>4025.7400000000002</v>
      </c>
      <c r="Y128" t="str" cm="1">
        <f t="array" ref="Y128">_xlfn.IFS(Sales_Data_1[[#This Row],[Delivery_Days]]&lt;=3, "Fast", Sales_Data_1[[#This Row],[Delivery_Days]]&lt;= 7, "Standard", TRUE, "Delayed")</f>
        <v>Standard</v>
      </c>
      <c r="Z128" t="str" cm="1">
        <f t="array" ref="Z128">_xlfn.IFS(Sales_Data_1[[#This Row],[Profit_Amount]]&gt; 0, "Profitable", Sales_Data_1[[#This Row],[Profit_Amount]] = 0, "Break-Even", TRUE, "Loss")</f>
        <v>Profitable</v>
      </c>
      <c r="AA128" t="str" cm="1">
        <f t="array" ref="AA128">_xlfn.IFS(Sales_Data_1[[#This Row],[Sales]]&gt;= 1000, "High Value", Sales_Data_1[[#This Row],[Sales]]&gt;= 300, "Mid Value", TRUE, "Low Value")</f>
        <v>High Value</v>
      </c>
    </row>
    <row r="129" spans="1:27" x14ac:dyDescent="0.3">
      <c r="A129" t="s">
        <v>2469</v>
      </c>
      <c r="B129" s="1">
        <v>45355</v>
      </c>
      <c r="C129" t="s">
        <v>40</v>
      </c>
      <c r="D129" t="s">
        <v>31</v>
      </c>
      <c r="E129" t="s">
        <v>42</v>
      </c>
      <c r="F129" t="s">
        <v>68</v>
      </c>
      <c r="G129" t="s">
        <v>34</v>
      </c>
      <c r="H129" t="s">
        <v>71</v>
      </c>
      <c r="I129" t="s">
        <v>924</v>
      </c>
      <c r="J129">
        <v>5</v>
      </c>
      <c r="K129">
        <v>547</v>
      </c>
      <c r="L129">
        <v>0.08</v>
      </c>
      <c r="M129">
        <v>503.24</v>
      </c>
      <c r="N129">
        <v>2516.1999999999998</v>
      </c>
      <c r="O129">
        <v>0.4</v>
      </c>
      <c r="P129">
        <v>1006.48</v>
      </c>
      <c r="Q129" t="s">
        <v>51</v>
      </c>
      <c r="R129" t="s">
        <v>38</v>
      </c>
      <c r="S129">
        <v>9</v>
      </c>
      <c r="T129">
        <f>YEAR(Sales_Data_1[[#This Row],[Order_Date]])</f>
        <v>2024</v>
      </c>
      <c r="U129" t="str">
        <f>TEXT(Sales_Data_1[[#This Row],[Order_Date]], "mmm")</f>
        <v>Mar</v>
      </c>
      <c r="V129">
        <f>MONTH(Sales_Data_1[[#This Row],[Order_Date]])</f>
        <v>3</v>
      </c>
      <c r="W129" t="str">
        <f>TEXT(Sales_Data_1[[#This Row],[Order_Date]], "yyyy-mm")</f>
        <v>2024-03</v>
      </c>
      <c r="X129">
        <f>Sales_Data_1[[#This Row],[Sales]]-Sales_Data_1[[#This Row],[Profit_Amount]]</f>
        <v>1509.7199999999998</v>
      </c>
      <c r="Y129" t="str" cm="1">
        <f t="array" ref="Y129">_xlfn.IFS(Sales_Data_1[[#This Row],[Delivery_Days]]&lt;=3, "Fast", Sales_Data_1[[#This Row],[Delivery_Days]]&lt;= 7, "Standard", TRUE, "Delayed")</f>
        <v>Delayed</v>
      </c>
      <c r="Z129" t="str" cm="1">
        <f t="array" ref="Z129">_xlfn.IFS(Sales_Data_1[[#This Row],[Profit_Amount]]&gt; 0, "Profitable", Sales_Data_1[[#This Row],[Profit_Amount]] = 0, "Break-Even", TRUE, "Loss")</f>
        <v>Profitable</v>
      </c>
      <c r="AA129" t="str" cm="1">
        <f t="array" ref="AA129">_xlfn.IFS(Sales_Data_1[[#This Row],[Sales]]&gt;= 1000, "High Value", Sales_Data_1[[#This Row],[Sales]]&gt;= 300, "Mid Value", TRUE, "Low Value")</f>
        <v>High Value</v>
      </c>
    </row>
    <row r="130" spans="1:27" x14ac:dyDescent="0.3">
      <c r="A130" t="s">
        <v>2922</v>
      </c>
      <c r="B130" s="1">
        <v>45808</v>
      </c>
      <c r="C130" t="s">
        <v>96</v>
      </c>
      <c r="D130" t="s">
        <v>21</v>
      </c>
      <c r="E130" t="s">
        <v>42</v>
      </c>
      <c r="F130" t="s">
        <v>33</v>
      </c>
      <c r="G130" t="s">
        <v>34</v>
      </c>
      <c r="H130" t="s">
        <v>35</v>
      </c>
      <c r="I130" t="s">
        <v>1813</v>
      </c>
      <c r="J130">
        <v>3</v>
      </c>
      <c r="K130">
        <v>1105</v>
      </c>
      <c r="L130">
        <v>0.24</v>
      </c>
      <c r="M130">
        <v>839.8</v>
      </c>
      <c r="N130">
        <v>2519.4</v>
      </c>
      <c r="O130">
        <v>0.4</v>
      </c>
      <c r="P130">
        <v>1007.76</v>
      </c>
      <c r="Q130" t="s">
        <v>27</v>
      </c>
      <c r="R130" t="s">
        <v>48</v>
      </c>
      <c r="S130">
        <v>8</v>
      </c>
      <c r="T130">
        <f>YEAR(Sales_Data_1[[#This Row],[Order_Date]])</f>
        <v>2025</v>
      </c>
      <c r="U130" t="str">
        <f>TEXT(Sales_Data_1[[#This Row],[Order_Date]], "mmm")</f>
        <v>May</v>
      </c>
      <c r="V130">
        <f>MONTH(Sales_Data_1[[#This Row],[Order_Date]])</f>
        <v>5</v>
      </c>
      <c r="W130" t="str">
        <f>TEXT(Sales_Data_1[[#This Row],[Order_Date]], "yyyy-mm")</f>
        <v>2025-05</v>
      </c>
      <c r="X130">
        <f>Sales_Data_1[[#This Row],[Sales]]-Sales_Data_1[[#This Row],[Profit_Amount]]</f>
        <v>1511.64</v>
      </c>
      <c r="Y130" t="str" cm="1">
        <f t="array" ref="Y130">_xlfn.IFS(Sales_Data_1[[#This Row],[Delivery_Days]]&lt;=3, "Fast", Sales_Data_1[[#This Row],[Delivery_Days]]&lt;= 7, "Standard", TRUE, "Delayed")</f>
        <v>Delayed</v>
      </c>
      <c r="Z130" t="str" cm="1">
        <f t="array" ref="Z130">_xlfn.IFS(Sales_Data_1[[#This Row],[Profit_Amount]]&gt; 0, "Profitable", Sales_Data_1[[#This Row],[Profit_Amount]] = 0, "Break-Even", TRUE, "Loss")</f>
        <v>Profitable</v>
      </c>
      <c r="AA130" t="str" cm="1">
        <f t="array" ref="AA130">_xlfn.IFS(Sales_Data_1[[#This Row],[Sales]]&gt;= 1000, "High Value", Sales_Data_1[[#This Row],[Sales]]&gt;= 300, "Mid Value", TRUE, "Low Value")</f>
        <v>High Value</v>
      </c>
    </row>
    <row r="131" spans="1:27" x14ac:dyDescent="0.3">
      <c r="A131" t="s">
        <v>3026</v>
      </c>
      <c r="B131" s="1">
        <v>45912</v>
      </c>
      <c r="C131" t="s">
        <v>40</v>
      </c>
      <c r="D131" t="s">
        <v>21</v>
      </c>
      <c r="E131" t="s">
        <v>42</v>
      </c>
      <c r="F131" t="s">
        <v>23</v>
      </c>
      <c r="G131" t="s">
        <v>44</v>
      </c>
      <c r="H131" t="s">
        <v>64</v>
      </c>
      <c r="I131" t="s">
        <v>2011</v>
      </c>
      <c r="J131">
        <v>1</v>
      </c>
      <c r="K131">
        <v>2926</v>
      </c>
      <c r="L131">
        <v>0.01</v>
      </c>
      <c r="M131">
        <v>2896.74</v>
      </c>
      <c r="N131">
        <v>2896.74</v>
      </c>
      <c r="O131">
        <v>0.35</v>
      </c>
      <c r="P131">
        <v>1013.86</v>
      </c>
      <c r="Q131" t="s">
        <v>37</v>
      </c>
      <c r="R131" t="s">
        <v>48</v>
      </c>
      <c r="S131">
        <v>4</v>
      </c>
      <c r="T131">
        <f>YEAR(Sales_Data_1[[#This Row],[Order_Date]])</f>
        <v>2025</v>
      </c>
      <c r="U131" t="str">
        <f>TEXT(Sales_Data_1[[#This Row],[Order_Date]], "mmm")</f>
        <v>Sep</v>
      </c>
      <c r="V131">
        <f>MONTH(Sales_Data_1[[#This Row],[Order_Date]])</f>
        <v>9</v>
      </c>
      <c r="W131" t="str">
        <f>TEXT(Sales_Data_1[[#This Row],[Order_Date]], "yyyy-mm")</f>
        <v>2025-09</v>
      </c>
      <c r="X131">
        <f>Sales_Data_1[[#This Row],[Sales]]-Sales_Data_1[[#This Row],[Profit_Amount]]</f>
        <v>1882.8799999999997</v>
      </c>
      <c r="Y131" t="str" cm="1">
        <f t="array" ref="Y131">_xlfn.IFS(Sales_Data_1[[#This Row],[Delivery_Days]]&lt;=3, "Fast", Sales_Data_1[[#This Row],[Delivery_Days]]&lt;= 7, "Standard", TRUE, "Delayed")</f>
        <v>Standard</v>
      </c>
      <c r="Z131" t="str" cm="1">
        <f t="array" ref="Z131">_xlfn.IFS(Sales_Data_1[[#This Row],[Profit_Amount]]&gt; 0, "Profitable", Sales_Data_1[[#This Row],[Profit_Amount]] = 0, "Break-Even", TRUE, "Loss")</f>
        <v>Profitable</v>
      </c>
      <c r="AA131" t="str" cm="1">
        <f t="array" ref="AA131">_xlfn.IFS(Sales_Data_1[[#This Row],[Sales]]&gt;= 1000, "High Value", Sales_Data_1[[#This Row],[Sales]]&gt;= 300, "Mid Value", TRUE, "Low Value")</f>
        <v>High Value</v>
      </c>
    </row>
    <row r="132" spans="1:27" x14ac:dyDescent="0.3">
      <c r="A132" t="s">
        <v>2921</v>
      </c>
      <c r="B132" s="1">
        <v>45807</v>
      </c>
      <c r="C132" t="s">
        <v>20</v>
      </c>
      <c r="D132" t="s">
        <v>21</v>
      </c>
      <c r="E132" t="s">
        <v>2042</v>
      </c>
      <c r="F132" t="s">
        <v>103</v>
      </c>
      <c r="G132" t="s">
        <v>24</v>
      </c>
      <c r="H132" t="s">
        <v>186</v>
      </c>
      <c r="I132" t="s">
        <v>1811</v>
      </c>
      <c r="J132">
        <v>3</v>
      </c>
      <c r="K132">
        <v>1631</v>
      </c>
      <c r="L132">
        <v>0.16</v>
      </c>
      <c r="M132">
        <v>1370.04</v>
      </c>
      <c r="N132">
        <v>4110.12</v>
      </c>
      <c r="O132">
        <v>0.25</v>
      </c>
      <c r="P132">
        <v>1027.53</v>
      </c>
      <c r="Q132" t="s">
        <v>51</v>
      </c>
      <c r="R132" t="s">
        <v>48</v>
      </c>
      <c r="S132">
        <v>3</v>
      </c>
      <c r="T132">
        <f>YEAR(Sales_Data_1[[#This Row],[Order_Date]])</f>
        <v>2025</v>
      </c>
      <c r="U132" t="str">
        <f>TEXT(Sales_Data_1[[#This Row],[Order_Date]], "mmm")</f>
        <v>May</v>
      </c>
      <c r="V132">
        <f>MONTH(Sales_Data_1[[#This Row],[Order_Date]])</f>
        <v>5</v>
      </c>
      <c r="W132" t="str">
        <f>TEXT(Sales_Data_1[[#This Row],[Order_Date]], "yyyy-mm")</f>
        <v>2025-05</v>
      </c>
      <c r="X132">
        <f>Sales_Data_1[[#This Row],[Sales]]-Sales_Data_1[[#This Row],[Profit_Amount]]</f>
        <v>3082.59</v>
      </c>
      <c r="Y132" t="str" cm="1">
        <f t="array" ref="Y132">_xlfn.IFS(Sales_Data_1[[#This Row],[Delivery_Days]]&lt;=3, "Fast", Sales_Data_1[[#This Row],[Delivery_Days]]&lt;= 7, "Standard", TRUE, "Delayed")</f>
        <v>Fast</v>
      </c>
      <c r="Z132" t="str" cm="1">
        <f t="array" ref="Z132">_xlfn.IFS(Sales_Data_1[[#This Row],[Profit_Amount]]&gt; 0, "Profitable", Sales_Data_1[[#This Row],[Profit_Amount]] = 0, "Break-Even", TRUE, "Loss")</f>
        <v>Profitable</v>
      </c>
      <c r="AA132" t="str" cm="1">
        <f t="array" ref="AA132">_xlfn.IFS(Sales_Data_1[[#This Row],[Sales]]&gt;= 1000, "High Value", Sales_Data_1[[#This Row],[Sales]]&gt;= 300, "Mid Value", TRUE, "Low Value")</f>
        <v>High Value</v>
      </c>
    </row>
    <row r="133" spans="1:27" x14ac:dyDescent="0.3">
      <c r="A133" t="s">
        <v>2997</v>
      </c>
      <c r="B133" s="1">
        <v>45883</v>
      </c>
      <c r="C133" t="s">
        <v>30</v>
      </c>
      <c r="D133" t="s">
        <v>41</v>
      </c>
      <c r="E133" t="s">
        <v>2042</v>
      </c>
      <c r="F133" t="s">
        <v>97</v>
      </c>
      <c r="G133" t="s">
        <v>34</v>
      </c>
      <c r="H133" t="s">
        <v>141</v>
      </c>
      <c r="I133" t="s">
        <v>1955</v>
      </c>
      <c r="J133">
        <v>6</v>
      </c>
      <c r="K133">
        <v>476</v>
      </c>
      <c r="L133">
        <v>0.1</v>
      </c>
      <c r="M133">
        <v>428.4</v>
      </c>
      <c r="N133">
        <v>2570.4</v>
      </c>
      <c r="O133">
        <v>0.4</v>
      </c>
      <c r="P133">
        <v>1028.1600000000001</v>
      </c>
      <c r="Q133" t="s">
        <v>47</v>
      </c>
      <c r="R133" t="s">
        <v>48</v>
      </c>
      <c r="S133">
        <v>9</v>
      </c>
      <c r="T133">
        <f>YEAR(Sales_Data_1[[#This Row],[Order_Date]])</f>
        <v>2025</v>
      </c>
      <c r="U133" t="str">
        <f>TEXT(Sales_Data_1[[#This Row],[Order_Date]], "mmm")</f>
        <v>Aug</v>
      </c>
      <c r="V133">
        <f>MONTH(Sales_Data_1[[#This Row],[Order_Date]])</f>
        <v>8</v>
      </c>
      <c r="W133" t="str">
        <f>TEXT(Sales_Data_1[[#This Row],[Order_Date]], "yyyy-mm")</f>
        <v>2025-08</v>
      </c>
      <c r="X133">
        <f>Sales_Data_1[[#This Row],[Sales]]-Sales_Data_1[[#This Row],[Profit_Amount]]</f>
        <v>1542.24</v>
      </c>
      <c r="Y133" t="str" cm="1">
        <f t="array" ref="Y133">_xlfn.IFS(Sales_Data_1[[#This Row],[Delivery_Days]]&lt;=3, "Fast", Sales_Data_1[[#This Row],[Delivery_Days]]&lt;= 7, "Standard", TRUE, "Delayed")</f>
        <v>Delayed</v>
      </c>
      <c r="Z133" t="str" cm="1">
        <f t="array" ref="Z133">_xlfn.IFS(Sales_Data_1[[#This Row],[Profit_Amount]]&gt; 0, "Profitable", Sales_Data_1[[#This Row],[Profit_Amount]] = 0, "Break-Even", TRUE, "Loss")</f>
        <v>Profitable</v>
      </c>
      <c r="AA133" t="str" cm="1">
        <f t="array" ref="AA133">_xlfn.IFS(Sales_Data_1[[#This Row],[Sales]]&gt;= 1000, "High Value", Sales_Data_1[[#This Row],[Sales]]&gt;= 300, "Mid Value", TRUE, "Low Value")</f>
        <v>High Value</v>
      </c>
    </row>
    <row r="134" spans="1:27" x14ac:dyDescent="0.3">
      <c r="A134" t="s">
        <v>2903</v>
      </c>
      <c r="B134" s="1">
        <v>45789</v>
      </c>
      <c r="C134" t="s">
        <v>55</v>
      </c>
      <c r="D134" t="s">
        <v>41</v>
      </c>
      <c r="E134" t="s">
        <v>2042</v>
      </c>
      <c r="F134" t="s">
        <v>103</v>
      </c>
      <c r="G134" t="s">
        <v>44</v>
      </c>
      <c r="H134" t="s">
        <v>64</v>
      </c>
      <c r="I134" t="s">
        <v>1776</v>
      </c>
      <c r="J134">
        <v>1</v>
      </c>
      <c r="K134">
        <v>3356</v>
      </c>
      <c r="L134">
        <v>0.12</v>
      </c>
      <c r="M134">
        <v>2953.28</v>
      </c>
      <c r="N134">
        <v>2953.28</v>
      </c>
      <c r="O134">
        <v>0.35</v>
      </c>
      <c r="P134">
        <v>1033.6500000000001</v>
      </c>
      <c r="Q134" t="s">
        <v>37</v>
      </c>
      <c r="R134" t="s">
        <v>48</v>
      </c>
      <c r="S134">
        <v>9</v>
      </c>
      <c r="T134">
        <f>YEAR(Sales_Data_1[[#This Row],[Order_Date]])</f>
        <v>2025</v>
      </c>
      <c r="U134" t="str">
        <f>TEXT(Sales_Data_1[[#This Row],[Order_Date]], "mmm")</f>
        <v>May</v>
      </c>
      <c r="V134">
        <f>MONTH(Sales_Data_1[[#This Row],[Order_Date]])</f>
        <v>5</v>
      </c>
      <c r="W134" t="str">
        <f>TEXT(Sales_Data_1[[#This Row],[Order_Date]], "yyyy-mm")</f>
        <v>2025-05</v>
      </c>
      <c r="X134">
        <f>Sales_Data_1[[#This Row],[Sales]]-Sales_Data_1[[#This Row],[Profit_Amount]]</f>
        <v>1919.63</v>
      </c>
      <c r="Y134" t="str" cm="1">
        <f t="array" ref="Y134">_xlfn.IFS(Sales_Data_1[[#This Row],[Delivery_Days]]&lt;=3, "Fast", Sales_Data_1[[#This Row],[Delivery_Days]]&lt;= 7, "Standard", TRUE, "Delayed")</f>
        <v>Delayed</v>
      </c>
      <c r="Z134" t="str" cm="1">
        <f t="array" ref="Z134">_xlfn.IFS(Sales_Data_1[[#This Row],[Profit_Amount]]&gt; 0, "Profitable", Sales_Data_1[[#This Row],[Profit_Amount]] = 0, "Break-Even", TRUE, "Loss")</f>
        <v>Profitable</v>
      </c>
      <c r="AA134" t="str" cm="1">
        <f t="array" ref="AA134">_xlfn.IFS(Sales_Data_1[[#This Row],[Sales]]&gt;= 1000, "High Value", Sales_Data_1[[#This Row],[Sales]]&gt;= 300, "Mid Value", TRUE, "Low Value")</f>
        <v>High Value</v>
      </c>
    </row>
    <row r="135" spans="1:27" x14ac:dyDescent="0.3">
      <c r="A135" t="s">
        <v>2574</v>
      </c>
      <c r="B135" s="1">
        <v>45460</v>
      </c>
      <c r="C135" t="s">
        <v>55</v>
      </c>
      <c r="D135" t="s">
        <v>56</v>
      </c>
      <c r="E135" t="s">
        <v>2042</v>
      </c>
      <c r="F135" t="s">
        <v>23</v>
      </c>
      <c r="G135" t="s">
        <v>34</v>
      </c>
      <c r="H135" t="s">
        <v>141</v>
      </c>
      <c r="I135" t="s">
        <v>1131</v>
      </c>
      <c r="J135">
        <v>7</v>
      </c>
      <c r="K135">
        <v>389</v>
      </c>
      <c r="L135">
        <v>0.05</v>
      </c>
      <c r="M135">
        <v>369.55</v>
      </c>
      <c r="N135">
        <v>2586.85</v>
      </c>
      <c r="O135">
        <v>0.4</v>
      </c>
      <c r="P135">
        <v>1034.74</v>
      </c>
      <c r="Q135" t="s">
        <v>47</v>
      </c>
      <c r="R135" t="s">
        <v>48</v>
      </c>
      <c r="S135">
        <v>2</v>
      </c>
      <c r="T135">
        <f>YEAR(Sales_Data_1[[#This Row],[Order_Date]])</f>
        <v>2024</v>
      </c>
      <c r="U135" t="str">
        <f>TEXT(Sales_Data_1[[#This Row],[Order_Date]], "mmm")</f>
        <v>Jun</v>
      </c>
      <c r="V135">
        <f>MONTH(Sales_Data_1[[#This Row],[Order_Date]])</f>
        <v>6</v>
      </c>
      <c r="W135" t="str">
        <f>TEXT(Sales_Data_1[[#This Row],[Order_Date]], "yyyy-mm")</f>
        <v>2024-06</v>
      </c>
      <c r="X135">
        <f>Sales_Data_1[[#This Row],[Sales]]-Sales_Data_1[[#This Row],[Profit_Amount]]</f>
        <v>1552.11</v>
      </c>
      <c r="Y135" t="str" cm="1">
        <f t="array" ref="Y135">_xlfn.IFS(Sales_Data_1[[#This Row],[Delivery_Days]]&lt;=3, "Fast", Sales_Data_1[[#This Row],[Delivery_Days]]&lt;= 7, "Standard", TRUE, "Delayed")</f>
        <v>Fast</v>
      </c>
      <c r="Z135" t="str" cm="1">
        <f t="array" ref="Z135">_xlfn.IFS(Sales_Data_1[[#This Row],[Profit_Amount]]&gt; 0, "Profitable", Sales_Data_1[[#This Row],[Profit_Amount]] = 0, "Break-Even", TRUE, "Loss")</f>
        <v>Profitable</v>
      </c>
      <c r="AA135" t="str" cm="1">
        <f t="array" ref="AA135">_xlfn.IFS(Sales_Data_1[[#This Row],[Sales]]&gt;= 1000, "High Value", Sales_Data_1[[#This Row],[Sales]]&gt;= 300, "Mid Value", TRUE, "Low Value")</f>
        <v>High Value</v>
      </c>
    </row>
    <row r="136" spans="1:27" x14ac:dyDescent="0.3">
      <c r="A136" t="s">
        <v>2683</v>
      </c>
      <c r="B136" s="1">
        <v>45569</v>
      </c>
      <c r="C136" t="s">
        <v>96</v>
      </c>
      <c r="D136" t="s">
        <v>21</v>
      </c>
      <c r="E136" t="s">
        <v>2040</v>
      </c>
      <c r="F136" t="s">
        <v>68</v>
      </c>
      <c r="G136" t="s">
        <v>34</v>
      </c>
      <c r="H136" t="s">
        <v>104</v>
      </c>
      <c r="I136" t="s">
        <v>1346</v>
      </c>
      <c r="J136">
        <v>4</v>
      </c>
      <c r="K136">
        <v>698</v>
      </c>
      <c r="L136">
        <v>7.0000000000000007E-2</v>
      </c>
      <c r="M136">
        <v>649.14</v>
      </c>
      <c r="N136">
        <v>2596.56</v>
      </c>
      <c r="O136">
        <v>0.4</v>
      </c>
      <c r="P136">
        <v>1038.6199999999999</v>
      </c>
      <c r="Q136" t="s">
        <v>37</v>
      </c>
      <c r="R136" t="s">
        <v>38</v>
      </c>
      <c r="S136">
        <v>7</v>
      </c>
      <c r="T136">
        <f>YEAR(Sales_Data_1[[#This Row],[Order_Date]])</f>
        <v>2024</v>
      </c>
      <c r="U136" t="str">
        <f>TEXT(Sales_Data_1[[#This Row],[Order_Date]], "mmm")</f>
        <v>Oct</v>
      </c>
      <c r="V136">
        <f>MONTH(Sales_Data_1[[#This Row],[Order_Date]])</f>
        <v>10</v>
      </c>
      <c r="W136" t="str">
        <f>TEXT(Sales_Data_1[[#This Row],[Order_Date]], "yyyy-mm")</f>
        <v>2024-10</v>
      </c>
      <c r="X136">
        <f>Sales_Data_1[[#This Row],[Sales]]-Sales_Data_1[[#This Row],[Profit_Amount]]</f>
        <v>1557.94</v>
      </c>
      <c r="Y136" t="str" cm="1">
        <f t="array" ref="Y136">_xlfn.IFS(Sales_Data_1[[#This Row],[Delivery_Days]]&lt;=3, "Fast", Sales_Data_1[[#This Row],[Delivery_Days]]&lt;= 7, "Standard", TRUE, "Delayed")</f>
        <v>Standard</v>
      </c>
      <c r="Z136" t="str" cm="1">
        <f t="array" ref="Z136">_xlfn.IFS(Sales_Data_1[[#This Row],[Profit_Amount]]&gt; 0, "Profitable", Sales_Data_1[[#This Row],[Profit_Amount]] = 0, "Break-Even", TRUE, "Loss")</f>
        <v>Profitable</v>
      </c>
      <c r="AA136" t="str" cm="1">
        <f t="array" ref="AA136">_xlfn.IFS(Sales_Data_1[[#This Row],[Sales]]&gt;= 1000, "High Value", Sales_Data_1[[#This Row],[Sales]]&gt;= 300, "Mid Value", TRUE, "Low Value")</f>
        <v>High Value</v>
      </c>
    </row>
    <row r="137" spans="1:27" x14ac:dyDescent="0.3">
      <c r="A137" t="s">
        <v>2215</v>
      </c>
      <c r="B137" s="1">
        <v>45101</v>
      </c>
      <c r="C137" t="s">
        <v>96</v>
      </c>
      <c r="D137" t="s">
        <v>56</v>
      </c>
      <c r="E137" t="s">
        <v>2040</v>
      </c>
      <c r="F137" t="s">
        <v>33</v>
      </c>
      <c r="G137" t="s">
        <v>24</v>
      </c>
      <c r="H137" t="s">
        <v>74</v>
      </c>
      <c r="I137" t="s">
        <v>420</v>
      </c>
      <c r="J137">
        <v>1</v>
      </c>
      <c r="K137">
        <v>4249</v>
      </c>
      <c r="L137">
        <v>0.02</v>
      </c>
      <c r="M137">
        <v>4164.0200000000004</v>
      </c>
      <c r="N137">
        <v>4164.0200000000004</v>
      </c>
      <c r="O137">
        <v>0.25</v>
      </c>
      <c r="P137">
        <v>1041.01</v>
      </c>
      <c r="Q137" t="s">
        <v>37</v>
      </c>
      <c r="R137" t="s">
        <v>48</v>
      </c>
      <c r="S137">
        <v>3</v>
      </c>
      <c r="T137">
        <f>YEAR(Sales_Data_1[[#This Row],[Order_Date]])</f>
        <v>2023</v>
      </c>
      <c r="U137" t="str">
        <f>TEXT(Sales_Data_1[[#This Row],[Order_Date]], "mmm")</f>
        <v>Jun</v>
      </c>
      <c r="V137">
        <f>MONTH(Sales_Data_1[[#This Row],[Order_Date]])</f>
        <v>6</v>
      </c>
      <c r="W137" t="str">
        <f>TEXT(Sales_Data_1[[#This Row],[Order_Date]], "yyyy-mm")</f>
        <v>2023-06</v>
      </c>
      <c r="X137">
        <f>Sales_Data_1[[#This Row],[Sales]]-Sales_Data_1[[#This Row],[Profit_Amount]]</f>
        <v>3123.01</v>
      </c>
      <c r="Y137" t="str" cm="1">
        <f t="array" ref="Y137">_xlfn.IFS(Sales_Data_1[[#This Row],[Delivery_Days]]&lt;=3, "Fast", Sales_Data_1[[#This Row],[Delivery_Days]]&lt;= 7, "Standard", TRUE, "Delayed")</f>
        <v>Fast</v>
      </c>
      <c r="Z137" t="str" cm="1">
        <f t="array" ref="Z137">_xlfn.IFS(Sales_Data_1[[#This Row],[Profit_Amount]]&gt; 0, "Profitable", Sales_Data_1[[#This Row],[Profit_Amount]] = 0, "Break-Even", TRUE, "Loss")</f>
        <v>Profitable</v>
      </c>
      <c r="AA137" t="str" cm="1">
        <f t="array" ref="AA137">_xlfn.IFS(Sales_Data_1[[#This Row],[Sales]]&gt;= 1000, "High Value", Sales_Data_1[[#This Row],[Sales]]&gt;= 300, "Mid Value", TRUE, "Low Value")</f>
        <v>High Value</v>
      </c>
    </row>
    <row r="138" spans="1:27" x14ac:dyDescent="0.3">
      <c r="A138" t="s">
        <v>2485</v>
      </c>
      <c r="B138" s="1">
        <v>45371</v>
      </c>
      <c r="C138" t="s">
        <v>20</v>
      </c>
      <c r="D138" t="s">
        <v>21</v>
      </c>
      <c r="E138" t="s">
        <v>2042</v>
      </c>
      <c r="F138" t="s">
        <v>103</v>
      </c>
      <c r="G138" t="s">
        <v>34</v>
      </c>
      <c r="H138" t="s">
        <v>141</v>
      </c>
      <c r="I138" t="s">
        <v>955</v>
      </c>
      <c r="J138">
        <v>4</v>
      </c>
      <c r="K138">
        <v>659</v>
      </c>
      <c r="L138">
        <v>0.01</v>
      </c>
      <c r="M138">
        <v>652.41</v>
      </c>
      <c r="N138">
        <v>2609.64</v>
      </c>
      <c r="O138">
        <v>0.4</v>
      </c>
      <c r="P138">
        <v>1043.8599999999999</v>
      </c>
      <c r="Q138" t="s">
        <v>51</v>
      </c>
      <c r="R138" t="s">
        <v>48</v>
      </c>
      <c r="S138">
        <v>4</v>
      </c>
      <c r="T138">
        <f>YEAR(Sales_Data_1[[#This Row],[Order_Date]])</f>
        <v>2024</v>
      </c>
      <c r="U138" t="str">
        <f>TEXT(Sales_Data_1[[#This Row],[Order_Date]], "mmm")</f>
        <v>Mar</v>
      </c>
      <c r="V138">
        <f>MONTH(Sales_Data_1[[#This Row],[Order_Date]])</f>
        <v>3</v>
      </c>
      <c r="W138" t="str">
        <f>TEXT(Sales_Data_1[[#This Row],[Order_Date]], "yyyy-mm")</f>
        <v>2024-03</v>
      </c>
      <c r="X138">
        <f>Sales_Data_1[[#This Row],[Sales]]-Sales_Data_1[[#This Row],[Profit_Amount]]</f>
        <v>1565.78</v>
      </c>
      <c r="Y138" t="str" cm="1">
        <f t="array" ref="Y138">_xlfn.IFS(Sales_Data_1[[#This Row],[Delivery_Days]]&lt;=3, "Fast", Sales_Data_1[[#This Row],[Delivery_Days]]&lt;= 7, "Standard", TRUE, "Delayed")</f>
        <v>Standard</v>
      </c>
      <c r="Z138" t="str" cm="1">
        <f t="array" ref="Z138">_xlfn.IFS(Sales_Data_1[[#This Row],[Profit_Amount]]&gt; 0, "Profitable", Sales_Data_1[[#This Row],[Profit_Amount]] = 0, "Break-Even", TRUE, "Loss")</f>
        <v>Profitable</v>
      </c>
      <c r="AA138" t="str" cm="1">
        <f t="array" ref="AA138">_xlfn.IFS(Sales_Data_1[[#This Row],[Sales]]&gt;= 1000, "High Value", Sales_Data_1[[#This Row],[Sales]]&gt;= 300, "Mid Value", TRUE, "Low Value")</f>
        <v>High Value</v>
      </c>
    </row>
    <row r="139" spans="1:27" x14ac:dyDescent="0.3">
      <c r="A139" t="s">
        <v>2246</v>
      </c>
      <c r="B139" s="1">
        <v>45132</v>
      </c>
      <c r="C139" t="s">
        <v>20</v>
      </c>
      <c r="D139" t="s">
        <v>41</v>
      </c>
      <c r="E139" t="s">
        <v>42</v>
      </c>
      <c r="F139" t="s">
        <v>68</v>
      </c>
      <c r="G139" t="s">
        <v>44</v>
      </c>
      <c r="H139" t="s">
        <v>116</v>
      </c>
      <c r="I139" t="s">
        <v>482</v>
      </c>
      <c r="J139">
        <v>1</v>
      </c>
      <c r="K139">
        <v>3572</v>
      </c>
      <c r="L139">
        <v>0.16</v>
      </c>
      <c r="M139">
        <v>3000.48</v>
      </c>
      <c r="N139">
        <v>3000.48</v>
      </c>
      <c r="O139">
        <v>0.35</v>
      </c>
      <c r="P139">
        <v>1050.17</v>
      </c>
      <c r="Q139" t="s">
        <v>47</v>
      </c>
      <c r="R139" t="s">
        <v>48</v>
      </c>
      <c r="S139">
        <v>6</v>
      </c>
      <c r="T139">
        <f>YEAR(Sales_Data_1[[#This Row],[Order_Date]])</f>
        <v>2023</v>
      </c>
      <c r="U139" t="str">
        <f>TEXT(Sales_Data_1[[#This Row],[Order_Date]], "mmm")</f>
        <v>Jul</v>
      </c>
      <c r="V139">
        <f>MONTH(Sales_Data_1[[#This Row],[Order_Date]])</f>
        <v>7</v>
      </c>
      <c r="W139" t="str">
        <f>TEXT(Sales_Data_1[[#This Row],[Order_Date]], "yyyy-mm")</f>
        <v>2023-07</v>
      </c>
      <c r="X139">
        <f>Sales_Data_1[[#This Row],[Sales]]-Sales_Data_1[[#This Row],[Profit_Amount]]</f>
        <v>1950.31</v>
      </c>
      <c r="Y139" t="str" cm="1">
        <f t="array" ref="Y139">_xlfn.IFS(Sales_Data_1[[#This Row],[Delivery_Days]]&lt;=3, "Fast", Sales_Data_1[[#This Row],[Delivery_Days]]&lt;= 7, "Standard", TRUE, "Delayed")</f>
        <v>Standard</v>
      </c>
      <c r="Z139" t="str" cm="1">
        <f t="array" ref="Z139">_xlfn.IFS(Sales_Data_1[[#This Row],[Profit_Amount]]&gt; 0, "Profitable", Sales_Data_1[[#This Row],[Profit_Amount]] = 0, "Break-Even", TRUE, "Loss")</f>
        <v>Profitable</v>
      </c>
      <c r="AA139" t="str" cm="1">
        <f t="array" ref="AA139">_xlfn.IFS(Sales_Data_1[[#This Row],[Sales]]&gt;= 1000, "High Value", Sales_Data_1[[#This Row],[Sales]]&gt;= 300, "Mid Value", TRUE, "Low Value")</f>
        <v>High Value</v>
      </c>
    </row>
    <row r="140" spans="1:27" x14ac:dyDescent="0.3">
      <c r="A140" t="s">
        <v>2962</v>
      </c>
      <c r="B140" s="1">
        <v>45848</v>
      </c>
      <c r="C140" t="s">
        <v>20</v>
      </c>
      <c r="D140" t="s">
        <v>31</v>
      </c>
      <c r="E140" t="s">
        <v>67</v>
      </c>
      <c r="F140" t="s">
        <v>43</v>
      </c>
      <c r="G140" t="s">
        <v>34</v>
      </c>
      <c r="H140" t="s">
        <v>35</v>
      </c>
      <c r="I140" t="s">
        <v>1889</v>
      </c>
      <c r="J140">
        <v>5</v>
      </c>
      <c r="K140">
        <v>689</v>
      </c>
      <c r="L140">
        <v>0.23</v>
      </c>
      <c r="M140">
        <v>530.53</v>
      </c>
      <c r="N140">
        <v>2652.65</v>
      </c>
      <c r="O140">
        <v>0.4</v>
      </c>
      <c r="P140">
        <v>1061.06</v>
      </c>
      <c r="Q140" t="s">
        <v>37</v>
      </c>
      <c r="R140" t="s">
        <v>48</v>
      </c>
      <c r="S140">
        <v>3</v>
      </c>
      <c r="T140">
        <f>YEAR(Sales_Data_1[[#This Row],[Order_Date]])</f>
        <v>2025</v>
      </c>
      <c r="U140" t="str">
        <f>TEXT(Sales_Data_1[[#This Row],[Order_Date]], "mmm")</f>
        <v>Jul</v>
      </c>
      <c r="V140">
        <f>MONTH(Sales_Data_1[[#This Row],[Order_Date]])</f>
        <v>7</v>
      </c>
      <c r="W140" t="str">
        <f>TEXT(Sales_Data_1[[#This Row],[Order_Date]], "yyyy-mm")</f>
        <v>2025-07</v>
      </c>
      <c r="X140">
        <f>Sales_Data_1[[#This Row],[Sales]]-Sales_Data_1[[#This Row],[Profit_Amount]]</f>
        <v>1591.5900000000001</v>
      </c>
      <c r="Y140" t="str" cm="1">
        <f t="array" ref="Y140">_xlfn.IFS(Sales_Data_1[[#This Row],[Delivery_Days]]&lt;=3, "Fast", Sales_Data_1[[#This Row],[Delivery_Days]]&lt;= 7, "Standard", TRUE, "Delayed")</f>
        <v>Fast</v>
      </c>
      <c r="Z140" t="str" cm="1">
        <f t="array" ref="Z140">_xlfn.IFS(Sales_Data_1[[#This Row],[Profit_Amount]]&gt; 0, "Profitable", Sales_Data_1[[#This Row],[Profit_Amount]] = 0, "Break-Even", TRUE, "Loss")</f>
        <v>Profitable</v>
      </c>
      <c r="AA140" t="str" cm="1">
        <f t="array" ref="AA140">_xlfn.IFS(Sales_Data_1[[#This Row],[Sales]]&gt;= 1000, "High Value", Sales_Data_1[[#This Row],[Sales]]&gt;= 300, "Mid Value", TRUE, "Low Value")</f>
        <v>High Value</v>
      </c>
    </row>
    <row r="141" spans="1:27" x14ac:dyDescent="0.3">
      <c r="A141" t="s">
        <v>2625</v>
      </c>
      <c r="B141" s="1">
        <v>45511</v>
      </c>
      <c r="C141" t="s">
        <v>96</v>
      </c>
      <c r="D141" t="s">
        <v>41</v>
      </c>
      <c r="E141" t="s">
        <v>2040</v>
      </c>
      <c r="F141" t="s">
        <v>43</v>
      </c>
      <c r="G141" t="s">
        <v>44</v>
      </c>
      <c r="H141" t="s">
        <v>45</v>
      </c>
      <c r="I141" t="s">
        <v>1232</v>
      </c>
      <c r="J141">
        <v>1</v>
      </c>
      <c r="K141">
        <v>3542</v>
      </c>
      <c r="L141">
        <v>0.14000000000000001</v>
      </c>
      <c r="M141">
        <v>3046.12</v>
      </c>
      <c r="N141">
        <v>3046.12</v>
      </c>
      <c r="O141">
        <v>0.35</v>
      </c>
      <c r="P141">
        <v>1066.1400000000001</v>
      </c>
      <c r="Q141" t="s">
        <v>51</v>
      </c>
      <c r="R141" t="s">
        <v>48</v>
      </c>
      <c r="S141">
        <v>7</v>
      </c>
      <c r="T141">
        <f>YEAR(Sales_Data_1[[#This Row],[Order_Date]])</f>
        <v>2024</v>
      </c>
      <c r="U141" t="str">
        <f>TEXT(Sales_Data_1[[#This Row],[Order_Date]], "mmm")</f>
        <v>Aug</v>
      </c>
      <c r="V141">
        <f>MONTH(Sales_Data_1[[#This Row],[Order_Date]])</f>
        <v>8</v>
      </c>
      <c r="W141" t="str">
        <f>TEXT(Sales_Data_1[[#This Row],[Order_Date]], "yyyy-mm")</f>
        <v>2024-08</v>
      </c>
      <c r="X141">
        <f>Sales_Data_1[[#This Row],[Sales]]-Sales_Data_1[[#This Row],[Profit_Amount]]</f>
        <v>1979.9799999999998</v>
      </c>
      <c r="Y141" t="str" cm="1">
        <f t="array" ref="Y141">_xlfn.IFS(Sales_Data_1[[#This Row],[Delivery_Days]]&lt;=3, "Fast", Sales_Data_1[[#This Row],[Delivery_Days]]&lt;= 7, "Standard", TRUE, "Delayed")</f>
        <v>Standard</v>
      </c>
      <c r="Z141" t="str" cm="1">
        <f t="array" ref="Z141">_xlfn.IFS(Sales_Data_1[[#This Row],[Profit_Amount]]&gt; 0, "Profitable", Sales_Data_1[[#This Row],[Profit_Amount]] = 0, "Break-Even", TRUE, "Loss")</f>
        <v>Profitable</v>
      </c>
      <c r="AA141" t="str" cm="1">
        <f t="array" ref="AA141">_xlfn.IFS(Sales_Data_1[[#This Row],[Sales]]&gt;= 1000, "High Value", Sales_Data_1[[#This Row],[Sales]]&gt;= 300, "Mid Value", TRUE, "Low Value")</f>
        <v>High Value</v>
      </c>
    </row>
    <row r="142" spans="1:27" x14ac:dyDescent="0.3">
      <c r="A142" t="s">
        <v>2180</v>
      </c>
      <c r="B142" s="1">
        <v>45066</v>
      </c>
      <c r="C142" t="s">
        <v>40</v>
      </c>
      <c r="D142" t="s">
        <v>21</v>
      </c>
      <c r="E142" t="s">
        <v>2040</v>
      </c>
      <c r="F142" t="s">
        <v>33</v>
      </c>
      <c r="G142" t="s">
        <v>34</v>
      </c>
      <c r="H142" t="s">
        <v>71</v>
      </c>
      <c r="I142" t="s">
        <v>350</v>
      </c>
      <c r="J142">
        <v>8</v>
      </c>
      <c r="K142">
        <v>355</v>
      </c>
      <c r="L142">
        <v>0.06</v>
      </c>
      <c r="M142">
        <v>333.7</v>
      </c>
      <c r="N142">
        <v>2669.6</v>
      </c>
      <c r="O142">
        <v>0.4</v>
      </c>
      <c r="P142">
        <v>1067.8399999999999</v>
      </c>
      <c r="Q142" t="s">
        <v>51</v>
      </c>
      <c r="R142" t="s">
        <v>48</v>
      </c>
      <c r="S142">
        <v>4</v>
      </c>
      <c r="T142">
        <f>YEAR(Sales_Data_1[[#This Row],[Order_Date]])</f>
        <v>2023</v>
      </c>
      <c r="U142" t="str">
        <f>TEXT(Sales_Data_1[[#This Row],[Order_Date]], "mmm")</f>
        <v>May</v>
      </c>
      <c r="V142">
        <f>MONTH(Sales_Data_1[[#This Row],[Order_Date]])</f>
        <v>5</v>
      </c>
      <c r="W142" t="str">
        <f>TEXT(Sales_Data_1[[#This Row],[Order_Date]], "yyyy-mm")</f>
        <v>2023-05</v>
      </c>
      <c r="X142">
        <f>Sales_Data_1[[#This Row],[Sales]]-Sales_Data_1[[#This Row],[Profit_Amount]]</f>
        <v>1601.76</v>
      </c>
      <c r="Y142" t="str" cm="1">
        <f t="array" ref="Y142">_xlfn.IFS(Sales_Data_1[[#This Row],[Delivery_Days]]&lt;=3, "Fast", Sales_Data_1[[#This Row],[Delivery_Days]]&lt;= 7, "Standard", TRUE, "Delayed")</f>
        <v>Standard</v>
      </c>
      <c r="Z142" t="str" cm="1">
        <f t="array" ref="Z142">_xlfn.IFS(Sales_Data_1[[#This Row],[Profit_Amount]]&gt; 0, "Profitable", Sales_Data_1[[#This Row],[Profit_Amount]] = 0, "Break-Even", TRUE, "Loss")</f>
        <v>Profitable</v>
      </c>
      <c r="AA142" t="str" cm="1">
        <f t="array" ref="AA142">_xlfn.IFS(Sales_Data_1[[#This Row],[Sales]]&gt;= 1000, "High Value", Sales_Data_1[[#This Row],[Sales]]&gt;= 300, "Mid Value", TRUE, "Low Value")</f>
        <v>High Value</v>
      </c>
    </row>
    <row r="143" spans="1:27" x14ac:dyDescent="0.3">
      <c r="A143" t="s">
        <v>2498</v>
      </c>
      <c r="B143" s="1">
        <v>45384</v>
      </c>
      <c r="C143" t="s">
        <v>63</v>
      </c>
      <c r="D143" t="s">
        <v>21</v>
      </c>
      <c r="E143" t="s">
        <v>42</v>
      </c>
      <c r="F143" t="s">
        <v>68</v>
      </c>
      <c r="G143" t="s">
        <v>44</v>
      </c>
      <c r="H143" t="s">
        <v>64</v>
      </c>
      <c r="I143" t="s">
        <v>981</v>
      </c>
      <c r="J143">
        <v>5</v>
      </c>
      <c r="K143">
        <v>761</v>
      </c>
      <c r="L143">
        <v>0.19</v>
      </c>
      <c r="M143">
        <v>616.41</v>
      </c>
      <c r="N143">
        <v>3082.05</v>
      </c>
      <c r="O143">
        <v>0.35</v>
      </c>
      <c r="P143">
        <v>1078.72</v>
      </c>
      <c r="Q143" t="s">
        <v>27</v>
      </c>
      <c r="R143" t="s">
        <v>48</v>
      </c>
      <c r="S143">
        <v>6</v>
      </c>
      <c r="T143">
        <f>YEAR(Sales_Data_1[[#This Row],[Order_Date]])</f>
        <v>2024</v>
      </c>
      <c r="U143" t="str">
        <f>TEXT(Sales_Data_1[[#This Row],[Order_Date]], "mmm")</f>
        <v>Apr</v>
      </c>
      <c r="V143">
        <f>MONTH(Sales_Data_1[[#This Row],[Order_Date]])</f>
        <v>4</v>
      </c>
      <c r="W143" t="str">
        <f>TEXT(Sales_Data_1[[#This Row],[Order_Date]], "yyyy-mm")</f>
        <v>2024-04</v>
      </c>
      <c r="X143">
        <f>Sales_Data_1[[#This Row],[Sales]]-Sales_Data_1[[#This Row],[Profit_Amount]]</f>
        <v>2003.3300000000002</v>
      </c>
      <c r="Y143" t="str" cm="1">
        <f t="array" ref="Y143">_xlfn.IFS(Sales_Data_1[[#This Row],[Delivery_Days]]&lt;=3, "Fast", Sales_Data_1[[#This Row],[Delivery_Days]]&lt;= 7, "Standard", TRUE, "Delayed")</f>
        <v>Standard</v>
      </c>
      <c r="Z143" t="str" cm="1">
        <f t="array" ref="Z143">_xlfn.IFS(Sales_Data_1[[#This Row],[Profit_Amount]]&gt; 0, "Profitable", Sales_Data_1[[#This Row],[Profit_Amount]] = 0, "Break-Even", TRUE, "Loss")</f>
        <v>Profitable</v>
      </c>
      <c r="AA143" t="str" cm="1">
        <f t="array" ref="AA143">_xlfn.IFS(Sales_Data_1[[#This Row],[Sales]]&gt;= 1000, "High Value", Sales_Data_1[[#This Row],[Sales]]&gt;= 300, "Mid Value", TRUE, "Low Value")</f>
        <v>High Value</v>
      </c>
    </row>
    <row r="144" spans="1:27" x14ac:dyDescent="0.3">
      <c r="A144" t="s">
        <v>2639</v>
      </c>
      <c r="B144" s="1">
        <v>45525</v>
      </c>
      <c r="C144" t="s">
        <v>20</v>
      </c>
      <c r="D144" t="s">
        <v>56</v>
      </c>
      <c r="E144" t="s">
        <v>42</v>
      </c>
      <c r="F144" t="s">
        <v>68</v>
      </c>
      <c r="G144" t="s">
        <v>34</v>
      </c>
      <c r="H144" t="s">
        <v>141</v>
      </c>
      <c r="I144" t="s">
        <v>1259</v>
      </c>
      <c r="J144">
        <v>4</v>
      </c>
      <c r="K144">
        <v>753</v>
      </c>
      <c r="L144">
        <v>0.1</v>
      </c>
      <c r="M144">
        <v>677.7</v>
      </c>
      <c r="N144">
        <v>2710.8</v>
      </c>
      <c r="O144">
        <v>0.4</v>
      </c>
      <c r="P144">
        <v>1084.32</v>
      </c>
      <c r="Q144" t="s">
        <v>47</v>
      </c>
      <c r="R144" t="s">
        <v>38</v>
      </c>
      <c r="S144">
        <v>7</v>
      </c>
      <c r="T144">
        <f>YEAR(Sales_Data_1[[#This Row],[Order_Date]])</f>
        <v>2024</v>
      </c>
      <c r="U144" t="str">
        <f>TEXT(Sales_Data_1[[#This Row],[Order_Date]], "mmm")</f>
        <v>Aug</v>
      </c>
      <c r="V144">
        <f>MONTH(Sales_Data_1[[#This Row],[Order_Date]])</f>
        <v>8</v>
      </c>
      <c r="W144" t="str">
        <f>TEXT(Sales_Data_1[[#This Row],[Order_Date]], "yyyy-mm")</f>
        <v>2024-08</v>
      </c>
      <c r="X144">
        <f>Sales_Data_1[[#This Row],[Sales]]-Sales_Data_1[[#This Row],[Profit_Amount]]</f>
        <v>1626.4800000000002</v>
      </c>
      <c r="Y144" t="str" cm="1">
        <f t="array" ref="Y144">_xlfn.IFS(Sales_Data_1[[#This Row],[Delivery_Days]]&lt;=3, "Fast", Sales_Data_1[[#This Row],[Delivery_Days]]&lt;= 7, "Standard", TRUE, "Delayed")</f>
        <v>Standard</v>
      </c>
      <c r="Z144" t="str" cm="1">
        <f t="array" ref="Z144">_xlfn.IFS(Sales_Data_1[[#This Row],[Profit_Amount]]&gt; 0, "Profitable", Sales_Data_1[[#This Row],[Profit_Amount]] = 0, "Break-Even", TRUE, "Loss")</f>
        <v>Profitable</v>
      </c>
      <c r="AA144" t="str" cm="1">
        <f t="array" ref="AA144">_xlfn.IFS(Sales_Data_1[[#This Row],[Sales]]&gt;= 1000, "High Value", Sales_Data_1[[#This Row],[Sales]]&gt;= 300, "Mid Value", TRUE, "Low Value")</f>
        <v>High Value</v>
      </c>
    </row>
    <row r="145" spans="1:27" x14ac:dyDescent="0.3">
      <c r="A145" t="s">
        <v>2848</v>
      </c>
      <c r="B145" s="1">
        <v>45734</v>
      </c>
      <c r="C145" t="s">
        <v>96</v>
      </c>
      <c r="D145" t="s">
        <v>21</v>
      </c>
      <c r="E145" t="s">
        <v>42</v>
      </c>
      <c r="F145" t="s">
        <v>23</v>
      </c>
      <c r="G145" t="s">
        <v>44</v>
      </c>
      <c r="H145" t="s">
        <v>45</v>
      </c>
      <c r="I145" t="s">
        <v>1667</v>
      </c>
      <c r="J145">
        <v>2</v>
      </c>
      <c r="K145">
        <v>1706</v>
      </c>
      <c r="L145">
        <v>0.09</v>
      </c>
      <c r="M145">
        <v>1552.46</v>
      </c>
      <c r="N145">
        <v>3104.92</v>
      </c>
      <c r="O145">
        <v>0.35</v>
      </c>
      <c r="P145">
        <v>1086.72</v>
      </c>
      <c r="Q145" t="s">
        <v>51</v>
      </c>
      <c r="R145" t="s">
        <v>48</v>
      </c>
      <c r="S145">
        <v>9</v>
      </c>
      <c r="T145">
        <f>YEAR(Sales_Data_1[[#This Row],[Order_Date]])</f>
        <v>2025</v>
      </c>
      <c r="U145" t="str">
        <f>TEXT(Sales_Data_1[[#This Row],[Order_Date]], "mmm")</f>
        <v>Mar</v>
      </c>
      <c r="V145">
        <f>MONTH(Sales_Data_1[[#This Row],[Order_Date]])</f>
        <v>3</v>
      </c>
      <c r="W145" t="str">
        <f>TEXT(Sales_Data_1[[#This Row],[Order_Date]], "yyyy-mm")</f>
        <v>2025-03</v>
      </c>
      <c r="X145">
        <f>Sales_Data_1[[#This Row],[Sales]]-Sales_Data_1[[#This Row],[Profit_Amount]]</f>
        <v>2018.2</v>
      </c>
      <c r="Y145" t="str" cm="1">
        <f t="array" ref="Y145">_xlfn.IFS(Sales_Data_1[[#This Row],[Delivery_Days]]&lt;=3, "Fast", Sales_Data_1[[#This Row],[Delivery_Days]]&lt;= 7, "Standard", TRUE, "Delayed")</f>
        <v>Delayed</v>
      </c>
      <c r="Z145" t="str" cm="1">
        <f t="array" ref="Z145">_xlfn.IFS(Sales_Data_1[[#This Row],[Profit_Amount]]&gt; 0, "Profitable", Sales_Data_1[[#This Row],[Profit_Amount]] = 0, "Break-Even", TRUE, "Loss")</f>
        <v>Profitable</v>
      </c>
      <c r="AA145" t="str" cm="1">
        <f t="array" ref="AA145">_xlfn.IFS(Sales_Data_1[[#This Row],[Sales]]&gt;= 1000, "High Value", Sales_Data_1[[#This Row],[Sales]]&gt;= 300, "Mid Value", TRUE, "Low Value")</f>
        <v>High Value</v>
      </c>
    </row>
    <row r="146" spans="1:27" x14ac:dyDescent="0.3">
      <c r="A146" t="s">
        <v>2721</v>
      </c>
      <c r="B146" s="1">
        <v>45607</v>
      </c>
      <c r="C146" t="s">
        <v>20</v>
      </c>
      <c r="D146" t="s">
        <v>31</v>
      </c>
      <c r="E146" t="s">
        <v>42</v>
      </c>
      <c r="F146" t="s">
        <v>23</v>
      </c>
      <c r="G146" t="s">
        <v>34</v>
      </c>
      <c r="H146" t="s">
        <v>104</v>
      </c>
      <c r="I146" t="s">
        <v>1418</v>
      </c>
      <c r="J146">
        <v>6</v>
      </c>
      <c r="K146">
        <v>472</v>
      </c>
      <c r="L146">
        <v>0.04</v>
      </c>
      <c r="M146">
        <v>453.12</v>
      </c>
      <c r="N146">
        <v>2718.72</v>
      </c>
      <c r="O146">
        <v>0.4</v>
      </c>
      <c r="P146">
        <v>1087.49</v>
      </c>
      <c r="Q146" t="s">
        <v>51</v>
      </c>
      <c r="R146" t="s">
        <v>48</v>
      </c>
      <c r="S146">
        <v>3</v>
      </c>
      <c r="T146">
        <f>YEAR(Sales_Data_1[[#This Row],[Order_Date]])</f>
        <v>2024</v>
      </c>
      <c r="U146" t="str">
        <f>TEXT(Sales_Data_1[[#This Row],[Order_Date]], "mmm")</f>
        <v>Nov</v>
      </c>
      <c r="V146">
        <f>MONTH(Sales_Data_1[[#This Row],[Order_Date]])</f>
        <v>11</v>
      </c>
      <c r="W146" t="str">
        <f>TEXT(Sales_Data_1[[#This Row],[Order_Date]], "yyyy-mm")</f>
        <v>2024-11</v>
      </c>
      <c r="X146">
        <f>Sales_Data_1[[#This Row],[Sales]]-Sales_Data_1[[#This Row],[Profit_Amount]]</f>
        <v>1631.2299999999998</v>
      </c>
      <c r="Y146" t="str" cm="1">
        <f t="array" ref="Y146">_xlfn.IFS(Sales_Data_1[[#This Row],[Delivery_Days]]&lt;=3, "Fast", Sales_Data_1[[#This Row],[Delivery_Days]]&lt;= 7, "Standard", TRUE, "Delayed")</f>
        <v>Fast</v>
      </c>
      <c r="Z146" t="str" cm="1">
        <f t="array" ref="Z146">_xlfn.IFS(Sales_Data_1[[#This Row],[Profit_Amount]]&gt; 0, "Profitable", Sales_Data_1[[#This Row],[Profit_Amount]] = 0, "Break-Even", TRUE, "Loss")</f>
        <v>Profitable</v>
      </c>
      <c r="AA146" t="str" cm="1">
        <f t="array" ref="AA146">_xlfn.IFS(Sales_Data_1[[#This Row],[Sales]]&gt;= 1000, "High Value", Sales_Data_1[[#This Row],[Sales]]&gt;= 300, "Mid Value", TRUE, "Low Value")</f>
        <v>High Value</v>
      </c>
    </row>
    <row r="147" spans="1:27" x14ac:dyDescent="0.3">
      <c r="A147" t="s">
        <v>2754</v>
      </c>
      <c r="B147" s="1">
        <v>45640</v>
      </c>
      <c r="C147" t="s">
        <v>30</v>
      </c>
      <c r="D147" t="s">
        <v>41</v>
      </c>
      <c r="E147" t="s">
        <v>67</v>
      </c>
      <c r="F147" t="s">
        <v>103</v>
      </c>
      <c r="G147" t="s">
        <v>44</v>
      </c>
      <c r="H147" t="s">
        <v>64</v>
      </c>
      <c r="I147" t="s">
        <v>1483</v>
      </c>
      <c r="J147">
        <v>5</v>
      </c>
      <c r="K147">
        <v>782</v>
      </c>
      <c r="L147">
        <v>0.2</v>
      </c>
      <c r="M147">
        <v>625.6</v>
      </c>
      <c r="N147">
        <v>3128</v>
      </c>
      <c r="O147">
        <v>0.35</v>
      </c>
      <c r="P147">
        <v>1094.8</v>
      </c>
      <c r="Q147" t="s">
        <v>51</v>
      </c>
      <c r="R147" t="s">
        <v>48</v>
      </c>
      <c r="S147">
        <v>1</v>
      </c>
      <c r="T147">
        <f>YEAR(Sales_Data_1[[#This Row],[Order_Date]])</f>
        <v>2024</v>
      </c>
      <c r="U147" t="str">
        <f>TEXT(Sales_Data_1[[#This Row],[Order_Date]], "mmm")</f>
        <v>Dec</v>
      </c>
      <c r="V147">
        <f>MONTH(Sales_Data_1[[#This Row],[Order_Date]])</f>
        <v>12</v>
      </c>
      <c r="W147" t="str">
        <f>TEXT(Sales_Data_1[[#This Row],[Order_Date]], "yyyy-mm")</f>
        <v>2024-12</v>
      </c>
      <c r="X147">
        <f>Sales_Data_1[[#This Row],[Sales]]-Sales_Data_1[[#This Row],[Profit_Amount]]</f>
        <v>2033.2</v>
      </c>
      <c r="Y147" t="str" cm="1">
        <f t="array" ref="Y147">_xlfn.IFS(Sales_Data_1[[#This Row],[Delivery_Days]]&lt;=3, "Fast", Sales_Data_1[[#This Row],[Delivery_Days]]&lt;= 7, "Standard", TRUE, "Delayed")</f>
        <v>Fast</v>
      </c>
      <c r="Z147" t="str" cm="1">
        <f t="array" ref="Z147">_xlfn.IFS(Sales_Data_1[[#This Row],[Profit_Amount]]&gt; 0, "Profitable", Sales_Data_1[[#This Row],[Profit_Amount]] = 0, "Break-Even", TRUE, "Loss")</f>
        <v>Profitable</v>
      </c>
      <c r="AA147" t="str" cm="1">
        <f t="array" ref="AA147">_xlfn.IFS(Sales_Data_1[[#This Row],[Sales]]&gt;= 1000, "High Value", Sales_Data_1[[#This Row],[Sales]]&gt;= 300, "Mid Value", TRUE, "Low Value")</f>
        <v>High Value</v>
      </c>
    </row>
    <row r="148" spans="1:27" x14ac:dyDescent="0.3">
      <c r="A148" t="s">
        <v>2794</v>
      </c>
      <c r="B148" s="1">
        <v>45680</v>
      </c>
      <c r="C148" t="s">
        <v>63</v>
      </c>
      <c r="D148" t="s">
        <v>56</v>
      </c>
      <c r="E148" t="s">
        <v>2040</v>
      </c>
      <c r="F148" t="s">
        <v>97</v>
      </c>
      <c r="G148" t="s">
        <v>44</v>
      </c>
      <c r="H148" t="s">
        <v>45</v>
      </c>
      <c r="I148" t="s">
        <v>1561</v>
      </c>
      <c r="J148">
        <v>1</v>
      </c>
      <c r="K148">
        <v>3583</v>
      </c>
      <c r="L148">
        <v>0.11</v>
      </c>
      <c r="M148">
        <v>3188.87</v>
      </c>
      <c r="N148">
        <v>3188.87</v>
      </c>
      <c r="O148">
        <v>0.35</v>
      </c>
      <c r="P148">
        <v>1116.0999999999999</v>
      </c>
      <c r="Q148" t="s">
        <v>47</v>
      </c>
      <c r="R148" t="s">
        <v>48</v>
      </c>
      <c r="S148">
        <v>5</v>
      </c>
      <c r="T148">
        <f>YEAR(Sales_Data_1[[#This Row],[Order_Date]])</f>
        <v>2025</v>
      </c>
      <c r="U148" t="str">
        <f>TEXT(Sales_Data_1[[#This Row],[Order_Date]], "mmm")</f>
        <v>Jan</v>
      </c>
      <c r="V148">
        <f>MONTH(Sales_Data_1[[#This Row],[Order_Date]])</f>
        <v>1</v>
      </c>
      <c r="W148" t="str">
        <f>TEXT(Sales_Data_1[[#This Row],[Order_Date]], "yyyy-mm")</f>
        <v>2025-01</v>
      </c>
      <c r="X148">
        <f>Sales_Data_1[[#This Row],[Sales]]-Sales_Data_1[[#This Row],[Profit_Amount]]</f>
        <v>2072.77</v>
      </c>
      <c r="Y148" t="str" cm="1">
        <f t="array" ref="Y148">_xlfn.IFS(Sales_Data_1[[#This Row],[Delivery_Days]]&lt;=3, "Fast", Sales_Data_1[[#This Row],[Delivery_Days]]&lt;= 7, "Standard", TRUE, "Delayed")</f>
        <v>Standard</v>
      </c>
      <c r="Z148" t="str" cm="1">
        <f t="array" ref="Z148">_xlfn.IFS(Sales_Data_1[[#This Row],[Profit_Amount]]&gt; 0, "Profitable", Sales_Data_1[[#This Row],[Profit_Amount]] = 0, "Break-Even", TRUE, "Loss")</f>
        <v>Profitable</v>
      </c>
      <c r="AA148" t="str" cm="1">
        <f t="array" ref="AA148">_xlfn.IFS(Sales_Data_1[[#This Row],[Sales]]&gt;= 1000, "High Value", Sales_Data_1[[#This Row],[Sales]]&gt;= 300, "Mid Value", TRUE, "Low Value")</f>
        <v>High Value</v>
      </c>
    </row>
    <row r="149" spans="1:27" x14ac:dyDescent="0.3">
      <c r="A149" t="s">
        <v>2336</v>
      </c>
      <c r="B149" s="1">
        <v>45222</v>
      </c>
      <c r="C149" t="s">
        <v>55</v>
      </c>
      <c r="D149" t="s">
        <v>56</v>
      </c>
      <c r="E149" t="s">
        <v>2040</v>
      </c>
      <c r="F149" t="s">
        <v>23</v>
      </c>
      <c r="G149" t="s">
        <v>34</v>
      </c>
      <c r="H149" t="s">
        <v>35</v>
      </c>
      <c r="I149" t="s">
        <v>661</v>
      </c>
      <c r="J149">
        <v>6</v>
      </c>
      <c r="K149">
        <v>490</v>
      </c>
      <c r="L149">
        <v>0.05</v>
      </c>
      <c r="M149">
        <v>465.5</v>
      </c>
      <c r="N149">
        <v>2793</v>
      </c>
      <c r="O149">
        <v>0.4</v>
      </c>
      <c r="P149">
        <v>1117.2</v>
      </c>
      <c r="Q149" t="s">
        <v>27</v>
      </c>
      <c r="R149" t="s">
        <v>48</v>
      </c>
      <c r="S149">
        <v>2</v>
      </c>
      <c r="T149">
        <f>YEAR(Sales_Data_1[[#This Row],[Order_Date]])</f>
        <v>2023</v>
      </c>
      <c r="U149" t="str">
        <f>TEXT(Sales_Data_1[[#This Row],[Order_Date]], "mmm")</f>
        <v>Oct</v>
      </c>
      <c r="V149">
        <f>MONTH(Sales_Data_1[[#This Row],[Order_Date]])</f>
        <v>10</v>
      </c>
      <c r="W149" t="str">
        <f>TEXT(Sales_Data_1[[#This Row],[Order_Date]], "yyyy-mm")</f>
        <v>2023-10</v>
      </c>
      <c r="X149">
        <f>Sales_Data_1[[#This Row],[Sales]]-Sales_Data_1[[#This Row],[Profit_Amount]]</f>
        <v>1675.8</v>
      </c>
      <c r="Y149" t="str" cm="1">
        <f t="array" ref="Y149">_xlfn.IFS(Sales_Data_1[[#This Row],[Delivery_Days]]&lt;=3, "Fast", Sales_Data_1[[#This Row],[Delivery_Days]]&lt;= 7, "Standard", TRUE, "Delayed")</f>
        <v>Fast</v>
      </c>
      <c r="Z149" t="str" cm="1">
        <f t="array" ref="Z149">_xlfn.IFS(Sales_Data_1[[#This Row],[Profit_Amount]]&gt; 0, "Profitable", Sales_Data_1[[#This Row],[Profit_Amount]] = 0, "Break-Even", TRUE, "Loss")</f>
        <v>Profitable</v>
      </c>
      <c r="AA149" t="str" cm="1">
        <f t="array" ref="AA149">_xlfn.IFS(Sales_Data_1[[#This Row],[Sales]]&gt;= 1000, "High Value", Sales_Data_1[[#This Row],[Sales]]&gt;= 300, "Mid Value", TRUE, "Low Value")</f>
        <v>High Value</v>
      </c>
    </row>
    <row r="150" spans="1:27" x14ac:dyDescent="0.3">
      <c r="A150" t="s">
        <v>2138</v>
      </c>
      <c r="B150" s="1">
        <v>45024</v>
      </c>
      <c r="C150" t="s">
        <v>55</v>
      </c>
      <c r="D150" t="s">
        <v>41</v>
      </c>
      <c r="E150" t="s">
        <v>42</v>
      </c>
      <c r="F150" t="s">
        <v>97</v>
      </c>
      <c r="G150" t="s">
        <v>57</v>
      </c>
      <c r="H150" t="s">
        <v>100</v>
      </c>
      <c r="I150" t="s">
        <v>266</v>
      </c>
      <c r="J150">
        <v>1</v>
      </c>
      <c r="K150">
        <v>6648</v>
      </c>
      <c r="L150">
        <v>0.15</v>
      </c>
      <c r="M150">
        <v>5650.8</v>
      </c>
      <c r="N150">
        <v>5650.8</v>
      </c>
      <c r="O150">
        <v>0.2</v>
      </c>
      <c r="P150">
        <v>1130.1600000000001</v>
      </c>
      <c r="Q150" t="s">
        <v>37</v>
      </c>
      <c r="R150" t="s">
        <v>48</v>
      </c>
      <c r="S150">
        <v>7</v>
      </c>
      <c r="T150">
        <f>YEAR(Sales_Data_1[[#This Row],[Order_Date]])</f>
        <v>2023</v>
      </c>
      <c r="U150" t="str">
        <f>TEXT(Sales_Data_1[[#This Row],[Order_Date]], "mmm")</f>
        <v>Apr</v>
      </c>
      <c r="V150">
        <f>MONTH(Sales_Data_1[[#This Row],[Order_Date]])</f>
        <v>4</v>
      </c>
      <c r="W150" t="str">
        <f>TEXT(Sales_Data_1[[#This Row],[Order_Date]], "yyyy-mm")</f>
        <v>2023-04</v>
      </c>
      <c r="X150">
        <f>Sales_Data_1[[#This Row],[Sales]]-Sales_Data_1[[#This Row],[Profit_Amount]]</f>
        <v>4520.6400000000003</v>
      </c>
      <c r="Y150" t="str" cm="1">
        <f t="array" ref="Y150">_xlfn.IFS(Sales_Data_1[[#This Row],[Delivery_Days]]&lt;=3, "Fast", Sales_Data_1[[#This Row],[Delivery_Days]]&lt;= 7, "Standard", TRUE, "Delayed")</f>
        <v>Standard</v>
      </c>
      <c r="Z150" t="str" cm="1">
        <f t="array" ref="Z150">_xlfn.IFS(Sales_Data_1[[#This Row],[Profit_Amount]]&gt; 0, "Profitable", Sales_Data_1[[#This Row],[Profit_Amount]] = 0, "Break-Even", TRUE, "Loss")</f>
        <v>Profitable</v>
      </c>
      <c r="AA150" t="str" cm="1">
        <f t="array" ref="AA150">_xlfn.IFS(Sales_Data_1[[#This Row],[Sales]]&gt;= 1000, "High Value", Sales_Data_1[[#This Row],[Sales]]&gt;= 300, "Mid Value", TRUE, "Low Value")</f>
        <v>High Value</v>
      </c>
    </row>
    <row r="151" spans="1:27" x14ac:dyDescent="0.3">
      <c r="A151" t="s">
        <v>2121</v>
      </c>
      <c r="B151" s="1">
        <v>45007</v>
      </c>
      <c r="C151" t="s">
        <v>63</v>
      </c>
      <c r="D151" t="s">
        <v>56</v>
      </c>
      <c r="E151" t="s">
        <v>42</v>
      </c>
      <c r="F151" t="s">
        <v>23</v>
      </c>
      <c r="G151" t="s">
        <v>34</v>
      </c>
      <c r="H151" t="s">
        <v>35</v>
      </c>
      <c r="I151" t="s">
        <v>231</v>
      </c>
      <c r="J151">
        <v>9</v>
      </c>
      <c r="K151">
        <v>385</v>
      </c>
      <c r="L151">
        <v>0.18</v>
      </c>
      <c r="M151">
        <v>315.7</v>
      </c>
      <c r="N151">
        <v>2841.3</v>
      </c>
      <c r="O151">
        <v>0.4</v>
      </c>
      <c r="P151">
        <v>1136.52</v>
      </c>
      <c r="Q151" t="s">
        <v>47</v>
      </c>
      <c r="R151" t="s">
        <v>48</v>
      </c>
      <c r="S151">
        <v>1</v>
      </c>
      <c r="T151">
        <f>YEAR(Sales_Data_1[[#This Row],[Order_Date]])</f>
        <v>2023</v>
      </c>
      <c r="U151" t="str">
        <f>TEXT(Sales_Data_1[[#This Row],[Order_Date]], "mmm")</f>
        <v>Mar</v>
      </c>
      <c r="V151">
        <f>MONTH(Sales_Data_1[[#This Row],[Order_Date]])</f>
        <v>3</v>
      </c>
      <c r="W151" t="str">
        <f>TEXT(Sales_Data_1[[#This Row],[Order_Date]], "yyyy-mm")</f>
        <v>2023-03</v>
      </c>
      <c r="X151">
        <f>Sales_Data_1[[#This Row],[Sales]]-Sales_Data_1[[#This Row],[Profit_Amount]]</f>
        <v>1704.7800000000002</v>
      </c>
      <c r="Y151" t="str" cm="1">
        <f t="array" ref="Y151">_xlfn.IFS(Sales_Data_1[[#This Row],[Delivery_Days]]&lt;=3, "Fast", Sales_Data_1[[#This Row],[Delivery_Days]]&lt;= 7, "Standard", TRUE, "Delayed")</f>
        <v>Fast</v>
      </c>
      <c r="Z151" t="str" cm="1">
        <f t="array" ref="Z151">_xlfn.IFS(Sales_Data_1[[#This Row],[Profit_Amount]]&gt; 0, "Profitable", Sales_Data_1[[#This Row],[Profit_Amount]] = 0, "Break-Even", TRUE, "Loss")</f>
        <v>Profitable</v>
      </c>
      <c r="AA151" t="str" cm="1">
        <f t="array" ref="AA151">_xlfn.IFS(Sales_Data_1[[#This Row],[Sales]]&gt;= 1000, "High Value", Sales_Data_1[[#This Row],[Sales]]&gt;= 300, "Mid Value", TRUE, "Low Value")</f>
        <v>High Value</v>
      </c>
    </row>
    <row r="152" spans="1:27" x14ac:dyDescent="0.3">
      <c r="A152" t="s">
        <v>2752</v>
      </c>
      <c r="B152" s="1">
        <v>45638</v>
      </c>
      <c r="C152" t="s">
        <v>40</v>
      </c>
      <c r="D152" t="s">
        <v>21</v>
      </c>
      <c r="E152" t="s">
        <v>67</v>
      </c>
      <c r="F152" t="s">
        <v>33</v>
      </c>
      <c r="G152" t="s">
        <v>34</v>
      </c>
      <c r="H152" t="s">
        <v>104</v>
      </c>
      <c r="I152" t="s">
        <v>1479</v>
      </c>
      <c r="J152">
        <v>4</v>
      </c>
      <c r="K152">
        <v>740</v>
      </c>
      <c r="L152">
        <v>0.04</v>
      </c>
      <c r="M152">
        <v>710.4</v>
      </c>
      <c r="N152">
        <v>2841.6</v>
      </c>
      <c r="O152">
        <v>0.4</v>
      </c>
      <c r="P152">
        <v>1136.6400000000001</v>
      </c>
      <c r="Q152" t="s">
        <v>27</v>
      </c>
      <c r="R152" t="s">
        <v>48</v>
      </c>
      <c r="S152">
        <v>9</v>
      </c>
      <c r="T152">
        <f>YEAR(Sales_Data_1[[#This Row],[Order_Date]])</f>
        <v>2024</v>
      </c>
      <c r="U152" t="str">
        <f>TEXT(Sales_Data_1[[#This Row],[Order_Date]], "mmm")</f>
        <v>Dec</v>
      </c>
      <c r="V152">
        <f>MONTH(Sales_Data_1[[#This Row],[Order_Date]])</f>
        <v>12</v>
      </c>
      <c r="W152" t="str">
        <f>TEXT(Sales_Data_1[[#This Row],[Order_Date]], "yyyy-mm")</f>
        <v>2024-12</v>
      </c>
      <c r="X152">
        <f>Sales_Data_1[[#This Row],[Sales]]-Sales_Data_1[[#This Row],[Profit_Amount]]</f>
        <v>1704.9599999999998</v>
      </c>
      <c r="Y152" t="str" cm="1">
        <f t="array" ref="Y152">_xlfn.IFS(Sales_Data_1[[#This Row],[Delivery_Days]]&lt;=3, "Fast", Sales_Data_1[[#This Row],[Delivery_Days]]&lt;= 7, "Standard", TRUE, "Delayed")</f>
        <v>Delayed</v>
      </c>
      <c r="Z152" t="str" cm="1">
        <f t="array" ref="Z152">_xlfn.IFS(Sales_Data_1[[#This Row],[Profit_Amount]]&gt; 0, "Profitable", Sales_Data_1[[#This Row],[Profit_Amount]] = 0, "Break-Even", TRUE, "Loss")</f>
        <v>Profitable</v>
      </c>
      <c r="AA152" t="str" cm="1">
        <f t="array" ref="AA152">_xlfn.IFS(Sales_Data_1[[#This Row],[Sales]]&gt;= 1000, "High Value", Sales_Data_1[[#This Row],[Sales]]&gt;= 300, "Mid Value", TRUE, "Low Value")</f>
        <v>High Value</v>
      </c>
    </row>
    <row r="153" spans="1:27" x14ac:dyDescent="0.3">
      <c r="A153" t="s">
        <v>2936</v>
      </c>
      <c r="B153" s="1">
        <v>45822</v>
      </c>
      <c r="C153" t="s">
        <v>55</v>
      </c>
      <c r="D153" t="s">
        <v>56</v>
      </c>
      <c r="E153" t="s">
        <v>2042</v>
      </c>
      <c r="F153" t="s">
        <v>33</v>
      </c>
      <c r="G153" t="s">
        <v>34</v>
      </c>
      <c r="H153" t="s">
        <v>141</v>
      </c>
      <c r="I153" t="s">
        <v>1840</v>
      </c>
      <c r="J153">
        <v>9</v>
      </c>
      <c r="K153">
        <v>395</v>
      </c>
      <c r="L153">
        <v>0.2</v>
      </c>
      <c r="M153">
        <v>316</v>
      </c>
      <c r="N153">
        <v>2844</v>
      </c>
      <c r="O153">
        <v>0.4</v>
      </c>
      <c r="P153">
        <v>1137.5999999999999</v>
      </c>
      <c r="Q153" t="s">
        <v>51</v>
      </c>
      <c r="R153" t="s">
        <v>28</v>
      </c>
      <c r="S153">
        <v>3</v>
      </c>
      <c r="T153">
        <f>YEAR(Sales_Data_1[[#This Row],[Order_Date]])</f>
        <v>2025</v>
      </c>
      <c r="U153" t="str">
        <f>TEXT(Sales_Data_1[[#This Row],[Order_Date]], "mmm")</f>
        <v>Jun</v>
      </c>
      <c r="V153">
        <f>MONTH(Sales_Data_1[[#This Row],[Order_Date]])</f>
        <v>6</v>
      </c>
      <c r="W153" t="str">
        <f>TEXT(Sales_Data_1[[#This Row],[Order_Date]], "yyyy-mm")</f>
        <v>2025-06</v>
      </c>
      <c r="X153">
        <f>Sales_Data_1[[#This Row],[Sales]]-Sales_Data_1[[#This Row],[Profit_Amount]]</f>
        <v>1706.4</v>
      </c>
      <c r="Y153" t="str" cm="1">
        <f t="array" ref="Y153">_xlfn.IFS(Sales_Data_1[[#This Row],[Delivery_Days]]&lt;=3, "Fast", Sales_Data_1[[#This Row],[Delivery_Days]]&lt;= 7, "Standard", TRUE, "Delayed")</f>
        <v>Fast</v>
      </c>
      <c r="Z153" t="str" cm="1">
        <f t="array" ref="Z153">_xlfn.IFS(Sales_Data_1[[#This Row],[Profit_Amount]]&gt; 0, "Profitable", Sales_Data_1[[#This Row],[Profit_Amount]] = 0, "Break-Even", TRUE, "Loss")</f>
        <v>Profitable</v>
      </c>
      <c r="AA153" t="str" cm="1">
        <f t="array" ref="AA153">_xlfn.IFS(Sales_Data_1[[#This Row],[Sales]]&gt;= 1000, "High Value", Sales_Data_1[[#This Row],[Sales]]&gt;= 300, "Mid Value", TRUE, "Low Value")</f>
        <v>High Value</v>
      </c>
    </row>
    <row r="154" spans="1:27" x14ac:dyDescent="0.3">
      <c r="A154" t="s">
        <v>2638</v>
      </c>
      <c r="B154" s="1">
        <v>45524</v>
      </c>
      <c r="C154" t="s">
        <v>20</v>
      </c>
      <c r="D154" t="s">
        <v>21</v>
      </c>
      <c r="E154" t="s">
        <v>2042</v>
      </c>
      <c r="F154" t="s">
        <v>33</v>
      </c>
      <c r="G154" t="s">
        <v>34</v>
      </c>
      <c r="H154" t="s">
        <v>71</v>
      </c>
      <c r="I154" t="s">
        <v>1257</v>
      </c>
      <c r="J154">
        <v>2</v>
      </c>
      <c r="K154">
        <v>1450</v>
      </c>
      <c r="L154">
        <v>0.01</v>
      </c>
      <c r="M154">
        <v>1435.5</v>
      </c>
      <c r="N154">
        <v>2871</v>
      </c>
      <c r="O154">
        <v>0.4</v>
      </c>
      <c r="P154">
        <v>1148.4000000000001</v>
      </c>
      <c r="Q154" t="s">
        <v>27</v>
      </c>
      <c r="R154" t="s">
        <v>48</v>
      </c>
      <c r="S154">
        <v>2</v>
      </c>
      <c r="T154">
        <f>YEAR(Sales_Data_1[[#This Row],[Order_Date]])</f>
        <v>2024</v>
      </c>
      <c r="U154" t="str">
        <f>TEXT(Sales_Data_1[[#This Row],[Order_Date]], "mmm")</f>
        <v>Aug</v>
      </c>
      <c r="V154">
        <f>MONTH(Sales_Data_1[[#This Row],[Order_Date]])</f>
        <v>8</v>
      </c>
      <c r="W154" t="str">
        <f>TEXT(Sales_Data_1[[#This Row],[Order_Date]], "yyyy-mm")</f>
        <v>2024-08</v>
      </c>
      <c r="X154">
        <f>Sales_Data_1[[#This Row],[Sales]]-Sales_Data_1[[#This Row],[Profit_Amount]]</f>
        <v>1722.6</v>
      </c>
      <c r="Y154" t="str" cm="1">
        <f t="array" ref="Y154">_xlfn.IFS(Sales_Data_1[[#This Row],[Delivery_Days]]&lt;=3, "Fast", Sales_Data_1[[#This Row],[Delivery_Days]]&lt;= 7, "Standard", TRUE, "Delayed")</f>
        <v>Fast</v>
      </c>
      <c r="Z154" t="str" cm="1">
        <f t="array" ref="Z154">_xlfn.IFS(Sales_Data_1[[#This Row],[Profit_Amount]]&gt; 0, "Profitable", Sales_Data_1[[#This Row],[Profit_Amount]] = 0, "Break-Even", TRUE, "Loss")</f>
        <v>Profitable</v>
      </c>
      <c r="AA154" t="str" cm="1">
        <f t="array" ref="AA154">_xlfn.IFS(Sales_Data_1[[#This Row],[Sales]]&gt;= 1000, "High Value", Sales_Data_1[[#This Row],[Sales]]&gt;= 300, "Mid Value", TRUE, "Low Value")</f>
        <v>High Value</v>
      </c>
    </row>
    <row r="155" spans="1:27" x14ac:dyDescent="0.3">
      <c r="A155" t="s">
        <v>2998</v>
      </c>
      <c r="B155" s="1">
        <v>45884</v>
      </c>
      <c r="C155" t="s">
        <v>63</v>
      </c>
      <c r="D155" t="s">
        <v>21</v>
      </c>
      <c r="E155" t="s">
        <v>2042</v>
      </c>
      <c r="F155" t="s">
        <v>23</v>
      </c>
      <c r="G155" t="s">
        <v>34</v>
      </c>
      <c r="H155" t="s">
        <v>71</v>
      </c>
      <c r="I155" t="s">
        <v>1742</v>
      </c>
      <c r="J155">
        <v>5</v>
      </c>
      <c r="K155">
        <v>731</v>
      </c>
      <c r="L155">
        <v>0.2</v>
      </c>
      <c r="M155">
        <v>584.79999999999995</v>
      </c>
      <c r="N155">
        <v>2924</v>
      </c>
      <c r="O155">
        <v>0.4</v>
      </c>
      <c r="P155">
        <v>1169.5999999999999</v>
      </c>
      <c r="Q155" t="s">
        <v>51</v>
      </c>
      <c r="R155" t="s">
        <v>48</v>
      </c>
      <c r="S155">
        <v>3</v>
      </c>
      <c r="T155">
        <f>YEAR(Sales_Data_1[[#This Row],[Order_Date]])</f>
        <v>2025</v>
      </c>
      <c r="U155" t="str">
        <f>TEXT(Sales_Data_1[[#This Row],[Order_Date]], "mmm")</f>
        <v>Aug</v>
      </c>
      <c r="V155">
        <f>MONTH(Sales_Data_1[[#This Row],[Order_Date]])</f>
        <v>8</v>
      </c>
      <c r="W155" t="str">
        <f>TEXT(Sales_Data_1[[#This Row],[Order_Date]], "yyyy-mm")</f>
        <v>2025-08</v>
      </c>
      <c r="X155">
        <f>Sales_Data_1[[#This Row],[Sales]]-Sales_Data_1[[#This Row],[Profit_Amount]]</f>
        <v>1754.4</v>
      </c>
      <c r="Y155" t="str" cm="1">
        <f t="array" ref="Y155">_xlfn.IFS(Sales_Data_1[[#This Row],[Delivery_Days]]&lt;=3, "Fast", Sales_Data_1[[#This Row],[Delivery_Days]]&lt;= 7, "Standard", TRUE, "Delayed")</f>
        <v>Fast</v>
      </c>
      <c r="Z155" t="str" cm="1">
        <f t="array" ref="Z155">_xlfn.IFS(Sales_Data_1[[#This Row],[Profit_Amount]]&gt; 0, "Profitable", Sales_Data_1[[#This Row],[Profit_Amount]] = 0, "Break-Even", TRUE, "Loss")</f>
        <v>Profitable</v>
      </c>
      <c r="AA155" t="str" cm="1">
        <f t="array" ref="AA155">_xlfn.IFS(Sales_Data_1[[#This Row],[Sales]]&gt;= 1000, "High Value", Sales_Data_1[[#This Row],[Sales]]&gt;= 300, "Mid Value", TRUE, "Low Value")</f>
        <v>High Value</v>
      </c>
    </row>
    <row r="156" spans="1:27" x14ac:dyDescent="0.3">
      <c r="A156" t="s">
        <v>2890</v>
      </c>
      <c r="B156" s="1">
        <v>45776</v>
      </c>
      <c r="C156" t="s">
        <v>96</v>
      </c>
      <c r="D156" t="s">
        <v>31</v>
      </c>
      <c r="E156" t="s">
        <v>42</v>
      </c>
      <c r="F156" t="s">
        <v>33</v>
      </c>
      <c r="G156" t="s">
        <v>44</v>
      </c>
      <c r="H156" t="s">
        <v>116</v>
      </c>
      <c r="I156" t="s">
        <v>1750</v>
      </c>
      <c r="J156">
        <v>3</v>
      </c>
      <c r="K156">
        <v>1203</v>
      </c>
      <c r="L156">
        <v>0.06</v>
      </c>
      <c r="M156">
        <v>1130.82</v>
      </c>
      <c r="N156">
        <v>3392.46</v>
      </c>
      <c r="O156">
        <v>0.35</v>
      </c>
      <c r="P156">
        <v>1187.3599999999999</v>
      </c>
      <c r="Q156" t="s">
        <v>51</v>
      </c>
      <c r="R156" t="s">
        <v>48</v>
      </c>
      <c r="S156">
        <v>4</v>
      </c>
      <c r="T156">
        <f>YEAR(Sales_Data_1[[#This Row],[Order_Date]])</f>
        <v>2025</v>
      </c>
      <c r="U156" t="str">
        <f>TEXT(Sales_Data_1[[#This Row],[Order_Date]], "mmm")</f>
        <v>Apr</v>
      </c>
      <c r="V156">
        <f>MONTH(Sales_Data_1[[#This Row],[Order_Date]])</f>
        <v>4</v>
      </c>
      <c r="W156" t="str">
        <f>TEXT(Sales_Data_1[[#This Row],[Order_Date]], "yyyy-mm")</f>
        <v>2025-04</v>
      </c>
      <c r="X156">
        <f>Sales_Data_1[[#This Row],[Sales]]-Sales_Data_1[[#This Row],[Profit_Amount]]</f>
        <v>2205.1000000000004</v>
      </c>
      <c r="Y156" t="str" cm="1">
        <f t="array" ref="Y156">_xlfn.IFS(Sales_Data_1[[#This Row],[Delivery_Days]]&lt;=3, "Fast", Sales_Data_1[[#This Row],[Delivery_Days]]&lt;= 7, "Standard", TRUE, "Delayed")</f>
        <v>Standard</v>
      </c>
      <c r="Z156" t="str" cm="1">
        <f t="array" ref="Z156">_xlfn.IFS(Sales_Data_1[[#This Row],[Profit_Amount]]&gt; 0, "Profitable", Sales_Data_1[[#This Row],[Profit_Amount]] = 0, "Break-Even", TRUE, "Loss")</f>
        <v>Profitable</v>
      </c>
      <c r="AA156" t="str" cm="1">
        <f t="array" ref="AA156">_xlfn.IFS(Sales_Data_1[[#This Row],[Sales]]&gt;= 1000, "High Value", Sales_Data_1[[#This Row],[Sales]]&gt;= 300, "Mid Value", TRUE, "Low Value")</f>
        <v>High Value</v>
      </c>
    </row>
    <row r="157" spans="1:27" x14ac:dyDescent="0.3">
      <c r="A157" t="s">
        <v>2483</v>
      </c>
      <c r="B157" s="1">
        <v>45369</v>
      </c>
      <c r="C157" t="s">
        <v>63</v>
      </c>
      <c r="D157" t="s">
        <v>21</v>
      </c>
      <c r="E157" t="s">
        <v>67</v>
      </c>
      <c r="F157" t="s">
        <v>33</v>
      </c>
      <c r="G157" t="s">
        <v>44</v>
      </c>
      <c r="H157" t="s">
        <v>64</v>
      </c>
      <c r="I157" t="s">
        <v>951</v>
      </c>
      <c r="J157">
        <v>3</v>
      </c>
      <c r="K157">
        <v>1512</v>
      </c>
      <c r="L157">
        <v>0.25</v>
      </c>
      <c r="M157">
        <v>1134</v>
      </c>
      <c r="N157">
        <v>3402</v>
      </c>
      <c r="O157">
        <v>0.35</v>
      </c>
      <c r="P157">
        <v>1190.7</v>
      </c>
      <c r="Q157" t="s">
        <v>37</v>
      </c>
      <c r="R157" t="s">
        <v>48</v>
      </c>
      <c r="S157">
        <v>5</v>
      </c>
      <c r="T157">
        <f>YEAR(Sales_Data_1[[#This Row],[Order_Date]])</f>
        <v>2024</v>
      </c>
      <c r="U157" t="str">
        <f>TEXT(Sales_Data_1[[#This Row],[Order_Date]], "mmm")</f>
        <v>Mar</v>
      </c>
      <c r="V157">
        <f>MONTH(Sales_Data_1[[#This Row],[Order_Date]])</f>
        <v>3</v>
      </c>
      <c r="W157" t="str">
        <f>TEXT(Sales_Data_1[[#This Row],[Order_Date]], "yyyy-mm")</f>
        <v>2024-03</v>
      </c>
      <c r="X157">
        <f>Sales_Data_1[[#This Row],[Sales]]-Sales_Data_1[[#This Row],[Profit_Amount]]</f>
        <v>2211.3000000000002</v>
      </c>
      <c r="Y157" t="str" cm="1">
        <f t="array" ref="Y157">_xlfn.IFS(Sales_Data_1[[#This Row],[Delivery_Days]]&lt;=3, "Fast", Sales_Data_1[[#This Row],[Delivery_Days]]&lt;= 7, "Standard", TRUE, "Delayed")</f>
        <v>Standard</v>
      </c>
      <c r="Z157" t="str" cm="1">
        <f t="array" ref="Z157">_xlfn.IFS(Sales_Data_1[[#This Row],[Profit_Amount]]&gt; 0, "Profitable", Sales_Data_1[[#This Row],[Profit_Amount]] = 0, "Break-Even", TRUE, "Loss")</f>
        <v>Profitable</v>
      </c>
      <c r="AA157" t="str" cm="1">
        <f t="array" ref="AA157">_xlfn.IFS(Sales_Data_1[[#This Row],[Sales]]&gt;= 1000, "High Value", Sales_Data_1[[#This Row],[Sales]]&gt;= 300, "Mid Value", TRUE, "Low Value")</f>
        <v>High Value</v>
      </c>
    </row>
    <row r="158" spans="1:27" x14ac:dyDescent="0.3">
      <c r="A158" t="s">
        <v>2052</v>
      </c>
      <c r="B158" s="1">
        <v>44938</v>
      </c>
      <c r="C158" t="s">
        <v>30</v>
      </c>
      <c r="D158" t="s">
        <v>21</v>
      </c>
      <c r="E158" t="s">
        <v>42</v>
      </c>
      <c r="F158" t="s">
        <v>43</v>
      </c>
      <c r="G158" t="s">
        <v>44</v>
      </c>
      <c r="H158" t="s">
        <v>64</v>
      </c>
      <c r="I158" t="s">
        <v>77</v>
      </c>
      <c r="J158">
        <v>1</v>
      </c>
      <c r="K158">
        <v>4411</v>
      </c>
      <c r="L158">
        <v>0.21</v>
      </c>
      <c r="M158">
        <v>3484.69</v>
      </c>
      <c r="N158">
        <v>3484.69</v>
      </c>
      <c r="O158">
        <v>0.35</v>
      </c>
      <c r="P158">
        <v>1219.6400000000001</v>
      </c>
      <c r="Q158" t="s">
        <v>51</v>
      </c>
      <c r="R158" t="s">
        <v>48</v>
      </c>
      <c r="S158">
        <v>4</v>
      </c>
      <c r="T158">
        <f>YEAR(Sales_Data_1[[#This Row],[Order_Date]])</f>
        <v>2023</v>
      </c>
      <c r="U158" t="str">
        <f>TEXT(Sales_Data_1[[#This Row],[Order_Date]], "mmm")</f>
        <v>Jan</v>
      </c>
      <c r="V158">
        <f>MONTH(Sales_Data_1[[#This Row],[Order_Date]])</f>
        <v>1</v>
      </c>
      <c r="W158" t="str">
        <f>TEXT(Sales_Data_1[[#This Row],[Order_Date]], "yyyy-mm")</f>
        <v>2023-01</v>
      </c>
      <c r="X158">
        <f>Sales_Data_1[[#This Row],[Sales]]-Sales_Data_1[[#This Row],[Profit_Amount]]</f>
        <v>2265.0500000000002</v>
      </c>
      <c r="Y158" t="str" cm="1">
        <f t="array" ref="Y158">_xlfn.IFS(Sales_Data_1[[#This Row],[Delivery_Days]]&lt;=3, "Fast", Sales_Data_1[[#This Row],[Delivery_Days]]&lt;= 7, "Standard", TRUE, "Delayed")</f>
        <v>Standard</v>
      </c>
      <c r="Z158" t="str" cm="1">
        <f t="array" ref="Z158">_xlfn.IFS(Sales_Data_1[[#This Row],[Profit_Amount]]&gt; 0, "Profitable", Sales_Data_1[[#This Row],[Profit_Amount]] = 0, "Break-Even", TRUE, "Loss")</f>
        <v>Profitable</v>
      </c>
      <c r="AA158" t="str" cm="1">
        <f t="array" ref="AA158">_xlfn.IFS(Sales_Data_1[[#This Row],[Sales]]&gt;= 1000, "High Value", Sales_Data_1[[#This Row],[Sales]]&gt;= 300, "Mid Value", TRUE, "Low Value")</f>
        <v>High Value</v>
      </c>
    </row>
    <row r="159" spans="1:27" x14ac:dyDescent="0.3">
      <c r="A159" t="s">
        <v>2543</v>
      </c>
      <c r="B159" s="1">
        <v>45429</v>
      </c>
      <c r="C159" t="s">
        <v>40</v>
      </c>
      <c r="D159" t="s">
        <v>21</v>
      </c>
      <c r="E159" t="s">
        <v>2042</v>
      </c>
      <c r="F159" t="s">
        <v>103</v>
      </c>
      <c r="G159" t="s">
        <v>34</v>
      </c>
      <c r="H159" t="s">
        <v>71</v>
      </c>
      <c r="I159" t="s">
        <v>1069</v>
      </c>
      <c r="J159">
        <v>5</v>
      </c>
      <c r="K159">
        <v>736</v>
      </c>
      <c r="L159">
        <v>0.17</v>
      </c>
      <c r="M159">
        <v>610.88</v>
      </c>
      <c r="N159">
        <v>3054.4</v>
      </c>
      <c r="O159">
        <v>0.4</v>
      </c>
      <c r="P159">
        <v>1221.76</v>
      </c>
      <c r="Q159" t="s">
        <v>47</v>
      </c>
      <c r="R159" t="s">
        <v>48</v>
      </c>
      <c r="S159">
        <v>4</v>
      </c>
      <c r="T159">
        <f>YEAR(Sales_Data_1[[#This Row],[Order_Date]])</f>
        <v>2024</v>
      </c>
      <c r="U159" t="str">
        <f>TEXT(Sales_Data_1[[#This Row],[Order_Date]], "mmm")</f>
        <v>May</v>
      </c>
      <c r="V159">
        <f>MONTH(Sales_Data_1[[#This Row],[Order_Date]])</f>
        <v>5</v>
      </c>
      <c r="W159" t="str">
        <f>TEXT(Sales_Data_1[[#This Row],[Order_Date]], "yyyy-mm")</f>
        <v>2024-05</v>
      </c>
      <c r="X159">
        <f>Sales_Data_1[[#This Row],[Sales]]-Sales_Data_1[[#This Row],[Profit_Amount]]</f>
        <v>1832.64</v>
      </c>
      <c r="Y159" t="str" cm="1">
        <f t="array" ref="Y159">_xlfn.IFS(Sales_Data_1[[#This Row],[Delivery_Days]]&lt;=3, "Fast", Sales_Data_1[[#This Row],[Delivery_Days]]&lt;= 7, "Standard", TRUE, "Delayed")</f>
        <v>Standard</v>
      </c>
      <c r="Z159" t="str" cm="1">
        <f t="array" ref="Z159">_xlfn.IFS(Sales_Data_1[[#This Row],[Profit_Amount]]&gt; 0, "Profitable", Sales_Data_1[[#This Row],[Profit_Amount]] = 0, "Break-Even", TRUE, "Loss")</f>
        <v>Profitable</v>
      </c>
      <c r="AA159" t="str" cm="1">
        <f t="array" ref="AA159">_xlfn.IFS(Sales_Data_1[[#This Row],[Sales]]&gt;= 1000, "High Value", Sales_Data_1[[#This Row],[Sales]]&gt;= 300, "Mid Value", TRUE, "Low Value")</f>
        <v>High Value</v>
      </c>
    </row>
    <row r="160" spans="1:27" x14ac:dyDescent="0.3">
      <c r="A160" t="s">
        <v>2533</v>
      </c>
      <c r="B160" s="1">
        <v>45419</v>
      </c>
      <c r="C160" t="s">
        <v>55</v>
      </c>
      <c r="D160" t="s">
        <v>56</v>
      </c>
      <c r="E160" t="s">
        <v>2042</v>
      </c>
      <c r="F160" t="s">
        <v>103</v>
      </c>
      <c r="G160" t="s">
        <v>24</v>
      </c>
      <c r="H160" t="s">
        <v>121</v>
      </c>
      <c r="I160" t="s">
        <v>1050</v>
      </c>
      <c r="J160">
        <v>1</v>
      </c>
      <c r="K160">
        <v>5917</v>
      </c>
      <c r="L160">
        <v>0.17</v>
      </c>
      <c r="M160">
        <v>4911.1099999999997</v>
      </c>
      <c r="N160">
        <v>4911.1099999999997</v>
      </c>
      <c r="O160">
        <v>0.25</v>
      </c>
      <c r="P160">
        <v>1227.78</v>
      </c>
      <c r="Q160" t="s">
        <v>37</v>
      </c>
      <c r="R160" t="s">
        <v>48</v>
      </c>
      <c r="S160">
        <v>5</v>
      </c>
      <c r="T160">
        <f>YEAR(Sales_Data_1[[#This Row],[Order_Date]])</f>
        <v>2024</v>
      </c>
      <c r="U160" t="str">
        <f>TEXT(Sales_Data_1[[#This Row],[Order_Date]], "mmm")</f>
        <v>May</v>
      </c>
      <c r="V160">
        <f>MONTH(Sales_Data_1[[#This Row],[Order_Date]])</f>
        <v>5</v>
      </c>
      <c r="W160" t="str">
        <f>TEXT(Sales_Data_1[[#This Row],[Order_Date]], "yyyy-mm")</f>
        <v>2024-05</v>
      </c>
      <c r="X160">
        <f>Sales_Data_1[[#This Row],[Sales]]-Sales_Data_1[[#This Row],[Profit_Amount]]</f>
        <v>3683.33</v>
      </c>
      <c r="Y160" t="str" cm="1">
        <f t="array" ref="Y160">_xlfn.IFS(Sales_Data_1[[#This Row],[Delivery_Days]]&lt;=3, "Fast", Sales_Data_1[[#This Row],[Delivery_Days]]&lt;= 7, "Standard", TRUE, "Delayed")</f>
        <v>Standard</v>
      </c>
      <c r="Z160" t="str" cm="1">
        <f t="array" ref="Z160">_xlfn.IFS(Sales_Data_1[[#This Row],[Profit_Amount]]&gt; 0, "Profitable", Sales_Data_1[[#This Row],[Profit_Amount]] = 0, "Break-Even", TRUE, "Loss")</f>
        <v>Profitable</v>
      </c>
      <c r="AA160" t="str" cm="1">
        <f t="array" ref="AA160">_xlfn.IFS(Sales_Data_1[[#This Row],[Sales]]&gt;= 1000, "High Value", Sales_Data_1[[#This Row],[Sales]]&gt;= 300, "Mid Value", TRUE, "Low Value")</f>
        <v>High Value</v>
      </c>
    </row>
    <row r="161" spans="1:27" x14ac:dyDescent="0.3">
      <c r="A161" t="s">
        <v>2843</v>
      </c>
      <c r="B161" s="1">
        <v>45729</v>
      </c>
      <c r="C161" t="s">
        <v>63</v>
      </c>
      <c r="D161" t="s">
        <v>31</v>
      </c>
      <c r="E161" t="s">
        <v>42</v>
      </c>
      <c r="F161" t="s">
        <v>23</v>
      </c>
      <c r="G161" t="s">
        <v>24</v>
      </c>
      <c r="H161" t="s">
        <v>121</v>
      </c>
      <c r="I161" t="s">
        <v>1657</v>
      </c>
      <c r="J161">
        <v>3</v>
      </c>
      <c r="K161">
        <v>1867</v>
      </c>
      <c r="L161">
        <v>0.11</v>
      </c>
      <c r="M161">
        <v>1661.63</v>
      </c>
      <c r="N161">
        <v>4984.8900000000003</v>
      </c>
      <c r="O161">
        <v>0.25</v>
      </c>
      <c r="P161">
        <v>1246.22</v>
      </c>
      <c r="Q161" t="s">
        <v>27</v>
      </c>
      <c r="R161" t="s">
        <v>48</v>
      </c>
      <c r="S161">
        <v>5</v>
      </c>
      <c r="T161">
        <f>YEAR(Sales_Data_1[[#This Row],[Order_Date]])</f>
        <v>2025</v>
      </c>
      <c r="U161" t="str">
        <f>TEXT(Sales_Data_1[[#This Row],[Order_Date]], "mmm")</f>
        <v>Mar</v>
      </c>
      <c r="V161">
        <f>MONTH(Sales_Data_1[[#This Row],[Order_Date]])</f>
        <v>3</v>
      </c>
      <c r="W161" t="str">
        <f>TEXT(Sales_Data_1[[#This Row],[Order_Date]], "yyyy-mm")</f>
        <v>2025-03</v>
      </c>
      <c r="X161">
        <f>Sales_Data_1[[#This Row],[Sales]]-Sales_Data_1[[#This Row],[Profit_Amount]]</f>
        <v>3738.67</v>
      </c>
      <c r="Y161" t="str" cm="1">
        <f t="array" ref="Y161">_xlfn.IFS(Sales_Data_1[[#This Row],[Delivery_Days]]&lt;=3, "Fast", Sales_Data_1[[#This Row],[Delivery_Days]]&lt;= 7, "Standard", TRUE, "Delayed")</f>
        <v>Standard</v>
      </c>
      <c r="Z161" t="str" cm="1">
        <f t="array" ref="Z161">_xlfn.IFS(Sales_Data_1[[#This Row],[Profit_Amount]]&gt; 0, "Profitable", Sales_Data_1[[#This Row],[Profit_Amount]] = 0, "Break-Even", TRUE, "Loss")</f>
        <v>Profitable</v>
      </c>
      <c r="AA161" t="str" cm="1">
        <f t="array" ref="AA161">_xlfn.IFS(Sales_Data_1[[#This Row],[Sales]]&gt;= 1000, "High Value", Sales_Data_1[[#This Row],[Sales]]&gt;= 300, "Mid Value", TRUE, "Low Value")</f>
        <v>High Value</v>
      </c>
    </row>
    <row r="162" spans="1:27" x14ac:dyDescent="0.3">
      <c r="A162" t="s">
        <v>2741</v>
      </c>
      <c r="B162" s="1">
        <v>45627</v>
      </c>
      <c r="C162" t="s">
        <v>96</v>
      </c>
      <c r="D162" t="s">
        <v>41</v>
      </c>
      <c r="E162" t="s">
        <v>2042</v>
      </c>
      <c r="F162" t="s">
        <v>68</v>
      </c>
      <c r="G162" t="s">
        <v>44</v>
      </c>
      <c r="H162" t="s">
        <v>138</v>
      </c>
      <c r="I162" t="s">
        <v>1458</v>
      </c>
      <c r="J162">
        <v>5</v>
      </c>
      <c r="K162">
        <v>801</v>
      </c>
      <c r="L162">
        <v>0.11</v>
      </c>
      <c r="M162">
        <v>712.89</v>
      </c>
      <c r="N162">
        <v>3564.45</v>
      </c>
      <c r="O162">
        <v>0.35</v>
      </c>
      <c r="P162">
        <v>1247.56</v>
      </c>
      <c r="Q162" t="s">
        <v>27</v>
      </c>
      <c r="R162" t="s">
        <v>48</v>
      </c>
      <c r="S162">
        <v>1</v>
      </c>
      <c r="T162">
        <f>YEAR(Sales_Data_1[[#This Row],[Order_Date]])</f>
        <v>2024</v>
      </c>
      <c r="U162" t="str">
        <f>TEXT(Sales_Data_1[[#This Row],[Order_Date]], "mmm")</f>
        <v>Dec</v>
      </c>
      <c r="V162">
        <f>MONTH(Sales_Data_1[[#This Row],[Order_Date]])</f>
        <v>12</v>
      </c>
      <c r="W162" t="str">
        <f>TEXT(Sales_Data_1[[#This Row],[Order_Date]], "yyyy-mm")</f>
        <v>2024-12</v>
      </c>
      <c r="X162">
        <f>Sales_Data_1[[#This Row],[Sales]]-Sales_Data_1[[#This Row],[Profit_Amount]]</f>
        <v>2316.89</v>
      </c>
      <c r="Y162" t="str" cm="1">
        <f t="array" ref="Y162">_xlfn.IFS(Sales_Data_1[[#This Row],[Delivery_Days]]&lt;=3, "Fast", Sales_Data_1[[#This Row],[Delivery_Days]]&lt;= 7, "Standard", TRUE, "Delayed")</f>
        <v>Fast</v>
      </c>
      <c r="Z162" t="str" cm="1">
        <f t="array" ref="Z162">_xlfn.IFS(Sales_Data_1[[#This Row],[Profit_Amount]]&gt; 0, "Profitable", Sales_Data_1[[#This Row],[Profit_Amount]] = 0, "Break-Even", TRUE, "Loss")</f>
        <v>Profitable</v>
      </c>
      <c r="AA162" t="str" cm="1">
        <f t="array" ref="AA162">_xlfn.IFS(Sales_Data_1[[#This Row],[Sales]]&gt;= 1000, "High Value", Sales_Data_1[[#This Row],[Sales]]&gt;= 300, "Mid Value", TRUE, "Low Value")</f>
        <v>High Value</v>
      </c>
    </row>
    <row r="163" spans="1:27" x14ac:dyDescent="0.3">
      <c r="A163" t="s">
        <v>2188</v>
      </c>
      <c r="B163" s="1">
        <v>45074</v>
      </c>
      <c r="C163" t="s">
        <v>40</v>
      </c>
      <c r="D163" t="s">
        <v>31</v>
      </c>
      <c r="E163" t="s">
        <v>2042</v>
      </c>
      <c r="F163" t="s">
        <v>43</v>
      </c>
      <c r="G163" t="s">
        <v>44</v>
      </c>
      <c r="H163" t="s">
        <v>138</v>
      </c>
      <c r="I163" t="s">
        <v>366</v>
      </c>
      <c r="J163">
        <v>3</v>
      </c>
      <c r="K163">
        <v>1468</v>
      </c>
      <c r="L163">
        <v>0.18</v>
      </c>
      <c r="M163">
        <v>1203.76</v>
      </c>
      <c r="N163">
        <v>3611.28</v>
      </c>
      <c r="O163">
        <v>0.35</v>
      </c>
      <c r="P163">
        <v>1263.95</v>
      </c>
      <c r="Q163" t="s">
        <v>47</v>
      </c>
      <c r="R163" t="s">
        <v>48</v>
      </c>
      <c r="S163">
        <v>4</v>
      </c>
      <c r="T163">
        <f>YEAR(Sales_Data_1[[#This Row],[Order_Date]])</f>
        <v>2023</v>
      </c>
      <c r="U163" t="str">
        <f>TEXT(Sales_Data_1[[#This Row],[Order_Date]], "mmm")</f>
        <v>May</v>
      </c>
      <c r="V163">
        <f>MONTH(Sales_Data_1[[#This Row],[Order_Date]])</f>
        <v>5</v>
      </c>
      <c r="W163" t="str">
        <f>TEXT(Sales_Data_1[[#This Row],[Order_Date]], "yyyy-mm")</f>
        <v>2023-05</v>
      </c>
      <c r="X163">
        <f>Sales_Data_1[[#This Row],[Sales]]-Sales_Data_1[[#This Row],[Profit_Amount]]</f>
        <v>2347.33</v>
      </c>
      <c r="Y163" t="str" cm="1">
        <f t="array" ref="Y163">_xlfn.IFS(Sales_Data_1[[#This Row],[Delivery_Days]]&lt;=3, "Fast", Sales_Data_1[[#This Row],[Delivery_Days]]&lt;= 7, "Standard", TRUE, "Delayed")</f>
        <v>Standard</v>
      </c>
      <c r="Z163" t="str" cm="1">
        <f t="array" ref="Z163">_xlfn.IFS(Sales_Data_1[[#This Row],[Profit_Amount]]&gt; 0, "Profitable", Sales_Data_1[[#This Row],[Profit_Amount]] = 0, "Break-Even", TRUE, "Loss")</f>
        <v>Profitable</v>
      </c>
      <c r="AA163" t="str" cm="1">
        <f t="array" ref="AA163">_xlfn.IFS(Sales_Data_1[[#This Row],[Sales]]&gt;= 1000, "High Value", Sales_Data_1[[#This Row],[Sales]]&gt;= 300, "Mid Value", TRUE, "Low Value")</f>
        <v>High Value</v>
      </c>
    </row>
    <row r="164" spans="1:27" x14ac:dyDescent="0.3">
      <c r="A164" t="s">
        <v>2621</v>
      </c>
      <c r="B164" s="1">
        <v>45507</v>
      </c>
      <c r="C164" t="s">
        <v>20</v>
      </c>
      <c r="D164" t="s">
        <v>31</v>
      </c>
      <c r="E164" t="s">
        <v>2040</v>
      </c>
      <c r="F164" t="s">
        <v>68</v>
      </c>
      <c r="G164" t="s">
        <v>24</v>
      </c>
      <c r="H164" t="s">
        <v>121</v>
      </c>
      <c r="I164" t="s">
        <v>1224</v>
      </c>
      <c r="J164">
        <v>1</v>
      </c>
      <c r="K164">
        <v>5268</v>
      </c>
      <c r="L164">
        <v>0.04</v>
      </c>
      <c r="M164">
        <v>5057.28</v>
      </c>
      <c r="N164">
        <v>5057.28</v>
      </c>
      <c r="O164">
        <v>0.25</v>
      </c>
      <c r="P164">
        <v>1264.32</v>
      </c>
      <c r="Q164" t="s">
        <v>37</v>
      </c>
      <c r="R164" t="s">
        <v>48</v>
      </c>
      <c r="S164">
        <v>9</v>
      </c>
      <c r="T164">
        <f>YEAR(Sales_Data_1[[#This Row],[Order_Date]])</f>
        <v>2024</v>
      </c>
      <c r="U164" t="str">
        <f>TEXT(Sales_Data_1[[#This Row],[Order_Date]], "mmm")</f>
        <v>Aug</v>
      </c>
      <c r="V164">
        <f>MONTH(Sales_Data_1[[#This Row],[Order_Date]])</f>
        <v>8</v>
      </c>
      <c r="W164" t="str">
        <f>TEXT(Sales_Data_1[[#This Row],[Order_Date]], "yyyy-mm")</f>
        <v>2024-08</v>
      </c>
      <c r="X164">
        <f>Sales_Data_1[[#This Row],[Sales]]-Sales_Data_1[[#This Row],[Profit_Amount]]</f>
        <v>3792.96</v>
      </c>
      <c r="Y164" t="str" cm="1">
        <f t="array" ref="Y164">_xlfn.IFS(Sales_Data_1[[#This Row],[Delivery_Days]]&lt;=3, "Fast", Sales_Data_1[[#This Row],[Delivery_Days]]&lt;= 7, "Standard", TRUE, "Delayed")</f>
        <v>Delayed</v>
      </c>
      <c r="Z164" t="str" cm="1">
        <f t="array" ref="Z164">_xlfn.IFS(Sales_Data_1[[#This Row],[Profit_Amount]]&gt; 0, "Profitable", Sales_Data_1[[#This Row],[Profit_Amount]] = 0, "Break-Even", TRUE, "Loss")</f>
        <v>Profitable</v>
      </c>
      <c r="AA164" t="str" cm="1">
        <f t="array" ref="AA164">_xlfn.IFS(Sales_Data_1[[#This Row],[Sales]]&gt;= 1000, "High Value", Sales_Data_1[[#This Row],[Sales]]&gt;= 300, "Mid Value", TRUE, "Low Value")</f>
        <v>High Value</v>
      </c>
    </row>
    <row r="165" spans="1:27" x14ac:dyDescent="0.3">
      <c r="A165" t="s">
        <v>2346</v>
      </c>
      <c r="B165" s="1">
        <v>45232</v>
      </c>
      <c r="C165" t="s">
        <v>55</v>
      </c>
      <c r="D165" t="s">
        <v>31</v>
      </c>
      <c r="E165" t="s">
        <v>2040</v>
      </c>
      <c r="F165" t="s">
        <v>23</v>
      </c>
      <c r="G165" t="s">
        <v>24</v>
      </c>
      <c r="H165" t="s">
        <v>186</v>
      </c>
      <c r="I165" t="s">
        <v>574</v>
      </c>
      <c r="J165">
        <v>1</v>
      </c>
      <c r="K165">
        <v>5445</v>
      </c>
      <c r="L165">
        <v>0.06</v>
      </c>
      <c r="M165">
        <v>5118.3</v>
      </c>
      <c r="N165">
        <v>5118.3</v>
      </c>
      <c r="O165">
        <v>0.25</v>
      </c>
      <c r="P165">
        <v>1279.58</v>
      </c>
      <c r="Q165" t="s">
        <v>47</v>
      </c>
      <c r="R165" t="s">
        <v>48</v>
      </c>
      <c r="S165">
        <v>3</v>
      </c>
      <c r="T165">
        <f>YEAR(Sales_Data_1[[#This Row],[Order_Date]])</f>
        <v>2023</v>
      </c>
      <c r="U165" t="str">
        <f>TEXT(Sales_Data_1[[#This Row],[Order_Date]], "mmm")</f>
        <v>Nov</v>
      </c>
      <c r="V165">
        <f>MONTH(Sales_Data_1[[#This Row],[Order_Date]])</f>
        <v>11</v>
      </c>
      <c r="W165" t="str">
        <f>TEXT(Sales_Data_1[[#This Row],[Order_Date]], "yyyy-mm")</f>
        <v>2023-11</v>
      </c>
      <c r="X165">
        <f>Sales_Data_1[[#This Row],[Sales]]-Sales_Data_1[[#This Row],[Profit_Amount]]</f>
        <v>3838.7200000000003</v>
      </c>
      <c r="Y165" t="str" cm="1">
        <f t="array" ref="Y165">_xlfn.IFS(Sales_Data_1[[#This Row],[Delivery_Days]]&lt;=3, "Fast", Sales_Data_1[[#This Row],[Delivery_Days]]&lt;= 7, "Standard", TRUE, "Delayed")</f>
        <v>Fast</v>
      </c>
      <c r="Z165" t="str" cm="1">
        <f t="array" ref="Z165">_xlfn.IFS(Sales_Data_1[[#This Row],[Profit_Amount]]&gt; 0, "Profitable", Sales_Data_1[[#This Row],[Profit_Amount]] = 0, "Break-Even", TRUE, "Loss")</f>
        <v>Profitable</v>
      </c>
      <c r="AA165" t="str" cm="1">
        <f t="array" ref="AA165">_xlfn.IFS(Sales_Data_1[[#This Row],[Sales]]&gt;= 1000, "High Value", Sales_Data_1[[#This Row],[Sales]]&gt;= 300, "Mid Value", TRUE, "Low Value")</f>
        <v>High Value</v>
      </c>
    </row>
    <row r="166" spans="1:27" x14ac:dyDescent="0.3">
      <c r="A166" t="s">
        <v>2824</v>
      </c>
      <c r="B166" s="1">
        <v>45710</v>
      </c>
      <c r="C166" t="s">
        <v>30</v>
      </c>
      <c r="D166" t="s">
        <v>41</v>
      </c>
      <c r="E166" t="s">
        <v>67</v>
      </c>
      <c r="F166" t="s">
        <v>23</v>
      </c>
      <c r="G166" t="s">
        <v>44</v>
      </c>
      <c r="H166" t="s">
        <v>45</v>
      </c>
      <c r="I166" t="s">
        <v>1619</v>
      </c>
      <c r="J166">
        <v>1</v>
      </c>
      <c r="K166">
        <v>4086</v>
      </c>
      <c r="L166">
        <v>0.1</v>
      </c>
      <c r="M166">
        <v>3677.4</v>
      </c>
      <c r="N166">
        <v>3677.4</v>
      </c>
      <c r="O166">
        <v>0.35</v>
      </c>
      <c r="P166">
        <v>1287.0899999999999</v>
      </c>
      <c r="Q166" t="s">
        <v>27</v>
      </c>
      <c r="R166" t="s">
        <v>48</v>
      </c>
      <c r="S166">
        <v>8</v>
      </c>
      <c r="T166">
        <f>YEAR(Sales_Data_1[[#This Row],[Order_Date]])</f>
        <v>2025</v>
      </c>
      <c r="U166" t="str">
        <f>TEXT(Sales_Data_1[[#This Row],[Order_Date]], "mmm")</f>
        <v>Feb</v>
      </c>
      <c r="V166">
        <f>MONTH(Sales_Data_1[[#This Row],[Order_Date]])</f>
        <v>2</v>
      </c>
      <c r="W166" t="str">
        <f>TEXT(Sales_Data_1[[#This Row],[Order_Date]], "yyyy-mm")</f>
        <v>2025-02</v>
      </c>
      <c r="X166">
        <f>Sales_Data_1[[#This Row],[Sales]]-Sales_Data_1[[#This Row],[Profit_Amount]]</f>
        <v>2390.3100000000004</v>
      </c>
      <c r="Y166" t="str" cm="1">
        <f t="array" ref="Y166">_xlfn.IFS(Sales_Data_1[[#This Row],[Delivery_Days]]&lt;=3, "Fast", Sales_Data_1[[#This Row],[Delivery_Days]]&lt;= 7, "Standard", TRUE, "Delayed")</f>
        <v>Delayed</v>
      </c>
      <c r="Z166" t="str" cm="1">
        <f t="array" ref="Z166">_xlfn.IFS(Sales_Data_1[[#This Row],[Profit_Amount]]&gt; 0, "Profitable", Sales_Data_1[[#This Row],[Profit_Amount]] = 0, "Break-Even", TRUE, "Loss")</f>
        <v>Profitable</v>
      </c>
      <c r="AA166" t="str" cm="1">
        <f t="array" ref="AA166">_xlfn.IFS(Sales_Data_1[[#This Row],[Sales]]&gt;= 1000, "High Value", Sales_Data_1[[#This Row],[Sales]]&gt;= 300, "Mid Value", TRUE, "Low Value")</f>
        <v>High Value</v>
      </c>
    </row>
    <row r="167" spans="1:27" x14ac:dyDescent="0.3">
      <c r="A167" t="s">
        <v>2433</v>
      </c>
      <c r="B167" s="1">
        <v>45319</v>
      </c>
      <c r="C167" t="s">
        <v>20</v>
      </c>
      <c r="D167" t="s">
        <v>21</v>
      </c>
      <c r="E167" t="s">
        <v>2042</v>
      </c>
      <c r="F167" t="s">
        <v>68</v>
      </c>
      <c r="G167" t="s">
        <v>34</v>
      </c>
      <c r="H167" t="s">
        <v>141</v>
      </c>
      <c r="I167" t="s">
        <v>852</v>
      </c>
      <c r="J167">
        <v>5</v>
      </c>
      <c r="K167">
        <v>716</v>
      </c>
      <c r="L167">
        <v>0.1</v>
      </c>
      <c r="M167">
        <v>644.4</v>
      </c>
      <c r="N167">
        <v>3222</v>
      </c>
      <c r="O167">
        <v>0.4</v>
      </c>
      <c r="P167">
        <v>1288.8</v>
      </c>
      <c r="Q167" t="s">
        <v>27</v>
      </c>
      <c r="R167" t="s">
        <v>48</v>
      </c>
      <c r="S167">
        <v>7</v>
      </c>
      <c r="T167">
        <f>YEAR(Sales_Data_1[[#This Row],[Order_Date]])</f>
        <v>2024</v>
      </c>
      <c r="U167" t="str">
        <f>TEXT(Sales_Data_1[[#This Row],[Order_Date]], "mmm")</f>
        <v>Jan</v>
      </c>
      <c r="V167">
        <f>MONTH(Sales_Data_1[[#This Row],[Order_Date]])</f>
        <v>1</v>
      </c>
      <c r="W167" t="str">
        <f>TEXT(Sales_Data_1[[#This Row],[Order_Date]], "yyyy-mm")</f>
        <v>2024-01</v>
      </c>
      <c r="X167">
        <f>Sales_Data_1[[#This Row],[Sales]]-Sales_Data_1[[#This Row],[Profit_Amount]]</f>
        <v>1933.2</v>
      </c>
      <c r="Y167" t="str" cm="1">
        <f t="array" ref="Y167">_xlfn.IFS(Sales_Data_1[[#This Row],[Delivery_Days]]&lt;=3, "Fast", Sales_Data_1[[#This Row],[Delivery_Days]]&lt;= 7, "Standard", TRUE, "Delayed")</f>
        <v>Standard</v>
      </c>
      <c r="Z167" t="str" cm="1">
        <f t="array" ref="Z167">_xlfn.IFS(Sales_Data_1[[#This Row],[Profit_Amount]]&gt; 0, "Profitable", Sales_Data_1[[#This Row],[Profit_Amount]] = 0, "Break-Even", TRUE, "Loss")</f>
        <v>Profitable</v>
      </c>
      <c r="AA167" t="str" cm="1">
        <f t="array" ref="AA167">_xlfn.IFS(Sales_Data_1[[#This Row],[Sales]]&gt;= 1000, "High Value", Sales_Data_1[[#This Row],[Sales]]&gt;= 300, "Mid Value", TRUE, "Low Value")</f>
        <v>High Value</v>
      </c>
    </row>
    <row r="168" spans="1:27" x14ac:dyDescent="0.3">
      <c r="A168" t="s">
        <v>2920</v>
      </c>
      <c r="B168" s="1">
        <v>45806</v>
      </c>
      <c r="C168" t="s">
        <v>96</v>
      </c>
      <c r="D168" t="s">
        <v>41</v>
      </c>
      <c r="E168" t="s">
        <v>2040</v>
      </c>
      <c r="F168" t="s">
        <v>97</v>
      </c>
      <c r="G168" t="s">
        <v>44</v>
      </c>
      <c r="H168" t="s">
        <v>116</v>
      </c>
      <c r="I168" t="s">
        <v>1809</v>
      </c>
      <c r="J168">
        <v>5</v>
      </c>
      <c r="K168">
        <v>769</v>
      </c>
      <c r="L168">
        <v>0.04</v>
      </c>
      <c r="M168">
        <v>738.24</v>
      </c>
      <c r="N168">
        <v>3691.2</v>
      </c>
      <c r="O168">
        <v>0.35</v>
      </c>
      <c r="P168">
        <v>1291.92</v>
      </c>
      <c r="Q168" t="s">
        <v>27</v>
      </c>
      <c r="R168" t="s">
        <v>48</v>
      </c>
      <c r="S168">
        <v>2</v>
      </c>
      <c r="T168">
        <f>YEAR(Sales_Data_1[[#This Row],[Order_Date]])</f>
        <v>2025</v>
      </c>
      <c r="U168" t="str">
        <f>TEXT(Sales_Data_1[[#This Row],[Order_Date]], "mmm")</f>
        <v>May</v>
      </c>
      <c r="V168">
        <f>MONTH(Sales_Data_1[[#This Row],[Order_Date]])</f>
        <v>5</v>
      </c>
      <c r="W168" t="str">
        <f>TEXT(Sales_Data_1[[#This Row],[Order_Date]], "yyyy-mm")</f>
        <v>2025-05</v>
      </c>
      <c r="X168">
        <f>Sales_Data_1[[#This Row],[Sales]]-Sales_Data_1[[#This Row],[Profit_Amount]]</f>
        <v>2399.2799999999997</v>
      </c>
      <c r="Y168" t="str" cm="1">
        <f t="array" ref="Y168">_xlfn.IFS(Sales_Data_1[[#This Row],[Delivery_Days]]&lt;=3, "Fast", Sales_Data_1[[#This Row],[Delivery_Days]]&lt;= 7, "Standard", TRUE, "Delayed")</f>
        <v>Fast</v>
      </c>
      <c r="Z168" t="str" cm="1">
        <f t="array" ref="Z168">_xlfn.IFS(Sales_Data_1[[#This Row],[Profit_Amount]]&gt; 0, "Profitable", Sales_Data_1[[#This Row],[Profit_Amount]] = 0, "Break-Even", TRUE, "Loss")</f>
        <v>Profitable</v>
      </c>
      <c r="AA168" t="str" cm="1">
        <f t="array" ref="AA168">_xlfn.IFS(Sales_Data_1[[#This Row],[Sales]]&gt;= 1000, "High Value", Sales_Data_1[[#This Row],[Sales]]&gt;= 300, "Mid Value", TRUE, "Low Value")</f>
        <v>High Value</v>
      </c>
    </row>
    <row r="169" spans="1:27" x14ac:dyDescent="0.3">
      <c r="A169" t="s">
        <v>2780</v>
      </c>
      <c r="B169" s="1">
        <v>45666</v>
      </c>
      <c r="C169" t="s">
        <v>30</v>
      </c>
      <c r="D169" t="s">
        <v>31</v>
      </c>
      <c r="E169" t="s">
        <v>2042</v>
      </c>
      <c r="F169" t="s">
        <v>103</v>
      </c>
      <c r="G169" t="s">
        <v>34</v>
      </c>
      <c r="H169" t="s">
        <v>141</v>
      </c>
      <c r="I169" t="s">
        <v>1534</v>
      </c>
      <c r="J169">
        <v>4</v>
      </c>
      <c r="K169">
        <v>1073</v>
      </c>
      <c r="L169">
        <v>0.24</v>
      </c>
      <c r="M169">
        <v>815.48</v>
      </c>
      <c r="N169">
        <v>3261.92</v>
      </c>
      <c r="O169">
        <v>0.4</v>
      </c>
      <c r="P169">
        <v>1304.77</v>
      </c>
      <c r="Q169" t="s">
        <v>51</v>
      </c>
      <c r="R169" t="s">
        <v>38</v>
      </c>
      <c r="S169">
        <v>4</v>
      </c>
      <c r="T169">
        <f>YEAR(Sales_Data_1[[#This Row],[Order_Date]])</f>
        <v>2025</v>
      </c>
      <c r="U169" t="str">
        <f>TEXT(Sales_Data_1[[#This Row],[Order_Date]], "mmm")</f>
        <v>Jan</v>
      </c>
      <c r="V169">
        <f>MONTH(Sales_Data_1[[#This Row],[Order_Date]])</f>
        <v>1</v>
      </c>
      <c r="W169" t="str">
        <f>TEXT(Sales_Data_1[[#This Row],[Order_Date]], "yyyy-mm")</f>
        <v>2025-01</v>
      </c>
      <c r="X169">
        <f>Sales_Data_1[[#This Row],[Sales]]-Sales_Data_1[[#This Row],[Profit_Amount]]</f>
        <v>1957.15</v>
      </c>
      <c r="Y169" t="str" cm="1">
        <f t="array" ref="Y169">_xlfn.IFS(Sales_Data_1[[#This Row],[Delivery_Days]]&lt;=3, "Fast", Sales_Data_1[[#This Row],[Delivery_Days]]&lt;= 7, "Standard", TRUE, "Delayed")</f>
        <v>Standard</v>
      </c>
      <c r="Z169" t="str" cm="1">
        <f t="array" ref="Z169">_xlfn.IFS(Sales_Data_1[[#This Row],[Profit_Amount]]&gt; 0, "Profitable", Sales_Data_1[[#This Row],[Profit_Amount]] = 0, "Break-Even", TRUE, "Loss")</f>
        <v>Profitable</v>
      </c>
      <c r="AA169" t="str" cm="1">
        <f t="array" ref="AA169">_xlfn.IFS(Sales_Data_1[[#This Row],[Sales]]&gt;= 1000, "High Value", Sales_Data_1[[#This Row],[Sales]]&gt;= 300, "Mid Value", TRUE, "Low Value")</f>
        <v>High Value</v>
      </c>
    </row>
    <row r="170" spans="1:27" x14ac:dyDescent="0.3">
      <c r="A170" t="s">
        <v>2713</v>
      </c>
      <c r="B170" s="1">
        <v>45599</v>
      </c>
      <c r="C170" t="s">
        <v>40</v>
      </c>
      <c r="D170" t="s">
        <v>56</v>
      </c>
      <c r="E170" t="s">
        <v>42</v>
      </c>
      <c r="F170" t="s">
        <v>43</v>
      </c>
      <c r="G170" t="s">
        <v>34</v>
      </c>
      <c r="H170" t="s">
        <v>141</v>
      </c>
      <c r="I170" t="s">
        <v>1402</v>
      </c>
      <c r="J170">
        <v>6</v>
      </c>
      <c r="K170">
        <v>550</v>
      </c>
      <c r="L170">
        <v>0.01</v>
      </c>
      <c r="M170">
        <v>544.5</v>
      </c>
      <c r="N170">
        <v>3267</v>
      </c>
      <c r="O170">
        <v>0.4</v>
      </c>
      <c r="P170">
        <v>1306.8</v>
      </c>
      <c r="Q170" t="s">
        <v>47</v>
      </c>
      <c r="R170" t="s">
        <v>48</v>
      </c>
      <c r="S170">
        <v>9</v>
      </c>
      <c r="T170">
        <f>YEAR(Sales_Data_1[[#This Row],[Order_Date]])</f>
        <v>2024</v>
      </c>
      <c r="U170" t="str">
        <f>TEXT(Sales_Data_1[[#This Row],[Order_Date]], "mmm")</f>
        <v>Nov</v>
      </c>
      <c r="V170">
        <f>MONTH(Sales_Data_1[[#This Row],[Order_Date]])</f>
        <v>11</v>
      </c>
      <c r="W170" t="str">
        <f>TEXT(Sales_Data_1[[#This Row],[Order_Date]], "yyyy-mm")</f>
        <v>2024-11</v>
      </c>
      <c r="X170">
        <f>Sales_Data_1[[#This Row],[Sales]]-Sales_Data_1[[#This Row],[Profit_Amount]]</f>
        <v>1960.2</v>
      </c>
      <c r="Y170" t="str" cm="1">
        <f t="array" ref="Y170">_xlfn.IFS(Sales_Data_1[[#This Row],[Delivery_Days]]&lt;=3, "Fast", Sales_Data_1[[#This Row],[Delivery_Days]]&lt;= 7, "Standard", TRUE, "Delayed")</f>
        <v>Delayed</v>
      </c>
      <c r="Z170" t="str" cm="1">
        <f t="array" ref="Z170">_xlfn.IFS(Sales_Data_1[[#This Row],[Profit_Amount]]&gt; 0, "Profitable", Sales_Data_1[[#This Row],[Profit_Amount]] = 0, "Break-Even", TRUE, "Loss")</f>
        <v>Profitable</v>
      </c>
      <c r="AA170" t="str" cm="1">
        <f t="array" ref="AA170">_xlfn.IFS(Sales_Data_1[[#This Row],[Sales]]&gt;= 1000, "High Value", Sales_Data_1[[#This Row],[Sales]]&gt;= 300, "Mid Value", TRUE, "Low Value")</f>
        <v>High Value</v>
      </c>
    </row>
    <row r="171" spans="1:27" x14ac:dyDescent="0.3">
      <c r="A171" t="s">
        <v>2061</v>
      </c>
      <c r="B171" s="1">
        <v>44947</v>
      </c>
      <c r="C171" t="s">
        <v>55</v>
      </c>
      <c r="D171" t="s">
        <v>31</v>
      </c>
      <c r="E171" t="s">
        <v>42</v>
      </c>
      <c r="F171" t="s">
        <v>23</v>
      </c>
      <c r="G171" t="s">
        <v>57</v>
      </c>
      <c r="H171" t="s">
        <v>100</v>
      </c>
      <c r="I171" t="s">
        <v>101</v>
      </c>
      <c r="J171">
        <v>3</v>
      </c>
      <c r="K171">
        <v>2899</v>
      </c>
      <c r="L171">
        <v>0.24</v>
      </c>
      <c r="M171">
        <v>2203.2399999999998</v>
      </c>
      <c r="N171">
        <v>6609.72</v>
      </c>
      <c r="O171">
        <v>0.2</v>
      </c>
      <c r="P171">
        <v>1321.94</v>
      </c>
      <c r="Q171" t="s">
        <v>51</v>
      </c>
      <c r="R171" t="s">
        <v>48</v>
      </c>
      <c r="S171">
        <v>4</v>
      </c>
      <c r="T171">
        <f>YEAR(Sales_Data_1[[#This Row],[Order_Date]])</f>
        <v>2023</v>
      </c>
      <c r="U171" t="str">
        <f>TEXT(Sales_Data_1[[#This Row],[Order_Date]], "mmm")</f>
        <v>Jan</v>
      </c>
      <c r="V171">
        <f>MONTH(Sales_Data_1[[#This Row],[Order_Date]])</f>
        <v>1</v>
      </c>
      <c r="W171" t="str">
        <f>TEXT(Sales_Data_1[[#This Row],[Order_Date]], "yyyy-mm")</f>
        <v>2023-01</v>
      </c>
      <c r="X171">
        <f>Sales_Data_1[[#This Row],[Sales]]-Sales_Data_1[[#This Row],[Profit_Amount]]</f>
        <v>5287.7800000000007</v>
      </c>
      <c r="Y171" t="str" cm="1">
        <f t="array" ref="Y171">_xlfn.IFS(Sales_Data_1[[#This Row],[Delivery_Days]]&lt;=3, "Fast", Sales_Data_1[[#This Row],[Delivery_Days]]&lt;= 7, "Standard", TRUE, "Delayed")</f>
        <v>Standard</v>
      </c>
      <c r="Z171" t="str" cm="1">
        <f t="array" ref="Z171">_xlfn.IFS(Sales_Data_1[[#This Row],[Profit_Amount]]&gt; 0, "Profitable", Sales_Data_1[[#This Row],[Profit_Amount]] = 0, "Break-Even", TRUE, "Loss")</f>
        <v>Profitable</v>
      </c>
      <c r="AA171" t="str" cm="1">
        <f t="array" ref="AA171">_xlfn.IFS(Sales_Data_1[[#This Row],[Sales]]&gt;= 1000, "High Value", Sales_Data_1[[#This Row],[Sales]]&gt;= 300, "Mid Value", TRUE, "Low Value")</f>
        <v>High Value</v>
      </c>
    </row>
    <row r="172" spans="1:27" x14ac:dyDescent="0.3">
      <c r="A172" t="s">
        <v>2782</v>
      </c>
      <c r="B172" s="1">
        <v>45668</v>
      </c>
      <c r="C172" t="s">
        <v>55</v>
      </c>
      <c r="D172" t="s">
        <v>31</v>
      </c>
      <c r="E172" t="s">
        <v>2042</v>
      </c>
      <c r="F172" t="s">
        <v>43</v>
      </c>
      <c r="G172" t="s">
        <v>34</v>
      </c>
      <c r="H172" t="s">
        <v>104</v>
      </c>
      <c r="I172" t="s">
        <v>1538</v>
      </c>
      <c r="J172">
        <v>6</v>
      </c>
      <c r="K172">
        <v>672</v>
      </c>
      <c r="L172">
        <v>0.18</v>
      </c>
      <c r="M172">
        <v>551.04</v>
      </c>
      <c r="N172">
        <v>3306.24</v>
      </c>
      <c r="O172">
        <v>0.4</v>
      </c>
      <c r="P172">
        <v>1322.5</v>
      </c>
      <c r="Q172" t="s">
        <v>47</v>
      </c>
      <c r="R172" t="s">
        <v>48</v>
      </c>
      <c r="S172">
        <v>6</v>
      </c>
      <c r="T172">
        <f>YEAR(Sales_Data_1[[#This Row],[Order_Date]])</f>
        <v>2025</v>
      </c>
      <c r="U172" t="str">
        <f>TEXT(Sales_Data_1[[#This Row],[Order_Date]], "mmm")</f>
        <v>Jan</v>
      </c>
      <c r="V172">
        <f>MONTH(Sales_Data_1[[#This Row],[Order_Date]])</f>
        <v>1</v>
      </c>
      <c r="W172" t="str">
        <f>TEXT(Sales_Data_1[[#This Row],[Order_Date]], "yyyy-mm")</f>
        <v>2025-01</v>
      </c>
      <c r="X172">
        <f>Sales_Data_1[[#This Row],[Sales]]-Sales_Data_1[[#This Row],[Profit_Amount]]</f>
        <v>1983.7399999999998</v>
      </c>
      <c r="Y172" t="str" cm="1">
        <f t="array" ref="Y172">_xlfn.IFS(Sales_Data_1[[#This Row],[Delivery_Days]]&lt;=3, "Fast", Sales_Data_1[[#This Row],[Delivery_Days]]&lt;= 7, "Standard", TRUE, "Delayed")</f>
        <v>Standard</v>
      </c>
      <c r="Z172" t="str" cm="1">
        <f t="array" ref="Z172">_xlfn.IFS(Sales_Data_1[[#This Row],[Profit_Amount]]&gt; 0, "Profitable", Sales_Data_1[[#This Row],[Profit_Amount]] = 0, "Break-Even", TRUE, "Loss")</f>
        <v>Profitable</v>
      </c>
      <c r="AA172" t="str" cm="1">
        <f t="array" ref="AA172">_xlfn.IFS(Sales_Data_1[[#This Row],[Sales]]&gt;= 1000, "High Value", Sales_Data_1[[#This Row],[Sales]]&gt;= 300, "Mid Value", TRUE, "Low Value")</f>
        <v>High Value</v>
      </c>
    </row>
    <row r="173" spans="1:27" x14ac:dyDescent="0.3">
      <c r="A173" t="s">
        <v>2928</v>
      </c>
      <c r="B173" s="1">
        <v>45814</v>
      </c>
      <c r="C173" t="s">
        <v>30</v>
      </c>
      <c r="D173" t="s">
        <v>56</v>
      </c>
      <c r="E173" t="s">
        <v>2042</v>
      </c>
      <c r="F173" t="s">
        <v>23</v>
      </c>
      <c r="G173" t="s">
        <v>34</v>
      </c>
      <c r="H173" t="s">
        <v>104</v>
      </c>
      <c r="I173" t="s">
        <v>1825</v>
      </c>
      <c r="J173">
        <v>5</v>
      </c>
      <c r="K173">
        <v>781</v>
      </c>
      <c r="L173">
        <v>0.15</v>
      </c>
      <c r="M173">
        <v>663.85</v>
      </c>
      <c r="N173">
        <v>3319.25</v>
      </c>
      <c r="O173">
        <v>0.4</v>
      </c>
      <c r="P173">
        <v>1327.7</v>
      </c>
      <c r="Q173" t="s">
        <v>51</v>
      </c>
      <c r="R173" t="s">
        <v>48</v>
      </c>
      <c r="S173">
        <v>5</v>
      </c>
      <c r="T173">
        <f>YEAR(Sales_Data_1[[#This Row],[Order_Date]])</f>
        <v>2025</v>
      </c>
      <c r="U173" t="str">
        <f>TEXT(Sales_Data_1[[#This Row],[Order_Date]], "mmm")</f>
        <v>Jun</v>
      </c>
      <c r="V173">
        <f>MONTH(Sales_Data_1[[#This Row],[Order_Date]])</f>
        <v>6</v>
      </c>
      <c r="W173" t="str">
        <f>TEXT(Sales_Data_1[[#This Row],[Order_Date]], "yyyy-mm")</f>
        <v>2025-06</v>
      </c>
      <c r="X173">
        <f>Sales_Data_1[[#This Row],[Sales]]-Sales_Data_1[[#This Row],[Profit_Amount]]</f>
        <v>1991.55</v>
      </c>
      <c r="Y173" t="str" cm="1">
        <f t="array" ref="Y173">_xlfn.IFS(Sales_Data_1[[#This Row],[Delivery_Days]]&lt;=3, "Fast", Sales_Data_1[[#This Row],[Delivery_Days]]&lt;= 7, "Standard", TRUE, "Delayed")</f>
        <v>Standard</v>
      </c>
      <c r="Z173" t="str" cm="1">
        <f t="array" ref="Z173">_xlfn.IFS(Sales_Data_1[[#This Row],[Profit_Amount]]&gt; 0, "Profitable", Sales_Data_1[[#This Row],[Profit_Amount]] = 0, "Break-Even", TRUE, "Loss")</f>
        <v>Profitable</v>
      </c>
      <c r="AA173" t="str" cm="1">
        <f t="array" ref="AA173">_xlfn.IFS(Sales_Data_1[[#This Row],[Sales]]&gt;= 1000, "High Value", Sales_Data_1[[#This Row],[Sales]]&gt;= 300, "Mid Value", TRUE, "Low Value")</f>
        <v>High Value</v>
      </c>
    </row>
    <row r="174" spans="1:27" x14ac:dyDescent="0.3">
      <c r="A174" t="s">
        <v>2953</v>
      </c>
      <c r="B174" s="1">
        <v>45839</v>
      </c>
      <c r="C174" t="s">
        <v>40</v>
      </c>
      <c r="D174" t="s">
        <v>31</v>
      </c>
      <c r="E174" t="s">
        <v>42</v>
      </c>
      <c r="F174" t="s">
        <v>33</v>
      </c>
      <c r="G174" t="s">
        <v>44</v>
      </c>
      <c r="H174" t="s">
        <v>116</v>
      </c>
      <c r="I174" t="s">
        <v>1873</v>
      </c>
      <c r="J174">
        <v>2</v>
      </c>
      <c r="K174">
        <v>2438</v>
      </c>
      <c r="L174">
        <v>0.22</v>
      </c>
      <c r="M174">
        <v>1901.64</v>
      </c>
      <c r="N174">
        <v>3803.28</v>
      </c>
      <c r="O174">
        <v>0.35</v>
      </c>
      <c r="P174">
        <v>1331.15</v>
      </c>
      <c r="Q174" t="s">
        <v>37</v>
      </c>
      <c r="R174" t="s">
        <v>48</v>
      </c>
      <c r="S174">
        <v>1</v>
      </c>
      <c r="T174">
        <f>YEAR(Sales_Data_1[[#This Row],[Order_Date]])</f>
        <v>2025</v>
      </c>
      <c r="U174" t="str">
        <f>TEXT(Sales_Data_1[[#This Row],[Order_Date]], "mmm")</f>
        <v>Jul</v>
      </c>
      <c r="V174">
        <f>MONTH(Sales_Data_1[[#This Row],[Order_Date]])</f>
        <v>7</v>
      </c>
      <c r="W174" t="str">
        <f>TEXT(Sales_Data_1[[#This Row],[Order_Date]], "yyyy-mm")</f>
        <v>2025-07</v>
      </c>
      <c r="X174">
        <f>Sales_Data_1[[#This Row],[Sales]]-Sales_Data_1[[#This Row],[Profit_Amount]]</f>
        <v>2472.13</v>
      </c>
      <c r="Y174" t="str" cm="1">
        <f t="array" ref="Y174">_xlfn.IFS(Sales_Data_1[[#This Row],[Delivery_Days]]&lt;=3, "Fast", Sales_Data_1[[#This Row],[Delivery_Days]]&lt;= 7, "Standard", TRUE, "Delayed")</f>
        <v>Fast</v>
      </c>
      <c r="Z174" t="str" cm="1">
        <f t="array" ref="Z174">_xlfn.IFS(Sales_Data_1[[#This Row],[Profit_Amount]]&gt; 0, "Profitable", Sales_Data_1[[#This Row],[Profit_Amount]] = 0, "Break-Even", TRUE, "Loss")</f>
        <v>Profitable</v>
      </c>
      <c r="AA174" t="str" cm="1">
        <f t="array" ref="AA174">_xlfn.IFS(Sales_Data_1[[#This Row],[Sales]]&gt;= 1000, "High Value", Sales_Data_1[[#This Row],[Sales]]&gt;= 300, "Mid Value", TRUE, "Low Value")</f>
        <v>High Value</v>
      </c>
    </row>
    <row r="175" spans="1:27" x14ac:dyDescent="0.3">
      <c r="A175" t="s">
        <v>2099</v>
      </c>
      <c r="B175" s="1">
        <v>44985</v>
      </c>
      <c r="C175" t="s">
        <v>63</v>
      </c>
      <c r="D175" t="s">
        <v>56</v>
      </c>
      <c r="E175" t="s">
        <v>2040</v>
      </c>
      <c r="F175" t="s">
        <v>103</v>
      </c>
      <c r="G175" t="s">
        <v>24</v>
      </c>
      <c r="H175" t="s">
        <v>186</v>
      </c>
      <c r="I175" t="s">
        <v>187</v>
      </c>
      <c r="J175">
        <v>5</v>
      </c>
      <c r="K175">
        <v>1158</v>
      </c>
      <c r="L175">
        <v>0.08</v>
      </c>
      <c r="M175">
        <v>1065.3599999999999</v>
      </c>
      <c r="N175">
        <v>5326.8</v>
      </c>
      <c r="O175">
        <v>0.25</v>
      </c>
      <c r="P175">
        <v>1331.7</v>
      </c>
      <c r="Q175" t="s">
        <v>27</v>
      </c>
      <c r="R175" t="s">
        <v>48</v>
      </c>
      <c r="S175">
        <v>7</v>
      </c>
      <c r="T175">
        <f>YEAR(Sales_Data_1[[#This Row],[Order_Date]])</f>
        <v>2023</v>
      </c>
      <c r="U175" t="str">
        <f>TEXT(Sales_Data_1[[#This Row],[Order_Date]], "mmm")</f>
        <v>Feb</v>
      </c>
      <c r="V175">
        <f>MONTH(Sales_Data_1[[#This Row],[Order_Date]])</f>
        <v>2</v>
      </c>
      <c r="W175" t="str">
        <f>TEXT(Sales_Data_1[[#This Row],[Order_Date]], "yyyy-mm")</f>
        <v>2023-02</v>
      </c>
      <c r="X175">
        <f>Sales_Data_1[[#This Row],[Sales]]-Sales_Data_1[[#This Row],[Profit_Amount]]</f>
        <v>3995.1000000000004</v>
      </c>
      <c r="Y175" t="str" cm="1">
        <f t="array" ref="Y175">_xlfn.IFS(Sales_Data_1[[#This Row],[Delivery_Days]]&lt;=3, "Fast", Sales_Data_1[[#This Row],[Delivery_Days]]&lt;= 7, "Standard", TRUE, "Delayed")</f>
        <v>Standard</v>
      </c>
      <c r="Z175" t="str" cm="1">
        <f t="array" ref="Z175">_xlfn.IFS(Sales_Data_1[[#This Row],[Profit_Amount]]&gt; 0, "Profitable", Sales_Data_1[[#This Row],[Profit_Amount]] = 0, "Break-Even", TRUE, "Loss")</f>
        <v>Profitable</v>
      </c>
      <c r="AA175" t="str" cm="1">
        <f t="array" ref="AA175">_xlfn.IFS(Sales_Data_1[[#This Row],[Sales]]&gt;= 1000, "High Value", Sales_Data_1[[#This Row],[Sales]]&gt;= 300, "Mid Value", TRUE, "Low Value")</f>
        <v>High Value</v>
      </c>
    </row>
    <row r="176" spans="1:27" x14ac:dyDescent="0.3">
      <c r="A176" t="s">
        <v>2616</v>
      </c>
      <c r="B176" s="1">
        <v>45502</v>
      </c>
      <c r="C176" t="s">
        <v>96</v>
      </c>
      <c r="D176" t="s">
        <v>56</v>
      </c>
      <c r="E176" t="s">
        <v>2040</v>
      </c>
      <c r="F176" t="s">
        <v>97</v>
      </c>
      <c r="G176" t="s">
        <v>34</v>
      </c>
      <c r="H176" t="s">
        <v>71</v>
      </c>
      <c r="I176" t="s">
        <v>1214</v>
      </c>
      <c r="J176">
        <v>8</v>
      </c>
      <c r="K176">
        <v>441</v>
      </c>
      <c r="L176">
        <v>0.05</v>
      </c>
      <c r="M176">
        <v>418.95</v>
      </c>
      <c r="N176">
        <v>3351.6</v>
      </c>
      <c r="O176">
        <v>0.4</v>
      </c>
      <c r="P176">
        <v>1340.64</v>
      </c>
      <c r="Q176" t="s">
        <v>47</v>
      </c>
      <c r="R176" t="s">
        <v>48</v>
      </c>
      <c r="S176">
        <v>4</v>
      </c>
      <c r="T176">
        <f>YEAR(Sales_Data_1[[#This Row],[Order_Date]])</f>
        <v>2024</v>
      </c>
      <c r="U176" t="str">
        <f>TEXT(Sales_Data_1[[#This Row],[Order_Date]], "mmm")</f>
        <v>Jul</v>
      </c>
      <c r="V176">
        <f>MONTH(Sales_Data_1[[#This Row],[Order_Date]])</f>
        <v>7</v>
      </c>
      <c r="W176" t="str">
        <f>TEXT(Sales_Data_1[[#This Row],[Order_Date]], "yyyy-mm")</f>
        <v>2024-07</v>
      </c>
      <c r="X176">
        <f>Sales_Data_1[[#This Row],[Sales]]-Sales_Data_1[[#This Row],[Profit_Amount]]</f>
        <v>2010.9599999999998</v>
      </c>
      <c r="Y176" t="str" cm="1">
        <f t="array" ref="Y176">_xlfn.IFS(Sales_Data_1[[#This Row],[Delivery_Days]]&lt;=3, "Fast", Sales_Data_1[[#This Row],[Delivery_Days]]&lt;= 7, "Standard", TRUE, "Delayed")</f>
        <v>Standard</v>
      </c>
      <c r="Z176" t="str" cm="1">
        <f t="array" ref="Z176">_xlfn.IFS(Sales_Data_1[[#This Row],[Profit_Amount]]&gt; 0, "Profitable", Sales_Data_1[[#This Row],[Profit_Amount]] = 0, "Break-Even", TRUE, "Loss")</f>
        <v>Profitable</v>
      </c>
      <c r="AA176" t="str" cm="1">
        <f t="array" ref="AA176">_xlfn.IFS(Sales_Data_1[[#This Row],[Sales]]&gt;= 1000, "High Value", Sales_Data_1[[#This Row],[Sales]]&gt;= 300, "Mid Value", TRUE, "Low Value")</f>
        <v>High Value</v>
      </c>
    </row>
    <row r="177" spans="1:27" x14ac:dyDescent="0.3">
      <c r="A177" t="s">
        <v>2510</v>
      </c>
      <c r="B177" s="1">
        <v>45396</v>
      </c>
      <c r="C177" t="s">
        <v>40</v>
      </c>
      <c r="D177" t="s">
        <v>21</v>
      </c>
      <c r="E177" t="s">
        <v>2042</v>
      </c>
      <c r="F177" t="s">
        <v>103</v>
      </c>
      <c r="G177" t="s">
        <v>24</v>
      </c>
      <c r="H177" t="s">
        <v>74</v>
      </c>
      <c r="I177" t="s">
        <v>1005</v>
      </c>
      <c r="J177">
        <v>1</v>
      </c>
      <c r="K177">
        <v>6548</v>
      </c>
      <c r="L177">
        <v>0.18</v>
      </c>
      <c r="M177">
        <v>5369.36</v>
      </c>
      <c r="N177">
        <v>5369.36</v>
      </c>
      <c r="O177">
        <v>0.25</v>
      </c>
      <c r="P177">
        <v>1342.34</v>
      </c>
      <c r="Q177" t="s">
        <v>51</v>
      </c>
      <c r="R177" t="s">
        <v>38</v>
      </c>
      <c r="S177">
        <v>3</v>
      </c>
      <c r="T177">
        <f>YEAR(Sales_Data_1[[#This Row],[Order_Date]])</f>
        <v>2024</v>
      </c>
      <c r="U177" t="str">
        <f>TEXT(Sales_Data_1[[#This Row],[Order_Date]], "mmm")</f>
        <v>Apr</v>
      </c>
      <c r="V177">
        <f>MONTH(Sales_Data_1[[#This Row],[Order_Date]])</f>
        <v>4</v>
      </c>
      <c r="W177" t="str">
        <f>TEXT(Sales_Data_1[[#This Row],[Order_Date]], "yyyy-mm")</f>
        <v>2024-04</v>
      </c>
      <c r="X177">
        <f>Sales_Data_1[[#This Row],[Sales]]-Sales_Data_1[[#This Row],[Profit_Amount]]</f>
        <v>4027.0199999999995</v>
      </c>
      <c r="Y177" t="str" cm="1">
        <f t="array" ref="Y177">_xlfn.IFS(Sales_Data_1[[#This Row],[Delivery_Days]]&lt;=3, "Fast", Sales_Data_1[[#This Row],[Delivery_Days]]&lt;= 7, "Standard", TRUE, "Delayed")</f>
        <v>Fast</v>
      </c>
      <c r="Z177" t="str" cm="1">
        <f t="array" ref="Z177">_xlfn.IFS(Sales_Data_1[[#This Row],[Profit_Amount]]&gt; 0, "Profitable", Sales_Data_1[[#This Row],[Profit_Amount]] = 0, "Break-Even", TRUE, "Loss")</f>
        <v>Profitable</v>
      </c>
      <c r="AA177" t="str" cm="1">
        <f t="array" ref="AA177">_xlfn.IFS(Sales_Data_1[[#This Row],[Sales]]&gt;= 1000, "High Value", Sales_Data_1[[#This Row],[Sales]]&gt;= 300, "Mid Value", TRUE, "Low Value")</f>
        <v>High Value</v>
      </c>
    </row>
    <row r="178" spans="1:27" x14ac:dyDescent="0.3">
      <c r="A178" t="s">
        <v>2302</v>
      </c>
      <c r="B178" s="1">
        <v>45188</v>
      </c>
      <c r="C178" t="s">
        <v>20</v>
      </c>
      <c r="D178" t="s">
        <v>41</v>
      </c>
      <c r="E178" t="s">
        <v>2040</v>
      </c>
      <c r="F178" t="s">
        <v>103</v>
      </c>
      <c r="G178" t="s">
        <v>44</v>
      </c>
      <c r="H178" t="s">
        <v>64</v>
      </c>
      <c r="I178" t="s">
        <v>594</v>
      </c>
      <c r="J178">
        <v>8</v>
      </c>
      <c r="K178">
        <v>511</v>
      </c>
      <c r="L178">
        <v>0.06</v>
      </c>
      <c r="M178">
        <v>480.34</v>
      </c>
      <c r="N178">
        <v>3842.72</v>
      </c>
      <c r="O178">
        <v>0.35</v>
      </c>
      <c r="P178">
        <v>1344.95</v>
      </c>
      <c r="Q178" t="s">
        <v>51</v>
      </c>
      <c r="R178" t="s">
        <v>48</v>
      </c>
      <c r="S178">
        <v>4</v>
      </c>
      <c r="T178">
        <f>YEAR(Sales_Data_1[[#This Row],[Order_Date]])</f>
        <v>2023</v>
      </c>
      <c r="U178" t="str">
        <f>TEXT(Sales_Data_1[[#This Row],[Order_Date]], "mmm")</f>
        <v>Sep</v>
      </c>
      <c r="V178">
        <f>MONTH(Sales_Data_1[[#This Row],[Order_Date]])</f>
        <v>9</v>
      </c>
      <c r="W178" t="str">
        <f>TEXT(Sales_Data_1[[#This Row],[Order_Date]], "yyyy-mm")</f>
        <v>2023-09</v>
      </c>
      <c r="X178">
        <f>Sales_Data_1[[#This Row],[Sales]]-Sales_Data_1[[#This Row],[Profit_Amount]]</f>
        <v>2497.7699999999995</v>
      </c>
      <c r="Y178" t="str" cm="1">
        <f t="array" ref="Y178">_xlfn.IFS(Sales_Data_1[[#This Row],[Delivery_Days]]&lt;=3, "Fast", Sales_Data_1[[#This Row],[Delivery_Days]]&lt;= 7, "Standard", TRUE, "Delayed")</f>
        <v>Standard</v>
      </c>
      <c r="Z178" t="str" cm="1">
        <f t="array" ref="Z178">_xlfn.IFS(Sales_Data_1[[#This Row],[Profit_Amount]]&gt; 0, "Profitable", Sales_Data_1[[#This Row],[Profit_Amount]] = 0, "Break-Even", TRUE, "Loss")</f>
        <v>Profitable</v>
      </c>
      <c r="AA178" t="str" cm="1">
        <f t="array" ref="AA178">_xlfn.IFS(Sales_Data_1[[#This Row],[Sales]]&gt;= 1000, "High Value", Sales_Data_1[[#This Row],[Sales]]&gt;= 300, "Mid Value", TRUE, "Low Value")</f>
        <v>High Value</v>
      </c>
    </row>
    <row r="179" spans="1:27" x14ac:dyDescent="0.3">
      <c r="A179" t="s">
        <v>2203</v>
      </c>
      <c r="B179" s="1">
        <v>45089</v>
      </c>
      <c r="C179" t="s">
        <v>63</v>
      </c>
      <c r="D179" t="s">
        <v>21</v>
      </c>
      <c r="E179" t="s">
        <v>2042</v>
      </c>
      <c r="F179" t="s">
        <v>103</v>
      </c>
      <c r="G179" t="s">
        <v>34</v>
      </c>
      <c r="H179" t="s">
        <v>104</v>
      </c>
      <c r="I179" t="s">
        <v>396</v>
      </c>
      <c r="J179">
        <v>5</v>
      </c>
      <c r="K179">
        <v>689</v>
      </c>
      <c r="L179">
        <v>0.02</v>
      </c>
      <c r="M179">
        <v>675.22</v>
      </c>
      <c r="N179">
        <v>3376.1</v>
      </c>
      <c r="O179">
        <v>0.4</v>
      </c>
      <c r="P179">
        <v>1350.44</v>
      </c>
      <c r="Q179" t="s">
        <v>51</v>
      </c>
      <c r="R179" t="s">
        <v>48</v>
      </c>
      <c r="S179">
        <v>8</v>
      </c>
      <c r="T179">
        <f>YEAR(Sales_Data_1[[#This Row],[Order_Date]])</f>
        <v>2023</v>
      </c>
      <c r="U179" t="str">
        <f>TEXT(Sales_Data_1[[#This Row],[Order_Date]], "mmm")</f>
        <v>Jun</v>
      </c>
      <c r="V179">
        <f>MONTH(Sales_Data_1[[#This Row],[Order_Date]])</f>
        <v>6</v>
      </c>
      <c r="W179" t="str">
        <f>TEXT(Sales_Data_1[[#This Row],[Order_Date]], "yyyy-mm")</f>
        <v>2023-06</v>
      </c>
      <c r="X179">
        <f>Sales_Data_1[[#This Row],[Sales]]-Sales_Data_1[[#This Row],[Profit_Amount]]</f>
        <v>2025.6599999999999</v>
      </c>
      <c r="Y179" t="str" cm="1">
        <f t="array" ref="Y179">_xlfn.IFS(Sales_Data_1[[#This Row],[Delivery_Days]]&lt;=3, "Fast", Sales_Data_1[[#This Row],[Delivery_Days]]&lt;= 7, "Standard", TRUE, "Delayed")</f>
        <v>Delayed</v>
      </c>
      <c r="Z179" t="str" cm="1">
        <f t="array" ref="Z179">_xlfn.IFS(Sales_Data_1[[#This Row],[Profit_Amount]]&gt; 0, "Profitable", Sales_Data_1[[#This Row],[Profit_Amount]] = 0, "Break-Even", TRUE, "Loss")</f>
        <v>Profitable</v>
      </c>
      <c r="AA179" t="str" cm="1">
        <f t="array" ref="AA179">_xlfn.IFS(Sales_Data_1[[#This Row],[Sales]]&gt;= 1000, "High Value", Sales_Data_1[[#This Row],[Sales]]&gt;= 300, "Mid Value", TRUE, "Low Value")</f>
        <v>High Value</v>
      </c>
    </row>
    <row r="180" spans="1:27" x14ac:dyDescent="0.3">
      <c r="A180" t="s">
        <v>3022</v>
      </c>
      <c r="B180" s="1">
        <v>45908</v>
      </c>
      <c r="C180" t="s">
        <v>55</v>
      </c>
      <c r="D180" t="s">
        <v>21</v>
      </c>
      <c r="E180" t="s">
        <v>2040</v>
      </c>
      <c r="F180" t="s">
        <v>43</v>
      </c>
      <c r="G180" t="s">
        <v>24</v>
      </c>
      <c r="H180" t="s">
        <v>121</v>
      </c>
      <c r="I180" t="s">
        <v>2003</v>
      </c>
      <c r="J180">
        <v>2</v>
      </c>
      <c r="K180">
        <v>3274</v>
      </c>
      <c r="L180">
        <v>0.17</v>
      </c>
      <c r="M180">
        <v>2717.42</v>
      </c>
      <c r="N180">
        <v>5434.84</v>
      </c>
      <c r="O180">
        <v>0.25</v>
      </c>
      <c r="P180">
        <v>1358.71</v>
      </c>
      <c r="Q180" t="s">
        <v>47</v>
      </c>
      <c r="R180" t="s">
        <v>48</v>
      </c>
      <c r="S180">
        <v>3</v>
      </c>
      <c r="T180">
        <f>YEAR(Sales_Data_1[[#This Row],[Order_Date]])</f>
        <v>2025</v>
      </c>
      <c r="U180" t="str">
        <f>TEXT(Sales_Data_1[[#This Row],[Order_Date]], "mmm")</f>
        <v>Sep</v>
      </c>
      <c r="V180">
        <f>MONTH(Sales_Data_1[[#This Row],[Order_Date]])</f>
        <v>9</v>
      </c>
      <c r="W180" t="str">
        <f>TEXT(Sales_Data_1[[#This Row],[Order_Date]], "yyyy-mm")</f>
        <v>2025-09</v>
      </c>
      <c r="X180">
        <f>Sales_Data_1[[#This Row],[Sales]]-Sales_Data_1[[#This Row],[Profit_Amount]]</f>
        <v>4076.13</v>
      </c>
      <c r="Y180" t="str" cm="1">
        <f t="array" ref="Y180">_xlfn.IFS(Sales_Data_1[[#This Row],[Delivery_Days]]&lt;=3, "Fast", Sales_Data_1[[#This Row],[Delivery_Days]]&lt;= 7, "Standard", TRUE, "Delayed")</f>
        <v>Fast</v>
      </c>
      <c r="Z180" t="str" cm="1">
        <f t="array" ref="Z180">_xlfn.IFS(Sales_Data_1[[#This Row],[Profit_Amount]]&gt; 0, "Profitable", Sales_Data_1[[#This Row],[Profit_Amount]] = 0, "Break-Even", TRUE, "Loss")</f>
        <v>Profitable</v>
      </c>
      <c r="AA180" t="str" cm="1">
        <f t="array" ref="AA180">_xlfn.IFS(Sales_Data_1[[#This Row],[Sales]]&gt;= 1000, "High Value", Sales_Data_1[[#This Row],[Sales]]&gt;= 300, "Mid Value", TRUE, "Low Value")</f>
        <v>High Value</v>
      </c>
    </row>
    <row r="181" spans="1:27" x14ac:dyDescent="0.3">
      <c r="A181" t="s">
        <v>2478</v>
      </c>
      <c r="B181" s="1">
        <v>45364</v>
      </c>
      <c r="C181" t="s">
        <v>30</v>
      </c>
      <c r="D181" t="s">
        <v>31</v>
      </c>
      <c r="E181" t="s">
        <v>2042</v>
      </c>
      <c r="F181" t="s">
        <v>103</v>
      </c>
      <c r="G181" t="s">
        <v>44</v>
      </c>
      <c r="H181" t="s">
        <v>45</v>
      </c>
      <c r="I181" t="s">
        <v>942</v>
      </c>
      <c r="J181">
        <v>8</v>
      </c>
      <c r="K181">
        <v>648</v>
      </c>
      <c r="L181">
        <v>0.25</v>
      </c>
      <c r="M181">
        <v>486</v>
      </c>
      <c r="N181">
        <v>3888</v>
      </c>
      <c r="O181">
        <v>0.35</v>
      </c>
      <c r="P181">
        <v>1360.8</v>
      </c>
      <c r="Q181" t="s">
        <v>51</v>
      </c>
      <c r="R181" t="s">
        <v>48</v>
      </c>
      <c r="S181">
        <v>6</v>
      </c>
      <c r="T181">
        <f>YEAR(Sales_Data_1[[#This Row],[Order_Date]])</f>
        <v>2024</v>
      </c>
      <c r="U181" t="str">
        <f>TEXT(Sales_Data_1[[#This Row],[Order_Date]], "mmm")</f>
        <v>Mar</v>
      </c>
      <c r="V181">
        <f>MONTH(Sales_Data_1[[#This Row],[Order_Date]])</f>
        <v>3</v>
      </c>
      <c r="W181" t="str">
        <f>TEXT(Sales_Data_1[[#This Row],[Order_Date]], "yyyy-mm")</f>
        <v>2024-03</v>
      </c>
      <c r="X181">
        <f>Sales_Data_1[[#This Row],[Sales]]-Sales_Data_1[[#This Row],[Profit_Amount]]</f>
        <v>2527.1999999999998</v>
      </c>
      <c r="Y181" t="str" cm="1">
        <f t="array" ref="Y181">_xlfn.IFS(Sales_Data_1[[#This Row],[Delivery_Days]]&lt;=3, "Fast", Sales_Data_1[[#This Row],[Delivery_Days]]&lt;= 7, "Standard", TRUE, "Delayed")</f>
        <v>Standard</v>
      </c>
      <c r="Z181" t="str" cm="1">
        <f t="array" ref="Z181">_xlfn.IFS(Sales_Data_1[[#This Row],[Profit_Amount]]&gt; 0, "Profitable", Sales_Data_1[[#This Row],[Profit_Amount]] = 0, "Break-Even", TRUE, "Loss")</f>
        <v>Profitable</v>
      </c>
      <c r="AA181" t="str" cm="1">
        <f t="array" ref="AA181">_xlfn.IFS(Sales_Data_1[[#This Row],[Sales]]&gt;= 1000, "High Value", Sales_Data_1[[#This Row],[Sales]]&gt;= 300, "Mid Value", TRUE, "Low Value")</f>
        <v>High Value</v>
      </c>
    </row>
    <row r="182" spans="1:27" x14ac:dyDescent="0.3">
      <c r="A182" t="s">
        <v>3017</v>
      </c>
      <c r="B182" s="1">
        <v>45903</v>
      </c>
      <c r="C182" t="s">
        <v>20</v>
      </c>
      <c r="D182" t="s">
        <v>21</v>
      </c>
      <c r="E182" t="s">
        <v>42</v>
      </c>
      <c r="F182" t="s">
        <v>103</v>
      </c>
      <c r="G182" t="s">
        <v>34</v>
      </c>
      <c r="H182" t="s">
        <v>35</v>
      </c>
      <c r="I182" t="s">
        <v>1993</v>
      </c>
      <c r="J182">
        <v>3</v>
      </c>
      <c r="K182">
        <v>1477</v>
      </c>
      <c r="L182">
        <v>0.22</v>
      </c>
      <c r="M182">
        <v>1152.06</v>
      </c>
      <c r="N182">
        <v>3456.18</v>
      </c>
      <c r="O182">
        <v>0.4</v>
      </c>
      <c r="P182">
        <v>1382.47</v>
      </c>
      <c r="Q182" t="s">
        <v>51</v>
      </c>
      <c r="R182" t="s">
        <v>38</v>
      </c>
      <c r="S182">
        <v>8</v>
      </c>
      <c r="T182">
        <f>YEAR(Sales_Data_1[[#This Row],[Order_Date]])</f>
        <v>2025</v>
      </c>
      <c r="U182" t="str">
        <f>TEXT(Sales_Data_1[[#This Row],[Order_Date]], "mmm")</f>
        <v>Sep</v>
      </c>
      <c r="V182">
        <f>MONTH(Sales_Data_1[[#This Row],[Order_Date]])</f>
        <v>9</v>
      </c>
      <c r="W182" t="str">
        <f>TEXT(Sales_Data_1[[#This Row],[Order_Date]], "yyyy-mm")</f>
        <v>2025-09</v>
      </c>
      <c r="X182">
        <f>Sales_Data_1[[#This Row],[Sales]]-Sales_Data_1[[#This Row],[Profit_Amount]]</f>
        <v>2073.71</v>
      </c>
      <c r="Y182" t="str" cm="1">
        <f t="array" ref="Y182">_xlfn.IFS(Sales_Data_1[[#This Row],[Delivery_Days]]&lt;=3, "Fast", Sales_Data_1[[#This Row],[Delivery_Days]]&lt;= 7, "Standard", TRUE, "Delayed")</f>
        <v>Delayed</v>
      </c>
      <c r="Z182" t="str" cm="1">
        <f t="array" ref="Z182">_xlfn.IFS(Sales_Data_1[[#This Row],[Profit_Amount]]&gt; 0, "Profitable", Sales_Data_1[[#This Row],[Profit_Amount]] = 0, "Break-Even", TRUE, "Loss")</f>
        <v>Profitable</v>
      </c>
      <c r="AA182" t="str" cm="1">
        <f t="array" ref="AA182">_xlfn.IFS(Sales_Data_1[[#This Row],[Sales]]&gt;= 1000, "High Value", Sales_Data_1[[#This Row],[Sales]]&gt;= 300, "Mid Value", TRUE, "Low Value")</f>
        <v>High Value</v>
      </c>
    </row>
    <row r="183" spans="1:27" x14ac:dyDescent="0.3">
      <c r="A183" t="s">
        <v>2700</v>
      </c>
      <c r="B183" s="1">
        <v>45586</v>
      </c>
      <c r="C183" t="s">
        <v>96</v>
      </c>
      <c r="D183" t="s">
        <v>21</v>
      </c>
      <c r="E183" t="s">
        <v>42</v>
      </c>
      <c r="F183" t="s">
        <v>68</v>
      </c>
      <c r="G183" t="s">
        <v>44</v>
      </c>
      <c r="H183" t="s">
        <v>138</v>
      </c>
      <c r="I183" t="s">
        <v>1378</v>
      </c>
      <c r="J183">
        <v>2</v>
      </c>
      <c r="K183">
        <v>2113</v>
      </c>
      <c r="L183">
        <v>0.06</v>
      </c>
      <c r="M183">
        <v>1986.22</v>
      </c>
      <c r="N183">
        <v>3972.44</v>
      </c>
      <c r="O183">
        <v>0.35</v>
      </c>
      <c r="P183">
        <v>1390.35</v>
      </c>
      <c r="Q183" t="s">
        <v>27</v>
      </c>
      <c r="R183" t="s">
        <v>48</v>
      </c>
      <c r="S183">
        <v>1</v>
      </c>
      <c r="T183">
        <f>YEAR(Sales_Data_1[[#This Row],[Order_Date]])</f>
        <v>2024</v>
      </c>
      <c r="U183" t="str">
        <f>TEXT(Sales_Data_1[[#This Row],[Order_Date]], "mmm")</f>
        <v>Oct</v>
      </c>
      <c r="V183">
        <f>MONTH(Sales_Data_1[[#This Row],[Order_Date]])</f>
        <v>10</v>
      </c>
      <c r="W183" t="str">
        <f>TEXT(Sales_Data_1[[#This Row],[Order_Date]], "yyyy-mm")</f>
        <v>2024-10</v>
      </c>
      <c r="X183">
        <f>Sales_Data_1[[#This Row],[Sales]]-Sales_Data_1[[#This Row],[Profit_Amount]]</f>
        <v>2582.09</v>
      </c>
      <c r="Y183" t="str" cm="1">
        <f t="array" ref="Y183">_xlfn.IFS(Sales_Data_1[[#This Row],[Delivery_Days]]&lt;=3, "Fast", Sales_Data_1[[#This Row],[Delivery_Days]]&lt;= 7, "Standard", TRUE, "Delayed")</f>
        <v>Fast</v>
      </c>
      <c r="Z183" t="str" cm="1">
        <f t="array" ref="Z183">_xlfn.IFS(Sales_Data_1[[#This Row],[Profit_Amount]]&gt; 0, "Profitable", Sales_Data_1[[#This Row],[Profit_Amount]] = 0, "Break-Even", TRUE, "Loss")</f>
        <v>Profitable</v>
      </c>
      <c r="AA183" t="str" cm="1">
        <f t="array" ref="AA183">_xlfn.IFS(Sales_Data_1[[#This Row],[Sales]]&gt;= 1000, "High Value", Sales_Data_1[[#This Row],[Sales]]&gt;= 300, "Mid Value", TRUE, "Low Value")</f>
        <v>High Value</v>
      </c>
    </row>
    <row r="184" spans="1:27" x14ac:dyDescent="0.3">
      <c r="A184" t="s">
        <v>2524</v>
      </c>
      <c r="B184" s="1">
        <v>45410</v>
      </c>
      <c r="C184" t="s">
        <v>63</v>
      </c>
      <c r="D184" t="s">
        <v>41</v>
      </c>
      <c r="E184" t="s">
        <v>67</v>
      </c>
      <c r="F184" t="s">
        <v>68</v>
      </c>
      <c r="G184" t="s">
        <v>34</v>
      </c>
      <c r="H184" t="s">
        <v>71</v>
      </c>
      <c r="I184" t="s">
        <v>1032</v>
      </c>
      <c r="J184">
        <v>9</v>
      </c>
      <c r="K184">
        <v>465</v>
      </c>
      <c r="L184">
        <v>0.15</v>
      </c>
      <c r="M184">
        <v>395.25</v>
      </c>
      <c r="N184">
        <v>3557.25</v>
      </c>
      <c r="O184">
        <v>0.4</v>
      </c>
      <c r="P184">
        <v>1422.9</v>
      </c>
      <c r="Q184" t="s">
        <v>27</v>
      </c>
      <c r="R184" t="s">
        <v>38</v>
      </c>
      <c r="S184">
        <v>8</v>
      </c>
      <c r="T184">
        <f>YEAR(Sales_Data_1[[#This Row],[Order_Date]])</f>
        <v>2024</v>
      </c>
      <c r="U184" t="str">
        <f>TEXT(Sales_Data_1[[#This Row],[Order_Date]], "mmm")</f>
        <v>Apr</v>
      </c>
      <c r="V184">
        <f>MONTH(Sales_Data_1[[#This Row],[Order_Date]])</f>
        <v>4</v>
      </c>
      <c r="W184" t="str">
        <f>TEXT(Sales_Data_1[[#This Row],[Order_Date]], "yyyy-mm")</f>
        <v>2024-04</v>
      </c>
      <c r="X184">
        <f>Sales_Data_1[[#This Row],[Sales]]-Sales_Data_1[[#This Row],[Profit_Amount]]</f>
        <v>2134.35</v>
      </c>
      <c r="Y184" t="str" cm="1">
        <f t="array" ref="Y184">_xlfn.IFS(Sales_Data_1[[#This Row],[Delivery_Days]]&lt;=3, "Fast", Sales_Data_1[[#This Row],[Delivery_Days]]&lt;= 7, "Standard", TRUE, "Delayed")</f>
        <v>Delayed</v>
      </c>
      <c r="Z184" t="str" cm="1">
        <f t="array" ref="Z184">_xlfn.IFS(Sales_Data_1[[#This Row],[Profit_Amount]]&gt; 0, "Profitable", Sales_Data_1[[#This Row],[Profit_Amount]] = 0, "Break-Even", TRUE, "Loss")</f>
        <v>Profitable</v>
      </c>
      <c r="AA184" t="str" cm="1">
        <f t="array" ref="AA184">_xlfn.IFS(Sales_Data_1[[#This Row],[Sales]]&gt;= 1000, "High Value", Sales_Data_1[[#This Row],[Sales]]&gt;= 300, "Mid Value", TRUE, "Low Value")</f>
        <v>High Value</v>
      </c>
    </row>
    <row r="185" spans="1:27" x14ac:dyDescent="0.3">
      <c r="A185" t="s">
        <v>2367</v>
      </c>
      <c r="B185" s="1">
        <v>45253</v>
      </c>
      <c r="C185" t="s">
        <v>30</v>
      </c>
      <c r="D185" t="s">
        <v>56</v>
      </c>
      <c r="E185" t="s">
        <v>67</v>
      </c>
      <c r="F185" t="s">
        <v>97</v>
      </c>
      <c r="G185" t="s">
        <v>44</v>
      </c>
      <c r="H185" t="s">
        <v>138</v>
      </c>
      <c r="I185" t="s">
        <v>722</v>
      </c>
      <c r="J185">
        <v>3</v>
      </c>
      <c r="K185">
        <v>1743</v>
      </c>
      <c r="L185">
        <v>0.22</v>
      </c>
      <c r="M185">
        <v>1359.54</v>
      </c>
      <c r="N185">
        <v>4078.62</v>
      </c>
      <c r="O185">
        <v>0.35</v>
      </c>
      <c r="P185">
        <v>1427.52</v>
      </c>
      <c r="Q185" t="s">
        <v>37</v>
      </c>
      <c r="R185" t="s">
        <v>48</v>
      </c>
      <c r="S185">
        <v>2</v>
      </c>
      <c r="T185">
        <f>YEAR(Sales_Data_1[[#This Row],[Order_Date]])</f>
        <v>2023</v>
      </c>
      <c r="U185" t="str">
        <f>TEXT(Sales_Data_1[[#This Row],[Order_Date]], "mmm")</f>
        <v>Nov</v>
      </c>
      <c r="V185">
        <f>MONTH(Sales_Data_1[[#This Row],[Order_Date]])</f>
        <v>11</v>
      </c>
      <c r="W185" t="str">
        <f>TEXT(Sales_Data_1[[#This Row],[Order_Date]], "yyyy-mm")</f>
        <v>2023-11</v>
      </c>
      <c r="X185">
        <f>Sales_Data_1[[#This Row],[Sales]]-Sales_Data_1[[#This Row],[Profit_Amount]]</f>
        <v>2651.1</v>
      </c>
      <c r="Y185" t="str" cm="1">
        <f t="array" ref="Y185">_xlfn.IFS(Sales_Data_1[[#This Row],[Delivery_Days]]&lt;=3, "Fast", Sales_Data_1[[#This Row],[Delivery_Days]]&lt;= 7, "Standard", TRUE, "Delayed")</f>
        <v>Fast</v>
      </c>
      <c r="Z185" t="str" cm="1">
        <f t="array" ref="Z185">_xlfn.IFS(Sales_Data_1[[#This Row],[Profit_Amount]]&gt; 0, "Profitable", Sales_Data_1[[#This Row],[Profit_Amount]] = 0, "Break-Even", TRUE, "Loss")</f>
        <v>Profitable</v>
      </c>
      <c r="AA185" t="str" cm="1">
        <f t="array" ref="AA185">_xlfn.IFS(Sales_Data_1[[#This Row],[Sales]]&gt;= 1000, "High Value", Sales_Data_1[[#This Row],[Sales]]&gt;= 300, "Mid Value", TRUE, "Low Value")</f>
        <v>High Value</v>
      </c>
    </row>
    <row r="186" spans="1:27" x14ac:dyDescent="0.3">
      <c r="A186" t="s">
        <v>2239</v>
      </c>
      <c r="B186" s="1">
        <v>45125</v>
      </c>
      <c r="C186" t="s">
        <v>40</v>
      </c>
      <c r="D186" t="s">
        <v>21</v>
      </c>
      <c r="E186" t="s">
        <v>2040</v>
      </c>
      <c r="F186" t="s">
        <v>103</v>
      </c>
      <c r="G186" t="s">
        <v>34</v>
      </c>
      <c r="H186" t="s">
        <v>104</v>
      </c>
      <c r="I186" t="s">
        <v>468</v>
      </c>
      <c r="J186">
        <v>3</v>
      </c>
      <c r="K186">
        <v>1368</v>
      </c>
      <c r="L186">
        <v>0.13</v>
      </c>
      <c r="M186">
        <v>1190.1600000000001</v>
      </c>
      <c r="N186">
        <v>3570.48</v>
      </c>
      <c r="O186">
        <v>0.4</v>
      </c>
      <c r="P186">
        <v>1428.19</v>
      </c>
      <c r="Q186" t="s">
        <v>37</v>
      </c>
      <c r="R186" t="s">
        <v>48</v>
      </c>
      <c r="S186">
        <v>5</v>
      </c>
      <c r="T186">
        <f>YEAR(Sales_Data_1[[#This Row],[Order_Date]])</f>
        <v>2023</v>
      </c>
      <c r="U186" t="str">
        <f>TEXT(Sales_Data_1[[#This Row],[Order_Date]], "mmm")</f>
        <v>Jul</v>
      </c>
      <c r="V186">
        <f>MONTH(Sales_Data_1[[#This Row],[Order_Date]])</f>
        <v>7</v>
      </c>
      <c r="W186" t="str">
        <f>TEXT(Sales_Data_1[[#This Row],[Order_Date]], "yyyy-mm")</f>
        <v>2023-07</v>
      </c>
      <c r="X186">
        <f>Sales_Data_1[[#This Row],[Sales]]-Sales_Data_1[[#This Row],[Profit_Amount]]</f>
        <v>2142.29</v>
      </c>
      <c r="Y186" t="str" cm="1">
        <f t="array" ref="Y186">_xlfn.IFS(Sales_Data_1[[#This Row],[Delivery_Days]]&lt;=3, "Fast", Sales_Data_1[[#This Row],[Delivery_Days]]&lt;= 7, "Standard", TRUE, "Delayed")</f>
        <v>Standard</v>
      </c>
      <c r="Z186" t="str" cm="1">
        <f t="array" ref="Z186">_xlfn.IFS(Sales_Data_1[[#This Row],[Profit_Amount]]&gt; 0, "Profitable", Sales_Data_1[[#This Row],[Profit_Amount]] = 0, "Break-Even", TRUE, "Loss")</f>
        <v>Profitable</v>
      </c>
      <c r="AA186" t="str" cm="1">
        <f t="array" ref="AA186">_xlfn.IFS(Sales_Data_1[[#This Row],[Sales]]&gt;= 1000, "High Value", Sales_Data_1[[#This Row],[Sales]]&gt;= 300, "Mid Value", TRUE, "Low Value")</f>
        <v>High Value</v>
      </c>
    </row>
    <row r="187" spans="1:27" x14ac:dyDescent="0.3">
      <c r="A187" t="s">
        <v>2319</v>
      </c>
      <c r="B187" s="1">
        <v>45205</v>
      </c>
      <c r="C187" t="s">
        <v>20</v>
      </c>
      <c r="D187" t="s">
        <v>41</v>
      </c>
      <c r="E187" t="s">
        <v>2040</v>
      </c>
      <c r="F187" t="s">
        <v>97</v>
      </c>
      <c r="G187" t="s">
        <v>44</v>
      </c>
      <c r="H187" t="s">
        <v>138</v>
      </c>
      <c r="I187" t="s">
        <v>628</v>
      </c>
      <c r="J187">
        <v>1</v>
      </c>
      <c r="K187">
        <v>4931</v>
      </c>
      <c r="L187">
        <v>0.17</v>
      </c>
      <c r="M187">
        <v>4092.73</v>
      </c>
      <c r="N187">
        <v>4092.73</v>
      </c>
      <c r="O187">
        <v>0.35</v>
      </c>
      <c r="P187">
        <v>1432.46</v>
      </c>
      <c r="Q187" t="s">
        <v>47</v>
      </c>
      <c r="R187" t="s">
        <v>48</v>
      </c>
      <c r="S187">
        <v>4</v>
      </c>
      <c r="T187">
        <f>YEAR(Sales_Data_1[[#This Row],[Order_Date]])</f>
        <v>2023</v>
      </c>
      <c r="U187" t="str">
        <f>TEXT(Sales_Data_1[[#This Row],[Order_Date]], "mmm")</f>
        <v>Oct</v>
      </c>
      <c r="V187">
        <f>MONTH(Sales_Data_1[[#This Row],[Order_Date]])</f>
        <v>10</v>
      </c>
      <c r="W187" t="str">
        <f>TEXT(Sales_Data_1[[#This Row],[Order_Date]], "yyyy-mm")</f>
        <v>2023-10</v>
      </c>
      <c r="X187">
        <f>Sales_Data_1[[#This Row],[Sales]]-Sales_Data_1[[#This Row],[Profit_Amount]]</f>
        <v>2660.27</v>
      </c>
      <c r="Y187" t="str" cm="1">
        <f t="array" ref="Y187">_xlfn.IFS(Sales_Data_1[[#This Row],[Delivery_Days]]&lt;=3, "Fast", Sales_Data_1[[#This Row],[Delivery_Days]]&lt;= 7, "Standard", TRUE, "Delayed")</f>
        <v>Standard</v>
      </c>
      <c r="Z187" t="str" cm="1">
        <f t="array" ref="Z187">_xlfn.IFS(Sales_Data_1[[#This Row],[Profit_Amount]]&gt; 0, "Profitable", Sales_Data_1[[#This Row],[Profit_Amount]] = 0, "Break-Even", TRUE, "Loss")</f>
        <v>Profitable</v>
      </c>
      <c r="AA187" t="str" cm="1">
        <f t="array" ref="AA187">_xlfn.IFS(Sales_Data_1[[#This Row],[Sales]]&gt;= 1000, "High Value", Sales_Data_1[[#This Row],[Sales]]&gt;= 300, "Mid Value", TRUE, "Low Value")</f>
        <v>High Value</v>
      </c>
    </row>
    <row r="188" spans="1:27" x14ac:dyDescent="0.3">
      <c r="A188" t="s">
        <v>2548</v>
      </c>
      <c r="B188" s="1">
        <v>45434</v>
      </c>
      <c r="C188" t="s">
        <v>30</v>
      </c>
      <c r="D188" t="s">
        <v>21</v>
      </c>
      <c r="E188" t="s">
        <v>2042</v>
      </c>
      <c r="F188" t="s">
        <v>68</v>
      </c>
      <c r="G188" t="s">
        <v>24</v>
      </c>
      <c r="H188" t="s">
        <v>186</v>
      </c>
      <c r="I188" t="s">
        <v>1079</v>
      </c>
      <c r="J188">
        <v>1</v>
      </c>
      <c r="K188">
        <v>6777</v>
      </c>
      <c r="L188">
        <v>0.15</v>
      </c>
      <c r="M188">
        <v>5760.45</v>
      </c>
      <c r="N188">
        <v>5760.45</v>
      </c>
      <c r="O188">
        <v>0.25</v>
      </c>
      <c r="P188">
        <v>1440.11</v>
      </c>
      <c r="Q188" t="s">
        <v>37</v>
      </c>
      <c r="R188" t="s">
        <v>48</v>
      </c>
      <c r="S188">
        <v>6</v>
      </c>
      <c r="T188">
        <f>YEAR(Sales_Data_1[[#This Row],[Order_Date]])</f>
        <v>2024</v>
      </c>
      <c r="U188" t="str">
        <f>TEXT(Sales_Data_1[[#This Row],[Order_Date]], "mmm")</f>
        <v>May</v>
      </c>
      <c r="V188">
        <f>MONTH(Sales_Data_1[[#This Row],[Order_Date]])</f>
        <v>5</v>
      </c>
      <c r="W188" t="str">
        <f>TEXT(Sales_Data_1[[#This Row],[Order_Date]], "yyyy-mm")</f>
        <v>2024-05</v>
      </c>
      <c r="X188">
        <f>Sales_Data_1[[#This Row],[Sales]]-Sales_Data_1[[#This Row],[Profit_Amount]]</f>
        <v>4320.34</v>
      </c>
      <c r="Y188" t="str" cm="1">
        <f t="array" ref="Y188">_xlfn.IFS(Sales_Data_1[[#This Row],[Delivery_Days]]&lt;=3, "Fast", Sales_Data_1[[#This Row],[Delivery_Days]]&lt;= 7, "Standard", TRUE, "Delayed")</f>
        <v>Standard</v>
      </c>
      <c r="Z188" t="str" cm="1">
        <f t="array" ref="Z188">_xlfn.IFS(Sales_Data_1[[#This Row],[Profit_Amount]]&gt; 0, "Profitable", Sales_Data_1[[#This Row],[Profit_Amount]] = 0, "Break-Even", TRUE, "Loss")</f>
        <v>Profitable</v>
      </c>
      <c r="AA188" t="str" cm="1">
        <f t="array" ref="AA188">_xlfn.IFS(Sales_Data_1[[#This Row],[Sales]]&gt;= 1000, "High Value", Sales_Data_1[[#This Row],[Sales]]&gt;= 300, "Mid Value", TRUE, "Low Value")</f>
        <v>High Value</v>
      </c>
    </row>
    <row r="189" spans="1:27" x14ac:dyDescent="0.3">
      <c r="A189" t="s">
        <v>2654</v>
      </c>
      <c r="B189" s="1">
        <v>45540</v>
      </c>
      <c r="C189" t="s">
        <v>55</v>
      </c>
      <c r="D189" t="s">
        <v>31</v>
      </c>
      <c r="E189" t="s">
        <v>2042</v>
      </c>
      <c r="F189" t="s">
        <v>103</v>
      </c>
      <c r="G189" t="s">
        <v>44</v>
      </c>
      <c r="H189" t="s">
        <v>64</v>
      </c>
      <c r="I189" t="s">
        <v>1288</v>
      </c>
      <c r="J189">
        <v>7</v>
      </c>
      <c r="K189">
        <v>741</v>
      </c>
      <c r="L189">
        <v>0.19</v>
      </c>
      <c r="M189">
        <v>600.21</v>
      </c>
      <c r="N189">
        <v>4201.47</v>
      </c>
      <c r="O189">
        <v>0.35</v>
      </c>
      <c r="P189">
        <v>1470.51</v>
      </c>
      <c r="Q189" t="s">
        <v>51</v>
      </c>
      <c r="R189" t="s">
        <v>38</v>
      </c>
      <c r="S189">
        <v>7</v>
      </c>
      <c r="T189">
        <f>YEAR(Sales_Data_1[[#This Row],[Order_Date]])</f>
        <v>2024</v>
      </c>
      <c r="U189" t="str">
        <f>TEXT(Sales_Data_1[[#This Row],[Order_Date]], "mmm")</f>
        <v>Sep</v>
      </c>
      <c r="V189">
        <f>MONTH(Sales_Data_1[[#This Row],[Order_Date]])</f>
        <v>9</v>
      </c>
      <c r="W189" t="str">
        <f>TEXT(Sales_Data_1[[#This Row],[Order_Date]], "yyyy-mm")</f>
        <v>2024-09</v>
      </c>
      <c r="X189">
        <f>Sales_Data_1[[#This Row],[Sales]]-Sales_Data_1[[#This Row],[Profit_Amount]]</f>
        <v>2730.96</v>
      </c>
      <c r="Y189" t="str" cm="1">
        <f t="array" ref="Y189">_xlfn.IFS(Sales_Data_1[[#This Row],[Delivery_Days]]&lt;=3, "Fast", Sales_Data_1[[#This Row],[Delivery_Days]]&lt;= 7, "Standard", TRUE, "Delayed")</f>
        <v>Standard</v>
      </c>
      <c r="Z189" t="str" cm="1">
        <f t="array" ref="Z189">_xlfn.IFS(Sales_Data_1[[#This Row],[Profit_Amount]]&gt; 0, "Profitable", Sales_Data_1[[#This Row],[Profit_Amount]] = 0, "Break-Even", TRUE, "Loss")</f>
        <v>Profitable</v>
      </c>
      <c r="AA189" t="str" cm="1">
        <f t="array" ref="AA189">_xlfn.IFS(Sales_Data_1[[#This Row],[Sales]]&gt;= 1000, "High Value", Sales_Data_1[[#This Row],[Sales]]&gt;= 300, "Mid Value", TRUE, "Low Value")</f>
        <v>High Value</v>
      </c>
    </row>
    <row r="190" spans="1:27" x14ac:dyDescent="0.3">
      <c r="A190" t="s">
        <v>2169</v>
      </c>
      <c r="B190" s="1">
        <v>45055</v>
      </c>
      <c r="C190" t="s">
        <v>20</v>
      </c>
      <c r="D190" t="s">
        <v>56</v>
      </c>
      <c r="E190" t="s">
        <v>67</v>
      </c>
      <c r="F190" t="s">
        <v>97</v>
      </c>
      <c r="G190" t="s">
        <v>34</v>
      </c>
      <c r="H190" t="s">
        <v>141</v>
      </c>
      <c r="I190" t="s">
        <v>328</v>
      </c>
      <c r="J190">
        <v>4</v>
      </c>
      <c r="K190">
        <v>1171</v>
      </c>
      <c r="L190">
        <v>0.21</v>
      </c>
      <c r="M190">
        <v>925.09</v>
      </c>
      <c r="N190">
        <v>3700.36</v>
      </c>
      <c r="O190">
        <v>0.4</v>
      </c>
      <c r="P190">
        <v>1480.14</v>
      </c>
      <c r="Q190" t="s">
        <v>37</v>
      </c>
      <c r="R190" t="s">
        <v>48</v>
      </c>
      <c r="S190">
        <v>7</v>
      </c>
      <c r="T190">
        <f>YEAR(Sales_Data_1[[#This Row],[Order_Date]])</f>
        <v>2023</v>
      </c>
      <c r="U190" t="str">
        <f>TEXT(Sales_Data_1[[#This Row],[Order_Date]], "mmm")</f>
        <v>May</v>
      </c>
      <c r="V190">
        <f>MONTH(Sales_Data_1[[#This Row],[Order_Date]])</f>
        <v>5</v>
      </c>
      <c r="W190" t="str">
        <f>TEXT(Sales_Data_1[[#This Row],[Order_Date]], "yyyy-mm")</f>
        <v>2023-05</v>
      </c>
      <c r="X190">
        <f>Sales_Data_1[[#This Row],[Sales]]-Sales_Data_1[[#This Row],[Profit_Amount]]</f>
        <v>2220.2200000000003</v>
      </c>
      <c r="Y190" t="str" cm="1">
        <f t="array" ref="Y190">_xlfn.IFS(Sales_Data_1[[#This Row],[Delivery_Days]]&lt;=3, "Fast", Sales_Data_1[[#This Row],[Delivery_Days]]&lt;= 7, "Standard", TRUE, "Delayed")</f>
        <v>Standard</v>
      </c>
      <c r="Z190" t="str" cm="1">
        <f t="array" ref="Z190">_xlfn.IFS(Sales_Data_1[[#This Row],[Profit_Amount]]&gt; 0, "Profitable", Sales_Data_1[[#This Row],[Profit_Amount]] = 0, "Break-Even", TRUE, "Loss")</f>
        <v>Profitable</v>
      </c>
      <c r="AA190" t="str" cm="1">
        <f t="array" ref="AA190">_xlfn.IFS(Sales_Data_1[[#This Row],[Sales]]&gt;= 1000, "High Value", Sales_Data_1[[#This Row],[Sales]]&gt;= 300, "Mid Value", TRUE, "Low Value")</f>
        <v>High Value</v>
      </c>
    </row>
    <row r="191" spans="1:27" x14ac:dyDescent="0.3">
      <c r="A191" t="s">
        <v>2329</v>
      </c>
      <c r="B191" s="1">
        <v>45215</v>
      </c>
      <c r="C191" t="s">
        <v>96</v>
      </c>
      <c r="D191" t="s">
        <v>31</v>
      </c>
      <c r="E191" t="s">
        <v>2042</v>
      </c>
      <c r="F191" t="s">
        <v>23</v>
      </c>
      <c r="G191" t="s">
        <v>44</v>
      </c>
      <c r="H191" t="s">
        <v>116</v>
      </c>
      <c r="I191" t="s">
        <v>648</v>
      </c>
      <c r="J191">
        <v>3</v>
      </c>
      <c r="K191">
        <v>1463</v>
      </c>
      <c r="L191">
        <v>0.03</v>
      </c>
      <c r="M191">
        <v>1419.11</v>
      </c>
      <c r="N191">
        <v>4257.33</v>
      </c>
      <c r="O191">
        <v>0.35</v>
      </c>
      <c r="P191">
        <v>1490.07</v>
      </c>
      <c r="Q191" t="s">
        <v>27</v>
      </c>
      <c r="R191" t="s">
        <v>48</v>
      </c>
      <c r="S191">
        <v>5</v>
      </c>
      <c r="T191">
        <f>YEAR(Sales_Data_1[[#This Row],[Order_Date]])</f>
        <v>2023</v>
      </c>
      <c r="U191" t="str">
        <f>TEXT(Sales_Data_1[[#This Row],[Order_Date]], "mmm")</f>
        <v>Oct</v>
      </c>
      <c r="V191">
        <f>MONTH(Sales_Data_1[[#This Row],[Order_Date]])</f>
        <v>10</v>
      </c>
      <c r="W191" t="str">
        <f>TEXT(Sales_Data_1[[#This Row],[Order_Date]], "yyyy-mm")</f>
        <v>2023-10</v>
      </c>
      <c r="X191">
        <f>Sales_Data_1[[#This Row],[Sales]]-Sales_Data_1[[#This Row],[Profit_Amount]]</f>
        <v>2767.26</v>
      </c>
      <c r="Y191" t="str" cm="1">
        <f t="array" ref="Y191">_xlfn.IFS(Sales_Data_1[[#This Row],[Delivery_Days]]&lt;=3, "Fast", Sales_Data_1[[#This Row],[Delivery_Days]]&lt;= 7, "Standard", TRUE, "Delayed")</f>
        <v>Standard</v>
      </c>
      <c r="Z191" t="str" cm="1">
        <f t="array" ref="Z191">_xlfn.IFS(Sales_Data_1[[#This Row],[Profit_Amount]]&gt; 0, "Profitable", Sales_Data_1[[#This Row],[Profit_Amount]] = 0, "Break-Even", TRUE, "Loss")</f>
        <v>Profitable</v>
      </c>
      <c r="AA191" t="str" cm="1">
        <f t="array" ref="AA191">_xlfn.IFS(Sales_Data_1[[#This Row],[Sales]]&gt;= 1000, "High Value", Sales_Data_1[[#This Row],[Sales]]&gt;= 300, "Mid Value", TRUE, "Low Value")</f>
        <v>High Value</v>
      </c>
    </row>
    <row r="192" spans="1:27" x14ac:dyDescent="0.3">
      <c r="A192" t="s">
        <v>2442</v>
      </c>
      <c r="B192" s="1">
        <v>45328</v>
      </c>
      <c r="C192" t="s">
        <v>55</v>
      </c>
      <c r="D192" t="s">
        <v>56</v>
      </c>
      <c r="E192" t="s">
        <v>42</v>
      </c>
      <c r="F192" t="s">
        <v>103</v>
      </c>
      <c r="G192" t="s">
        <v>34</v>
      </c>
      <c r="H192" t="s">
        <v>104</v>
      </c>
      <c r="I192" t="s">
        <v>870</v>
      </c>
      <c r="J192">
        <v>7</v>
      </c>
      <c r="K192">
        <v>580</v>
      </c>
      <c r="L192">
        <v>0.08</v>
      </c>
      <c r="M192">
        <v>533.6</v>
      </c>
      <c r="N192">
        <v>3735.2</v>
      </c>
      <c r="O192">
        <v>0.4</v>
      </c>
      <c r="P192">
        <v>1494.08</v>
      </c>
      <c r="Q192" t="s">
        <v>47</v>
      </c>
      <c r="R192" t="s">
        <v>38</v>
      </c>
      <c r="S192">
        <v>1</v>
      </c>
      <c r="T192">
        <f>YEAR(Sales_Data_1[[#This Row],[Order_Date]])</f>
        <v>2024</v>
      </c>
      <c r="U192" t="str">
        <f>TEXT(Sales_Data_1[[#This Row],[Order_Date]], "mmm")</f>
        <v>Feb</v>
      </c>
      <c r="V192">
        <f>MONTH(Sales_Data_1[[#This Row],[Order_Date]])</f>
        <v>2</v>
      </c>
      <c r="W192" t="str">
        <f>TEXT(Sales_Data_1[[#This Row],[Order_Date]], "yyyy-mm")</f>
        <v>2024-02</v>
      </c>
      <c r="X192">
        <f>Sales_Data_1[[#This Row],[Sales]]-Sales_Data_1[[#This Row],[Profit_Amount]]</f>
        <v>2241.12</v>
      </c>
      <c r="Y192" t="str" cm="1">
        <f t="array" ref="Y192">_xlfn.IFS(Sales_Data_1[[#This Row],[Delivery_Days]]&lt;=3, "Fast", Sales_Data_1[[#This Row],[Delivery_Days]]&lt;= 7, "Standard", TRUE, "Delayed")</f>
        <v>Fast</v>
      </c>
      <c r="Z192" t="str" cm="1">
        <f t="array" ref="Z192">_xlfn.IFS(Sales_Data_1[[#This Row],[Profit_Amount]]&gt; 0, "Profitable", Sales_Data_1[[#This Row],[Profit_Amount]] = 0, "Break-Even", TRUE, "Loss")</f>
        <v>Profitable</v>
      </c>
      <c r="AA192" t="str" cm="1">
        <f t="array" ref="AA192">_xlfn.IFS(Sales_Data_1[[#This Row],[Sales]]&gt;= 1000, "High Value", Sales_Data_1[[#This Row],[Sales]]&gt;= 300, "Mid Value", TRUE, "Low Value")</f>
        <v>High Value</v>
      </c>
    </row>
    <row r="193" spans="1:27" x14ac:dyDescent="0.3">
      <c r="A193" t="s">
        <v>2098</v>
      </c>
      <c r="B193" s="1">
        <v>44984</v>
      </c>
      <c r="C193" t="s">
        <v>40</v>
      </c>
      <c r="D193" t="s">
        <v>56</v>
      </c>
      <c r="E193" t="s">
        <v>42</v>
      </c>
      <c r="F193" t="s">
        <v>103</v>
      </c>
      <c r="G193" t="s">
        <v>57</v>
      </c>
      <c r="H193" t="s">
        <v>183</v>
      </c>
      <c r="I193" t="s">
        <v>184</v>
      </c>
      <c r="J193">
        <v>1</v>
      </c>
      <c r="K193">
        <v>9005</v>
      </c>
      <c r="L193">
        <v>0.17</v>
      </c>
      <c r="M193">
        <v>7474.15</v>
      </c>
      <c r="N193">
        <v>7474.15</v>
      </c>
      <c r="O193">
        <v>0.2</v>
      </c>
      <c r="P193">
        <v>1494.83</v>
      </c>
      <c r="Q193" t="s">
        <v>27</v>
      </c>
      <c r="R193" t="s">
        <v>38</v>
      </c>
      <c r="S193">
        <v>6</v>
      </c>
      <c r="T193">
        <f>YEAR(Sales_Data_1[[#This Row],[Order_Date]])</f>
        <v>2023</v>
      </c>
      <c r="U193" t="str">
        <f>TEXT(Sales_Data_1[[#This Row],[Order_Date]], "mmm")</f>
        <v>Feb</v>
      </c>
      <c r="V193">
        <f>MONTH(Sales_Data_1[[#This Row],[Order_Date]])</f>
        <v>2</v>
      </c>
      <c r="W193" t="str">
        <f>TEXT(Sales_Data_1[[#This Row],[Order_Date]], "yyyy-mm")</f>
        <v>2023-02</v>
      </c>
      <c r="X193">
        <f>Sales_Data_1[[#This Row],[Sales]]-Sales_Data_1[[#This Row],[Profit_Amount]]</f>
        <v>5979.32</v>
      </c>
      <c r="Y193" t="str" cm="1">
        <f t="array" ref="Y193">_xlfn.IFS(Sales_Data_1[[#This Row],[Delivery_Days]]&lt;=3, "Fast", Sales_Data_1[[#This Row],[Delivery_Days]]&lt;= 7, "Standard", TRUE, "Delayed")</f>
        <v>Standard</v>
      </c>
      <c r="Z193" t="str" cm="1">
        <f t="array" ref="Z193">_xlfn.IFS(Sales_Data_1[[#This Row],[Profit_Amount]]&gt; 0, "Profitable", Sales_Data_1[[#This Row],[Profit_Amount]] = 0, "Break-Even", TRUE, "Loss")</f>
        <v>Profitable</v>
      </c>
      <c r="AA193" t="str" cm="1">
        <f t="array" ref="AA193">_xlfn.IFS(Sales_Data_1[[#This Row],[Sales]]&gt;= 1000, "High Value", Sales_Data_1[[#This Row],[Sales]]&gt;= 300, "Mid Value", TRUE, "Low Value")</f>
        <v>High Value</v>
      </c>
    </row>
    <row r="194" spans="1:27" x14ac:dyDescent="0.3">
      <c r="A194" t="s">
        <v>2134</v>
      </c>
      <c r="B194" s="1">
        <v>45020</v>
      </c>
      <c r="C194" t="s">
        <v>55</v>
      </c>
      <c r="D194" t="s">
        <v>41</v>
      </c>
      <c r="E194" t="s">
        <v>67</v>
      </c>
      <c r="F194" t="s">
        <v>103</v>
      </c>
      <c r="G194" t="s">
        <v>44</v>
      </c>
      <c r="H194" t="s">
        <v>64</v>
      </c>
      <c r="I194" t="s">
        <v>258</v>
      </c>
      <c r="J194">
        <v>5</v>
      </c>
      <c r="K194">
        <v>874</v>
      </c>
      <c r="L194">
        <v>0.02</v>
      </c>
      <c r="M194">
        <v>856.52</v>
      </c>
      <c r="N194">
        <v>4282.6000000000004</v>
      </c>
      <c r="O194">
        <v>0.35</v>
      </c>
      <c r="P194">
        <v>1498.91</v>
      </c>
      <c r="Q194" t="s">
        <v>37</v>
      </c>
      <c r="R194" t="s">
        <v>48</v>
      </c>
      <c r="S194">
        <v>1</v>
      </c>
      <c r="T194">
        <f>YEAR(Sales_Data_1[[#This Row],[Order_Date]])</f>
        <v>2023</v>
      </c>
      <c r="U194" t="str">
        <f>TEXT(Sales_Data_1[[#This Row],[Order_Date]], "mmm")</f>
        <v>Apr</v>
      </c>
      <c r="V194">
        <f>MONTH(Sales_Data_1[[#This Row],[Order_Date]])</f>
        <v>4</v>
      </c>
      <c r="W194" t="str">
        <f>TEXT(Sales_Data_1[[#This Row],[Order_Date]], "yyyy-mm")</f>
        <v>2023-04</v>
      </c>
      <c r="X194">
        <f>Sales_Data_1[[#This Row],[Sales]]-Sales_Data_1[[#This Row],[Profit_Amount]]</f>
        <v>2783.6900000000005</v>
      </c>
      <c r="Y194" t="str" cm="1">
        <f t="array" ref="Y194">_xlfn.IFS(Sales_Data_1[[#This Row],[Delivery_Days]]&lt;=3, "Fast", Sales_Data_1[[#This Row],[Delivery_Days]]&lt;= 7, "Standard", TRUE, "Delayed")</f>
        <v>Fast</v>
      </c>
      <c r="Z194" t="str" cm="1">
        <f t="array" ref="Z194">_xlfn.IFS(Sales_Data_1[[#This Row],[Profit_Amount]]&gt; 0, "Profitable", Sales_Data_1[[#This Row],[Profit_Amount]] = 0, "Break-Even", TRUE, "Loss")</f>
        <v>Profitable</v>
      </c>
      <c r="AA194" t="str" cm="1">
        <f t="array" ref="AA194">_xlfn.IFS(Sales_Data_1[[#This Row],[Sales]]&gt;= 1000, "High Value", Sales_Data_1[[#This Row],[Sales]]&gt;= 300, "Mid Value", TRUE, "Low Value")</f>
        <v>High Value</v>
      </c>
    </row>
    <row r="195" spans="1:27" x14ac:dyDescent="0.3">
      <c r="A195" t="s">
        <v>2705</v>
      </c>
      <c r="B195" s="1">
        <v>45591</v>
      </c>
      <c r="C195" t="s">
        <v>96</v>
      </c>
      <c r="D195" t="s">
        <v>21</v>
      </c>
      <c r="E195" t="s">
        <v>2040</v>
      </c>
      <c r="F195" t="s">
        <v>97</v>
      </c>
      <c r="G195" t="s">
        <v>44</v>
      </c>
      <c r="H195" t="s">
        <v>138</v>
      </c>
      <c r="I195" t="s">
        <v>139</v>
      </c>
      <c r="J195">
        <v>6</v>
      </c>
      <c r="K195">
        <v>869</v>
      </c>
      <c r="L195">
        <v>0.16</v>
      </c>
      <c r="M195">
        <v>729.96</v>
      </c>
      <c r="N195">
        <v>4379.76</v>
      </c>
      <c r="O195">
        <v>0.35</v>
      </c>
      <c r="P195">
        <v>1532.92</v>
      </c>
      <c r="Q195" t="s">
        <v>51</v>
      </c>
      <c r="R195" t="s">
        <v>48</v>
      </c>
      <c r="S195">
        <v>6</v>
      </c>
      <c r="T195">
        <f>YEAR(Sales_Data_1[[#This Row],[Order_Date]])</f>
        <v>2024</v>
      </c>
      <c r="U195" t="str">
        <f>TEXT(Sales_Data_1[[#This Row],[Order_Date]], "mmm")</f>
        <v>Oct</v>
      </c>
      <c r="V195">
        <f>MONTH(Sales_Data_1[[#This Row],[Order_Date]])</f>
        <v>10</v>
      </c>
      <c r="W195" t="str">
        <f>TEXT(Sales_Data_1[[#This Row],[Order_Date]], "yyyy-mm")</f>
        <v>2024-10</v>
      </c>
      <c r="X195">
        <f>Sales_Data_1[[#This Row],[Sales]]-Sales_Data_1[[#This Row],[Profit_Amount]]</f>
        <v>2846.84</v>
      </c>
      <c r="Y195" t="str" cm="1">
        <f t="array" ref="Y195">_xlfn.IFS(Sales_Data_1[[#This Row],[Delivery_Days]]&lt;=3, "Fast", Sales_Data_1[[#This Row],[Delivery_Days]]&lt;= 7, "Standard", TRUE, "Delayed")</f>
        <v>Standard</v>
      </c>
      <c r="Z195" t="str" cm="1">
        <f t="array" ref="Z195">_xlfn.IFS(Sales_Data_1[[#This Row],[Profit_Amount]]&gt; 0, "Profitable", Sales_Data_1[[#This Row],[Profit_Amount]] = 0, "Break-Even", TRUE, "Loss")</f>
        <v>Profitable</v>
      </c>
      <c r="AA195" t="str" cm="1">
        <f t="array" ref="AA195">_xlfn.IFS(Sales_Data_1[[#This Row],[Sales]]&gt;= 1000, "High Value", Sales_Data_1[[#This Row],[Sales]]&gt;= 300, "Mid Value", TRUE, "Low Value")</f>
        <v>High Value</v>
      </c>
    </row>
    <row r="196" spans="1:27" x14ac:dyDescent="0.3">
      <c r="A196" t="s">
        <v>3007</v>
      </c>
      <c r="B196" s="1">
        <v>45893</v>
      </c>
      <c r="C196" t="s">
        <v>30</v>
      </c>
      <c r="D196" t="s">
        <v>31</v>
      </c>
      <c r="E196" t="s">
        <v>2042</v>
      </c>
      <c r="F196" t="s">
        <v>97</v>
      </c>
      <c r="G196" t="s">
        <v>92</v>
      </c>
      <c r="H196" t="s">
        <v>178</v>
      </c>
      <c r="I196" t="s">
        <v>1973</v>
      </c>
      <c r="J196">
        <v>1</v>
      </c>
      <c r="K196">
        <v>10781</v>
      </c>
      <c r="L196">
        <v>0.05</v>
      </c>
      <c r="M196">
        <v>10241.950000000001</v>
      </c>
      <c r="N196">
        <v>10241.950000000001</v>
      </c>
      <c r="O196">
        <v>0.15</v>
      </c>
      <c r="P196">
        <v>1536.29</v>
      </c>
      <c r="Q196" t="s">
        <v>27</v>
      </c>
      <c r="R196" t="s">
        <v>48</v>
      </c>
      <c r="S196">
        <v>5</v>
      </c>
      <c r="T196">
        <f>YEAR(Sales_Data_1[[#This Row],[Order_Date]])</f>
        <v>2025</v>
      </c>
      <c r="U196" t="str">
        <f>TEXT(Sales_Data_1[[#This Row],[Order_Date]], "mmm")</f>
        <v>Aug</v>
      </c>
      <c r="V196">
        <f>MONTH(Sales_Data_1[[#This Row],[Order_Date]])</f>
        <v>8</v>
      </c>
      <c r="W196" t="str">
        <f>TEXT(Sales_Data_1[[#This Row],[Order_Date]], "yyyy-mm")</f>
        <v>2025-08</v>
      </c>
      <c r="X196">
        <f>Sales_Data_1[[#This Row],[Sales]]-Sales_Data_1[[#This Row],[Profit_Amount]]</f>
        <v>8705.66</v>
      </c>
      <c r="Y196" t="str" cm="1">
        <f t="array" ref="Y196">_xlfn.IFS(Sales_Data_1[[#This Row],[Delivery_Days]]&lt;=3, "Fast", Sales_Data_1[[#This Row],[Delivery_Days]]&lt;= 7, "Standard", TRUE, "Delayed")</f>
        <v>Standard</v>
      </c>
      <c r="Z196" t="str" cm="1">
        <f t="array" ref="Z196">_xlfn.IFS(Sales_Data_1[[#This Row],[Profit_Amount]]&gt; 0, "Profitable", Sales_Data_1[[#This Row],[Profit_Amount]] = 0, "Break-Even", TRUE, "Loss")</f>
        <v>Profitable</v>
      </c>
      <c r="AA196" t="str" cm="1">
        <f t="array" ref="AA196">_xlfn.IFS(Sales_Data_1[[#This Row],[Sales]]&gt;= 1000, "High Value", Sales_Data_1[[#This Row],[Sales]]&gt;= 300, "Mid Value", TRUE, "Low Value")</f>
        <v>High Value</v>
      </c>
    </row>
    <row r="197" spans="1:27" x14ac:dyDescent="0.3">
      <c r="A197" t="s">
        <v>2201</v>
      </c>
      <c r="B197" s="1">
        <v>45087</v>
      </c>
      <c r="C197" t="s">
        <v>40</v>
      </c>
      <c r="D197" t="s">
        <v>56</v>
      </c>
      <c r="E197" t="s">
        <v>2042</v>
      </c>
      <c r="F197" t="s">
        <v>23</v>
      </c>
      <c r="G197" t="s">
        <v>44</v>
      </c>
      <c r="H197" t="s">
        <v>116</v>
      </c>
      <c r="I197" t="s">
        <v>392</v>
      </c>
      <c r="J197">
        <v>3</v>
      </c>
      <c r="K197">
        <v>1729</v>
      </c>
      <c r="L197">
        <v>0.15</v>
      </c>
      <c r="M197">
        <v>1469.65</v>
      </c>
      <c r="N197">
        <v>4408.95</v>
      </c>
      <c r="O197">
        <v>0.35</v>
      </c>
      <c r="P197">
        <v>1543.13</v>
      </c>
      <c r="Q197" t="s">
        <v>47</v>
      </c>
      <c r="R197" t="s">
        <v>48</v>
      </c>
      <c r="S197">
        <v>5</v>
      </c>
      <c r="T197">
        <f>YEAR(Sales_Data_1[[#This Row],[Order_Date]])</f>
        <v>2023</v>
      </c>
      <c r="U197" t="str">
        <f>TEXT(Sales_Data_1[[#This Row],[Order_Date]], "mmm")</f>
        <v>Jun</v>
      </c>
      <c r="V197">
        <f>MONTH(Sales_Data_1[[#This Row],[Order_Date]])</f>
        <v>6</v>
      </c>
      <c r="W197" t="str">
        <f>TEXT(Sales_Data_1[[#This Row],[Order_Date]], "yyyy-mm")</f>
        <v>2023-06</v>
      </c>
      <c r="X197">
        <f>Sales_Data_1[[#This Row],[Sales]]-Sales_Data_1[[#This Row],[Profit_Amount]]</f>
        <v>2865.8199999999997</v>
      </c>
      <c r="Y197" t="str" cm="1">
        <f t="array" ref="Y197">_xlfn.IFS(Sales_Data_1[[#This Row],[Delivery_Days]]&lt;=3, "Fast", Sales_Data_1[[#This Row],[Delivery_Days]]&lt;= 7, "Standard", TRUE, "Delayed")</f>
        <v>Standard</v>
      </c>
      <c r="Z197" t="str" cm="1">
        <f t="array" ref="Z197">_xlfn.IFS(Sales_Data_1[[#This Row],[Profit_Amount]]&gt; 0, "Profitable", Sales_Data_1[[#This Row],[Profit_Amount]] = 0, "Break-Even", TRUE, "Loss")</f>
        <v>Profitable</v>
      </c>
      <c r="AA197" t="str" cm="1">
        <f t="array" ref="AA197">_xlfn.IFS(Sales_Data_1[[#This Row],[Sales]]&gt;= 1000, "High Value", Sales_Data_1[[#This Row],[Sales]]&gt;= 300, "Mid Value", TRUE, "Low Value")</f>
        <v>High Value</v>
      </c>
    </row>
    <row r="198" spans="1:27" x14ac:dyDescent="0.3">
      <c r="A198" t="s">
        <v>2133</v>
      </c>
      <c r="B198" s="1">
        <v>45019</v>
      </c>
      <c r="C198" t="s">
        <v>30</v>
      </c>
      <c r="D198" t="s">
        <v>21</v>
      </c>
      <c r="E198" t="s">
        <v>42</v>
      </c>
      <c r="F198" t="s">
        <v>68</v>
      </c>
      <c r="G198" t="s">
        <v>44</v>
      </c>
      <c r="H198" t="s">
        <v>138</v>
      </c>
      <c r="I198" t="s">
        <v>256</v>
      </c>
      <c r="J198">
        <v>9</v>
      </c>
      <c r="K198">
        <v>501</v>
      </c>
      <c r="L198">
        <v>0.02</v>
      </c>
      <c r="M198">
        <v>490.98</v>
      </c>
      <c r="N198">
        <v>4418.82</v>
      </c>
      <c r="O198">
        <v>0.35</v>
      </c>
      <c r="P198">
        <v>1546.59</v>
      </c>
      <c r="Q198" t="s">
        <v>37</v>
      </c>
      <c r="R198" t="s">
        <v>48</v>
      </c>
      <c r="S198">
        <v>9</v>
      </c>
      <c r="T198">
        <f>YEAR(Sales_Data_1[[#This Row],[Order_Date]])</f>
        <v>2023</v>
      </c>
      <c r="U198" t="str">
        <f>TEXT(Sales_Data_1[[#This Row],[Order_Date]], "mmm")</f>
        <v>Apr</v>
      </c>
      <c r="V198">
        <f>MONTH(Sales_Data_1[[#This Row],[Order_Date]])</f>
        <v>4</v>
      </c>
      <c r="W198" t="str">
        <f>TEXT(Sales_Data_1[[#This Row],[Order_Date]], "yyyy-mm")</f>
        <v>2023-04</v>
      </c>
      <c r="X198">
        <f>Sales_Data_1[[#This Row],[Sales]]-Sales_Data_1[[#This Row],[Profit_Amount]]</f>
        <v>2872.2299999999996</v>
      </c>
      <c r="Y198" t="str" cm="1">
        <f t="array" ref="Y198">_xlfn.IFS(Sales_Data_1[[#This Row],[Delivery_Days]]&lt;=3, "Fast", Sales_Data_1[[#This Row],[Delivery_Days]]&lt;= 7, "Standard", TRUE, "Delayed")</f>
        <v>Delayed</v>
      </c>
      <c r="Z198" t="str" cm="1">
        <f t="array" ref="Z198">_xlfn.IFS(Sales_Data_1[[#This Row],[Profit_Amount]]&gt; 0, "Profitable", Sales_Data_1[[#This Row],[Profit_Amount]] = 0, "Break-Even", TRUE, "Loss")</f>
        <v>Profitable</v>
      </c>
      <c r="AA198" t="str" cm="1">
        <f t="array" ref="AA198">_xlfn.IFS(Sales_Data_1[[#This Row],[Sales]]&gt;= 1000, "High Value", Sales_Data_1[[#This Row],[Sales]]&gt;= 300, "Mid Value", TRUE, "Low Value")</f>
        <v>High Value</v>
      </c>
    </row>
    <row r="199" spans="1:27" x14ac:dyDescent="0.3">
      <c r="A199" t="s">
        <v>2060</v>
      </c>
      <c r="B199" s="1">
        <v>44946</v>
      </c>
      <c r="C199" t="s">
        <v>96</v>
      </c>
      <c r="D199" t="s">
        <v>31</v>
      </c>
      <c r="E199" t="s">
        <v>42</v>
      </c>
      <c r="F199" t="s">
        <v>97</v>
      </c>
      <c r="G199" t="s">
        <v>24</v>
      </c>
      <c r="H199" t="s">
        <v>74</v>
      </c>
      <c r="I199" t="s">
        <v>98</v>
      </c>
      <c r="J199">
        <v>6</v>
      </c>
      <c r="K199">
        <v>1207</v>
      </c>
      <c r="L199">
        <v>0.14000000000000001</v>
      </c>
      <c r="M199">
        <v>1038.02</v>
      </c>
      <c r="N199">
        <v>6228.12</v>
      </c>
      <c r="O199">
        <v>0.25</v>
      </c>
      <c r="P199">
        <v>1557.03</v>
      </c>
      <c r="Q199" t="s">
        <v>27</v>
      </c>
      <c r="R199" t="s">
        <v>48</v>
      </c>
      <c r="S199">
        <v>1</v>
      </c>
      <c r="T199">
        <f>YEAR(Sales_Data_1[[#This Row],[Order_Date]])</f>
        <v>2023</v>
      </c>
      <c r="U199" t="str">
        <f>TEXT(Sales_Data_1[[#This Row],[Order_Date]], "mmm")</f>
        <v>Jan</v>
      </c>
      <c r="V199">
        <f>MONTH(Sales_Data_1[[#This Row],[Order_Date]])</f>
        <v>1</v>
      </c>
      <c r="W199" t="str">
        <f>TEXT(Sales_Data_1[[#This Row],[Order_Date]], "yyyy-mm")</f>
        <v>2023-01</v>
      </c>
      <c r="X199">
        <f>Sales_Data_1[[#This Row],[Sales]]-Sales_Data_1[[#This Row],[Profit_Amount]]</f>
        <v>4671.09</v>
      </c>
      <c r="Y199" t="str" cm="1">
        <f t="array" ref="Y199">_xlfn.IFS(Sales_Data_1[[#This Row],[Delivery_Days]]&lt;=3, "Fast", Sales_Data_1[[#This Row],[Delivery_Days]]&lt;= 7, "Standard", TRUE, "Delayed")</f>
        <v>Fast</v>
      </c>
      <c r="Z199" t="str" cm="1">
        <f t="array" ref="Z199">_xlfn.IFS(Sales_Data_1[[#This Row],[Profit_Amount]]&gt; 0, "Profitable", Sales_Data_1[[#This Row],[Profit_Amount]] = 0, "Break-Even", TRUE, "Loss")</f>
        <v>Profitable</v>
      </c>
      <c r="AA199" t="str" cm="1">
        <f t="array" ref="AA199">_xlfn.IFS(Sales_Data_1[[#This Row],[Sales]]&gt;= 1000, "High Value", Sales_Data_1[[#This Row],[Sales]]&gt;= 300, "Mid Value", TRUE, "Low Value")</f>
        <v>High Value</v>
      </c>
    </row>
    <row r="200" spans="1:27" x14ac:dyDescent="0.3">
      <c r="A200" t="s">
        <v>2512</v>
      </c>
      <c r="B200" s="1">
        <v>45398</v>
      </c>
      <c r="C200" t="s">
        <v>30</v>
      </c>
      <c r="D200" t="s">
        <v>21</v>
      </c>
      <c r="E200" t="s">
        <v>2040</v>
      </c>
      <c r="F200" t="s">
        <v>23</v>
      </c>
      <c r="G200" t="s">
        <v>34</v>
      </c>
      <c r="H200" t="s">
        <v>35</v>
      </c>
      <c r="I200" t="s">
        <v>1009</v>
      </c>
      <c r="J200">
        <v>3</v>
      </c>
      <c r="K200">
        <v>1381</v>
      </c>
      <c r="L200">
        <v>0.06</v>
      </c>
      <c r="M200">
        <v>1298.1400000000001</v>
      </c>
      <c r="N200">
        <v>3894.42</v>
      </c>
      <c r="O200">
        <v>0.4</v>
      </c>
      <c r="P200">
        <v>1557.77</v>
      </c>
      <c r="Q200" t="s">
        <v>37</v>
      </c>
      <c r="R200" t="s">
        <v>48</v>
      </c>
      <c r="S200">
        <v>3</v>
      </c>
      <c r="T200">
        <f>YEAR(Sales_Data_1[[#This Row],[Order_Date]])</f>
        <v>2024</v>
      </c>
      <c r="U200" t="str">
        <f>TEXT(Sales_Data_1[[#This Row],[Order_Date]], "mmm")</f>
        <v>Apr</v>
      </c>
      <c r="V200">
        <f>MONTH(Sales_Data_1[[#This Row],[Order_Date]])</f>
        <v>4</v>
      </c>
      <c r="W200" t="str">
        <f>TEXT(Sales_Data_1[[#This Row],[Order_Date]], "yyyy-mm")</f>
        <v>2024-04</v>
      </c>
      <c r="X200">
        <f>Sales_Data_1[[#This Row],[Sales]]-Sales_Data_1[[#This Row],[Profit_Amount]]</f>
        <v>2336.65</v>
      </c>
      <c r="Y200" t="str" cm="1">
        <f t="array" ref="Y200">_xlfn.IFS(Sales_Data_1[[#This Row],[Delivery_Days]]&lt;=3, "Fast", Sales_Data_1[[#This Row],[Delivery_Days]]&lt;= 7, "Standard", TRUE, "Delayed")</f>
        <v>Fast</v>
      </c>
      <c r="Z200" t="str" cm="1">
        <f t="array" ref="Z200">_xlfn.IFS(Sales_Data_1[[#This Row],[Profit_Amount]]&gt; 0, "Profitable", Sales_Data_1[[#This Row],[Profit_Amount]] = 0, "Break-Even", TRUE, "Loss")</f>
        <v>Profitable</v>
      </c>
      <c r="AA200" t="str" cm="1">
        <f t="array" ref="AA200">_xlfn.IFS(Sales_Data_1[[#This Row],[Sales]]&gt;= 1000, "High Value", Sales_Data_1[[#This Row],[Sales]]&gt;= 300, "Mid Value", TRUE, "Low Value")</f>
        <v>High Value</v>
      </c>
    </row>
    <row r="201" spans="1:27" x14ac:dyDescent="0.3">
      <c r="A201" t="s">
        <v>2919</v>
      </c>
      <c r="B201" s="1">
        <v>45805</v>
      </c>
      <c r="C201" t="s">
        <v>55</v>
      </c>
      <c r="D201" t="s">
        <v>56</v>
      </c>
      <c r="E201" t="s">
        <v>2040</v>
      </c>
      <c r="F201" t="s">
        <v>43</v>
      </c>
      <c r="G201" t="s">
        <v>34</v>
      </c>
      <c r="H201" t="s">
        <v>35</v>
      </c>
      <c r="I201" t="s">
        <v>1807</v>
      </c>
      <c r="J201">
        <v>3</v>
      </c>
      <c r="K201">
        <v>1443</v>
      </c>
      <c r="L201">
        <v>0.1</v>
      </c>
      <c r="M201">
        <v>1298.7</v>
      </c>
      <c r="N201">
        <v>3896.1</v>
      </c>
      <c r="O201">
        <v>0.4</v>
      </c>
      <c r="P201">
        <v>1558.44</v>
      </c>
      <c r="Q201" t="s">
        <v>47</v>
      </c>
      <c r="R201" t="s">
        <v>48</v>
      </c>
      <c r="S201">
        <v>6</v>
      </c>
      <c r="T201">
        <f>YEAR(Sales_Data_1[[#This Row],[Order_Date]])</f>
        <v>2025</v>
      </c>
      <c r="U201" t="str">
        <f>TEXT(Sales_Data_1[[#This Row],[Order_Date]], "mmm")</f>
        <v>May</v>
      </c>
      <c r="V201">
        <f>MONTH(Sales_Data_1[[#This Row],[Order_Date]])</f>
        <v>5</v>
      </c>
      <c r="W201" t="str">
        <f>TEXT(Sales_Data_1[[#This Row],[Order_Date]], "yyyy-mm")</f>
        <v>2025-05</v>
      </c>
      <c r="X201">
        <f>Sales_Data_1[[#This Row],[Sales]]-Sales_Data_1[[#This Row],[Profit_Amount]]</f>
        <v>2337.66</v>
      </c>
      <c r="Y201" t="str" cm="1">
        <f t="array" ref="Y201">_xlfn.IFS(Sales_Data_1[[#This Row],[Delivery_Days]]&lt;=3, "Fast", Sales_Data_1[[#This Row],[Delivery_Days]]&lt;= 7, "Standard", TRUE, "Delayed")</f>
        <v>Standard</v>
      </c>
      <c r="Z201" t="str" cm="1">
        <f t="array" ref="Z201">_xlfn.IFS(Sales_Data_1[[#This Row],[Profit_Amount]]&gt; 0, "Profitable", Sales_Data_1[[#This Row],[Profit_Amount]] = 0, "Break-Even", TRUE, "Loss")</f>
        <v>Profitable</v>
      </c>
      <c r="AA201" t="str" cm="1">
        <f t="array" ref="AA201">_xlfn.IFS(Sales_Data_1[[#This Row],[Sales]]&gt;= 1000, "High Value", Sales_Data_1[[#This Row],[Sales]]&gt;= 300, "Mid Value", TRUE, "Low Value")</f>
        <v>High Value</v>
      </c>
    </row>
    <row r="202" spans="1:27" x14ac:dyDescent="0.3">
      <c r="A202" t="s">
        <v>2626</v>
      </c>
      <c r="B202" s="1">
        <v>45512</v>
      </c>
      <c r="C202" t="s">
        <v>40</v>
      </c>
      <c r="D202" t="s">
        <v>31</v>
      </c>
      <c r="E202" t="s">
        <v>2040</v>
      </c>
      <c r="F202" t="s">
        <v>33</v>
      </c>
      <c r="G202" t="s">
        <v>34</v>
      </c>
      <c r="H202" t="s">
        <v>35</v>
      </c>
      <c r="I202" t="s">
        <v>1234</v>
      </c>
      <c r="J202">
        <v>7</v>
      </c>
      <c r="K202">
        <v>696</v>
      </c>
      <c r="L202">
        <v>0.2</v>
      </c>
      <c r="M202">
        <v>556.79999999999995</v>
      </c>
      <c r="N202">
        <v>3897.6</v>
      </c>
      <c r="O202">
        <v>0.4</v>
      </c>
      <c r="P202">
        <v>1559.04</v>
      </c>
      <c r="Q202" t="s">
        <v>51</v>
      </c>
      <c r="R202" t="s">
        <v>48</v>
      </c>
      <c r="S202">
        <v>5</v>
      </c>
      <c r="T202">
        <f>YEAR(Sales_Data_1[[#This Row],[Order_Date]])</f>
        <v>2024</v>
      </c>
      <c r="U202" t="str">
        <f>TEXT(Sales_Data_1[[#This Row],[Order_Date]], "mmm")</f>
        <v>Aug</v>
      </c>
      <c r="V202">
        <f>MONTH(Sales_Data_1[[#This Row],[Order_Date]])</f>
        <v>8</v>
      </c>
      <c r="W202" t="str">
        <f>TEXT(Sales_Data_1[[#This Row],[Order_Date]], "yyyy-mm")</f>
        <v>2024-08</v>
      </c>
      <c r="X202">
        <f>Sales_Data_1[[#This Row],[Sales]]-Sales_Data_1[[#This Row],[Profit_Amount]]</f>
        <v>2338.56</v>
      </c>
      <c r="Y202" t="str" cm="1">
        <f t="array" ref="Y202">_xlfn.IFS(Sales_Data_1[[#This Row],[Delivery_Days]]&lt;=3, "Fast", Sales_Data_1[[#This Row],[Delivery_Days]]&lt;= 7, "Standard", TRUE, "Delayed")</f>
        <v>Standard</v>
      </c>
      <c r="Z202" t="str" cm="1">
        <f t="array" ref="Z202">_xlfn.IFS(Sales_Data_1[[#This Row],[Profit_Amount]]&gt; 0, "Profitable", Sales_Data_1[[#This Row],[Profit_Amount]] = 0, "Break-Even", TRUE, "Loss")</f>
        <v>Profitable</v>
      </c>
      <c r="AA202" t="str" cm="1">
        <f t="array" ref="AA202">_xlfn.IFS(Sales_Data_1[[#This Row],[Sales]]&gt;= 1000, "High Value", Sales_Data_1[[#This Row],[Sales]]&gt;= 300, "Mid Value", TRUE, "Low Value")</f>
        <v>High Value</v>
      </c>
    </row>
    <row r="203" spans="1:27" x14ac:dyDescent="0.3">
      <c r="A203" t="s">
        <v>2905</v>
      </c>
      <c r="B203" s="1">
        <v>45791</v>
      </c>
      <c r="C203" t="s">
        <v>63</v>
      </c>
      <c r="D203" t="s">
        <v>56</v>
      </c>
      <c r="E203" t="s">
        <v>42</v>
      </c>
      <c r="F203" t="s">
        <v>43</v>
      </c>
      <c r="G203" t="s">
        <v>44</v>
      </c>
      <c r="H203" t="s">
        <v>138</v>
      </c>
      <c r="I203" t="s">
        <v>1780</v>
      </c>
      <c r="J203">
        <v>4</v>
      </c>
      <c r="K203">
        <v>1185</v>
      </c>
      <c r="L203">
        <v>0.06</v>
      </c>
      <c r="M203">
        <v>1113.9000000000001</v>
      </c>
      <c r="N203">
        <v>4455.6000000000004</v>
      </c>
      <c r="O203">
        <v>0.35</v>
      </c>
      <c r="P203">
        <v>1559.46</v>
      </c>
      <c r="Q203" t="s">
        <v>27</v>
      </c>
      <c r="R203" t="s">
        <v>38</v>
      </c>
      <c r="S203">
        <v>2</v>
      </c>
      <c r="T203">
        <f>YEAR(Sales_Data_1[[#This Row],[Order_Date]])</f>
        <v>2025</v>
      </c>
      <c r="U203" t="str">
        <f>TEXT(Sales_Data_1[[#This Row],[Order_Date]], "mmm")</f>
        <v>May</v>
      </c>
      <c r="V203">
        <f>MONTH(Sales_Data_1[[#This Row],[Order_Date]])</f>
        <v>5</v>
      </c>
      <c r="W203" t="str">
        <f>TEXT(Sales_Data_1[[#This Row],[Order_Date]], "yyyy-mm")</f>
        <v>2025-05</v>
      </c>
      <c r="X203">
        <f>Sales_Data_1[[#This Row],[Sales]]-Sales_Data_1[[#This Row],[Profit_Amount]]</f>
        <v>2896.1400000000003</v>
      </c>
      <c r="Y203" t="str" cm="1">
        <f t="array" ref="Y203">_xlfn.IFS(Sales_Data_1[[#This Row],[Delivery_Days]]&lt;=3, "Fast", Sales_Data_1[[#This Row],[Delivery_Days]]&lt;= 7, "Standard", TRUE, "Delayed")</f>
        <v>Fast</v>
      </c>
      <c r="Z203" t="str" cm="1">
        <f t="array" ref="Z203">_xlfn.IFS(Sales_Data_1[[#This Row],[Profit_Amount]]&gt; 0, "Profitable", Sales_Data_1[[#This Row],[Profit_Amount]] = 0, "Break-Even", TRUE, "Loss")</f>
        <v>Profitable</v>
      </c>
      <c r="AA203" t="str" cm="1">
        <f t="array" ref="AA203">_xlfn.IFS(Sales_Data_1[[#This Row],[Sales]]&gt;= 1000, "High Value", Sales_Data_1[[#This Row],[Sales]]&gt;= 300, "Mid Value", TRUE, "Low Value")</f>
        <v>High Value</v>
      </c>
    </row>
    <row r="204" spans="1:27" x14ac:dyDescent="0.3">
      <c r="A204" t="s">
        <v>2272</v>
      </c>
      <c r="B204" s="1">
        <v>45158</v>
      </c>
      <c r="C204" t="s">
        <v>55</v>
      </c>
      <c r="D204" t="s">
        <v>31</v>
      </c>
      <c r="E204" t="s">
        <v>67</v>
      </c>
      <c r="F204" t="s">
        <v>97</v>
      </c>
      <c r="G204" t="s">
        <v>92</v>
      </c>
      <c r="H204" t="s">
        <v>178</v>
      </c>
      <c r="I204" t="s">
        <v>534</v>
      </c>
      <c r="J204">
        <v>1</v>
      </c>
      <c r="K204">
        <v>13712</v>
      </c>
      <c r="L204">
        <v>0.24</v>
      </c>
      <c r="M204">
        <v>10421.120000000001</v>
      </c>
      <c r="N204">
        <v>10421.120000000001</v>
      </c>
      <c r="O204">
        <v>0.15</v>
      </c>
      <c r="P204">
        <v>1563.17</v>
      </c>
      <c r="Q204" t="s">
        <v>37</v>
      </c>
      <c r="R204" t="s">
        <v>48</v>
      </c>
      <c r="S204">
        <v>9</v>
      </c>
      <c r="T204">
        <f>YEAR(Sales_Data_1[[#This Row],[Order_Date]])</f>
        <v>2023</v>
      </c>
      <c r="U204" t="str">
        <f>TEXT(Sales_Data_1[[#This Row],[Order_Date]], "mmm")</f>
        <v>Aug</v>
      </c>
      <c r="V204">
        <f>MONTH(Sales_Data_1[[#This Row],[Order_Date]])</f>
        <v>8</v>
      </c>
      <c r="W204" t="str">
        <f>TEXT(Sales_Data_1[[#This Row],[Order_Date]], "yyyy-mm")</f>
        <v>2023-08</v>
      </c>
      <c r="X204">
        <f>Sales_Data_1[[#This Row],[Sales]]-Sales_Data_1[[#This Row],[Profit_Amount]]</f>
        <v>8857.9500000000007</v>
      </c>
      <c r="Y204" t="str" cm="1">
        <f t="array" ref="Y204">_xlfn.IFS(Sales_Data_1[[#This Row],[Delivery_Days]]&lt;=3, "Fast", Sales_Data_1[[#This Row],[Delivery_Days]]&lt;= 7, "Standard", TRUE, "Delayed")</f>
        <v>Delayed</v>
      </c>
      <c r="Z204" t="str" cm="1">
        <f t="array" ref="Z204">_xlfn.IFS(Sales_Data_1[[#This Row],[Profit_Amount]]&gt; 0, "Profitable", Sales_Data_1[[#This Row],[Profit_Amount]] = 0, "Break-Even", TRUE, "Loss")</f>
        <v>Profitable</v>
      </c>
      <c r="AA204" t="str" cm="1">
        <f t="array" ref="AA204">_xlfn.IFS(Sales_Data_1[[#This Row],[Sales]]&gt;= 1000, "High Value", Sales_Data_1[[#This Row],[Sales]]&gt;= 300, "Mid Value", TRUE, "Low Value")</f>
        <v>High Value</v>
      </c>
    </row>
    <row r="205" spans="1:27" x14ac:dyDescent="0.3">
      <c r="A205" t="s">
        <v>2688</v>
      </c>
      <c r="B205" s="1">
        <v>45574</v>
      </c>
      <c r="C205" t="s">
        <v>96</v>
      </c>
      <c r="D205" t="s">
        <v>31</v>
      </c>
      <c r="E205" t="s">
        <v>67</v>
      </c>
      <c r="F205" t="s">
        <v>33</v>
      </c>
      <c r="G205" t="s">
        <v>34</v>
      </c>
      <c r="H205" t="s">
        <v>104</v>
      </c>
      <c r="I205" t="s">
        <v>1356</v>
      </c>
      <c r="J205">
        <v>6</v>
      </c>
      <c r="K205">
        <v>719</v>
      </c>
      <c r="L205">
        <v>0.09</v>
      </c>
      <c r="M205">
        <v>654.29</v>
      </c>
      <c r="N205">
        <v>3925.74</v>
      </c>
      <c r="O205">
        <v>0.4</v>
      </c>
      <c r="P205">
        <v>1570.3</v>
      </c>
      <c r="Q205" t="s">
        <v>51</v>
      </c>
      <c r="R205" t="s">
        <v>38</v>
      </c>
      <c r="S205">
        <v>5</v>
      </c>
      <c r="T205">
        <f>YEAR(Sales_Data_1[[#This Row],[Order_Date]])</f>
        <v>2024</v>
      </c>
      <c r="U205" t="str">
        <f>TEXT(Sales_Data_1[[#This Row],[Order_Date]], "mmm")</f>
        <v>Oct</v>
      </c>
      <c r="V205">
        <f>MONTH(Sales_Data_1[[#This Row],[Order_Date]])</f>
        <v>10</v>
      </c>
      <c r="W205" t="str">
        <f>TEXT(Sales_Data_1[[#This Row],[Order_Date]], "yyyy-mm")</f>
        <v>2024-10</v>
      </c>
      <c r="X205">
        <f>Sales_Data_1[[#This Row],[Sales]]-Sales_Data_1[[#This Row],[Profit_Amount]]</f>
        <v>2355.4399999999996</v>
      </c>
      <c r="Y205" t="str" cm="1">
        <f t="array" ref="Y205">_xlfn.IFS(Sales_Data_1[[#This Row],[Delivery_Days]]&lt;=3, "Fast", Sales_Data_1[[#This Row],[Delivery_Days]]&lt;= 7, "Standard", TRUE, "Delayed")</f>
        <v>Standard</v>
      </c>
      <c r="Z205" t="str" cm="1">
        <f t="array" ref="Z205">_xlfn.IFS(Sales_Data_1[[#This Row],[Profit_Amount]]&gt; 0, "Profitable", Sales_Data_1[[#This Row],[Profit_Amount]] = 0, "Break-Even", TRUE, "Loss")</f>
        <v>Profitable</v>
      </c>
      <c r="AA205" t="str" cm="1">
        <f t="array" ref="AA205">_xlfn.IFS(Sales_Data_1[[#This Row],[Sales]]&gt;= 1000, "High Value", Sales_Data_1[[#This Row],[Sales]]&gt;= 300, "Mid Value", TRUE, "Low Value")</f>
        <v>High Value</v>
      </c>
    </row>
    <row r="206" spans="1:27" x14ac:dyDescent="0.3">
      <c r="A206" t="s">
        <v>2549</v>
      </c>
      <c r="B206" s="1">
        <v>45435</v>
      </c>
      <c r="C206" t="s">
        <v>30</v>
      </c>
      <c r="D206" t="s">
        <v>41</v>
      </c>
      <c r="E206" t="s">
        <v>42</v>
      </c>
      <c r="F206" t="s">
        <v>68</v>
      </c>
      <c r="G206" t="s">
        <v>34</v>
      </c>
      <c r="H206" t="s">
        <v>71</v>
      </c>
      <c r="I206" t="s">
        <v>1081</v>
      </c>
      <c r="J206">
        <v>4</v>
      </c>
      <c r="K206">
        <v>1188</v>
      </c>
      <c r="L206">
        <v>0.17</v>
      </c>
      <c r="M206">
        <v>986.04</v>
      </c>
      <c r="N206">
        <v>3944.16</v>
      </c>
      <c r="O206">
        <v>0.4</v>
      </c>
      <c r="P206">
        <v>1577.66</v>
      </c>
      <c r="Q206" t="s">
        <v>47</v>
      </c>
      <c r="R206" t="s">
        <v>48</v>
      </c>
      <c r="S206">
        <v>6</v>
      </c>
      <c r="T206">
        <f>YEAR(Sales_Data_1[[#This Row],[Order_Date]])</f>
        <v>2024</v>
      </c>
      <c r="U206" t="str">
        <f>TEXT(Sales_Data_1[[#This Row],[Order_Date]], "mmm")</f>
        <v>May</v>
      </c>
      <c r="V206">
        <f>MONTH(Sales_Data_1[[#This Row],[Order_Date]])</f>
        <v>5</v>
      </c>
      <c r="W206" t="str">
        <f>TEXT(Sales_Data_1[[#This Row],[Order_Date]], "yyyy-mm")</f>
        <v>2024-05</v>
      </c>
      <c r="X206">
        <f>Sales_Data_1[[#This Row],[Sales]]-Sales_Data_1[[#This Row],[Profit_Amount]]</f>
        <v>2366.5</v>
      </c>
      <c r="Y206" t="str" cm="1">
        <f t="array" ref="Y206">_xlfn.IFS(Sales_Data_1[[#This Row],[Delivery_Days]]&lt;=3, "Fast", Sales_Data_1[[#This Row],[Delivery_Days]]&lt;= 7, "Standard", TRUE, "Delayed")</f>
        <v>Standard</v>
      </c>
      <c r="Z206" t="str" cm="1">
        <f t="array" ref="Z206">_xlfn.IFS(Sales_Data_1[[#This Row],[Profit_Amount]]&gt; 0, "Profitable", Sales_Data_1[[#This Row],[Profit_Amount]] = 0, "Break-Even", TRUE, "Loss")</f>
        <v>Profitable</v>
      </c>
      <c r="AA206" t="str" cm="1">
        <f t="array" ref="AA206">_xlfn.IFS(Sales_Data_1[[#This Row],[Sales]]&gt;= 1000, "High Value", Sales_Data_1[[#This Row],[Sales]]&gt;= 300, "Mid Value", TRUE, "Low Value")</f>
        <v>High Value</v>
      </c>
    </row>
    <row r="207" spans="1:27" x14ac:dyDescent="0.3">
      <c r="A207" t="s">
        <v>2494</v>
      </c>
      <c r="B207" s="1">
        <v>45380</v>
      </c>
      <c r="C207" t="s">
        <v>55</v>
      </c>
      <c r="D207" t="s">
        <v>56</v>
      </c>
      <c r="E207" t="s">
        <v>67</v>
      </c>
      <c r="F207" t="s">
        <v>43</v>
      </c>
      <c r="G207" t="s">
        <v>34</v>
      </c>
      <c r="H207" t="s">
        <v>35</v>
      </c>
      <c r="I207" t="s">
        <v>973</v>
      </c>
      <c r="J207">
        <v>3</v>
      </c>
      <c r="K207">
        <v>1403</v>
      </c>
      <c r="L207">
        <v>0.06</v>
      </c>
      <c r="M207">
        <v>1318.82</v>
      </c>
      <c r="N207">
        <v>3956.46</v>
      </c>
      <c r="O207">
        <v>0.4</v>
      </c>
      <c r="P207">
        <v>1582.58</v>
      </c>
      <c r="Q207" t="s">
        <v>51</v>
      </c>
      <c r="R207" t="s">
        <v>48</v>
      </c>
      <c r="S207">
        <v>7</v>
      </c>
      <c r="T207">
        <f>YEAR(Sales_Data_1[[#This Row],[Order_Date]])</f>
        <v>2024</v>
      </c>
      <c r="U207" t="str">
        <f>TEXT(Sales_Data_1[[#This Row],[Order_Date]], "mmm")</f>
        <v>Mar</v>
      </c>
      <c r="V207">
        <f>MONTH(Sales_Data_1[[#This Row],[Order_Date]])</f>
        <v>3</v>
      </c>
      <c r="W207" t="str">
        <f>TEXT(Sales_Data_1[[#This Row],[Order_Date]], "yyyy-mm")</f>
        <v>2024-03</v>
      </c>
      <c r="X207">
        <f>Sales_Data_1[[#This Row],[Sales]]-Sales_Data_1[[#This Row],[Profit_Amount]]</f>
        <v>2373.88</v>
      </c>
      <c r="Y207" t="str" cm="1">
        <f t="array" ref="Y207">_xlfn.IFS(Sales_Data_1[[#This Row],[Delivery_Days]]&lt;=3, "Fast", Sales_Data_1[[#This Row],[Delivery_Days]]&lt;= 7, "Standard", TRUE, "Delayed")</f>
        <v>Standard</v>
      </c>
      <c r="Z207" t="str" cm="1">
        <f t="array" ref="Z207">_xlfn.IFS(Sales_Data_1[[#This Row],[Profit_Amount]]&gt; 0, "Profitable", Sales_Data_1[[#This Row],[Profit_Amount]] = 0, "Break-Even", TRUE, "Loss")</f>
        <v>Profitable</v>
      </c>
      <c r="AA207" t="str" cm="1">
        <f t="array" ref="AA207">_xlfn.IFS(Sales_Data_1[[#This Row],[Sales]]&gt;= 1000, "High Value", Sales_Data_1[[#This Row],[Sales]]&gt;= 300, "Mid Value", TRUE, "Low Value")</f>
        <v>High Value</v>
      </c>
    </row>
    <row r="208" spans="1:27" x14ac:dyDescent="0.3">
      <c r="A208" t="s">
        <v>2049</v>
      </c>
      <c r="B208" s="1">
        <v>44935</v>
      </c>
      <c r="C208" t="s">
        <v>40</v>
      </c>
      <c r="D208" t="s">
        <v>21</v>
      </c>
      <c r="E208" t="s">
        <v>67</v>
      </c>
      <c r="F208" t="s">
        <v>68</v>
      </c>
      <c r="G208" t="s">
        <v>44</v>
      </c>
      <c r="H208" t="s">
        <v>45</v>
      </c>
      <c r="I208" t="s">
        <v>69</v>
      </c>
      <c r="J208">
        <v>2</v>
      </c>
      <c r="K208">
        <v>2770</v>
      </c>
      <c r="L208">
        <v>0.18</v>
      </c>
      <c r="M208">
        <v>2271.4</v>
      </c>
      <c r="N208">
        <v>4542.8</v>
      </c>
      <c r="O208">
        <v>0.35</v>
      </c>
      <c r="P208">
        <v>1589.98</v>
      </c>
      <c r="Q208" t="s">
        <v>47</v>
      </c>
      <c r="R208" t="s">
        <v>48</v>
      </c>
      <c r="S208">
        <v>6</v>
      </c>
      <c r="T208">
        <f>YEAR(Sales_Data_1[[#This Row],[Order_Date]])</f>
        <v>2023</v>
      </c>
      <c r="U208" t="str">
        <f>TEXT(Sales_Data_1[[#This Row],[Order_Date]], "mmm")</f>
        <v>Jan</v>
      </c>
      <c r="V208">
        <f>MONTH(Sales_Data_1[[#This Row],[Order_Date]])</f>
        <v>1</v>
      </c>
      <c r="W208" t="str">
        <f>TEXT(Sales_Data_1[[#This Row],[Order_Date]], "yyyy-mm")</f>
        <v>2023-01</v>
      </c>
      <c r="X208">
        <f>Sales_Data_1[[#This Row],[Sales]]-Sales_Data_1[[#This Row],[Profit_Amount]]</f>
        <v>2952.82</v>
      </c>
      <c r="Y208" t="str" cm="1">
        <f t="array" ref="Y208">_xlfn.IFS(Sales_Data_1[[#This Row],[Delivery_Days]]&lt;=3, "Fast", Sales_Data_1[[#This Row],[Delivery_Days]]&lt;= 7, "Standard", TRUE, "Delayed")</f>
        <v>Standard</v>
      </c>
      <c r="Z208" t="str" cm="1">
        <f t="array" ref="Z208">_xlfn.IFS(Sales_Data_1[[#This Row],[Profit_Amount]]&gt; 0, "Profitable", Sales_Data_1[[#This Row],[Profit_Amount]] = 0, "Break-Even", TRUE, "Loss")</f>
        <v>Profitable</v>
      </c>
      <c r="AA208" t="str" cm="1">
        <f t="array" ref="AA208">_xlfn.IFS(Sales_Data_1[[#This Row],[Sales]]&gt;= 1000, "High Value", Sales_Data_1[[#This Row],[Sales]]&gt;= 300, "Mid Value", TRUE, "Low Value")</f>
        <v>High Value</v>
      </c>
    </row>
    <row r="209" spans="1:27" x14ac:dyDescent="0.3">
      <c r="A209" t="s">
        <v>2940</v>
      </c>
      <c r="B209" s="1">
        <v>45826</v>
      </c>
      <c r="C209" t="s">
        <v>55</v>
      </c>
      <c r="D209" t="s">
        <v>31</v>
      </c>
      <c r="E209" t="s">
        <v>2042</v>
      </c>
      <c r="F209" t="s">
        <v>103</v>
      </c>
      <c r="G209" t="s">
        <v>44</v>
      </c>
      <c r="H209" t="s">
        <v>64</v>
      </c>
      <c r="I209" t="s">
        <v>1848</v>
      </c>
      <c r="J209">
        <v>4</v>
      </c>
      <c r="K209">
        <v>1171</v>
      </c>
      <c r="L209">
        <v>0.03</v>
      </c>
      <c r="M209">
        <v>1135.8699999999999</v>
      </c>
      <c r="N209">
        <v>4543.4799999999996</v>
      </c>
      <c r="O209">
        <v>0.35</v>
      </c>
      <c r="P209">
        <v>1590.22</v>
      </c>
      <c r="Q209" t="s">
        <v>47</v>
      </c>
      <c r="R209" t="s">
        <v>38</v>
      </c>
      <c r="S209">
        <v>3</v>
      </c>
      <c r="T209">
        <f>YEAR(Sales_Data_1[[#This Row],[Order_Date]])</f>
        <v>2025</v>
      </c>
      <c r="U209" t="str">
        <f>TEXT(Sales_Data_1[[#This Row],[Order_Date]], "mmm")</f>
        <v>Jun</v>
      </c>
      <c r="V209">
        <f>MONTH(Sales_Data_1[[#This Row],[Order_Date]])</f>
        <v>6</v>
      </c>
      <c r="W209" t="str">
        <f>TEXT(Sales_Data_1[[#This Row],[Order_Date]], "yyyy-mm")</f>
        <v>2025-06</v>
      </c>
      <c r="X209">
        <f>Sales_Data_1[[#This Row],[Sales]]-Sales_Data_1[[#This Row],[Profit_Amount]]</f>
        <v>2953.2599999999993</v>
      </c>
      <c r="Y209" t="str" cm="1">
        <f t="array" ref="Y209">_xlfn.IFS(Sales_Data_1[[#This Row],[Delivery_Days]]&lt;=3, "Fast", Sales_Data_1[[#This Row],[Delivery_Days]]&lt;= 7, "Standard", TRUE, "Delayed")</f>
        <v>Fast</v>
      </c>
      <c r="Z209" t="str" cm="1">
        <f t="array" ref="Z209">_xlfn.IFS(Sales_Data_1[[#This Row],[Profit_Amount]]&gt; 0, "Profitable", Sales_Data_1[[#This Row],[Profit_Amount]] = 0, "Break-Even", TRUE, "Loss")</f>
        <v>Profitable</v>
      </c>
      <c r="AA209" t="str" cm="1">
        <f t="array" ref="AA209">_xlfn.IFS(Sales_Data_1[[#This Row],[Sales]]&gt;= 1000, "High Value", Sales_Data_1[[#This Row],[Sales]]&gt;= 300, "Mid Value", TRUE, "Low Value")</f>
        <v>High Value</v>
      </c>
    </row>
    <row r="210" spans="1:27" x14ac:dyDescent="0.3">
      <c r="A210" t="s">
        <v>2964</v>
      </c>
      <c r="B210" s="1">
        <v>45850</v>
      </c>
      <c r="C210" t="s">
        <v>63</v>
      </c>
      <c r="D210" t="s">
        <v>41</v>
      </c>
      <c r="E210" t="s">
        <v>2042</v>
      </c>
      <c r="F210" t="s">
        <v>97</v>
      </c>
      <c r="G210" t="s">
        <v>34</v>
      </c>
      <c r="H210" t="s">
        <v>35</v>
      </c>
      <c r="I210" t="s">
        <v>1893</v>
      </c>
      <c r="J210">
        <v>9</v>
      </c>
      <c r="K210">
        <v>526</v>
      </c>
      <c r="L210">
        <v>0.16</v>
      </c>
      <c r="M210">
        <v>441.84</v>
      </c>
      <c r="N210">
        <v>3976.56</v>
      </c>
      <c r="O210">
        <v>0.4</v>
      </c>
      <c r="P210">
        <v>1590.62</v>
      </c>
      <c r="Q210" t="s">
        <v>47</v>
      </c>
      <c r="R210" t="s">
        <v>48</v>
      </c>
      <c r="S210">
        <v>7</v>
      </c>
      <c r="T210">
        <f>YEAR(Sales_Data_1[[#This Row],[Order_Date]])</f>
        <v>2025</v>
      </c>
      <c r="U210" t="str">
        <f>TEXT(Sales_Data_1[[#This Row],[Order_Date]], "mmm")</f>
        <v>Jul</v>
      </c>
      <c r="V210">
        <f>MONTH(Sales_Data_1[[#This Row],[Order_Date]])</f>
        <v>7</v>
      </c>
      <c r="W210" t="str">
        <f>TEXT(Sales_Data_1[[#This Row],[Order_Date]], "yyyy-mm")</f>
        <v>2025-07</v>
      </c>
      <c r="X210">
        <f>Sales_Data_1[[#This Row],[Sales]]-Sales_Data_1[[#This Row],[Profit_Amount]]</f>
        <v>2385.94</v>
      </c>
      <c r="Y210" t="str" cm="1">
        <f t="array" ref="Y210">_xlfn.IFS(Sales_Data_1[[#This Row],[Delivery_Days]]&lt;=3, "Fast", Sales_Data_1[[#This Row],[Delivery_Days]]&lt;= 7, "Standard", TRUE, "Delayed")</f>
        <v>Standard</v>
      </c>
      <c r="Z210" t="str" cm="1">
        <f t="array" ref="Z210">_xlfn.IFS(Sales_Data_1[[#This Row],[Profit_Amount]]&gt; 0, "Profitable", Sales_Data_1[[#This Row],[Profit_Amount]] = 0, "Break-Even", TRUE, "Loss")</f>
        <v>Profitable</v>
      </c>
      <c r="AA210" t="str" cm="1">
        <f t="array" ref="AA210">_xlfn.IFS(Sales_Data_1[[#This Row],[Sales]]&gt;= 1000, "High Value", Sales_Data_1[[#This Row],[Sales]]&gt;= 300, "Mid Value", TRUE, "Low Value")</f>
        <v>High Value</v>
      </c>
    </row>
    <row r="211" spans="1:27" x14ac:dyDescent="0.3">
      <c r="A211" t="s">
        <v>2941</v>
      </c>
      <c r="B211" s="1">
        <v>45827</v>
      </c>
      <c r="C211" t="s">
        <v>40</v>
      </c>
      <c r="D211" t="s">
        <v>56</v>
      </c>
      <c r="E211" t="s">
        <v>2042</v>
      </c>
      <c r="F211" t="s">
        <v>43</v>
      </c>
      <c r="G211" t="s">
        <v>44</v>
      </c>
      <c r="H211" t="s">
        <v>45</v>
      </c>
      <c r="I211" t="s">
        <v>1850</v>
      </c>
      <c r="J211">
        <v>3</v>
      </c>
      <c r="K211">
        <v>1671</v>
      </c>
      <c r="L211">
        <v>0.09</v>
      </c>
      <c r="M211">
        <v>1520.61</v>
      </c>
      <c r="N211">
        <v>4561.83</v>
      </c>
      <c r="O211">
        <v>0.35</v>
      </c>
      <c r="P211">
        <v>1596.64</v>
      </c>
      <c r="Q211" t="s">
        <v>27</v>
      </c>
      <c r="R211" t="s">
        <v>48</v>
      </c>
      <c r="S211">
        <v>1</v>
      </c>
      <c r="T211">
        <f>YEAR(Sales_Data_1[[#This Row],[Order_Date]])</f>
        <v>2025</v>
      </c>
      <c r="U211" t="str">
        <f>TEXT(Sales_Data_1[[#This Row],[Order_Date]], "mmm")</f>
        <v>Jun</v>
      </c>
      <c r="V211">
        <f>MONTH(Sales_Data_1[[#This Row],[Order_Date]])</f>
        <v>6</v>
      </c>
      <c r="W211" t="str">
        <f>TEXT(Sales_Data_1[[#This Row],[Order_Date]], "yyyy-mm")</f>
        <v>2025-06</v>
      </c>
      <c r="X211">
        <f>Sales_Data_1[[#This Row],[Sales]]-Sales_Data_1[[#This Row],[Profit_Amount]]</f>
        <v>2965.1899999999996</v>
      </c>
      <c r="Y211" t="str" cm="1">
        <f t="array" ref="Y211">_xlfn.IFS(Sales_Data_1[[#This Row],[Delivery_Days]]&lt;=3, "Fast", Sales_Data_1[[#This Row],[Delivery_Days]]&lt;= 7, "Standard", TRUE, "Delayed")</f>
        <v>Fast</v>
      </c>
      <c r="Z211" t="str" cm="1">
        <f t="array" ref="Z211">_xlfn.IFS(Sales_Data_1[[#This Row],[Profit_Amount]]&gt; 0, "Profitable", Sales_Data_1[[#This Row],[Profit_Amount]] = 0, "Break-Even", TRUE, "Loss")</f>
        <v>Profitable</v>
      </c>
      <c r="AA211" t="str" cm="1">
        <f t="array" ref="AA211">_xlfn.IFS(Sales_Data_1[[#This Row],[Sales]]&gt;= 1000, "High Value", Sales_Data_1[[#This Row],[Sales]]&gt;= 300, "Mid Value", TRUE, "Low Value")</f>
        <v>High Value</v>
      </c>
    </row>
    <row r="212" spans="1:27" x14ac:dyDescent="0.3">
      <c r="A212" t="s">
        <v>2174</v>
      </c>
      <c r="B212" s="1">
        <v>45060</v>
      </c>
      <c r="C212" t="s">
        <v>96</v>
      </c>
      <c r="D212" t="s">
        <v>56</v>
      </c>
      <c r="E212" t="s">
        <v>67</v>
      </c>
      <c r="F212" t="s">
        <v>68</v>
      </c>
      <c r="G212" t="s">
        <v>34</v>
      </c>
      <c r="H212" t="s">
        <v>141</v>
      </c>
      <c r="I212" t="s">
        <v>338</v>
      </c>
      <c r="J212">
        <v>3</v>
      </c>
      <c r="K212">
        <v>1344</v>
      </c>
      <c r="L212">
        <v>0</v>
      </c>
      <c r="M212">
        <v>1344</v>
      </c>
      <c r="N212">
        <v>4032</v>
      </c>
      <c r="O212">
        <v>0.4</v>
      </c>
      <c r="P212">
        <v>1612.8</v>
      </c>
      <c r="Q212" t="s">
        <v>37</v>
      </c>
      <c r="R212" t="s">
        <v>38</v>
      </c>
      <c r="S212">
        <v>5</v>
      </c>
      <c r="T212">
        <f>YEAR(Sales_Data_1[[#This Row],[Order_Date]])</f>
        <v>2023</v>
      </c>
      <c r="U212" t="str">
        <f>TEXT(Sales_Data_1[[#This Row],[Order_Date]], "mmm")</f>
        <v>May</v>
      </c>
      <c r="V212">
        <f>MONTH(Sales_Data_1[[#This Row],[Order_Date]])</f>
        <v>5</v>
      </c>
      <c r="W212" t="str">
        <f>TEXT(Sales_Data_1[[#This Row],[Order_Date]], "yyyy-mm")</f>
        <v>2023-05</v>
      </c>
      <c r="X212">
        <f>Sales_Data_1[[#This Row],[Sales]]-Sales_Data_1[[#This Row],[Profit_Amount]]</f>
        <v>2419.1999999999998</v>
      </c>
      <c r="Y212" t="str" cm="1">
        <f t="array" ref="Y212">_xlfn.IFS(Sales_Data_1[[#This Row],[Delivery_Days]]&lt;=3, "Fast", Sales_Data_1[[#This Row],[Delivery_Days]]&lt;= 7, "Standard", TRUE, "Delayed")</f>
        <v>Standard</v>
      </c>
      <c r="Z212" t="str" cm="1">
        <f t="array" ref="Z212">_xlfn.IFS(Sales_Data_1[[#This Row],[Profit_Amount]]&gt; 0, "Profitable", Sales_Data_1[[#This Row],[Profit_Amount]] = 0, "Break-Even", TRUE, "Loss")</f>
        <v>Profitable</v>
      </c>
      <c r="AA212" t="str" cm="1">
        <f t="array" ref="AA212">_xlfn.IFS(Sales_Data_1[[#This Row],[Sales]]&gt;= 1000, "High Value", Sales_Data_1[[#This Row],[Sales]]&gt;= 300, "Mid Value", TRUE, "Low Value")</f>
        <v>High Value</v>
      </c>
    </row>
    <row r="213" spans="1:27" x14ac:dyDescent="0.3">
      <c r="A213" t="s">
        <v>3008</v>
      </c>
      <c r="B213" s="1">
        <v>45894</v>
      </c>
      <c r="C213" t="s">
        <v>63</v>
      </c>
      <c r="D213" t="s">
        <v>21</v>
      </c>
      <c r="E213" t="s">
        <v>2040</v>
      </c>
      <c r="F213" t="s">
        <v>43</v>
      </c>
      <c r="G213" t="s">
        <v>34</v>
      </c>
      <c r="H213" t="s">
        <v>141</v>
      </c>
      <c r="I213" t="s">
        <v>1975</v>
      </c>
      <c r="J213">
        <v>4</v>
      </c>
      <c r="K213">
        <v>1200</v>
      </c>
      <c r="L213">
        <v>0.16</v>
      </c>
      <c r="M213">
        <v>1008</v>
      </c>
      <c r="N213">
        <v>4032</v>
      </c>
      <c r="O213">
        <v>0.4</v>
      </c>
      <c r="P213">
        <v>1612.8</v>
      </c>
      <c r="Q213" t="s">
        <v>27</v>
      </c>
      <c r="R213" t="s">
        <v>48</v>
      </c>
      <c r="S213">
        <v>2</v>
      </c>
      <c r="T213">
        <f>YEAR(Sales_Data_1[[#This Row],[Order_Date]])</f>
        <v>2025</v>
      </c>
      <c r="U213" t="str">
        <f>TEXT(Sales_Data_1[[#This Row],[Order_Date]], "mmm")</f>
        <v>Aug</v>
      </c>
      <c r="V213">
        <f>MONTH(Sales_Data_1[[#This Row],[Order_Date]])</f>
        <v>8</v>
      </c>
      <c r="W213" t="str">
        <f>TEXT(Sales_Data_1[[#This Row],[Order_Date]], "yyyy-mm")</f>
        <v>2025-08</v>
      </c>
      <c r="X213">
        <f>Sales_Data_1[[#This Row],[Sales]]-Sales_Data_1[[#This Row],[Profit_Amount]]</f>
        <v>2419.1999999999998</v>
      </c>
      <c r="Y213" t="str" cm="1">
        <f t="array" ref="Y213">_xlfn.IFS(Sales_Data_1[[#This Row],[Delivery_Days]]&lt;=3, "Fast", Sales_Data_1[[#This Row],[Delivery_Days]]&lt;= 7, "Standard", TRUE, "Delayed")</f>
        <v>Fast</v>
      </c>
      <c r="Z213" t="str" cm="1">
        <f t="array" ref="Z213">_xlfn.IFS(Sales_Data_1[[#This Row],[Profit_Amount]]&gt; 0, "Profitable", Sales_Data_1[[#This Row],[Profit_Amount]] = 0, "Break-Even", TRUE, "Loss")</f>
        <v>Profitable</v>
      </c>
      <c r="AA213" t="str" cm="1">
        <f t="array" ref="AA213">_xlfn.IFS(Sales_Data_1[[#This Row],[Sales]]&gt;= 1000, "High Value", Sales_Data_1[[#This Row],[Sales]]&gt;= 300, "Mid Value", TRUE, "Low Value")</f>
        <v>High Value</v>
      </c>
    </row>
    <row r="214" spans="1:27" x14ac:dyDescent="0.3">
      <c r="A214" t="s">
        <v>2219</v>
      </c>
      <c r="B214" s="1">
        <v>45105</v>
      </c>
      <c r="C214" t="s">
        <v>63</v>
      </c>
      <c r="D214" t="s">
        <v>31</v>
      </c>
      <c r="E214" t="s">
        <v>67</v>
      </c>
      <c r="F214" t="s">
        <v>103</v>
      </c>
      <c r="G214" t="s">
        <v>34</v>
      </c>
      <c r="H214" t="s">
        <v>71</v>
      </c>
      <c r="I214" t="s">
        <v>428</v>
      </c>
      <c r="J214">
        <v>8</v>
      </c>
      <c r="K214">
        <v>583</v>
      </c>
      <c r="L214">
        <v>0.13</v>
      </c>
      <c r="M214">
        <v>507.21</v>
      </c>
      <c r="N214">
        <v>4057.68</v>
      </c>
      <c r="O214">
        <v>0.4</v>
      </c>
      <c r="P214">
        <v>1623.07</v>
      </c>
      <c r="Q214" t="s">
        <v>51</v>
      </c>
      <c r="R214" t="s">
        <v>38</v>
      </c>
      <c r="S214">
        <v>7</v>
      </c>
      <c r="T214">
        <f>YEAR(Sales_Data_1[[#This Row],[Order_Date]])</f>
        <v>2023</v>
      </c>
      <c r="U214" t="str">
        <f>TEXT(Sales_Data_1[[#This Row],[Order_Date]], "mmm")</f>
        <v>Jun</v>
      </c>
      <c r="V214">
        <f>MONTH(Sales_Data_1[[#This Row],[Order_Date]])</f>
        <v>6</v>
      </c>
      <c r="W214" t="str">
        <f>TEXT(Sales_Data_1[[#This Row],[Order_Date]], "yyyy-mm")</f>
        <v>2023-06</v>
      </c>
      <c r="X214">
        <f>Sales_Data_1[[#This Row],[Sales]]-Sales_Data_1[[#This Row],[Profit_Amount]]</f>
        <v>2434.6099999999997</v>
      </c>
      <c r="Y214" t="str" cm="1">
        <f t="array" ref="Y214">_xlfn.IFS(Sales_Data_1[[#This Row],[Delivery_Days]]&lt;=3, "Fast", Sales_Data_1[[#This Row],[Delivery_Days]]&lt;= 7, "Standard", TRUE, "Delayed")</f>
        <v>Standard</v>
      </c>
      <c r="Z214" t="str" cm="1">
        <f t="array" ref="Z214">_xlfn.IFS(Sales_Data_1[[#This Row],[Profit_Amount]]&gt; 0, "Profitable", Sales_Data_1[[#This Row],[Profit_Amount]] = 0, "Break-Even", TRUE, "Loss")</f>
        <v>Profitable</v>
      </c>
      <c r="AA214" t="str" cm="1">
        <f t="array" ref="AA214">_xlfn.IFS(Sales_Data_1[[#This Row],[Sales]]&gt;= 1000, "High Value", Sales_Data_1[[#This Row],[Sales]]&gt;= 300, "Mid Value", TRUE, "Low Value")</f>
        <v>High Value</v>
      </c>
    </row>
    <row r="215" spans="1:27" x14ac:dyDescent="0.3">
      <c r="A215" t="s">
        <v>2955</v>
      </c>
      <c r="B215" s="1">
        <v>45841</v>
      </c>
      <c r="C215" t="s">
        <v>20</v>
      </c>
      <c r="D215" t="s">
        <v>21</v>
      </c>
      <c r="E215" t="s">
        <v>67</v>
      </c>
      <c r="F215" t="s">
        <v>23</v>
      </c>
      <c r="G215" t="s">
        <v>24</v>
      </c>
      <c r="H215" t="s">
        <v>121</v>
      </c>
      <c r="I215" t="s">
        <v>1877</v>
      </c>
      <c r="J215">
        <v>1</v>
      </c>
      <c r="K215">
        <v>6976</v>
      </c>
      <c r="L215">
        <v>0.06</v>
      </c>
      <c r="M215">
        <v>6557.44</v>
      </c>
      <c r="N215">
        <v>6557.44</v>
      </c>
      <c r="O215">
        <v>0.25</v>
      </c>
      <c r="P215">
        <v>1639.36</v>
      </c>
      <c r="Q215" t="s">
        <v>27</v>
      </c>
      <c r="R215" t="s">
        <v>48</v>
      </c>
      <c r="S215">
        <v>4</v>
      </c>
      <c r="T215">
        <f>YEAR(Sales_Data_1[[#This Row],[Order_Date]])</f>
        <v>2025</v>
      </c>
      <c r="U215" t="str">
        <f>TEXT(Sales_Data_1[[#This Row],[Order_Date]], "mmm")</f>
        <v>Jul</v>
      </c>
      <c r="V215">
        <f>MONTH(Sales_Data_1[[#This Row],[Order_Date]])</f>
        <v>7</v>
      </c>
      <c r="W215" t="str">
        <f>TEXT(Sales_Data_1[[#This Row],[Order_Date]], "yyyy-mm")</f>
        <v>2025-07</v>
      </c>
      <c r="X215">
        <f>Sales_Data_1[[#This Row],[Sales]]-Sales_Data_1[[#This Row],[Profit_Amount]]</f>
        <v>4918.08</v>
      </c>
      <c r="Y215" t="str" cm="1">
        <f t="array" ref="Y215">_xlfn.IFS(Sales_Data_1[[#This Row],[Delivery_Days]]&lt;=3, "Fast", Sales_Data_1[[#This Row],[Delivery_Days]]&lt;= 7, "Standard", TRUE, "Delayed")</f>
        <v>Standard</v>
      </c>
      <c r="Z215" t="str" cm="1">
        <f t="array" ref="Z215">_xlfn.IFS(Sales_Data_1[[#This Row],[Profit_Amount]]&gt; 0, "Profitable", Sales_Data_1[[#This Row],[Profit_Amount]] = 0, "Break-Even", TRUE, "Loss")</f>
        <v>Profitable</v>
      </c>
      <c r="AA215" t="str" cm="1">
        <f t="array" ref="AA215">_xlfn.IFS(Sales_Data_1[[#This Row],[Sales]]&gt;= 1000, "High Value", Sales_Data_1[[#This Row],[Sales]]&gt;= 300, "Mid Value", TRUE, "Low Value")</f>
        <v>High Value</v>
      </c>
    </row>
    <row r="216" spans="1:27" x14ac:dyDescent="0.3">
      <c r="A216" t="s">
        <v>2559</v>
      </c>
      <c r="B216" s="1">
        <v>45445</v>
      </c>
      <c r="C216" t="s">
        <v>63</v>
      </c>
      <c r="D216" t="s">
        <v>56</v>
      </c>
      <c r="E216" t="s">
        <v>2042</v>
      </c>
      <c r="F216" t="s">
        <v>68</v>
      </c>
      <c r="G216" t="s">
        <v>34</v>
      </c>
      <c r="H216" t="s">
        <v>35</v>
      </c>
      <c r="I216" t="s">
        <v>1101</v>
      </c>
      <c r="J216">
        <v>8</v>
      </c>
      <c r="K216">
        <v>666</v>
      </c>
      <c r="L216">
        <v>0.23</v>
      </c>
      <c r="M216">
        <v>512.82000000000005</v>
      </c>
      <c r="N216">
        <v>4102.5600000000004</v>
      </c>
      <c r="O216">
        <v>0.4</v>
      </c>
      <c r="P216">
        <v>1641.02</v>
      </c>
      <c r="Q216" t="s">
        <v>37</v>
      </c>
      <c r="R216" t="s">
        <v>48</v>
      </c>
      <c r="S216">
        <v>3</v>
      </c>
      <c r="T216">
        <f>YEAR(Sales_Data_1[[#This Row],[Order_Date]])</f>
        <v>2024</v>
      </c>
      <c r="U216" t="str">
        <f>TEXT(Sales_Data_1[[#This Row],[Order_Date]], "mmm")</f>
        <v>Jun</v>
      </c>
      <c r="V216">
        <f>MONTH(Sales_Data_1[[#This Row],[Order_Date]])</f>
        <v>6</v>
      </c>
      <c r="W216" t="str">
        <f>TEXT(Sales_Data_1[[#This Row],[Order_Date]], "yyyy-mm")</f>
        <v>2024-06</v>
      </c>
      <c r="X216">
        <f>Sales_Data_1[[#This Row],[Sales]]-Sales_Data_1[[#This Row],[Profit_Amount]]</f>
        <v>2461.5400000000004</v>
      </c>
      <c r="Y216" t="str" cm="1">
        <f t="array" ref="Y216">_xlfn.IFS(Sales_Data_1[[#This Row],[Delivery_Days]]&lt;=3, "Fast", Sales_Data_1[[#This Row],[Delivery_Days]]&lt;= 7, "Standard", TRUE, "Delayed")</f>
        <v>Fast</v>
      </c>
      <c r="Z216" t="str" cm="1">
        <f t="array" ref="Z216">_xlfn.IFS(Sales_Data_1[[#This Row],[Profit_Amount]]&gt; 0, "Profitable", Sales_Data_1[[#This Row],[Profit_Amount]] = 0, "Break-Even", TRUE, "Loss")</f>
        <v>Profitable</v>
      </c>
      <c r="AA216" t="str" cm="1">
        <f t="array" ref="AA216">_xlfn.IFS(Sales_Data_1[[#This Row],[Sales]]&gt;= 1000, "High Value", Sales_Data_1[[#This Row],[Sales]]&gt;= 300, "Mid Value", TRUE, "Low Value")</f>
        <v>High Value</v>
      </c>
    </row>
    <row r="217" spans="1:27" x14ac:dyDescent="0.3">
      <c r="A217" t="s">
        <v>2172</v>
      </c>
      <c r="B217" s="1">
        <v>45058</v>
      </c>
      <c r="C217" t="s">
        <v>20</v>
      </c>
      <c r="D217" t="s">
        <v>31</v>
      </c>
      <c r="E217" t="s">
        <v>2042</v>
      </c>
      <c r="F217" t="s">
        <v>43</v>
      </c>
      <c r="G217" t="s">
        <v>34</v>
      </c>
      <c r="H217" t="s">
        <v>141</v>
      </c>
      <c r="I217" t="s">
        <v>334</v>
      </c>
      <c r="J217">
        <v>7</v>
      </c>
      <c r="K217">
        <v>775</v>
      </c>
      <c r="L217">
        <v>0.24</v>
      </c>
      <c r="M217">
        <v>589</v>
      </c>
      <c r="N217">
        <v>4123</v>
      </c>
      <c r="O217">
        <v>0.4</v>
      </c>
      <c r="P217">
        <v>1649.2</v>
      </c>
      <c r="Q217" t="s">
        <v>27</v>
      </c>
      <c r="R217" t="s">
        <v>28</v>
      </c>
      <c r="S217">
        <v>8</v>
      </c>
      <c r="T217">
        <f>YEAR(Sales_Data_1[[#This Row],[Order_Date]])</f>
        <v>2023</v>
      </c>
      <c r="U217" t="str">
        <f>TEXT(Sales_Data_1[[#This Row],[Order_Date]], "mmm")</f>
        <v>May</v>
      </c>
      <c r="V217">
        <f>MONTH(Sales_Data_1[[#This Row],[Order_Date]])</f>
        <v>5</v>
      </c>
      <c r="W217" t="str">
        <f>TEXT(Sales_Data_1[[#This Row],[Order_Date]], "yyyy-mm")</f>
        <v>2023-05</v>
      </c>
      <c r="X217">
        <f>Sales_Data_1[[#This Row],[Sales]]-Sales_Data_1[[#This Row],[Profit_Amount]]</f>
        <v>2473.8000000000002</v>
      </c>
      <c r="Y217" t="str" cm="1">
        <f t="array" ref="Y217">_xlfn.IFS(Sales_Data_1[[#This Row],[Delivery_Days]]&lt;=3, "Fast", Sales_Data_1[[#This Row],[Delivery_Days]]&lt;= 7, "Standard", TRUE, "Delayed")</f>
        <v>Delayed</v>
      </c>
      <c r="Z217" t="str" cm="1">
        <f t="array" ref="Z217">_xlfn.IFS(Sales_Data_1[[#This Row],[Profit_Amount]]&gt; 0, "Profitable", Sales_Data_1[[#This Row],[Profit_Amount]] = 0, "Break-Even", TRUE, "Loss")</f>
        <v>Profitable</v>
      </c>
      <c r="AA217" t="str" cm="1">
        <f t="array" ref="AA217">_xlfn.IFS(Sales_Data_1[[#This Row],[Sales]]&gt;= 1000, "High Value", Sales_Data_1[[#This Row],[Sales]]&gt;= 300, "Mid Value", TRUE, "Low Value")</f>
        <v>High Value</v>
      </c>
    </row>
    <row r="218" spans="1:27" x14ac:dyDescent="0.3">
      <c r="A218" t="s">
        <v>2083</v>
      </c>
      <c r="B218" s="1">
        <v>44969</v>
      </c>
      <c r="C218" t="s">
        <v>20</v>
      </c>
      <c r="D218" t="s">
        <v>41</v>
      </c>
      <c r="E218" t="s">
        <v>2042</v>
      </c>
      <c r="F218" t="s">
        <v>68</v>
      </c>
      <c r="G218" t="s">
        <v>24</v>
      </c>
      <c r="H218" t="s">
        <v>121</v>
      </c>
      <c r="I218" t="s">
        <v>152</v>
      </c>
      <c r="J218">
        <v>4</v>
      </c>
      <c r="K218">
        <v>1661</v>
      </c>
      <c r="L218">
        <v>0</v>
      </c>
      <c r="M218">
        <v>1661</v>
      </c>
      <c r="N218">
        <v>6644</v>
      </c>
      <c r="O218">
        <v>0.25</v>
      </c>
      <c r="P218">
        <v>1661</v>
      </c>
      <c r="Q218" t="s">
        <v>37</v>
      </c>
      <c r="R218" t="s">
        <v>48</v>
      </c>
      <c r="S218">
        <v>3</v>
      </c>
      <c r="T218">
        <f>YEAR(Sales_Data_1[[#This Row],[Order_Date]])</f>
        <v>2023</v>
      </c>
      <c r="U218" t="str">
        <f>TEXT(Sales_Data_1[[#This Row],[Order_Date]], "mmm")</f>
        <v>Feb</v>
      </c>
      <c r="V218">
        <f>MONTH(Sales_Data_1[[#This Row],[Order_Date]])</f>
        <v>2</v>
      </c>
      <c r="W218" t="str">
        <f>TEXT(Sales_Data_1[[#This Row],[Order_Date]], "yyyy-mm")</f>
        <v>2023-02</v>
      </c>
      <c r="X218">
        <f>Sales_Data_1[[#This Row],[Sales]]-Sales_Data_1[[#This Row],[Profit_Amount]]</f>
        <v>4983</v>
      </c>
      <c r="Y218" t="str" cm="1">
        <f t="array" ref="Y218">_xlfn.IFS(Sales_Data_1[[#This Row],[Delivery_Days]]&lt;=3, "Fast", Sales_Data_1[[#This Row],[Delivery_Days]]&lt;= 7, "Standard", TRUE, "Delayed")</f>
        <v>Fast</v>
      </c>
      <c r="Z218" t="str" cm="1">
        <f t="array" ref="Z218">_xlfn.IFS(Sales_Data_1[[#This Row],[Profit_Amount]]&gt; 0, "Profitable", Sales_Data_1[[#This Row],[Profit_Amount]] = 0, "Break-Even", TRUE, "Loss")</f>
        <v>Profitable</v>
      </c>
      <c r="AA218" t="str" cm="1">
        <f t="array" ref="AA218">_xlfn.IFS(Sales_Data_1[[#This Row],[Sales]]&gt;= 1000, "High Value", Sales_Data_1[[#This Row],[Sales]]&gt;= 300, "Mid Value", TRUE, "Low Value")</f>
        <v>High Value</v>
      </c>
    </row>
    <row r="219" spans="1:27" x14ac:dyDescent="0.3">
      <c r="A219" t="s">
        <v>2409</v>
      </c>
      <c r="B219" s="1">
        <v>45295</v>
      </c>
      <c r="C219" t="s">
        <v>63</v>
      </c>
      <c r="D219" t="s">
        <v>21</v>
      </c>
      <c r="E219" t="s">
        <v>42</v>
      </c>
      <c r="F219" t="s">
        <v>68</v>
      </c>
      <c r="G219" t="s">
        <v>24</v>
      </c>
      <c r="H219" t="s">
        <v>74</v>
      </c>
      <c r="I219" t="s">
        <v>804</v>
      </c>
      <c r="J219">
        <v>3</v>
      </c>
      <c r="K219">
        <v>2343</v>
      </c>
      <c r="L219">
        <v>0.05</v>
      </c>
      <c r="M219">
        <v>2225.85</v>
      </c>
      <c r="N219">
        <v>6677.55</v>
      </c>
      <c r="O219">
        <v>0.25</v>
      </c>
      <c r="P219">
        <v>1669.39</v>
      </c>
      <c r="Q219" t="s">
        <v>37</v>
      </c>
      <c r="R219" t="s">
        <v>38</v>
      </c>
      <c r="S219">
        <v>6</v>
      </c>
      <c r="T219">
        <f>YEAR(Sales_Data_1[[#This Row],[Order_Date]])</f>
        <v>2024</v>
      </c>
      <c r="U219" t="str">
        <f>TEXT(Sales_Data_1[[#This Row],[Order_Date]], "mmm")</f>
        <v>Jan</v>
      </c>
      <c r="V219">
        <f>MONTH(Sales_Data_1[[#This Row],[Order_Date]])</f>
        <v>1</v>
      </c>
      <c r="W219" t="str">
        <f>TEXT(Sales_Data_1[[#This Row],[Order_Date]], "yyyy-mm")</f>
        <v>2024-01</v>
      </c>
      <c r="X219">
        <f>Sales_Data_1[[#This Row],[Sales]]-Sales_Data_1[[#This Row],[Profit_Amount]]</f>
        <v>5008.16</v>
      </c>
      <c r="Y219" t="str" cm="1">
        <f t="array" ref="Y219">_xlfn.IFS(Sales_Data_1[[#This Row],[Delivery_Days]]&lt;=3, "Fast", Sales_Data_1[[#This Row],[Delivery_Days]]&lt;= 7, "Standard", TRUE, "Delayed")</f>
        <v>Standard</v>
      </c>
      <c r="Z219" t="str" cm="1">
        <f t="array" ref="Z219">_xlfn.IFS(Sales_Data_1[[#This Row],[Profit_Amount]]&gt; 0, "Profitable", Sales_Data_1[[#This Row],[Profit_Amount]] = 0, "Break-Even", TRUE, "Loss")</f>
        <v>Profitable</v>
      </c>
      <c r="AA219" t="str" cm="1">
        <f t="array" ref="AA219">_xlfn.IFS(Sales_Data_1[[#This Row],[Sales]]&gt;= 1000, "High Value", Sales_Data_1[[#This Row],[Sales]]&gt;= 300, "Mid Value", TRUE, "Low Value")</f>
        <v>High Value</v>
      </c>
    </row>
    <row r="220" spans="1:27" x14ac:dyDescent="0.3">
      <c r="A220" t="s">
        <v>2551</v>
      </c>
      <c r="B220" s="1">
        <v>45437</v>
      </c>
      <c r="C220" t="s">
        <v>55</v>
      </c>
      <c r="D220" t="s">
        <v>41</v>
      </c>
      <c r="E220" t="s">
        <v>2040</v>
      </c>
      <c r="F220" t="s">
        <v>97</v>
      </c>
      <c r="G220" t="s">
        <v>44</v>
      </c>
      <c r="H220" t="s">
        <v>64</v>
      </c>
      <c r="I220" t="s">
        <v>1085</v>
      </c>
      <c r="J220">
        <v>2</v>
      </c>
      <c r="K220">
        <v>2994</v>
      </c>
      <c r="L220">
        <v>0.2</v>
      </c>
      <c r="M220">
        <v>2395.1999999999998</v>
      </c>
      <c r="N220">
        <v>4790.3999999999996</v>
      </c>
      <c r="O220">
        <v>0.35</v>
      </c>
      <c r="P220">
        <v>1676.64</v>
      </c>
      <c r="Q220" t="s">
        <v>27</v>
      </c>
      <c r="R220" t="s">
        <v>48</v>
      </c>
      <c r="S220">
        <v>8</v>
      </c>
      <c r="T220">
        <f>YEAR(Sales_Data_1[[#This Row],[Order_Date]])</f>
        <v>2024</v>
      </c>
      <c r="U220" t="str">
        <f>TEXT(Sales_Data_1[[#This Row],[Order_Date]], "mmm")</f>
        <v>May</v>
      </c>
      <c r="V220">
        <f>MONTH(Sales_Data_1[[#This Row],[Order_Date]])</f>
        <v>5</v>
      </c>
      <c r="W220" t="str">
        <f>TEXT(Sales_Data_1[[#This Row],[Order_Date]], "yyyy-mm")</f>
        <v>2024-05</v>
      </c>
      <c r="X220">
        <f>Sales_Data_1[[#This Row],[Sales]]-Sales_Data_1[[#This Row],[Profit_Amount]]</f>
        <v>3113.7599999999993</v>
      </c>
      <c r="Y220" t="str" cm="1">
        <f t="array" ref="Y220">_xlfn.IFS(Sales_Data_1[[#This Row],[Delivery_Days]]&lt;=3, "Fast", Sales_Data_1[[#This Row],[Delivery_Days]]&lt;= 7, "Standard", TRUE, "Delayed")</f>
        <v>Delayed</v>
      </c>
      <c r="Z220" t="str" cm="1">
        <f t="array" ref="Z220">_xlfn.IFS(Sales_Data_1[[#This Row],[Profit_Amount]]&gt; 0, "Profitable", Sales_Data_1[[#This Row],[Profit_Amount]] = 0, "Break-Even", TRUE, "Loss")</f>
        <v>Profitable</v>
      </c>
      <c r="AA220" t="str" cm="1">
        <f t="array" ref="AA220">_xlfn.IFS(Sales_Data_1[[#This Row],[Sales]]&gt;= 1000, "High Value", Sales_Data_1[[#This Row],[Sales]]&gt;= 300, "Mid Value", TRUE, "Low Value")</f>
        <v>High Value</v>
      </c>
    </row>
    <row r="221" spans="1:27" x14ac:dyDescent="0.3">
      <c r="A221" t="s">
        <v>2444</v>
      </c>
      <c r="B221" s="1">
        <v>45330</v>
      </c>
      <c r="C221" t="s">
        <v>63</v>
      </c>
      <c r="D221" t="s">
        <v>56</v>
      </c>
      <c r="E221" t="s">
        <v>2040</v>
      </c>
      <c r="F221" t="s">
        <v>103</v>
      </c>
      <c r="G221" t="s">
        <v>34</v>
      </c>
      <c r="H221" t="s">
        <v>104</v>
      </c>
      <c r="I221" t="s">
        <v>874</v>
      </c>
      <c r="J221">
        <v>3</v>
      </c>
      <c r="K221">
        <v>1482</v>
      </c>
      <c r="L221">
        <v>0.05</v>
      </c>
      <c r="M221">
        <v>1407.9</v>
      </c>
      <c r="N221">
        <v>4223.7</v>
      </c>
      <c r="O221">
        <v>0.4</v>
      </c>
      <c r="P221">
        <v>1689.48</v>
      </c>
      <c r="Q221" t="s">
        <v>47</v>
      </c>
      <c r="R221" t="s">
        <v>48</v>
      </c>
      <c r="S221">
        <v>9</v>
      </c>
      <c r="T221">
        <f>YEAR(Sales_Data_1[[#This Row],[Order_Date]])</f>
        <v>2024</v>
      </c>
      <c r="U221" t="str">
        <f>TEXT(Sales_Data_1[[#This Row],[Order_Date]], "mmm")</f>
        <v>Feb</v>
      </c>
      <c r="V221">
        <f>MONTH(Sales_Data_1[[#This Row],[Order_Date]])</f>
        <v>2</v>
      </c>
      <c r="W221" t="str">
        <f>TEXT(Sales_Data_1[[#This Row],[Order_Date]], "yyyy-mm")</f>
        <v>2024-02</v>
      </c>
      <c r="X221">
        <f>Sales_Data_1[[#This Row],[Sales]]-Sales_Data_1[[#This Row],[Profit_Amount]]</f>
        <v>2534.2199999999998</v>
      </c>
      <c r="Y221" t="str" cm="1">
        <f t="array" ref="Y221">_xlfn.IFS(Sales_Data_1[[#This Row],[Delivery_Days]]&lt;=3, "Fast", Sales_Data_1[[#This Row],[Delivery_Days]]&lt;= 7, "Standard", TRUE, "Delayed")</f>
        <v>Delayed</v>
      </c>
      <c r="Z221" t="str" cm="1">
        <f t="array" ref="Z221">_xlfn.IFS(Sales_Data_1[[#This Row],[Profit_Amount]]&gt; 0, "Profitable", Sales_Data_1[[#This Row],[Profit_Amount]] = 0, "Break-Even", TRUE, "Loss")</f>
        <v>Profitable</v>
      </c>
      <c r="AA221" t="str" cm="1">
        <f t="array" ref="AA221">_xlfn.IFS(Sales_Data_1[[#This Row],[Sales]]&gt;= 1000, "High Value", Sales_Data_1[[#This Row],[Sales]]&gt;= 300, "Mid Value", TRUE, "Low Value")</f>
        <v>High Value</v>
      </c>
    </row>
    <row r="222" spans="1:27" x14ac:dyDescent="0.3">
      <c r="A222" t="s">
        <v>2641</v>
      </c>
      <c r="B222" s="1">
        <v>45527</v>
      </c>
      <c r="C222" t="s">
        <v>96</v>
      </c>
      <c r="D222" t="s">
        <v>21</v>
      </c>
      <c r="E222" t="s">
        <v>2042</v>
      </c>
      <c r="F222" t="s">
        <v>43</v>
      </c>
      <c r="G222" t="s">
        <v>44</v>
      </c>
      <c r="H222" t="s">
        <v>116</v>
      </c>
      <c r="I222" t="s">
        <v>1263</v>
      </c>
      <c r="J222">
        <v>2</v>
      </c>
      <c r="K222">
        <v>2944</v>
      </c>
      <c r="L222">
        <v>0.18</v>
      </c>
      <c r="M222">
        <v>2414.08</v>
      </c>
      <c r="N222">
        <v>4828.16</v>
      </c>
      <c r="O222">
        <v>0.35</v>
      </c>
      <c r="P222">
        <v>1689.86</v>
      </c>
      <c r="Q222" t="s">
        <v>27</v>
      </c>
      <c r="R222" t="s">
        <v>48</v>
      </c>
      <c r="S222">
        <v>8</v>
      </c>
      <c r="T222">
        <f>YEAR(Sales_Data_1[[#This Row],[Order_Date]])</f>
        <v>2024</v>
      </c>
      <c r="U222" t="str">
        <f>TEXT(Sales_Data_1[[#This Row],[Order_Date]], "mmm")</f>
        <v>Aug</v>
      </c>
      <c r="V222">
        <f>MONTH(Sales_Data_1[[#This Row],[Order_Date]])</f>
        <v>8</v>
      </c>
      <c r="W222" t="str">
        <f>TEXT(Sales_Data_1[[#This Row],[Order_Date]], "yyyy-mm")</f>
        <v>2024-08</v>
      </c>
      <c r="X222">
        <f>Sales_Data_1[[#This Row],[Sales]]-Sales_Data_1[[#This Row],[Profit_Amount]]</f>
        <v>3138.3</v>
      </c>
      <c r="Y222" t="str" cm="1">
        <f t="array" ref="Y222">_xlfn.IFS(Sales_Data_1[[#This Row],[Delivery_Days]]&lt;=3, "Fast", Sales_Data_1[[#This Row],[Delivery_Days]]&lt;= 7, "Standard", TRUE, "Delayed")</f>
        <v>Delayed</v>
      </c>
      <c r="Z222" t="str" cm="1">
        <f t="array" ref="Z222">_xlfn.IFS(Sales_Data_1[[#This Row],[Profit_Amount]]&gt; 0, "Profitable", Sales_Data_1[[#This Row],[Profit_Amount]] = 0, "Break-Even", TRUE, "Loss")</f>
        <v>Profitable</v>
      </c>
      <c r="AA222" t="str" cm="1">
        <f t="array" ref="AA222">_xlfn.IFS(Sales_Data_1[[#This Row],[Sales]]&gt;= 1000, "High Value", Sales_Data_1[[#This Row],[Sales]]&gt;= 300, "Mid Value", TRUE, "Low Value")</f>
        <v>High Value</v>
      </c>
    </row>
    <row r="223" spans="1:27" x14ac:dyDescent="0.3">
      <c r="A223" t="s">
        <v>2162</v>
      </c>
      <c r="B223" s="1">
        <v>45048</v>
      </c>
      <c r="C223" t="s">
        <v>96</v>
      </c>
      <c r="D223" t="s">
        <v>21</v>
      </c>
      <c r="E223" t="s">
        <v>67</v>
      </c>
      <c r="F223" t="s">
        <v>103</v>
      </c>
      <c r="G223" t="s">
        <v>24</v>
      </c>
      <c r="H223" t="s">
        <v>121</v>
      </c>
      <c r="I223" t="s">
        <v>314</v>
      </c>
      <c r="J223">
        <v>6</v>
      </c>
      <c r="K223">
        <v>1269</v>
      </c>
      <c r="L223">
        <v>0.1</v>
      </c>
      <c r="M223">
        <v>1142.0999999999999</v>
      </c>
      <c r="N223">
        <v>6852.6</v>
      </c>
      <c r="O223">
        <v>0.25</v>
      </c>
      <c r="P223">
        <v>1713.15</v>
      </c>
      <c r="Q223" t="s">
        <v>37</v>
      </c>
      <c r="R223" t="s">
        <v>48</v>
      </c>
      <c r="S223">
        <v>1</v>
      </c>
      <c r="T223">
        <f>YEAR(Sales_Data_1[[#This Row],[Order_Date]])</f>
        <v>2023</v>
      </c>
      <c r="U223" t="str">
        <f>TEXT(Sales_Data_1[[#This Row],[Order_Date]], "mmm")</f>
        <v>May</v>
      </c>
      <c r="V223">
        <f>MONTH(Sales_Data_1[[#This Row],[Order_Date]])</f>
        <v>5</v>
      </c>
      <c r="W223" t="str">
        <f>TEXT(Sales_Data_1[[#This Row],[Order_Date]], "yyyy-mm")</f>
        <v>2023-05</v>
      </c>
      <c r="X223">
        <f>Sales_Data_1[[#This Row],[Sales]]-Sales_Data_1[[#This Row],[Profit_Amount]]</f>
        <v>5139.4500000000007</v>
      </c>
      <c r="Y223" t="str" cm="1">
        <f t="array" ref="Y223">_xlfn.IFS(Sales_Data_1[[#This Row],[Delivery_Days]]&lt;=3, "Fast", Sales_Data_1[[#This Row],[Delivery_Days]]&lt;= 7, "Standard", TRUE, "Delayed")</f>
        <v>Fast</v>
      </c>
      <c r="Z223" t="str" cm="1">
        <f t="array" ref="Z223">_xlfn.IFS(Sales_Data_1[[#This Row],[Profit_Amount]]&gt; 0, "Profitable", Sales_Data_1[[#This Row],[Profit_Amount]] = 0, "Break-Even", TRUE, "Loss")</f>
        <v>Profitable</v>
      </c>
      <c r="AA223" t="str" cm="1">
        <f t="array" ref="AA223">_xlfn.IFS(Sales_Data_1[[#This Row],[Sales]]&gt;= 1000, "High Value", Sales_Data_1[[#This Row],[Sales]]&gt;= 300, "Mid Value", TRUE, "Low Value")</f>
        <v>High Value</v>
      </c>
    </row>
    <row r="224" spans="1:27" x14ac:dyDescent="0.3">
      <c r="A224" t="s">
        <v>2461</v>
      </c>
      <c r="B224" s="1">
        <v>45347</v>
      </c>
      <c r="C224" t="s">
        <v>20</v>
      </c>
      <c r="D224" t="s">
        <v>31</v>
      </c>
      <c r="E224" t="s">
        <v>2042</v>
      </c>
      <c r="F224" t="s">
        <v>97</v>
      </c>
      <c r="G224" t="s">
        <v>57</v>
      </c>
      <c r="H224" t="s">
        <v>183</v>
      </c>
      <c r="I224" t="s">
        <v>908</v>
      </c>
      <c r="J224">
        <v>5</v>
      </c>
      <c r="K224">
        <v>2207</v>
      </c>
      <c r="L224">
        <v>0.22</v>
      </c>
      <c r="M224">
        <v>1721.46</v>
      </c>
      <c r="N224">
        <v>8607.2999999999993</v>
      </c>
      <c r="O224">
        <v>0.2</v>
      </c>
      <c r="P224">
        <v>1721.46</v>
      </c>
      <c r="Q224" t="s">
        <v>27</v>
      </c>
      <c r="R224" t="s">
        <v>48</v>
      </c>
      <c r="S224">
        <v>2</v>
      </c>
      <c r="T224">
        <f>YEAR(Sales_Data_1[[#This Row],[Order_Date]])</f>
        <v>2024</v>
      </c>
      <c r="U224" t="str">
        <f>TEXT(Sales_Data_1[[#This Row],[Order_Date]], "mmm")</f>
        <v>Feb</v>
      </c>
      <c r="V224">
        <f>MONTH(Sales_Data_1[[#This Row],[Order_Date]])</f>
        <v>2</v>
      </c>
      <c r="W224" t="str">
        <f>TEXT(Sales_Data_1[[#This Row],[Order_Date]], "yyyy-mm")</f>
        <v>2024-02</v>
      </c>
      <c r="X224">
        <f>Sales_Data_1[[#This Row],[Sales]]-Sales_Data_1[[#This Row],[Profit_Amount]]</f>
        <v>6885.8399999999992</v>
      </c>
      <c r="Y224" t="str" cm="1">
        <f t="array" ref="Y224">_xlfn.IFS(Sales_Data_1[[#This Row],[Delivery_Days]]&lt;=3, "Fast", Sales_Data_1[[#This Row],[Delivery_Days]]&lt;= 7, "Standard", TRUE, "Delayed")</f>
        <v>Fast</v>
      </c>
      <c r="Z224" t="str" cm="1">
        <f t="array" ref="Z224">_xlfn.IFS(Sales_Data_1[[#This Row],[Profit_Amount]]&gt; 0, "Profitable", Sales_Data_1[[#This Row],[Profit_Amount]] = 0, "Break-Even", TRUE, "Loss")</f>
        <v>Profitable</v>
      </c>
      <c r="AA224" t="str" cm="1">
        <f t="array" ref="AA224">_xlfn.IFS(Sales_Data_1[[#This Row],[Sales]]&gt;= 1000, "High Value", Sales_Data_1[[#This Row],[Sales]]&gt;= 300, "Mid Value", TRUE, "Low Value")</f>
        <v>High Value</v>
      </c>
    </row>
    <row r="225" spans="1:27" x14ac:dyDescent="0.3">
      <c r="A225" t="s">
        <v>2317</v>
      </c>
      <c r="B225" s="1">
        <v>45203</v>
      </c>
      <c r="C225" t="s">
        <v>30</v>
      </c>
      <c r="D225" t="s">
        <v>21</v>
      </c>
      <c r="E225" t="s">
        <v>2040</v>
      </c>
      <c r="F225" t="s">
        <v>103</v>
      </c>
      <c r="G225" t="s">
        <v>34</v>
      </c>
      <c r="H225" t="s">
        <v>104</v>
      </c>
      <c r="I225" t="s">
        <v>624</v>
      </c>
      <c r="J225">
        <v>8</v>
      </c>
      <c r="K225">
        <v>606</v>
      </c>
      <c r="L225">
        <v>0.11</v>
      </c>
      <c r="M225">
        <v>539.34</v>
      </c>
      <c r="N225">
        <v>4314.72</v>
      </c>
      <c r="O225">
        <v>0.4</v>
      </c>
      <c r="P225">
        <v>1725.89</v>
      </c>
      <c r="Q225" t="s">
        <v>47</v>
      </c>
      <c r="R225" t="s">
        <v>48</v>
      </c>
      <c r="S225">
        <v>8</v>
      </c>
      <c r="T225">
        <f>YEAR(Sales_Data_1[[#This Row],[Order_Date]])</f>
        <v>2023</v>
      </c>
      <c r="U225" t="str">
        <f>TEXT(Sales_Data_1[[#This Row],[Order_Date]], "mmm")</f>
        <v>Oct</v>
      </c>
      <c r="V225">
        <f>MONTH(Sales_Data_1[[#This Row],[Order_Date]])</f>
        <v>10</v>
      </c>
      <c r="W225" t="str">
        <f>TEXT(Sales_Data_1[[#This Row],[Order_Date]], "yyyy-mm")</f>
        <v>2023-10</v>
      </c>
      <c r="X225">
        <f>Sales_Data_1[[#This Row],[Sales]]-Sales_Data_1[[#This Row],[Profit_Amount]]</f>
        <v>2588.83</v>
      </c>
      <c r="Y225" t="str" cm="1">
        <f t="array" ref="Y225">_xlfn.IFS(Sales_Data_1[[#This Row],[Delivery_Days]]&lt;=3, "Fast", Sales_Data_1[[#This Row],[Delivery_Days]]&lt;= 7, "Standard", TRUE, "Delayed")</f>
        <v>Delayed</v>
      </c>
      <c r="Z225" t="str" cm="1">
        <f t="array" ref="Z225">_xlfn.IFS(Sales_Data_1[[#This Row],[Profit_Amount]]&gt; 0, "Profitable", Sales_Data_1[[#This Row],[Profit_Amount]] = 0, "Break-Even", TRUE, "Loss")</f>
        <v>Profitable</v>
      </c>
      <c r="AA225" t="str" cm="1">
        <f t="array" ref="AA225">_xlfn.IFS(Sales_Data_1[[#This Row],[Sales]]&gt;= 1000, "High Value", Sales_Data_1[[#This Row],[Sales]]&gt;= 300, "Mid Value", TRUE, "Low Value")</f>
        <v>High Value</v>
      </c>
    </row>
    <row r="226" spans="1:27" x14ac:dyDescent="0.3">
      <c r="A226" t="s">
        <v>2242</v>
      </c>
      <c r="B226" s="1">
        <v>45128</v>
      </c>
      <c r="C226" t="s">
        <v>40</v>
      </c>
      <c r="D226" t="s">
        <v>56</v>
      </c>
      <c r="E226" t="s">
        <v>42</v>
      </c>
      <c r="F226" t="s">
        <v>68</v>
      </c>
      <c r="G226" t="s">
        <v>44</v>
      </c>
      <c r="H226" t="s">
        <v>138</v>
      </c>
      <c r="I226" t="s">
        <v>474</v>
      </c>
      <c r="J226">
        <v>8</v>
      </c>
      <c r="K226">
        <v>802</v>
      </c>
      <c r="L226">
        <v>0.23</v>
      </c>
      <c r="M226">
        <v>617.54</v>
      </c>
      <c r="N226">
        <v>4940.32</v>
      </c>
      <c r="O226">
        <v>0.35</v>
      </c>
      <c r="P226">
        <v>1729.11</v>
      </c>
      <c r="Q226" t="s">
        <v>27</v>
      </c>
      <c r="R226" t="s">
        <v>48</v>
      </c>
      <c r="S226">
        <v>1</v>
      </c>
      <c r="T226">
        <f>YEAR(Sales_Data_1[[#This Row],[Order_Date]])</f>
        <v>2023</v>
      </c>
      <c r="U226" t="str">
        <f>TEXT(Sales_Data_1[[#This Row],[Order_Date]], "mmm")</f>
        <v>Jul</v>
      </c>
      <c r="V226">
        <f>MONTH(Sales_Data_1[[#This Row],[Order_Date]])</f>
        <v>7</v>
      </c>
      <c r="W226" t="str">
        <f>TEXT(Sales_Data_1[[#This Row],[Order_Date]], "yyyy-mm")</f>
        <v>2023-07</v>
      </c>
      <c r="X226">
        <f>Sales_Data_1[[#This Row],[Sales]]-Sales_Data_1[[#This Row],[Profit_Amount]]</f>
        <v>3211.21</v>
      </c>
      <c r="Y226" t="str" cm="1">
        <f t="array" ref="Y226">_xlfn.IFS(Sales_Data_1[[#This Row],[Delivery_Days]]&lt;=3, "Fast", Sales_Data_1[[#This Row],[Delivery_Days]]&lt;= 7, "Standard", TRUE, "Delayed")</f>
        <v>Fast</v>
      </c>
      <c r="Z226" t="str" cm="1">
        <f t="array" ref="Z226">_xlfn.IFS(Sales_Data_1[[#This Row],[Profit_Amount]]&gt; 0, "Profitable", Sales_Data_1[[#This Row],[Profit_Amount]] = 0, "Break-Even", TRUE, "Loss")</f>
        <v>Profitable</v>
      </c>
      <c r="AA226" t="str" cm="1">
        <f t="array" ref="AA226">_xlfn.IFS(Sales_Data_1[[#This Row],[Sales]]&gt;= 1000, "High Value", Sales_Data_1[[#This Row],[Sales]]&gt;= 300, "Mid Value", TRUE, "Low Value")</f>
        <v>High Value</v>
      </c>
    </row>
    <row r="227" spans="1:27" x14ac:dyDescent="0.3">
      <c r="A227" t="s">
        <v>2506</v>
      </c>
      <c r="B227" s="1">
        <v>45392</v>
      </c>
      <c r="C227" t="s">
        <v>40</v>
      </c>
      <c r="D227" t="s">
        <v>56</v>
      </c>
      <c r="E227" t="s">
        <v>67</v>
      </c>
      <c r="F227" t="s">
        <v>103</v>
      </c>
      <c r="G227" t="s">
        <v>57</v>
      </c>
      <c r="H227" t="s">
        <v>81</v>
      </c>
      <c r="I227" t="s">
        <v>997</v>
      </c>
      <c r="J227">
        <v>4</v>
      </c>
      <c r="K227">
        <v>2560</v>
      </c>
      <c r="L227">
        <v>0.15</v>
      </c>
      <c r="M227">
        <v>2176</v>
      </c>
      <c r="N227">
        <v>8704</v>
      </c>
      <c r="O227">
        <v>0.2</v>
      </c>
      <c r="P227">
        <v>1740.8</v>
      </c>
      <c r="Q227" t="s">
        <v>47</v>
      </c>
      <c r="R227" t="s">
        <v>48</v>
      </c>
      <c r="S227">
        <v>3</v>
      </c>
      <c r="T227">
        <f>YEAR(Sales_Data_1[[#This Row],[Order_Date]])</f>
        <v>2024</v>
      </c>
      <c r="U227" t="str">
        <f>TEXT(Sales_Data_1[[#This Row],[Order_Date]], "mmm")</f>
        <v>Apr</v>
      </c>
      <c r="V227">
        <f>MONTH(Sales_Data_1[[#This Row],[Order_Date]])</f>
        <v>4</v>
      </c>
      <c r="W227" t="str">
        <f>TEXT(Sales_Data_1[[#This Row],[Order_Date]], "yyyy-mm")</f>
        <v>2024-04</v>
      </c>
      <c r="X227">
        <f>Sales_Data_1[[#This Row],[Sales]]-Sales_Data_1[[#This Row],[Profit_Amount]]</f>
        <v>6963.2</v>
      </c>
      <c r="Y227" t="str" cm="1">
        <f t="array" ref="Y227">_xlfn.IFS(Sales_Data_1[[#This Row],[Delivery_Days]]&lt;=3, "Fast", Sales_Data_1[[#This Row],[Delivery_Days]]&lt;= 7, "Standard", TRUE, "Delayed")</f>
        <v>Fast</v>
      </c>
      <c r="Z227" t="str" cm="1">
        <f t="array" ref="Z227">_xlfn.IFS(Sales_Data_1[[#This Row],[Profit_Amount]]&gt; 0, "Profitable", Sales_Data_1[[#This Row],[Profit_Amount]] = 0, "Break-Even", TRUE, "Loss")</f>
        <v>Profitable</v>
      </c>
      <c r="AA227" t="str" cm="1">
        <f t="array" ref="AA227">_xlfn.IFS(Sales_Data_1[[#This Row],[Sales]]&gt;= 1000, "High Value", Sales_Data_1[[#This Row],[Sales]]&gt;= 300, "Mid Value", TRUE, "Low Value")</f>
        <v>High Value</v>
      </c>
    </row>
    <row r="228" spans="1:27" x14ac:dyDescent="0.3">
      <c r="A228" t="s">
        <v>2910</v>
      </c>
      <c r="B228" s="1">
        <v>45796</v>
      </c>
      <c r="C228" t="s">
        <v>30</v>
      </c>
      <c r="D228" t="s">
        <v>56</v>
      </c>
      <c r="E228" t="s">
        <v>2040</v>
      </c>
      <c r="F228" t="s">
        <v>23</v>
      </c>
      <c r="G228" t="s">
        <v>24</v>
      </c>
      <c r="H228" t="s">
        <v>74</v>
      </c>
      <c r="I228" t="s">
        <v>1789</v>
      </c>
      <c r="J228">
        <v>1</v>
      </c>
      <c r="K228">
        <v>7868</v>
      </c>
      <c r="L228">
        <v>0.11</v>
      </c>
      <c r="M228">
        <v>7002.52</v>
      </c>
      <c r="N228">
        <v>7002.52</v>
      </c>
      <c r="O228">
        <v>0.25</v>
      </c>
      <c r="P228">
        <v>1750.63</v>
      </c>
      <c r="Q228" t="s">
        <v>37</v>
      </c>
      <c r="R228" t="s">
        <v>48</v>
      </c>
      <c r="S228">
        <v>4</v>
      </c>
      <c r="T228">
        <f>YEAR(Sales_Data_1[[#This Row],[Order_Date]])</f>
        <v>2025</v>
      </c>
      <c r="U228" t="str">
        <f>TEXT(Sales_Data_1[[#This Row],[Order_Date]], "mmm")</f>
        <v>May</v>
      </c>
      <c r="V228">
        <f>MONTH(Sales_Data_1[[#This Row],[Order_Date]])</f>
        <v>5</v>
      </c>
      <c r="W228" t="str">
        <f>TEXT(Sales_Data_1[[#This Row],[Order_Date]], "yyyy-mm")</f>
        <v>2025-05</v>
      </c>
      <c r="X228">
        <f>Sales_Data_1[[#This Row],[Sales]]-Sales_Data_1[[#This Row],[Profit_Amount]]</f>
        <v>5251.89</v>
      </c>
      <c r="Y228" t="str" cm="1">
        <f t="array" ref="Y228">_xlfn.IFS(Sales_Data_1[[#This Row],[Delivery_Days]]&lt;=3, "Fast", Sales_Data_1[[#This Row],[Delivery_Days]]&lt;= 7, "Standard", TRUE, "Delayed")</f>
        <v>Standard</v>
      </c>
      <c r="Z228" t="str" cm="1">
        <f t="array" ref="Z228">_xlfn.IFS(Sales_Data_1[[#This Row],[Profit_Amount]]&gt; 0, "Profitable", Sales_Data_1[[#This Row],[Profit_Amount]] = 0, "Break-Even", TRUE, "Loss")</f>
        <v>Profitable</v>
      </c>
      <c r="AA228" t="str" cm="1">
        <f t="array" ref="AA228">_xlfn.IFS(Sales_Data_1[[#This Row],[Sales]]&gt;= 1000, "High Value", Sales_Data_1[[#This Row],[Sales]]&gt;= 300, "Mid Value", TRUE, "Low Value")</f>
        <v>High Value</v>
      </c>
    </row>
    <row r="229" spans="1:27" x14ac:dyDescent="0.3">
      <c r="A229" t="s">
        <v>2685</v>
      </c>
      <c r="B229" s="1">
        <v>45571</v>
      </c>
      <c r="C229" t="s">
        <v>40</v>
      </c>
      <c r="D229" t="s">
        <v>31</v>
      </c>
      <c r="E229" t="s">
        <v>67</v>
      </c>
      <c r="F229" t="s">
        <v>97</v>
      </c>
      <c r="G229" t="s">
        <v>34</v>
      </c>
      <c r="H229" t="s">
        <v>71</v>
      </c>
      <c r="I229" t="s">
        <v>1350</v>
      </c>
      <c r="J229">
        <v>9</v>
      </c>
      <c r="K229">
        <v>641</v>
      </c>
      <c r="L229">
        <v>0.24</v>
      </c>
      <c r="M229">
        <v>487.16</v>
      </c>
      <c r="N229">
        <v>4384.4399999999996</v>
      </c>
      <c r="O229">
        <v>0.4</v>
      </c>
      <c r="P229">
        <v>1753.78</v>
      </c>
      <c r="Q229" t="s">
        <v>37</v>
      </c>
      <c r="R229" t="s">
        <v>48</v>
      </c>
      <c r="S229">
        <v>2</v>
      </c>
      <c r="T229">
        <f>YEAR(Sales_Data_1[[#This Row],[Order_Date]])</f>
        <v>2024</v>
      </c>
      <c r="U229" t="str">
        <f>TEXT(Sales_Data_1[[#This Row],[Order_Date]], "mmm")</f>
        <v>Oct</v>
      </c>
      <c r="V229">
        <f>MONTH(Sales_Data_1[[#This Row],[Order_Date]])</f>
        <v>10</v>
      </c>
      <c r="W229" t="str">
        <f>TEXT(Sales_Data_1[[#This Row],[Order_Date]], "yyyy-mm")</f>
        <v>2024-10</v>
      </c>
      <c r="X229">
        <f>Sales_Data_1[[#This Row],[Sales]]-Sales_Data_1[[#This Row],[Profit_Amount]]</f>
        <v>2630.66</v>
      </c>
      <c r="Y229" t="str" cm="1">
        <f t="array" ref="Y229">_xlfn.IFS(Sales_Data_1[[#This Row],[Delivery_Days]]&lt;=3, "Fast", Sales_Data_1[[#This Row],[Delivery_Days]]&lt;= 7, "Standard", TRUE, "Delayed")</f>
        <v>Fast</v>
      </c>
      <c r="Z229" t="str" cm="1">
        <f t="array" ref="Z229">_xlfn.IFS(Sales_Data_1[[#This Row],[Profit_Amount]]&gt; 0, "Profitable", Sales_Data_1[[#This Row],[Profit_Amount]] = 0, "Break-Even", TRUE, "Loss")</f>
        <v>Profitable</v>
      </c>
      <c r="AA229" t="str" cm="1">
        <f t="array" ref="AA229">_xlfn.IFS(Sales_Data_1[[#This Row],[Sales]]&gt;= 1000, "High Value", Sales_Data_1[[#This Row],[Sales]]&gt;= 300, "Mid Value", TRUE, "Low Value")</f>
        <v>High Value</v>
      </c>
    </row>
    <row r="230" spans="1:27" x14ac:dyDescent="0.3">
      <c r="A230" t="s">
        <v>2100</v>
      </c>
      <c r="B230" s="1">
        <v>44986</v>
      </c>
      <c r="C230" t="s">
        <v>40</v>
      </c>
      <c r="D230" t="s">
        <v>41</v>
      </c>
      <c r="E230" t="s">
        <v>67</v>
      </c>
      <c r="F230" t="s">
        <v>103</v>
      </c>
      <c r="G230" t="s">
        <v>57</v>
      </c>
      <c r="H230" t="s">
        <v>183</v>
      </c>
      <c r="I230" t="s">
        <v>189</v>
      </c>
      <c r="J230">
        <v>3</v>
      </c>
      <c r="K230">
        <v>2956</v>
      </c>
      <c r="L230">
        <v>0.01</v>
      </c>
      <c r="M230">
        <v>2926.44</v>
      </c>
      <c r="N230">
        <v>8779.32</v>
      </c>
      <c r="O230">
        <v>0.2</v>
      </c>
      <c r="P230">
        <v>1755.86</v>
      </c>
      <c r="Q230" t="s">
        <v>47</v>
      </c>
      <c r="R230" t="s">
        <v>48</v>
      </c>
      <c r="S230">
        <v>5</v>
      </c>
      <c r="T230">
        <f>YEAR(Sales_Data_1[[#This Row],[Order_Date]])</f>
        <v>2023</v>
      </c>
      <c r="U230" t="str">
        <f>TEXT(Sales_Data_1[[#This Row],[Order_Date]], "mmm")</f>
        <v>Mar</v>
      </c>
      <c r="V230">
        <f>MONTH(Sales_Data_1[[#This Row],[Order_Date]])</f>
        <v>3</v>
      </c>
      <c r="W230" t="str">
        <f>TEXT(Sales_Data_1[[#This Row],[Order_Date]], "yyyy-mm")</f>
        <v>2023-03</v>
      </c>
      <c r="X230">
        <f>Sales_Data_1[[#This Row],[Sales]]-Sales_Data_1[[#This Row],[Profit_Amount]]</f>
        <v>7023.46</v>
      </c>
      <c r="Y230" t="str" cm="1">
        <f t="array" ref="Y230">_xlfn.IFS(Sales_Data_1[[#This Row],[Delivery_Days]]&lt;=3, "Fast", Sales_Data_1[[#This Row],[Delivery_Days]]&lt;= 7, "Standard", TRUE, "Delayed")</f>
        <v>Standard</v>
      </c>
      <c r="Z230" t="str" cm="1">
        <f t="array" ref="Z230">_xlfn.IFS(Sales_Data_1[[#This Row],[Profit_Amount]]&gt; 0, "Profitable", Sales_Data_1[[#This Row],[Profit_Amount]] = 0, "Break-Even", TRUE, "Loss")</f>
        <v>Profitable</v>
      </c>
      <c r="AA230" t="str" cm="1">
        <f t="array" ref="AA230">_xlfn.IFS(Sales_Data_1[[#This Row],[Sales]]&gt;= 1000, "High Value", Sales_Data_1[[#This Row],[Sales]]&gt;= 300, "Mid Value", TRUE, "Low Value")</f>
        <v>High Value</v>
      </c>
    </row>
    <row r="231" spans="1:27" x14ac:dyDescent="0.3">
      <c r="A231" t="s">
        <v>2598</v>
      </c>
      <c r="B231" s="1">
        <v>45484</v>
      </c>
      <c r="C231" t="s">
        <v>55</v>
      </c>
      <c r="D231" t="s">
        <v>21</v>
      </c>
      <c r="E231" t="s">
        <v>2040</v>
      </c>
      <c r="F231" t="s">
        <v>23</v>
      </c>
      <c r="G231" t="s">
        <v>34</v>
      </c>
      <c r="H231" t="s">
        <v>71</v>
      </c>
      <c r="I231" t="s">
        <v>1178</v>
      </c>
      <c r="J231">
        <v>4</v>
      </c>
      <c r="K231">
        <v>1181</v>
      </c>
      <c r="L231">
        <v>7.0000000000000007E-2</v>
      </c>
      <c r="M231">
        <v>1098.33</v>
      </c>
      <c r="N231">
        <v>4393.32</v>
      </c>
      <c r="O231">
        <v>0.4</v>
      </c>
      <c r="P231">
        <v>1757.33</v>
      </c>
      <c r="Q231" t="s">
        <v>47</v>
      </c>
      <c r="R231" t="s">
        <v>48</v>
      </c>
      <c r="S231">
        <v>8</v>
      </c>
      <c r="T231">
        <f>YEAR(Sales_Data_1[[#This Row],[Order_Date]])</f>
        <v>2024</v>
      </c>
      <c r="U231" t="str">
        <f>TEXT(Sales_Data_1[[#This Row],[Order_Date]], "mmm")</f>
        <v>Jul</v>
      </c>
      <c r="V231">
        <f>MONTH(Sales_Data_1[[#This Row],[Order_Date]])</f>
        <v>7</v>
      </c>
      <c r="W231" t="str">
        <f>TEXT(Sales_Data_1[[#This Row],[Order_Date]], "yyyy-mm")</f>
        <v>2024-07</v>
      </c>
      <c r="X231">
        <f>Sales_Data_1[[#This Row],[Sales]]-Sales_Data_1[[#This Row],[Profit_Amount]]</f>
        <v>2635.99</v>
      </c>
      <c r="Y231" t="str" cm="1">
        <f t="array" ref="Y231">_xlfn.IFS(Sales_Data_1[[#This Row],[Delivery_Days]]&lt;=3, "Fast", Sales_Data_1[[#This Row],[Delivery_Days]]&lt;= 7, "Standard", TRUE, "Delayed")</f>
        <v>Delayed</v>
      </c>
      <c r="Z231" t="str" cm="1">
        <f t="array" ref="Z231">_xlfn.IFS(Sales_Data_1[[#This Row],[Profit_Amount]]&gt; 0, "Profitable", Sales_Data_1[[#This Row],[Profit_Amount]] = 0, "Break-Even", TRUE, "Loss")</f>
        <v>Profitable</v>
      </c>
      <c r="AA231" t="str" cm="1">
        <f t="array" ref="AA231">_xlfn.IFS(Sales_Data_1[[#This Row],[Sales]]&gt;= 1000, "High Value", Sales_Data_1[[#This Row],[Sales]]&gt;= 300, "Mid Value", TRUE, "Low Value")</f>
        <v>High Value</v>
      </c>
    </row>
    <row r="232" spans="1:27" x14ac:dyDescent="0.3">
      <c r="A232" t="s">
        <v>2577</v>
      </c>
      <c r="B232" s="1">
        <v>45463</v>
      </c>
      <c r="C232" t="s">
        <v>20</v>
      </c>
      <c r="D232" t="s">
        <v>56</v>
      </c>
      <c r="E232" t="s">
        <v>2042</v>
      </c>
      <c r="F232" t="s">
        <v>68</v>
      </c>
      <c r="G232" t="s">
        <v>44</v>
      </c>
      <c r="H232" t="s">
        <v>138</v>
      </c>
      <c r="I232" t="s">
        <v>1137</v>
      </c>
      <c r="J232">
        <v>7</v>
      </c>
      <c r="K232">
        <v>899</v>
      </c>
      <c r="L232">
        <v>0.2</v>
      </c>
      <c r="M232">
        <v>719.2</v>
      </c>
      <c r="N232">
        <v>5034.3999999999996</v>
      </c>
      <c r="O232">
        <v>0.35</v>
      </c>
      <c r="P232">
        <v>1762.04</v>
      </c>
      <c r="Q232" t="s">
        <v>47</v>
      </c>
      <c r="R232" t="s">
        <v>38</v>
      </c>
      <c r="S232">
        <v>5</v>
      </c>
      <c r="T232">
        <f>YEAR(Sales_Data_1[[#This Row],[Order_Date]])</f>
        <v>2024</v>
      </c>
      <c r="U232" t="str">
        <f>TEXT(Sales_Data_1[[#This Row],[Order_Date]], "mmm")</f>
        <v>Jun</v>
      </c>
      <c r="V232">
        <f>MONTH(Sales_Data_1[[#This Row],[Order_Date]])</f>
        <v>6</v>
      </c>
      <c r="W232" t="str">
        <f>TEXT(Sales_Data_1[[#This Row],[Order_Date]], "yyyy-mm")</f>
        <v>2024-06</v>
      </c>
      <c r="X232">
        <f>Sales_Data_1[[#This Row],[Sales]]-Sales_Data_1[[#This Row],[Profit_Amount]]</f>
        <v>3272.3599999999997</v>
      </c>
      <c r="Y232" t="str" cm="1">
        <f t="array" ref="Y232">_xlfn.IFS(Sales_Data_1[[#This Row],[Delivery_Days]]&lt;=3, "Fast", Sales_Data_1[[#This Row],[Delivery_Days]]&lt;= 7, "Standard", TRUE, "Delayed")</f>
        <v>Standard</v>
      </c>
      <c r="Z232" t="str" cm="1">
        <f t="array" ref="Z232">_xlfn.IFS(Sales_Data_1[[#This Row],[Profit_Amount]]&gt; 0, "Profitable", Sales_Data_1[[#This Row],[Profit_Amount]] = 0, "Break-Even", TRUE, "Loss")</f>
        <v>Profitable</v>
      </c>
      <c r="AA232" t="str" cm="1">
        <f t="array" ref="AA232">_xlfn.IFS(Sales_Data_1[[#This Row],[Sales]]&gt;= 1000, "High Value", Sales_Data_1[[#This Row],[Sales]]&gt;= 300, "Mid Value", TRUE, "Low Value")</f>
        <v>High Value</v>
      </c>
    </row>
    <row r="233" spans="1:27" x14ac:dyDescent="0.3">
      <c r="A233" t="s">
        <v>2113</v>
      </c>
      <c r="B233" s="1">
        <v>44999</v>
      </c>
      <c r="C233" t="s">
        <v>20</v>
      </c>
      <c r="D233" t="s">
        <v>31</v>
      </c>
      <c r="E233" t="s">
        <v>2042</v>
      </c>
      <c r="F233" t="s">
        <v>23</v>
      </c>
      <c r="G233" t="s">
        <v>34</v>
      </c>
      <c r="H233" t="s">
        <v>71</v>
      </c>
      <c r="I233" t="s">
        <v>215</v>
      </c>
      <c r="J233">
        <v>4</v>
      </c>
      <c r="K233">
        <v>1473</v>
      </c>
      <c r="L233">
        <v>0.25</v>
      </c>
      <c r="M233">
        <v>1104.75</v>
      </c>
      <c r="N233">
        <v>4419</v>
      </c>
      <c r="O233">
        <v>0.4</v>
      </c>
      <c r="P233">
        <v>1767.6</v>
      </c>
      <c r="Q233" t="s">
        <v>47</v>
      </c>
      <c r="R233" t="s">
        <v>48</v>
      </c>
      <c r="S233">
        <v>3</v>
      </c>
      <c r="T233">
        <f>YEAR(Sales_Data_1[[#This Row],[Order_Date]])</f>
        <v>2023</v>
      </c>
      <c r="U233" t="str">
        <f>TEXT(Sales_Data_1[[#This Row],[Order_Date]], "mmm")</f>
        <v>Mar</v>
      </c>
      <c r="V233">
        <f>MONTH(Sales_Data_1[[#This Row],[Order_Date]])</f>
        <v>3</v>
      </c>
      <c r="W233" t="str">
        <f>TEXT(Sales_Data_1[[#This Row],[Order_Date]], "yyyy-mm")</f>
        <v>2023-03</v>
      </c>
      <c r="X233">
        <f>Sales_Data_1[[#This Row],[Sales]]-Sales_Data_1[[#This Row],[Profit_Amount]]</f>
        <v>2651.4</v>
      </c>
      <c r="Y233" t="str" cm="1">
        <f t="array" ref="Y233">_xlfn.IFS(Sales_Data_1[[#This Row],[Delivery_Days]]&lt;=3, "Fast", Sales_Data_1[[#This Row],[Delivery_Days]]&lt;= 7, "Standard", TRUE, "Delayed")</f>
        <v>Fast</v>
      </c>
      <c r="Z233" t="str" cm="1">
        <f t="array" ref="Z233">_xlfn.IFS(Sales_Data_1[[#This Row],[Profit_Amount]]&gt; 0, "Profitable", Sales_Data_1[[#This Row],[Profit_Amount]] = 0, "Break-Even", TRUE, "Loss")</f>
        <v>Profitable</v>
      </c>
      <c r="AA233" t="str" cm="1">
        <f t="array" ref="AA233">_xlfn.IFS(Sales_Data_1[[#This Row],[Sales]]&gt;= 1000, "High Value", Sales_Data_1[[#This Row],[Sales]]&gt;= 300, "Mid Value", TRUE, "Low Value")</f>
        <v>High Value</v>
      </c>
    </row>
    <row r="234" spans="1:27" x14ac:dyDescent="0.3">
      <c r="A234" t="s">
        <v>2400</v>
      </c>
      <c r="B234" s="1">
        <v>45286</v>
      </c>
      <c r="C234" t="s">
        <v>40</v>
      </c>
      <c r="D234" t="s">
        <v>41</v>
      </c>
      <c r="E234" t="s">
        <v>2042</v>
      </c>
      <c r="F234" t="s">
        <v>103</v>
      </c>
      <c r="G234" t="s">
        <v>34</v>
      </c>
      <c r="H234" t="s">
        <v>71</v>
      </c>
      <c r="I234" t="s">
        <v>786</v>
      </c>
      <c r="J234">
        <v>4</v>
      </c>
      <c r="K234">
        <v>1383</v>
      </c>
      <c r="L234">
        <v>0.2</v>
      </c>
      <c r="M234">
        <v>1106.4000000000001</v>
      </c>
      <c r="N234">
        <v>4425.6000000000004</v>
      </c>
      <c r="O234">
        <v>0.4</v>
      </c>
      <c r="P234">
        <v>1770.24</v>
      </c>
      <c r="Q234" t="s">
        <v>47</v>
      </c>
      <c r="R234" t="s">
        <v>28</v>
      </c>
      <c r="S234">
        <v>6</v>
      </c>
      <c r="T234">
        <f>YEAR(Sales_Data_1[[#This Row],[Order_Date]])</f>
        <v>2023</v>
      </c>
      <c r="U234" t="str">
        <f>TEXT(Sales_Data_1[[#This Row],[Order_Date]], "mmm")</f>
        <v>Dec</v>
      </c>
      <c r="V234">
        <f>MONTH(Sales_Data_1[[#This Row],[Order_Date]])</f>
        <v>12</v>
      </c>
      <c r="W234" t="str">
        <f>TEXT(Sales_Data_1[[#This Row],[Order_Date]], "yyyy-mm")</f>
        <v>2023-12</v>
      </c>
      <c r="X234">
        <f>Sales_Data_1[[#This Row],[Sales]]-Sales_Data_1[[#This Row],[Profit_Amount]]</f>
        <v>2655.3600000000006</v>
      </c>
      <c r="Y234" t="str" cm="1">
        <f t="array" ref="Y234">_xlfn.IFS(Sales_Data_1[[#This Row],[Delivery_Days]]&lt;=3, "Fast", Sales_Data_1[[#This Row],[Delivery_Days]]&lt;= 7, "Standard", TRUE, "Delayed")</f>
        <v>Standard</v>
      </c>
      <c r="Z234" t="str" cm="1">
        <f t="array" ref="Z234">_xlfn.IFS(Sales_Data_1[[#This Row],[Profit_Amount]]&gt; 0, "Profitable", Sales_Data_1[[#This Row],[Profit_Amount]] = 0, "Break-Even", TRUE, "Loss")</f>
        <v>Profitable</v>
      </c>
      <c r="AA234" t="str" cm="1">
        <f t="array" ref="AA234">_xlfn.IFS(Sales_Data_1[[#This Row],[Sales]]&gt;= 1000, "High Value", Sales_Data_1[[#This Row],[Sales]]&gt;= 300, "Mid Value", TRUE, "Low Value")</f>
        <v>High Value</v>
      </c>
    </row>
    <row r="235" spans="1:27" x14ac:dyDescent="0.3">
      <c r="A235" t="s">
        <v>2855</v>
      </c>
      <c r="B235" s="1">
        <v>45741</v>
      </c>
      <c r="C235" t="s">
        <v>30</v>
      </c>
      <c r="D235" t="s">
        <v>56</v>
      </c>
      <c r="E235" t="s">
        <v>2040</v>
      </c>
      <c r="F235" t="s">
        <v>43</v>
      </c>
      <c r="G235" t="s">
        <v>57</v>
      </c>
      <c r="H235" t="s">
        <v>183</v>
      </c>
      <c r="I235" t="s">
        <v>1681</v>
      </c>
      <c r="J235">
        <v>1</v>
      </c>
      <c r="K235">
        <v>11518</v>
      </c>
      <c r="L235">
        <v>0.22</v>
      </c>
      <c r="M235">
        <v>8984.0400000000009</v>
      </c>
      <c r="N235">
        <v>8984.0400000000009</v>
      </c>
      <c r="O235">
        <v>0.2</v>
      </c>
      <c r="P235">
        <v>1796.81</v>
      </c>
      <c r="Q235" t="s">
        <v>51</v>
      </c>
      <c r="R235" t="s">
        <v>38</v>
      </c>
      <c r="S235">
        <v>8</v>
      </c>
      <c r="T235">
        <f>YEAR(Sales_Data_1[[#This Row],[Order_Date]])</f>
        <v>2025</v>
      </c>
      <c r="U235" t="str">
        <f>TEXT(Sales_Data_1[[#This Row],[Order_Date]], "mmm")</f>
        <v>Mar</v>
      </c>
      <c r="V235">
        <f>MONTH(Sales_Data_1[[#This Row],[Order_Date]])</f>
        <v>3</v>
      </c>
      <c r="W235" t="str">
        <f>TEXT(Sales_Data_1[[#This Row],[Order_Date]], "yyyy-mm")</f>
        <v>2025-03</v>
      </c>
      <c r="X235">
        <f>Sales_Data_1[[#This Row],[Sales]]-Sales_Data_1[[#This Row],[Profit_Amount]]</f>
        <v>7187.2300000000014</v>
      </c>
      <c r="Y235" t="str" cm="1">
        <f t="array" ref="Y235">_xlfn.IFS(Sales_Data_1[[#This Row],[Delivery_Days]]&lt;=3, "Fast", Sales_Data_1[[#This Row],[Delivery_Days]]&lt;= 7, "Standard", TRUE, "Delayed")</f>
        <v>Delayed</v>
      </c>
      <c r="Z235" t="str" cm="1">
        <f t="array" ref="Z235">_xlfn.IFS(Sales_Data_1[[#This Row],[Profit_Amount]]&gt; 0, "Profitable", Sales_Data_1[[#This Row],[Profit_Amount]] = 0, "Break-Even", TRUE, "Loss")</f>
        <v>Profitable</v>
      </c>
      <c r="AA235" t="str" cm="1">
        <f t="array" ref="AA235">_xlfn.IFS(Sales_Data_1[[#This Row],[Sales]]&gt;= 1000, "High Value", Sales_Data_1[[#This Row],[Sales]]&gt;= 300, "Mid Value", TRUE, "Low Value")</f>
        <v>High Value</v>
      </c>
    </row>
    <row r="236" spans="1:27" x14ac:dyDescent="0.3">
      <c r="A236" t="s">
        <v>2384</v>
      </c>
      <c r="B236" s="1">
        <v>45270</v>
      </c>
      <c r="C236" t="s">
        <v>55</v>
      </c>
      <c r="D236" t="s">
        <v>21</v>
      </c>
      <c r="E236" t="s">
        <v>42</v>
      </c>
      <c r="F236" t="s">
        <v>33</v>
      </c>
      <c r="G236" t="s">
        <v>24</v>
      </c>
      <c r="H236" t="s">
        <v>25</v>
      </c>
      <c r="I236" t="s">
        <v>756</v>
      </c>
      <c r="J236">
        <v>1</v>
      </c>
      <c r="K236">
        <v>8000</v>
      </c>
      <c r="L236">
        <v>0.09</v>
      </c>
      <c r="M236">
        <v>7280</v>
      </c>
      <c r="N236">
        <v>7280</v>
      </c>
      <c r="O236">
        <v>0.25</v>
      </c>
      <c r="P236">
        <v>1820</v>
      </c>
      <c r="Q236" t="s">
        <v>37</v>
      </c>
      <c r="R236" t="s">
        <v>48</v>
      </c>
      <c r="S236">
        <v>2</v>
      </c>
      <c r="T236">
        <f>YEAR(Sales_Data_1[[#This Row],[Order_Date]])</f>
        <v>2023</v>
      </c>
      <c r="U236" t="str">
        <f>TEXT(Sales_Data_1[[#This Row],[Order_Date]], "mmm")</f>
        <v>Dec</v>
      </c>
      <c r="V236">
        <f>MONTH(Sales_Data_1[[#This Row],[Order_Date]])</f>
        <v>12</v>
      </c>
      <c r="W236" t="str">
        <f>TEXT(Sales_Data_1[[#This Row],[Order_Date]], "yyyy-mm")</f>
        <v>2023-12</v>
      </c>
      <c r="X236">
        <f>Sales_Data_1[[#This Row],[Sales]]-Sales_Data_1[[#This Row],[Profit_Amount]]</f>
        <v>5460</v>
      </c>
      <c r="Y236" t="str" cm="1">
        <f t="array" ref="Y236">_xlfn.IFS(Sales_Data_1[[#This Row],[Delivery_Days]]&lt;=3, "Fast", Sales_Data_1[[#This Row],[Delivery_Days]]&lt;= 7, "Standard", TRUE, "Delayed")</f>
        <v>Fast</v>
      </c>
      <c r="Z236" t="str" cm="1">
        <f t="array" ref="Z236">_xlfn.IFS(Sales_Data_1[[#This Row],[Profit_Amount]]&gt; 0, "Profitable", Sales_Data_1[[#This Row],[Profit_Amount]] = 0, "Break-Even", TRUE, "Loss")</f>
        <v>Profitable</v>
      </c>
      <c r="AA236" t="str" cm="1">
        <f t="array" ref="AA236">_xlfn.IFS(Sales_Data_1[[#This Row],[Sales]]&gt;= 1000, "High Value", Sales_Data_1[[#This Row],[Sales]]&gt;= 300, "Mid Value", TRUE, "Low Value")</f>
        <v>High Value</v>
      </c>
    </row>
    <row r="237" spans="1:27" x14ac:dyDescent="0.3">
      <c r="A237" t="s">
        <v>2318</v>
      </c>
      <c r="B237" s="1">
        <v>45204</v>
      </c>
      <c r="C237" t="s">
        <v>96</v>
      </c>
      <c r="D237" t="s">
        <v>56</v>
      </c>
      <c r="E237" t="s">
        <v>67</v>
      </c>
      <c r="F237" t="s">
        <v>33</v>
      </c>
      <c r="G237" t="s">
        <v>44</v>
      </c>
      <c r="H237" t="s">
        <v>116</v>
      </c>
      <c r="I237" t="s">
        <v>626</v>
      </c>
      <c r="J237">
        <v>4</v>
      </c>
      <c r="K237">
        <v>1514</v>
      </c>
      <c r="L237">
        <v>0.14000000000000001</v>
      </c>
      <c r="M237">
        <v>1302.04</v>
      </c>
      <c r="N237">
        <v>5208.16</v>
      </c>
      <c r="O237">
        <v>0.35</v>
      </c>
      <c r="P237">
        <v>1822.86</v>
      </c>
      <c r="Q237" t="s">
        <v>37</v>
      </c>
      <c r="R237" t="s">
        <v>28</v>
      </c>
      <c r="S237">
        <v>9</v>
      </c>
      <c r="T237">
        <f>YEAR(Sales_Data_1[[#This Row],[Order_Date]])</f>
        <v>2023</v>
      </c>
      <c r="U237" t="str">
        <f>TEXT(Sales_Data_1[[#This Row],[Order_Date]], "mmm")</f>
        <v>Oct</v>
      </c>
      <c r="V237">
        <f>MONTH(Sales_Data_1[[#This Row],[Order_Date]])</f>
        <v>10</v>
      </c>
      <c r="W237" t="str">
        <f>TEXT(Sales_Data_1[[#This Row],[Order_Date]], "yyyy-mm")</f>
        <v>2023-10</v>
      </c>
      <c r="X237">
        <f>Sales_Data_1[[#This Row],[Sales]]-Sales_Data_1[[#This Row],[Profit_Amount]]</f>
        <v>3385.3</v>
      </c>
      <c r="Y237" t="str" cm="1">
        <f t="array" ref="Y237">_xlfn.IFS(Sales_Data_1[[#This Row],[Delivery_Days]]&lt;=3, "Fast", Sales_Data_1[[#This Row],[Delivery_Days]]&lt;= 7, "Standard", TRUE, "Delayed")</f>
        <v>Delayed</v>
      </c>
      <c r="Z237" t="str" cm="1">
        <f t="array" ref="Z237">_xlfn.IFS(Sales_Data_1[[#This Row],[Profit_Amount]]&gt; 0, "Profitable", Sales_Data_1[[#This Row],[Profit_Amount]] = 0, "Break-Even", TRUE, "Loss")</f>
        <v>Profitable</v>
      </c>
      <c r="AA237" t="str" cm="1">
        <f t="array" ref="AA237">_xlfn.IFS(Sales_Data_1[[#This Row],[Sales]]&gt;= 1000, "High Value", Sales_Data_1[[#This Row],[Sales]]&gt;= 300, "Mid Value", TRUE, "Low Value")</f>
        <v>High Value</v>
      </c>
    </row>
    <row r="238" spans="1:27" x14ac:dyDescent="0.3">
      <c r="A238" t="s">
        <v>2105</v>
      </c>
      <c r="B238" s="1">
        <v>44991</v>
      </c>
      <c r="C238" t="s">
        <v>55</v>
      </c>
      <c r="D238" t="s">
        <v>56</v>
      </c>
      <c r="E238" t="s">
        <v>42</v>
      </c>
      <c r="F238" t="s">
        <v>43</v>
      </c>
      <c r="G238" t="s">
        <v>57</v>
      </c>
      <c r="H238" t="s">
        <v>183</v>
      </c>
      <c r="I238" t="s">
        <v>199</v>
      </c>
      <c r="J238">
        <v>2</v>
      </c>
      <c r="K238">
        <v>5453</v>
      </c>
      <c r="L238">
        <v>0.16</v>
      </c>
      <c r="M238">
        <v>4580.5200000000004</v>
      </c>
      <c r="N238">
        <v>9161.0400000000009</v>
      </c>
      <c r="O238">
        <v>0.2</v>
      </c>
      <c r="P238">
        <v>1832.21</v>
      </c>
      <c r="Q238" t="s">
        <v>37</v>
      </c>
      <c r="R238" t="s">
        <v>48</v>
      </c>
      <c r="S238">
        <v>1</v>
      </c>
      <c r="T238">
        <f>YEAR(Sales_Data_1[[#This Row],[Order_Date]])</f>
        <v>2023</v>
      </c>
      <c r="U238" t="str">
        <f>TEXT(Sales_Data_1[[#This Row],[Order_Date]], "mmm")</f>
        <v>Mar</v>
      </c>
      <c r="V238">
        <f>MONTH(Sales_Data_1[[#This Row],[Order_Date]])</f>
        <v>3</v>
      </c>
      <c r="W238" t="str">
        <f>TEXT(Sales_Data_1[[#This Row],[Order_Date]], "yyyy-mm")</f>
        <v>2023-03</v>
      </c>
      <c r="X238">
        <f>Sales_Data_1[[#This Row],[Sales]]-Sales_Data_1[[#This Row],[Profit_Amount]]</f>
        <v>7328.8300000000008</v>
      </c>
      <c r="Y238" t="str" cm="1">
        <f t="array" ref="Y238">_xlfn.IFS(Sales_Data_1[[#This Row],[Delivery_Days]]&lt;=3, "Fast", Sales_Data_1[[#This Row],[Delivery_Days]]&lt;= 7, "Standard", TRUE, "Delayed")</f>
        <v>Fast</v>
      </c>
      <c r="Z238" t="str" cm="1">
        <f t="array" ref="Z238">_xlfn.IFS(Sales_Data_1[[#This Row],[Profit_Amount]]&gt; 0, "Profitable", Sales_Data_1[[#This Row],[Profit_Amount]] = 0, "Break-Even", TRUE, "Loss")</f>
        <v>Profitable</v>
      </c>
      <c r="AA238" t="str" cm="1">
        <f t="array" ref="AA238">_xlfn.IFS(Sales_Data_1[[#This Row],[Sales]]&gt;= 1000, "High Value", Sales_Data_1[[#This Row],[Sales]]&gt;= 300, "Mid Value", TRUE, "Low Value")</f>
        <v>High Value</v>
      </c>
    </row>
    <row r="239" spans="1:27" x14ac:dyDescent="0.3">
      <c r="A239" t="s">
        <v>2588</v>
      </c>
      <c r="B239" s="1">
        <v>45474</v>
      </c>
      <c r="C239" t="s">
        <v>40</v>
      </c>
      <c r="D239" t="s">
        <v>56</v>
      </c>
      <c r="E239" t="s">
        <v>2040</v>
      </c>
      <c r="F239" t="s">
        <v>103</v>
      </c>
      <c r="G239" t="s">
        <v>57</v>
      </c>
      <c r="H239" t="s">
        <v>183</v>
      </c>
      <c r="I239" t="s">
        <v>1158</v>
      </c>
      <c r="J239">
        <v>5</v>
      </c>
      <c r="K239">
        <v>2419</v>
      </c>
      <c r="L239">
        <v>0.24</v>
      </c>
      <c r="M239">
        <v>1838.44</v>
      </c>
      <c r="N239">
        <v>9192.2000000000007</v>
      </c>
      <c r="O239">
        <v>0.2</v>
      </c>
      <c r="P239">
        <v>1838.44</v>
      </c>
      <c r="Q239" t="s">
        <v>47</v>
      </c>
      <c r="R239" t="s">
        <v>38</v>
      </c>
      <c r="S239">
        <v>8</v>
      </c>
      <c r="T239">
        <f>YEAR(Sales_Data_1[[#This Row],[Order_Date]])</f>
        <v>2024</v>
      </c>
      <c r="U239" t="str">
        <f>TEXT(Sales_Data_1[[#This Row],[Order_Date]], "mmm")</f>
        <v>Jul</v>
      </c>
      <c r="V239">
        <f>MONTH(Sales_Data_1[[#This Row],[Order_Date]])</f>
        <v>7</v>
      </c>
      <c r="W239" t="str">
        <f>TEXT(Sales_Data_1[[#This Row],[Order_Date]], "yyyy-mm")</f>
        <v>2024-07</v>
      </c>
      <c r="X239">
        <f>Sales_Data_1[[#This Row],[Sales]]-Sales_Data_1[[#This Row],[Profit_Amount]]</f>
        <v>7353.76</v>
      </c>
      <c r="Y239" t="str" cm="1">
        <f t="array" ref="Y239">_xlfn.IFS(Sales_Data_1[[#This Row],[Delivery_Days]]&lt;=3, "Fast", Sales_Data_1[[#This Row],[Delivery_Days]]&lt;= 7, "Standard", TRUE, "Delayed")</f>
        <v>Delayed</v>
      </c>
      <c r="Z239" t="str" cm="1">
        <f t="array" ref="Z239">_xlfn.IFS(Sales_Data_1[[#This Row],[Profit_Amount]]&gt; 0, "Profitable", Sales_Data_1[[#This Row],[Profit_Amount]] = 0, "Break-Even", TRUE, "Loss")</f>
        <v>Profitable</v>
      </c>
      <c r="AA239" t="str" cm="1">
        <f t="array" ref="AA239">_xlfn.IFS(Sales_Data_1[[#This Row],[Sales]]&gt;= 1000, "High Value", Sales_Data_1[[#This Row],[Sales]]&gt;= 300, "Mid Value", TRUE, "Low Value")</f>
        <v>High Value</v>
      </c>
    </row>
    <row r="240" spans="1:27" x14ac:dyDescent="0.3">
      <c r="A240" t="s">
        <v>2961</v>
      </c>
      <c r="B240" s="1">
        <v>45847</v>
      </c>
      <c r="C240" t="s">
        <v>96</v>
      </c>
      <c r="D240" t="s">
        <v>31</v>
      </c>
      <c r="E240" t="s">
        <v>2040</v>
      </c>
      <c r="F240" t="s">
        <v>97</v>
      </c>
      <c r="G240" t="s">
        <v>44</v>
      </c>
      <c r="H240" t="s">
        <v>116</v>
      </c>
      <c r="I240" t="s">
        <v>1887</v>
      </c>
      <c r="J240">
        <v>5</v>
      </c>
      <c r="K240">
        <v>1394</v>
      </c>
      <c r="L240">
        <v>0.23</v>
      </c>
      <c r="M240">
        <v>1073.3800000000001</v>
      </c>
      <c r="N240">
        <v>5366.9</v>
      </c>
      <c r="O240">
        <v>0.35</v>
      </c>
      <c r="P240">
        <v>1878.41</v>
      </c>
      <c r="Q240" t="s">
        <v>47</v>
      </c>
      <c r="R240" t="s">
        <v>48</v>
      </c>
      <c r="S240">
        <v>4</v>
      </c>
      <c r="T240">
        <f>YEAR(Sales_Data_1[[#This Row],[Order_Date]])</f>
        <v>2025</v>
      </c>
      <c r="U240" t="str">
        <f>TEXT(Sales_Data_1[[#This Row],[Order_Date]], "mmm")</f>
        <v>Jul</v>
      </c>
      <c r="V240">
        <f>MONTH(Sales_Data_1[[#This Row],[Order_Date]])</f>
        <v>7</v>
      </c>
      <c r="W240" t="str">
        <f>TEXT(Sales_Data_1[[#This Row],[Order_Date]], "yyyy-mm")</f>
        <v>2025-07</v>
      </c>
      <c r="X240">
        <f>Sales_Data_1[[#This Row],[Sales]]-Sales_Data_1[[#This Row],[Profit_Amount]]</f>
        <v>3488.49</v>
      </c>
      <c r="Y240" t="str" cm="1">
        <f t="array" ref="Y240">_xlfn.IFS(Sales_Data_1[[#This Row],[Delivery_Days]]&lt;=3, "Fast", Sales_Data_1[[#This Row],[Delivery_Days]]&lt;= 7, "Standard", TRUE, "Delayed")</f>
        <v>Standard</v>
      </c>
      <c r="Z240" t="str" cm="1">
        <f t="array" ref="Z240">_xlfn.IFS(Sales_Data_1[[#This Row],[Profit_Amount]]&gt; 0, "Profitable", Sales_Data_1[[#This Row],[Profit_Amount]] = 0, "Break-Even", TRUE, "Loss")</f>
        <v>Profitable</v>
      </c>
      <c r="AA240" t="str" cm="1">
        <f t="array" ref="AA240">_xlfn.IFS(Sales_Data_1[[#This Row],[Sales]]&gt;= 1000, "High Value", Sales_Data_1[[#This Row],[Sales]]&gt;= 300, "Mid Value", TRUE, "Low Value")</f>
        <v>High Value</v>
      </c>
    </row>
    <row r="241" spans="1:27" x14ac:dyDescent="0.3">
      <c r="A241" t="s">
        <v>2137</v>
      </c>
      <c r="B241" s="1">
        <v>45023</v>
      </c>
      <c r="C241" t="s">
        <v>20</v>
      </c>
      <c r="D241" t="s">
        <v>31</v>
      </c>
      <c r="E241" t="s">
        <v>2040</v>
      </c>
      <c r="F241" t="s">
        <v>103</v>
      </c>
      <c r="G241" t="s">
        <v>34</v>
      </c>
      <c r="H241" t="s">
        <v>104</v>
      </c>
      <c r="I241" t="s">
        <v>264</v>
      </c>
      <c r="J241">
        <v>4</v>
      </c>
      <c r="K241">
        <v>1204</v>
      </c>
      <c r="L241">
        <v>0.02</v>
      </c>
      <c r="M241">
        <v>1179.92</v>
      </c>
      <c r="N241">
        <v>4719.68</v>
      </c>
      <c r="O241">
        <v>0.4</v>
      </c>
      <c r="P241">
        <v>1887.87</v>
      </c>
      <c r="Q241" t="s">
        <v>27</v>
      </c>
      <c r="R241" t="s">
        <v>48</v>
      </c>
      <c r="S241">
        <v>2</v>
      </c>
      <c r="T241">
        <f>YEAR(Sales_Data_1[[#This Row],[Order_Date]])</f>
        <v>2023</v>
      </c>
      <c r="U241" t="str">
        <f>TEXT(Sales_Data_1[[#This Row],[Order_Date]], "mmm")</f>
        <v>Apr</v>
      </c>
      <c r="V241">
        <f>MONTH(Sales_Data_1[[#This Row],[Order_Date]])</f>
        <v>4</v>
      </c>
      <c r="W241" t="str">
        <f>TEXT(Sales_Data_1[[#This Row],[Order_Date]], "yyyy-mm")</f>
        <v>2023-04</v>
      </c>
      <c r="X241">
        <f>Sales_Data_1[[#This Row],[Sales]]-Sales_Data_1[[#This Row],[Profit_Amount]]</f>
        <v>2831.8100000000004</v>
      </c>
      <c r="Y241" t="str" cm="1">
        <f t="array" ref="Y241">_xlfn.IFS(Sales_Data_1[[#This Row],[Delivery_Days]]&lt;=3, "Fast", Sales_Data_1[[#This Row],[Delivery_Days]]&lt;= 7, "Standard", TRUE, "Delayed")</f>
        <v>Fast</v>
      </c>
      <c r="Z241" t="str" cm="1">
        <f t="array" ref="Z241">_xlfn.IFS(Sales_Data_1[[#This Row],[Profit_Amount]]&gt; 0, "Profitable", Sales_Data_1[[#This Row],[Profit_Amount]] = 0, "Break-Even", TRUE, "Loss")</f>
        <v>Profitable</v>
      </c>
      <c r="AA241" t="str" cm="1">
        <f t="array" ref="AA241">_xlfn.IFS(Sales_Data_1[[#This Row],[Sales]]&gt;= 1000, "High Value", Sales_Data_1[[#This Row],[Sales]]&gt;= 300, "Mid Value", TRUE, "Low Value")</f>
        <v>High Value</v>
      </c>
    </row>
    <row r="242" spans="1:27" x14ac:dyDescent="0.3">
      <c r="A242" t="s">
        <v>2718</v>
      </c>
      <c r="B242" s="1">
        <v>45604</v>
      </c>
      <c r="C242" t="s">
        <v>20</v>
      </c>
      <c r="D242" t="s">
        <v>31</v>
      </c>
      <c r="E242" t="s">
        <v>2040</v>
      </c>
      <c r="F242" t="s">
        <v>97</v>
      </c>
      <c r="G242" t="s">
        <v>44</v>
      </c>
      <c r="H242" t="s">
        <v>45</v>
      </c>
      <c r="I242" t="s">
        <v>1412</v>
      </c>
      <c r="J242">
        <v>6</v>
      </c>
      <c r="K242">
        <v>1022</v>
      </c>
      <c r="L242">
        <v>0.12</v>
      </c>
      <c r="M242">
        <v>899.36</v>
      </c>
      <c r="N242">
        <v>5396.16</v>
      </c>
      <c r="O242">
        <v>0.35</v>
      </c>
      <c r="P242">
        <v>1888.66</v>
      </c>
      <c r="Q242" t="s">
        <v>27</v>
      </c>
      <c r="R242" t="s">
        <v>48</v>
      </c>
      <c r="S242">
        <v>9</v>
      </c>
      <c r="T242">
        <f>YEAR(Sales_Data_1[[#This Row],[Order_Date]])</f>
        <v>2024</v>
      </c>
      <c r="U242" t="str">
        <f>TEXT(Sales_Data_1[[#This Row],[Order_Date]], "mmm")</f>
        <v>Nov</v>
      </c>
      <c r="V242">
        <f>MONTH(Sales_Data_1[[#This Row],[Order_Date]])</f>
        <v>11</v>
      </c>
      <c r="W242" t="str">
        <f>TEXT(Sales_Data_1[[#This Row],[Order_Date]], "yyyy-mm")</f>
        <v>2024-11</v>
      </c>
      <c r="X242">
        <f>Sales_Data_1[[#This Row],[Sales]]-Sales_Data_1[[#This Row],[Profit_Amount]]</f>
        <v>3507.5</v>
      </c>
      <c r="Y242" t="str" cm="1">
        <f t="array" ref="Y242">_xlfn.IFS(Sales_Data_1[[#This Row],[Delivery_Days]]&lt;=3, "Fast", Sales_Data_1[[#This Row],[Delivery_Days]]&lt;= 7, "Standard", TRUE, "Delayed")</f>
        <v>Delayed</v>
      </c>
      <c r="Z242" t="str" cm="1">
        <f t="array" ref="Z242">_xlfn.IFS(Sales_Data_1[[#This Row],[Profit_Amount]]&gt; 0, "Profitable", Sales_Data_1[[#This Row],[Profit_Amount]] = 0, "Break-Even", TRUE, "Loss")</f>
        <v>Profitable</v>
      </c>
      <c r="AA242" t="str" cm="1">
        <f t="array" ref="AA242">_xlfn.IFS(Sales_Data_1[[#This Row],[Sales]]&gt;= 1000, "High Value", Sales_Data_1[[#This Row],[Sales]]&gt;= 300, "Mid Value", TRUE, "Low Value")</f>
        <v>High Value</v>
      </c>
    </row>
    <row r="243" spans="1:27" x14ac:dyDescent="0.3">
      <c r="A243" t="s">
        <v>2596</v>
      </c>
      <c r="B243" s="1">
        <v>45482</v>
      </c>
      <c r="C243" t="s">
        <v>55</v>
      </c>
      <c r="D243" t="s">
        <v>56</v>
      </c>
      <c r="E243" t="s">
        <v>2040</v>
      </c>
      <c r="F243" t="s">
        <v>23</v>
      </c>
      <c r="G243" t="s">
        <v>34</v>
      </c>
      <c r="H243" t="s">
        <v>104</v>
      </c>
      <c r="I243" t="s">
        <v>1174</v>
      </c>
      <c r="J243">
        <v>7</v>
      </c>
      <c r="K243">
        <v>718</v>
      </c>
      <c r="L243">
        <v>0.06</v>
      </c>
      <c r="M243">
        <v>674.92</v>
      </c>
      <c r="N243">
        <v>4724.4399999999996</v>
      </c>
      <c r="O243">
        <v>0.4</v>
      </c>
      <c r="P243">
        <v>1889.78</v>
      </c>
      <c r="Q243" t="s">
        <v>27</v>
      </c>
      <c r="R243" t="s">
        <v>48</v>
      </c>
      <c r="S243">
        <v>6</v>
      </c>
      <c r="T243">
        <f>YEAR(Sales_Data_1[[#This Row],[Order_Date]])</f>
        <v>2024</v>
      </c>
      <c r="U243" t="str">
        <f>TEXT(Sales_Data_1[[#This Row],[Order_Date]], "mmm")</f>
        <v>Jul</v>
      </c>
      <c r="V243">
        <f>MONTH(Sales_Data_1[[#This Row],[Order_Date]])</f>
        <v>7</v>
      </c>
      <c r="W243" t="str">
        <f>TEXT(Sales_Data_1[[#This Row],[Order_Date]], "yyyy-mm")</f>
        <v>2024-07</v>
      </c>
      <c r="X243">
        <f>Sales_Data_1[[#This Row],[Sales]]-Sales_Data_1[[#This Row],[Profit_Amount]]</f>
        <v>2834.66</v>
      </c>
      <c r="Y243" t="str" cm="1">
        <f t="array" ref="Y243">_xlfn.IFS(Sales_Data_1[[#This Row],[Delivery_Days]]&lt;=3, "Fast", Sales_Data_1[[#This Row],[Delivery_Days]]&lt;= 7, "Standard", TRUE, "Delayed")</f>
        <v>Standard</v>
      </c>
      <c r="Z243" t="str" cm="1">
        <f t="array" ref="Z243">_xlfn.IFS(Sales_Data_1[[#This Row],[Profit_Amount]]&gt; 0, "Profitable", Sales_Data_1[[#This Row],[Profit_Amount]] = 0, "Break-Even", TRUE, "Loss")</f>
        <v>Profitable</v>
      </c>
      <c r="AA243" t="str" cm="1">
        <f t="array" ref="AA243">_xlfn.IFS(Sales_Data_1[[#This Row],[Sales]]&gt;= 1000, "High Value", Sales_Data_1[[#This Row],[Sales]]&gt;= 300, "Mid Value", TRUE, "Low Value")</f>
        <v>High Value</v>
      </c>
    </row>
    <row r="244" spans="1:27" x14ac:dyDescent="0.3">
      <c r="A244" t="s">
        <v>2451</v>
      </c>
      <c r="B244" s="1">
        <v>45337</v>
      </c>
      <c r="C244" t="s">
        <v>63</v>
      </c>
      <c r="D244" t="s">
        <v>21</v>
      </c>
      <c r="E244" t="s">
        <v>2042</v>
      </c>
      <c r="F244" t="s">
        <v>33</v>
      </c>
      <c r="G244" t="s">
        <v>57</v>
      </c>
      <c r="H244" t="s">
        <v>183</v>
      </c>
      <c r="I244" t="s">
        <v>888</v>
      </c>
      <c r="J244">
        <v>1</v>
      </c>
      <c r="K244">
        <v>11686</v>
      </c>
      <c r="L244">
        <v>0.19</v>
      </c>
      <c r="M244">
        <v>9465.66</v>
      </c>
      <c r="N244">
        <v>9465.66</v>
      </c>
      <c r="O244">
        <v>0.2</v>
      </c>
      <c r="P244">
        <v>1893.13</v>
      </c>
      <c r="Q244" t="s">
        <v>47</v>
      </c>
      <c r="R244" t="s">
        <v>48</v>
      </c>
      <c r="S244">
        <v>4</v>
      </c>
      <c r="T244">
        <f>YEAR(Sales_Data_1[[#This Row],[Order_Date]])</f>
        <v>2024</v>
      </c>
      <c r="U244" t="str">
        <f>TEXT(Sales_Data_1[[#This Row],[Order_Date]], "mmm")</f>
        <v>Feb</v>
      </c>
      <c r="V244">
        <f>MONTH(Sales_Data_1[[#This Row],[Order_Date]])</f>
        <v>2</v>
      </c>
      <c r="W244" t="str">
        <f>TEXT(Sales_Data_1[[#This Row],[Order_Date]], "yyyy-mm")</f>
        <v>2024-02</v>
      </c>
      <c r="X244">
        <f>Sales_Data_1[[#This Row],[Sales]]-Sales_Data_1[[#This Row],[Profit_Amount]]</f>
        <v>7572.53</v>
      </c>
      <c r="Y244" t="str" cm="1">
        <f t="array" ref="Y244">_xlfn.IFS(Sales_Data_1[[#This Row],[Delivery_Days]]&lt;=3, "Fast", Sales_Data_1[[#This Row],[Delivery_Days]]&lt;= 7, "Standard", TRUE, "Delayed")</f>
        <v>Standard</v>
      </c>
      <c r="Z244" t="str" cm="1">
        <f t="array" ref="Z244">_xlfn.IFS(Sales_Data_1[[#This Row],[Profit_Amount]]&gt; 0, "Profitable", Sales_Data_1[[#This Row],[Profit_Amount]] = 0, "Break-Even", TRUE, "Loss")</f>
        <v>Profitable</v>
      </c>
      <c r="AA244" t="str" cm="1">
        <f t="array" ref="AA244">_xlfn.IFS(Sales_Data_1[[#This Row],[Sales]]&gt;= 1000, "High Value", Sales_Data_1[[#This Row],[Sales]]&gt;= 300, "Mid Value", TRUE, "Low Value")</f>
        <v>High Value</v>
      </c>
    </row>
    <row r="245" spans="1:27" x14ac:dyDescent="0.3">
      <c r="A245" t="s">
        <v>2170</v>
      </c>
      <c r="B245" s="1">
        <v>45056</v>
      </c>
      <c r="C245" t="s">
        <v>40</v>
      </c>
      <c r="D245" t="s">
        <v>41</v>
      </c>
      <c r="E245" t="s">
        <v>2042</v>
      </c>
      <c r="F245" t="s">
        <v>33</v>
      </c>
      <c r="G245" t="s">
        <v>34</v>
      </c>
      <c r="H245" t="s">
        <v>71</v>
      </c>
      <c r="I245" t="s">
        <v>330</v>
      </c>
      <c r="J245">
        <v>7</v>
      </c>
      <c r="K245">
        <v>712</v>
      </c>
      <c r="L245">
        <v>0.05</v>
      </c>
      <c r="M245">
        <v>676.4</v>
      </c>
      <c r="N245">
        <v>4734.8</v>
      </c>
      <c r="O245">
        <v>0.4</v>
      </c>
      <c r="P245">
        <v>1893.92</v>
      </c>
      <c r="Q245" t="s">
        <v>37</v>
      </c>
      <c r="R245" t="s">
        <v>48</v>
      </c>
      <c r="S245">
        <v>6</v>
      </c>
      <c r="T245">
        <f>YEAR(Sales_Data_1[[#This Row],[Order_Date]])</f>
        <v>2023</v>
      </c>
      <c r="U245" t="str">
        <f>TEXT(Sales_Data_1[[#This Row],[Order_Date]], "mmm")</f>
        <v>May</v>
      </c>
      <c r="V245">
        <f>MONTH(Sales_Data_1[[#This Row],[Order_Date]])</f>
        <v>5</v>
      </c>
      <c r="W245" t="str">
        <f>TEXT(Sales_Data_1[[#This Row],[Order_Date]], "yyyy-mm")</f>
        <v>2023-05</v>
      </c>
      <c r="X245">
        <f>Sales_Data_1[[#This Row],[Sales]]-Sales_Data_1[[#This Row],[Profit_Amount]]</f>
        <v>2840.88</v>
      </c>
      <c r="Y245" t="str" cm="1">
        <f t="array" ref="Y245">_xlfn.IFS(Sales_Data_1[[#This Row],[Delivery_Days]]&lt;=3, "Fast", Sales_Data_1[[#This Row],[Delivery_Days]]&lt;= 7, "Standard", TRUE, "Delayed")</f>
        <v>Standard</v>
      </c>
      <c r="Z245" t="str" cm="1">
        <f t="array" ref="Z245">_xlfn.IFS(Sales_Data_1[[#This Row],[Profit_Amount]]&gt; 0, "Profitable", Sales_Data_1[[#This Row],[Profit_Amount]] = 0, "Break-Even", TRUE, "Loss")</f>
        <v>Profitable</v>
      </c>
      <c r="AA245" t="str" cm="1">
        <f t="array" ref="AA245">_xlfn.IFS(Sales_Data_1[[#This Row],[Sales]]&gt;= 1000, "High Value", Sales_Data_1[[#This Row],[Sales]]&gt;= 300, "Mid Value", TRUE, "Low Value")</f>
        <v>High Value</v>
      </c>
    </row>
    <row r="246" spans="1:27" x14ac:dyDescent="0.3">
      <c r="A246" t="s">
        <v>2311</v>
      </c>
      <c r="B246" s="1">
        <v>45197</v>
      </c>
      <c r="C246" t="s">
        <v>20</v>
      </c>
      <c r="D246" t="s">
        <v>31</v>
      </c>
      <c r="E246" t="s">
        <v>2042</v>
      </c>
      <c r="F246" t="s">
        <v>103</v>
      </c>
      <c r="G246" t="s">
        <v>44</v>
      </c>
      <c r="H246" t="s">
        <v>138</v>
      </c>
      <c r="I246" t="s">
        <v>612</v>
      </c>
      <c r="J246">
        <v>4</v>
      </c>
      <c r="K246">
        <v>1443</v>
      </c>
      <c r="L246">
        <v>0.06</v>
      </c>
      <c r="M246">
        <v>1356.42</v>
      </c>
      <c r="N246">
        <v>5425.68</v>
      </c>
      <c r="O246">
        <v>0.35</v>
      </c>
      <c r="P246">
        <v>1898.99</v>
      </c>
      <c r="Q246" t="s">
        <v>27</v>
      </c>
      <c r="R246" t="s">
        <v>38</v>
      </c>
      <c r="S246">
        <v>5</v>
      </c>
      <c r="T246">
        <f>YEAR(Sales_Data_1[[#This Row],[Order_Date]])</f>
        <v>2023</v>
      </c>
      <c r="U246" t="str">
        <f>TEXT(Sales_Data_1[[#This Row],[Order_Date]], "mmm")</f>
        <v>Sep</v>
      </c>
      <c r="V246">
        <f>MONTH(Sales_Data_1[[#This Row],[Order_Date]])</f>
        <v>9</v>
      </c>
      <c r="W246" t="str">
        <f>TEXT(Sales_Data_1[[#This Row],[Order_Date]], "yyyy-mm")</f>
        <v>2023-09</v>
      </c>
      <c r="X246">
        <f>Sales_Data_1[[#This Row],[Sales]]-Sales_Data_1[[#This Row],[Profit_Amount]]</f>
        <v>3526.6900000000005</v>
      </c>
      <c r="Y246" t="str" cm="1">
        <f t="array" ref="Y246">_xlfn.IFS(Sales_Data_1[[#This Row],[Delivery_Days]]&lt;=3, "Fast", Sales_Data_1[[#This Row],[Delivery_Days]]&lt;= 7, "Standard", TRUE, "Delayed")</f>
        <v>Standard</v>
      </c>
      <c r="Z246" t="str" cm="1">
        <f t="array" ref="Z246">_xlfn.IFS(Sales_Data_1[[#This Row],[Profit_Amount]]&gt; 0, "Profitable", Sales_Data_1[[#This Row],[Profit_Amount]] = 0, "Break-Even", TRUE, "Loss")</f>
        <v>Profitable</v>
      </c>
      <c r="AA246" t="str" cm="1">
        <f t="array" ref="AA246">_xlfn.IFS(Sales_Data_1[[#This Row],[Sales]]&gt;= 1000, "High Value", Sales_Data_1[[#This Row],[Sales]]&gt;= 300, "Mid Value", TRUE, "Low Value")</f>
        <v>High Value</v>
      </c>
    </row>
    <row r="247" spans="1:27" x14ac:dyDescent="0.3">
      <c r="A247" t="s">
        <v>2449</v>
      </c>
      <c r="B247" s="1">
        <v>45335</v>
      </c>
      <c r="C247" t="s">
        <v>55</v>
      </c>
      <c r="D247" t="s">
        <v>21</v>
      </c>
      <c r="E247" t="s">
        <v>2042</v>
      </c>
      <c r="F247" t="s">
        <v>103</v>
      </c>
      <c r="G247" t="s">
        <v>34</v>
      </c>
      <c r="H247" t="s">
        <v>71</v>
      </c>
      <c r="I247" t="s">
        <v>884</v>
      </c>
      <c r="J247">
        <v>4</v>
      </c>
      <c r="K247">
        <v>1432</v>
      </c>
      <c r="L247">
        <v>0.17</v>
      </c>
      <c r="M247">
        <v>1188.56</v>
      </c>
      <c r="N247">
        <v>4754.24</v>
      </c>
      <c r="O247">
        <v>0.4</v>
      </c>
      <c r="P247">
        <v>1901.7</v>
      </c>
      <c r="Q247" t="s">
        <v>37</v>
      </c>
      <c r="R247" t="s">
        <v>48</v>
      </c>
      <c r="S247">
        <v>8</v>
      </c>
      <c r="T247">
        <f>YEAR(Sales_Data_1[[#This Row],[Order_Date]])</f>
        <v>2024</v>
      </c>
      <c r="U247" t="str">
        <f>TEXT(Sales_Data_1[[#This Row],[Order_Date]], "mmm")</f>
        <v>Feb</v>
      </c>
      <c r="V247">
        <f>MONTH(Sales_Data_1[[#This Row],[Order_Date]])</f>
        <v>2</v>
      </c>
      <c r="W247" t="str">
        <f>TEXT(Sales_Data_1[[#This Row],[Order_Date]], "yyyy-mm")</f>
        <v>2024-02</v>
      </c>
      <c r="X247">
        <f>Sales_Data_1[[#This Row],[Sales]]-Sales_Data_1[[#This Row],[Profit_Amount]]</f>
        <v>2852.54</v>
      </c>
      <c r="Y247" t="str" cm="1">
        <f t="array" ref="Y247">_xlfn.IFS(Sales_Data_1[[#This Row],[Delivery_Days]]&lt;=3, "Fast", Sales_Data_1[[#This Row],[Delivery_Days]]&lt;= 7, "Standard", TRUE, "Delayed")</f>
        <v>Delayed</v>
      </c>
      <c r="Z247" t="str" cm="1">
        <f t="array" ref="Z247">_xlfn.IFS(Sales_Data_1[[#This Row],[Profit_Amount]]&gt; 0, "Profitable", Sales_Data_1[[#This Row],[Profit_Amount]] = 0, "Break-Even", TRUE, "Loss")</f>
        <v>Profitable</v>
      </c>
      <c r="AA247" t="str" cm="1">
        <f t="array" ref="AA247">_xlfn.IFS(Sales_Data_1[[#This Row],[Sales]]&gt;= 1000, "High Value", Sales_Data_1[[#This Row],[Sales]]&gt;= 300, "Mid Value", TRUE, "Low Value")</f>
        <v>High Value</v>
      </c>
    </row>
    <row r="248" spans="1:27" x14ac:dyDescent="0.3">
      <c r="A248" t="s">
        <v>2425</v>
      </c>
      <c r="B248" s="1">
        <v>45311</v>
      </c>
      <c r="C248" t="s">
        <v>20</v>
      </c>
      <c r="D248" t="s">
        <v>31</v>
      </c>
      <c r="E248" t="s">
        <v>67</v>
      </c>
      <c r="F248" t="s">
        <v>68</v>
      </c>
      <c r="G248" t="s">
        <v>34</v>
      </c>
      <c r="H248" t="s">
        <v>71</v>
      </c>
      <c r="I248" t="s">
        <v>836</v>
      </c>
      <c r="J248">
        <v>6</v>
      </c>
      <c r="K248">
        <v>847</v>
      </c>
      <c r="L248">
        <v>0.06</v>
      </c>
      <c r="M248">
        <v>796.18</v>
      </c>
      <c r="N248">
        <v>4777.08</v>
      </c>
      <c r="O248">
        <v>0.4</v>
      </c>
      <c r="P248">
        <v>1910.83</v>
      </c>
      <c r="Q248" t="s">
        <v>51</v>
      </c>
      <c r="R248" t="s">
        <v>48</v>
      </c>
      <c r="S248">
        <v>8</v>
      </c>
      <c r="T248">
        <f>YEAR(Sales_Data_1[[#This Row],[Order_Date]])</f>
        <v>2024</v>
      </c>
      <c r="U248" t="str">
        <f>TEXT(Sales_Data_1[[#This Row],[Order_Date]], "mmm")</f>
        <v>Jan</v>
      </c>
      <c r="V248">
        <f>MONTH(Sales_Data_1[[#This Row],[Order_Date]])</f>
        <v>1</v>
      </c>
      <c r="W248" t="str">
        <f>TEXT(Sales_Data_1[[#This Row],[Order_Date]], "yyyy-mm")</f>
        <v>2024-01</v>
      </c>
      <c r="X248">
        <f>Sales_Data_1[[#This Row],[Sales]]-Sales_Data_1[[#This Row],[Profit_Amount]]</f>
        <v>2866.25</v>
      </c>
      <c r="Y248" t="str" cm="1">
        <f t="array" ref="Y248">_xlfn.IFS(Sales_Data_1[[#This Row],[Delivery_Days]]&lt;=3, "Fast", Sales_Data_1[[#This Row],[Delivery_Days]]&lt;= 7, "Standard", TRUE, "Delayed")</f>
        <v>Delayed</v>
      </c>
      <c r="Z248" t="str" cm="1">
        <f t="array" ref="Z248">_xlfn.IFS(Sales_Data_1[[#This Row],[Profit_Amount]]&gt; 0, "Profitable", Sales_Data_1[[#This Row],[Profit_Amount]] = 0, "Break-Even", TRUE, "Loss")</f>
        <v>Profitable</v>
      </c>
      <c r="AA248" t="str" cm="1">
        <f t="array" ref="AA248">_xlfn.IFS(Sales_Data_1[[#This Row],[Sales]]&gt;= 1000, "High Value", Sales_Data_1[[#This Row],[Sales]]&gt;= 300, "Mid Value", TRUE, "Low Value")</f>
        <v>High Value</v>
      </c>
    </row>
    <row r="249" spans="1:27" x14ac:dyDescent="0.3">
      <c r="A249" t="s">
        <v>2131</v>
      </c>
      <c r="B249" s="1">
        <v>45017</v>
      </c>
      <c r="C249" t="s">
        <v>20</v>
      </c>
      <c r="D249" t="s">
        <v>41</v>
      </c>
      <c r="E249" t="s">
        <v>42</v>
      </c>
      <c r="F249" t="s">
        <v>97</v>
      </c>
      <c r="G249" t="s">
        <v>44</v>
      </c>
      <c r="H249" t="s">
        <v>64</v>
      </c>
      <c r="I249" t="s">
        <v>252</v>
      </c>
      <c r="J249">
        <v>5</v>
      </c>
      <c r="K249">
        <v>1439</v>
      </c>
      <c r="L249">
        <v>0.24</v>
      </c>
      <c r="M249">
        <v>1093.6400000000001</v>
      </c>
      <c r="N249">
        <v>5468.2</v>
      </c>
      <c r="O249">
        <v>0.35</v>
      </c>
      <c r="P249">
        <v>1913.87</v>
      </c>
      <c r="Q249" t="s">
        <v>27</v>
      </c>
      <c r="R249" t="s">
        <v>48</v>
      </c>
      <c r="S249">
        <v>5</v>
      </c>
      <c r="T249">
        <f>YEAR(Sales_Data_1[[#This Row],[Order_Date]])</f>
        <v>2023</v>
      </c>
      <c r="U249" t="str">
        <f>TEXT(Sales_Data_1[[#This Row],[Order_Date]], "mmm")</f>
        <v>Apr</v>
      </c>
      <c r="V249">
        <f>MONTH(Sales_Data_1[[#This Row],[Order_Date]])</f>
        <v>4</v>
      </c>
      <c r="W249" t="str">
        <f>TEXT(Sales_Data_1[[#This Row],[Order_Date]], "yyyy-mm")</f>
        <v>2023-04</v>
      </c>
      <c r="X249">
        <f>Sales_Data_1[[#This Row],[Sales]]-Sales_Data_1[[#This Row],[Profit_Amount]]</f>
        <v>3554.33</v>
      </c>
      <c r="Y249" t="str" cm="1">
        <f t="array" ref="Y249">_xlfn.IFS(Sales_Data_1[[#This Row],[Delivery_Days]]&lt;=3, "Fast", Sales_Data_1[[#This Row],[Delivery_Days]]&lt;= 7, "Standard", TRUE, "Delayed")</f>
        <v>Standard</v>
      </c>
      <c r="Z249" t="str" cm="1">
        <f t="array" ref="Z249">_xlfn.IFS(Sales_Data_1[[#This Row],[Profit_Amount]]&gt; 0, "Profitable", Sales_Data_1[[#This Row],[Profit_Amount]] = 0, "Break-Even", TRUE, "Loss")</f>
        <v>Profitable</v>
      </c>
      <c r="AA249" t="str" cm="1">
        <f t="array" ref="AA249">_xlfn.IFS(Sales_Data_1[[#This Row],[Sales]]&gt;= 1000, "High Value", Sales_Data_1[[#This Row],[Sales]]&gt;= 300, "Mid Value", TRUE, "Low Value")</f>
        <v>High Value</v>
      </c>
    </row>
    <row r="250" spans="1:27" x14ac:dyDescent="0.3">
      <c r="A250" t="s">
        <v>2948</v>
      </c>
      <c r="B250" s="1">
        <v>45834</v>
      </c>
      <c r="C250" t="s">
        <v>55</v>
      </c>
      <c r="D250" t="s">
        <v>21</v>
      </c>
      <c r="E250" t="s">
        <v>2040</v>
      </c>
      <c r="F250" t="s">
        <v>43</v>
      </c>
      <c r="G250" t="s">
        <v>44</v>
      </c>
      <c r="H250" t="s">
        <v>45</v>
      </c>
      <c r="I250" t="s">
        <v>1864</v>
      </c>
      <c r="J250">
        <v>2</v>
      </c>
      <c r="K250">
        <v>2861</v>
      </c>
      <c r="L250">
        <v>0.04</v>
      </c>
      <c r="M250">
        <v>2746.56</v>
      </c>
      <c r="N250">
        <v>5493.12</v>
      </c>
      <c r="O250">
        <v>0.35</v>
      </c>
      <c r="P250">
        <v>1922.59</v>
      </c>
      <c r="Q250" t="s">
        <v>51</v>
      </c>
      <c r="R250" t="s">
        <v>48</v>
      </c>
      <c r="S250">
        <v>9</v>
      </c>
      <c r="T250">
        <f>YEAR(Sales_Data_1[[#This Row],[Order_Date]])</f>
        <v>2025</v>
      </c>
      <c r="U250" t="str">
        <f>TEXT(Sales_Data_1[[#This Row],[Order_Date]], "mmm")</f>
        <v>Jun</v>
      </c>
      <c r="V250">
        <f>MONTH(Sales_Data_1[[#This Row],[Order_Date]])</f>
        <v>6</v>
      </c>
      <c r="W250" t="str">
        <f>TEXT(Sales_Data_1[[#This Row],[Order_Date]], "yyyy-mm")</f>
        <v>2025-06</v>
      </c>
      <c r="X250">
        <f>Sales_Data_1[[#This Row],[Sales]]-Sales_Data_1[[#This Row],[Profit_Amount]]</f>
        <v>3570.5299999999997</v>
      </c>
      <c r="Y250" t="str" cm="1">
        <f t="array" ref="Y250">_xlfn.IFS(Sales_Data_1[[#This Row],[Delivery_Days]]&lt;=3, "Fast", Sales_Data_1[[#This Row],[Delivery_Days]]&lt;= 7, "Standard", TRUE, "Delayed")</f>
        <v>Delayed</v>
      </c>
      <c r="Z250" t="str" cm="1">
        <f t="array" ref="Z250">_xlfn.IFS(Sales_Data_1[[#This Row],[Profit_Amount]]&gt; 0, "Profitable", Sales_Data_1[[#This Row],[Profit_Amount]] = 0, "Break-Even", TRUE, "Loss")</f>
        <v>Profitable</v>
      </c>
      <c r="AA250" t="str" cm="1">
        <f t="array" ref="AA250">_xlfn.IFS(Sales_Data_1[[#This Row],[Sales]]&gt;= 1000, "High Value", Sales_Data_1[[#This Row],[Sales]]&gt;= 300, "Mid Value", TRUE, "Low Value")</f>
        <v>High Value</v>
      </c>
    </row>
    <row r="251" spans="1:27" x14ac:dyDescent="0.3">
      <c r="A251" t="s">
        <v>2349</v>
      </c>
      <c r="B251" s="1">
        <v>45235</v>
      </c>
      <c r="C251" t="s">
        <v>30</v>
      </c>
      <c r="D251" t="s">
        <v>21</v>
      </c>
      <c r="E251" t="s">
        <v>2040</v>
      </c>
      <c r="F251" t="s">
        <v>33</v>
      </c>
      <c r="G251" t="s">
        <v>34</v>
      </c>
      <c r="H251" t="s">
        <v>35</v>
      </c>
      <c r="I251" t="s">
        <v>686</v>
      </c>
      <c r="J251">
        <v>5</v>
      </c>
      <c r="K251">
        <v>1108</v>
      </c>
      <c r="L251">
        <v>0.13</v>
      </c>
      <c r="M251">
        <v>963.96</v>
      </c>
      <c r="N251">
        <v>4819.8</v>
      </c>
      <c r="O251">
        <v>0.4</v>
      </c>
      <c r="P251">
        <v>1927.92</v>
      </c>
      <c r="Q251" t="s">
        <v>27</v>
      </c>
      <c r="R251" t="s">
        <v>48</v>
      </c>
      <c r="S251">
        <v>5</v>
      </c>
      <c r="T251">
        <f>YEAR(Sales_Data_1[[#This Row],[Order_Date]])</f>
        <v>2023</v>
      </c>
      <c r="U251" t="str">
        <f>TEXT(Sales_Data_1[[#This Row],[Order_Date]], "mmm")</f>
        <v>Nov</v>
      </c>
      <c r="V251">
        <f>MONTH(Sales_Data_1[[#This Row],[Order_Date]])</f>
        <v>11</v>
      </c>
      <c r="W251" t="str">
        <f>TEXT(Sales_Data_1[[#This Row],[Order_Date]], "yyyy-mm")</f>
        <v>2023-11</v>
      </c>
      <c r="X251">
        <f>Sales_Data_1[[#This Row],[Sales]]-Sales_Data_1[[#This Row],[Profit_Amount]]</f>
        <v>2891.88</v>
      </c>
      <c r="Y251" t="str" cm="1">
        <f t="array" ref="Y251">_xlfn.IFS(Sales_Data_1[[#This Row],[Delivery_Days]]&lt;=3, "Fast", Sales_Data_1[[#This Row],[Delivery_Days]]&lt;= 7, "Standard", TRUE, "Delayed")</f>
        <v>Standard</v>
      </c>
      <c r="Z251" t="str" cm="1">
        <f t="array" ref="Z251">_xlfn.IFS(Sales_Data_1[[#This Row],[Profit_Amount]]&gt; 0, "Profitable", Sales_Data_1[[#This Row],[Profit_Amount]] = 0, "Break-Even", TRUE, "Loss")</f>
        <v>Profitable</v>
      </c>
      <c r="AA251" t="str" cm="1">
        <f t="array" ref="AA251">_xlfn.IFS(Sales_Data_1[[#This Row],[Sales]]&gt;= 1000, "High Value", Sales_Data_1[[#This Row],[Sales]]&gt;= 300, "Mid Value", TRUE, "Low Value")</f>
        <v>High Value</v>
      </c>
    </row>
    <row r="252" spans="1:27" x14ac:dyDescent="0.3">
      <c r="A252" t="s">
        <v>2695</v>
      </c>
      <c r="B252" s="1">
        <v>45581</v>
      </c>
      <c r="C252" t="s">
        <v>96</v>
      </c>
      <c r="D252" t="s">
        <v>31</v>
      </c>
      <c r="E252" t="s">
        <v>42</v>
      </c>
      <c r="F252" t="s">
        <v>103</v>
      </c>
      <c r="G252" t="s">
        <v>34</v>
      </c>
      <c r="H252" t="s">
        <v>104</v>
      </c>
      <c r="I252" t="s">
        <v>1368</v>
      </c>
      <c r="J252">
        <v>9</v>
      </c>
      <c r="K252">
        <v>559</v>
      </c>
      <c r="L252">
        <v>0.04</v>
      </c>
      <c r="M252">
        <v>536.64</v>
      </c>
      <c r="N252">
        <v>4829.76</v>
      </c>
      <c r="O252">
        <v>0.4</v>
      </c>
      <c r="P252">
        <v>1931.9</v>
      </c>
      <c r="Q252" t="s">
        <v>51</v>
      </c>
      <c r="R252" t="s">
        <v>38</v>
      </c>
      <c r="S252">
        <v>6</v>
      </c>
      <c r="T252">
        <f>YEAR(Sales_Data_1[[#This Row],[Order_Date]])</f>
        <v>2024</v>
      </c>
      <c r="U252" t="str">
        <f>TEXT(Sales_Data_1[[#This Row],[Order_Date]], "mmm")</f>
        <v>Oct</v>
      </c>
      <c r="V252">
        <f>MONTH(Sales_Data_1[[#This Row],[Order_Date]])</f>
        <v>10</v>
      </c>
      <c r="W252" t="str">
        <f>TEXT(Sales_Data_1[[#This Row],[Order_Date]], "yyyy-mm")</f>
        <v>2024-10</v>
      </c>
      <c r="X252">
        <f>Sales_Data_1[[#This Row],[Sales]]-Sales_Data_1[[#This Row],[Profit_Amount]]</f>
        <v>2897.86</v>
      </c>
      <c r="Y252" t="str" cm="1">
        <f t="array" ref="Y252">_xlfn.IFS(Sales_Data_1[[#This Row],[Delivery_Days]]&lt;=3, "Fast", Sales_Data_1[[#This Row],[Delivery_Days]]&lt;= 7, "Standard", TRUE, "Delayed")</f>
        <v>Standard</v>
      </c>
      <c r="Z252" t="str" cm="1">
        <f t="array" ref="Z252">_xlfn.IFS(Sales_Data_1[[#This Row],[Profit_Amount]]&gt; 0, "Profitable", Sales_Data_1[[#This Row],[Profit_Amount]] = 0, "Break-Even", TRUE, "Loss")</f>
        <v>Profitable</v>
      </c>
      <c r="AA252" t="str" cm="1">
        <f t="array" ref="AA252">_xlfn.IFS(Sales_Data_1[[#This Row],[Sales]]&gt;= 1000, "High Value", Sales_Data_1[[#This Row],[Sales]]&gt;= 300, "Mid Value", TRUE, "Low Value")</f>
        <v>High Value</v>
      </c>
    </row>
    <row r="253" spans="1:27" x14ac:dyDescent="0.3">
      <c r="A253" t="s">
        <v>2678</v>
      </c>
      <c r="B253" s="1">
        <v>45564</v>
      </c>
      <c r="C253" t="s">
        <v>96</v>
      </c>
      <c r="D253" t="s">
        <v>21</v>
      </c>
      <c r="E253" t="s">
        <v>2040</v>
      </c>
      <c r="F253" t="s">
        <v>33</v>
      </c>
      <c r="G253" t="s">
        <v>34</v>
      </c>
      <c r="H253" t="s">
        <v>35</v>
      </c>
      <c r="I253" t="s">
        <v>1336</v>
      </c>
      <c r="J253">
        <v>9</v>
      </c>
      <c r="K253">
        <v>565</v>
      </c>
      <c r="L253">
        <v>0.05</v>
      </c>
      <c r="M253">
        <v>536.75</v>
      </c>
      <c r="N253">
        <v>4830.75</v>
      </c>
      <c r="O253">
        <v>0.4</v>
      </c>
      <c r="P253">
        <v>1932.3</v>
      </c>
      <c r="Q253" t="s">
        <v>37</v>
      </c>
      <c r="R253" t="s">
        <v>48</v>
      </c>
      <c r="S253">
        <v>3</v>
      </c>
      <c r="T253">
        <f>YEAR(Sales_Data_1[[#This Row],[Order_Date]])</f>
        <v>2024</v>
      </c>
      <c r="U253" t="str">
        <f>TEXT(Sales_Data_1[[#This Row],[Order_Date]], "mmm")</f>
        <v>Sep</v>
      </c>
      <c r="V253">
        <f>MONTH(Sales_Data_1[[#This Row],[Order_Date]])</f>
        <v>9</v>
      </c>
      <c r="W253" t="str">
        <f>TEXT(Sales_Data_1[[#This Row],[Order_Date]], "yyyy-mm")</f>
        <v>2024-09</v>
      </c>
      <c r="X253">
        <f>Sales_Data_1[[#This Row],[Sales]]-Sales_Data_1[[#This Row],[Profit_Amount]]</f>
        <v>2898.45</v>
      </c>
      <c r="Y253" t="str" cm="1">
        <f t="array" ref="Y253">_xlfn.IFS(Sales_Data_1[[#This Row],[Delivery_Days]]&lt;=3, "Fast", Sales_Data_1[[#This Row],[Delivery_Days]]&lt;= 7, "Standard", TRUE, "Delayed")</f>
        <v>Fast</v>
      </c>
      <c r="Z253" t="str" cm="1">
        <f t="array" ref="Z253">_xlfn.IFS(Sales_Data_1[[#This Row],[Profit_Amount]]&gt; 0, "Profitable", Sales_Data_1[[#This Row],[Profit_Amount]] = 0, "Break-Even", TRUE, "Loss")</f>
        <v>Profitable</v>
      </c>
      <c r="AA253" t="str" cm="1">
        <f t="array" ref="AA253">_xlfn.IFS(Sales_Data_1[[#This Row],[Sales]]&gt;= 1000, "High Value", Sales_Data_1[[#This Row],[Sales]]&gt;= 300, "Mid Value", TRUE, "Low Value")</f>
        <v>High Value</v>
      </c>
    </row>
    <row r="254" spans="1:27" x14ac:dyDescent="0.3">
      <c r="A254" t="s">
        <v>2144</v>
      </c>
      <c r="B254" s="1">
        <v>45030</v>
      </c>
      <c r="C254" t="s">
        <v>40</v>
      </c>
      <c r="D254" t="s">
        <v>56</v>
      </c>
      <c r="E254" t="s">
        <v>2040</v>
      </c>
      <c r="F254" t="s">
        <v>103</v>
      </c>
      <c r="G254" t="s">
        <v>57</v>
      </c>
      <c r="H254" t="s">
        <v>100</v>
      </c>
      <c r="I254" t="s">
        <v>278</v>
      </c>
      <c r="J254">
        <v>1</v>
      </c>
      <c r="K254">
        <v>10321</v>
      </c>
      <c r="L254">
        <v>0.06</v>
      </c>
      <c r="M254">
        <v>9701.74</v>
      </c>
      <c r="N254">
        <v>9701.74</v>
      </c>
      <c r="O254">
        <v>0.2</v>
      </c>
      <c r="P254">
        <v>1940.35</v>
      </c>
      <c r="Q254" t="s">
        <v>47</v>
      </c>
      <c r="R254" t="s">
        <v>48</v>
      </c>
      <c r="S254">
        <v>8</v>
      </c>
      <c r="T254">
        <f>YEAR(Sales_Data_1[[#This Row],[Order_Date]])</f>
        <v>2023</v>
      </c>
      <c r="U254" t="str">
        <f>TEXT(Sales_Data_1[[#This Row],[Order_Date]], "mmm")</f>
        <v>Apr</v>
      </c>
      <c r="V254">
        <f>MONTH(Sales_Data_1[[#This Row],[Order_Date]])</f>
        <v>4</v>
      </c>
      <c r="W254" t="str">
        <f>TEXT(Sales_Data_1[[#This Row],[Order_Date]], "yyyy-mm")</f>
        <v>2023-04</v>
      </c>
      <c r="X254">
        <f>Sales_Data_1[[#This Row],[Sales]]-Sales_Data_1[[#This Row],[Profit_Amount]]</f>
        <v>7761.3899999999994</v>
      </c>
      <c r="Y254" t="str" cm="1">
        <f t="array" ref="Y254">_xlfn.IFS(Sales_Data_1[[#This Row],[Delivery_Days]]&lt;=3, "Fast", Sales_Data_1[[#This Row],[Delivery_Days]]&lt;= 7, "Standard", TRUE, "Delayed")</f>
        <v>Delayed</v>
      </c>
      <c r="Z254" t="str" cm="1">
        <f t="array" ref="Z254">_xlfn.IFS(Sales_Data_1[[#This Row],[Profit_Amount]]&gt; 0, "Profitable", Sales_Data_1[[#This Row],[Profit_Amount]] = 0, "Break-Even", TRUE, "Loss")</f>
        <v>Profitable</v>
      </c>
      <c r="AA254" t="str" cm="1">
        <f t="array" ref="AA254">_xlfn.IFS(Sales_Data_1[[#This Row],[Sales]]&gt;= 1000, "High Value", Sales_Data_1[[#This Row],[Sales]]&gt;= 300, "Mid Value", TRUE, "Low Value")</f>
        <v>High Value</v>
      </c>
    </row>
    <row r="255" spans="1:27" x14ac:dyDescent="0.3">
      <c r="A255" t="s">
        <v>2438</v>
      </c>
      <c r="B255" s="1">
        <v>45324</v>
      </c>
      <c r="C255" t="s">
        <v>63</v>
      </c>
      <c r="D255" t="s">
        <v>31</v>
      </c>
      <c r="E255" t="s">
        <v>67</v>
      </c>
      <c r="F255" t="s">
        <v>103</v>
      </c>
      <c r="G255" t="s">
        <v>44</v>
      </c>
      <c r="H255" t="s">
        <v>64</v>
      </c>
      <c r="I255" t="s">
        <v>862</v>
      </c>
      <c r="J255">
        <v>3</v>
      </c>
      <c r="K255">
        <v>2235</v>
      </c>
      <c r="L255">
        <v>0.17</v>
      </c>
      <c r="M255">
        <v>1855.05</v>
      </c>
      <c r="N255">
        <v>5565.15</v>
      </c>
      <c r="O255">
        <v>0.35</v>
      </c>
      <c r="P255">
        <v>1947.8</v>
      </c>
      <c r="Q255" t="s">
        <v>47</v>
      </c>
      <c r="R255" t="s">
        <v>48</v>
      </c>
      <c r="S255">
        <v>1</v>
      </c>
      <c r="T255">
        <f>YEAR(Sales_Data_1[[#This Row],[Order_Date]])</f>
        <v>2024</v>
      </c>
      <c r="U255" t="str">
        <f>TEXT(Sales_Data_1[[#This Row],[Order_Date]], "mmm")</f>
        <v>Feb</v>
      </c>
      <c r="V255">
        <f>MONTH(Sales_Data_1[[#This Row],[Order_Date]])</f>
        <v>2</v>
      </c>
      <c r="W255" t="str">
        <f>TEXT(Sales_Data_1[[#This Row],[Order_Date]], "yyyy-mm")</f>
        <v>2024-02</v>
      </c>
      <c r="X255">
        <f>Sales_Data_1[[#This Row],[Sales]]-Sales_Data_1[[#This Row],[Profit_Amount]]</f>
        <v>3617.3499999999995</v>
      </c>
      <c r="Y255" t="str" cm="1">
        <f t="array" ref="Y255">_xlfn.IFS(Sales_Data_1[[#This Row],[Delivery_Days]]&lt;=3, "Fast", Sales_Data_1[[#This Row],[Delivery_Days]]&lt;= 7, "Standard", TRUE, "Delayed")</f>
        <v>Fast</v>
      </c>
      <c r="Z255" t="str" cm="1">
        <f t="array" ref="Z255">_xlfn.IFS(Sales_Data_1[[#This Row],[Profit_Amount]]&gt; 0, "Profitable", Sales_Data_1[[#This Row],[Profit_Amount]] = 0, "Break-Even", TRUE, "Loss")</f>
        <v>Profitable</v>
      </c>
      <c r="AA255" t="str" cm="1">
        <f t="array" ref="AA255">_xlfn.IFS(Sales_Data_1[[#This Row],[Sales]]&gt;= 1000, "High Value", Sales_Data_1[[#This Row],[Sales]]&gt;= 300, "Mid Value", TRUE, "Low Value")</f>
        <v>High Value</v>
      </c>
    </row>
    <row r="256" spans="1:27" x14ac:dyDescent="0.3">
      <c r="A256" t="s">
        <v>2819</v>
      </c>
      <c r="B256" s="1">
        <v>45705</v>
      </c>
      <c r="C256" t="s">
        <v>96</v>
      </c>
      <c r="D256" t="s">
        <v>31</v>
      </c>
      <c r="E256" t="s">
        <v>67</v>
      </c>
      <c r="F256" t="s">
        <v>43</v>
      </c>
      <c r="G256" t="s">
        <v>44</v>
      </c>
      <c r="H256" t="s">
        <v>45</v>
      </c>
      <c r="I256" t="s">
        <v>1609</v>
      </c>
      <c r="J256">
        <v>2</v>
      </c>
      <c r="K256">
        <v>2820</v>
      </c>
      <c r="L256">
        <v>0.01</v>
      </c>
      <c r="M256">
        <v>2791.8</v>
      </c>
      <c r="N256">
        <v>5583.6</v>
      </c>
      <c r="O256">
        <v>0.35</v>
      </c>
      <c r="P256">
        <v>1954.26</v>
      </c>
      <c r="Q256" t="s">
        <v>47</v>
      </c>
      <c r="R256" t="s">
        <v>48</v>
      </c>
      <c r="S256">
        <v>2</v>
      </c>
      <c r="T256">
        <f>YEAR(Sales_Data_1[[#This Row],[Order_Date]])</f>
        <v>2025</v>
      </c>
      <c r="U256" t="str">
        <f>TEXT(Sales_Data_1[[#This Row],[Order_Date]], "mmm")</f>
        <v>Feb</v>
      </c>
      <c r="V256">
        <f>MONTH(Sales_Data_1[[#This Row],[Order_Date]])</f>
        <v>2</v>
      </c>
      <c r="W256" t="str">
        <f>TEXT(Sales_Data_1[[#This Row],[Order_Date]], "yyyy-mm")</f>
        <v>2025-02</v>
      </c>
      <c r="X256">
        <f>Sales_Data_1[[#This Row],[Sales]]-Sales_Data_1[[#This Row],[Profit_Amount]]</f>
        <v>3629.34</v>
      </c>
      <c r="Y256" t="str" cm="1">
        <f t="array" ref="Y256">_xlfn.IFS(Sales_Data_1[[#This Row],[Delivery_Days]]&lt;=3, "Fast", Sales_Data_1[[#This Row],[Delivery_Days]]&lt;= 7, "Standard", TRUE, "Delayed")</f>
        <v>Fast</v>
      </c>
      <c r="Z256" t="str" cm="1">
        <f t="array" ref="Z256">_xlfn.IFS(Sales_Data_1[[#This Row],[Profit_Amount]]&gt; 0, "Profitable", Sales_Data_1[[#This Row],[Profit_Amount]] = 0, "Break-Even", TRUE, "Loss")</f>
        <v>Profitable</v>
      </c>
      <c r="AA256" t="str" cm="1">
        <f t="array" ref="AA256">_xlfn.IFS(Sales_Data_1[[#This Row],[Sales]]&gt;= 1000, "High Value", Sales_Data_1[[#This Row],[Sales]]&gt;= 300, "Mid Value", TRUE, "Low Value")</f>
        <v>High Value</v>
      </c>
    </row>
    <row r="257" spans="1:27" x14ac:dyDescent="0.3">
      <c r="A257" t="s">
        <v>2281</v>
      </c>
      <c r="B257" s="1">
        <v>45167</v>
      </c>
      <c r="C257" t="s">
        <v>20</v>
      </c>
      <c r="D257" t="s">
        <v>56</v>
      </c>
      <c r="E257" t="s">
        <v>42</v>
      </c>
      <c r="F257" t="s">
        <v>103</v>
      </c>
      <c r="G257" t="s">
        <v>44</v>
      </c>
      <c r="H257" t="s">
        <v>45</v>
      </c>
      <c r="I257" t="s">
        <v>552</v>
      </c>
      <c r="J257">
        <v>5</v>
      </c>
      <c r="K257">
        <v>1416</v>
      </c>
      <c r="L257">
        <v>0.21</v>
      </c>
      <c r="M257">
        <v>1118.6400000000001</v>
      </c>
      <c r="N257">
        <v>5593.2</v>
      </c>
      <c r="O257">
        <v>0.35</v>
      </c>
      <c r="P257">
        <v>1957.62</v>
      </c>
      <c r="Q257" t="s">
        <v>27</v>
      </c>
      <c r="R257" t="s">
        <v>48</v>
      </c>
      <c r="S257">
        <v>2</v>
      </c>
      <c r="T257">
        <f>YEAR(Sales_Data_1[[#This Row],[Order_Date]])</f>
        <v>2023</v>
      </c>
      <c r="U257" t="str">
        <f>TEXT(Sales_Data_1[[#This Row],[Order_Date]], "mmm")</f>
        <v>Aug</v>
      </c>
      <c r="V257">
        <f>MONTH(Sales_Data_1[[#This Row],[Order_Date]])</f>
        <v>8</v>
      </c>
      <c r="W257" t="str">
        <f>TEXT(Sales_Data_1[[#This Row],[Order_Date]], "yyyy-mm")</f>
        <v>2023-08</v>
      </c>
      <c r="X257">
        <f>Sales_Data_1[[#This Row],[Sales]]-Sales_Data_1[[#This Row],[Profit_Amount]]</f>
        <v>3635.58</v>
      </c>
      <c r="Y257" t="str" cm="1">
        <f t="array" ref="Y257">_xlfn.IFS(Sales_Data_1[[#This Row],[Delivery_Days]]&lt;=3, "Fast", Sales_Data_1[[#This Row],[Delivery_Days]]&lt;= 7, "Standard", TRUE, "Delayed")</f>
        <v>Fast</v>
      </c>
      <c r="Z257" t="str" cm="1">
        <f t="array" ref="Z257">_xlfn.IFS(Sales_Data_1[[#This Row],[Profit_Amount]]&gt; 0, "Profitable", Sales_Data_1[[#This Row],[Profit_Amount]] = 0, "Break-Even", TRUE, "Loss")</f>
        <v>Profitable</v>
      </c>
      <c r="AA257" t="str" cm="1">
        <f t="array" ref="AA257">_xlfn.IFS(Sales_Data_1[[#This Row],[Sales]]&gt;= 1000, "High Value", Sales_Data_1[[#This Row],[Sales]]&gt;= 300, "Mid Value", TRUE, "Low Value")</f>
        <v>High Value</v>
      </c>
    </row>
    <row r="258" spans="1:27" x14ac:dyDescent="0.3">
      <c r="A258" t="s">
        <v>2864</v>
      </c>
      <c r="B258" s="1">
        <v>45750</v>
      </c>
      <c r="C258" t="s">
        <v>30</v>
      </c>
      <c r="D258" t="s">
        <v>56</v>
      </c>
      <c r="E258" t="s">
        <v>2042</v>
      </c>
      <c r="F258" t="s">
        <v>103</v>
      </c>
      <c r="G258" t="s">
        <v>44</v>
      </c>
      <c r="H258" t="s">
        <v>116</v>
      </c>
      <c r="I258" t="s">
        <v>1699</v>
      </c>
      <c r="J258">
        <v>5</v>
      </c>
      <c r="K258">
        <v>1159</v>
      </c>
      <c r="L258">
        <v>0.03</v>
      </c>
      <c r="M258">
        <v>1124.23</v>
      </c>
      <c r="N258">
        <v>5621.15</v>
      </c>
      <c r="O258">
        <v>0.35</v>
      </c>
      <c r="P258">
        <v>1967.4</v>
      </c>
      <c r="Q258" t="s">
        <v>37</v>
      </c>
      <c r="R258" t="s">
        <v>48</v>
      </c>
      <c r="S258">
        <v>1</v>
      </c>
      <c r="T258">
        <f>YEAR(Sales_Data_1[[#This Row],[Order_Date]])</f>
        <v>2025</v>
      </c>
      <c r="U258" t="str">
        <f>TEXT(Sales_Data_1[[#This Row],[Order_Date]], "mmm")</f>
        <v>Apr</v>
      </c>
      <c r="V258">
        <f>MONTH(Sales_Data_1[[#This Row],[Order_Date]])</f>
        <v>4</v>
      </c>
      <c r="W258" t="str">
        <f>TEXT(Sales_Data_1[[#This Row],[Order_Date]], "yyyy-mm")</f>
        <v>2025-04</v>
      </c>
      <c r="X258">
        <f>Sales_Data_1[[#This Row],[Sales]]-Sales_Data_1[[#This Row],[Profit_Amount]]</f>
        <v>3653.7499999999995</v>
      </c>
      <c r="Y258" t="str" cm="1">
        <f t="array" ref="Y258">_xlfn.IFS(Sales_Data_1[[#This Row],[Delivery_Days]]&lt;=3, "Fast", Sales_Data_1[[#This Row],[Delivery_Days]]&lt;= 7, "Standard", TRUE, "Delayed")</f>
        <v>Fast</v>
      </c>
      <c r="Z258" t="str" cm="1">
        <f t="array" ref="Z258">_xlfn.IFS(Sales_Data_1[[#This Row],[Profit_Amount]]&gt; 0, "Profitable", Sales_Data_1[[#This Row],[Profit_Amount]] = 0, "Break-Even", TRUE, "Loss")</f>
        <v>Profitable</v>
      </c>
      <c r="AA258" t="str" cm="1">
        <f t="array" ref="AA258">_xlfn.IFS(Sales_Data_1[[#This Row],[Sales]]&gt;= 1000, "High Value", Sales_Data_1[[#This Row],[Sales]]&gt;= 300, "Mid Value", TRUE, "Low Value")</f>
        <v>High Value</v>
      </c>
    </row>
    <row r="259" spans="1:27" x14ac:dyDescent="0.3">
      <c r="A259" t="s">
        <v>2445</v>
      </c>
      <c r="B259" s="1">
        <v>45331</v>
      </c>
      <c r="C259" t="s">
        <v>55</v>
      </c>
      <c r="D259" t="s">
        <v>21</v>
      </c>
      <c r="E259" t="s">
        <v>67</v>
      </c>
      <c r="F259" t="s">
        <v>103</v>
      </c>
      <c r="G259" t="s">
        <v>24</v>
      </c>
      <c r="H259" t="s">
        <v>74</v>
      </c>
      <c r="I259" t="s">
        <v>876</v>
      </c>
      <c r="J259">
        <v>1</v>
      </c>
      <c r="K259">
        <v>9533</v>
      </c>
      <c r="L259">
        <v>0.17</v>
      </c>
      <c r="M259">
        <v>7912.39</v>
      </c>
      <c r="N259">
        <v>7912.39</v>
      </c>
      <c r="O259">
        <v>0.25</v>
      </c>
      <c r="P259">
        <v>1978.1</v>
      </c>
      <c r="Q259" t="s">
        <v>51</v>
      </c>
      <c r="R259" t="s">
        <v>48</v>
      </c>
      <c r="S259">
        <v>1</v>
      </c>
      <c r="T259">
        <f>YEAR(Sales_Data_1[[#This Row],[Order_Date]])</f>
        <v>2024</v>
      </c>
      <c r="U259" t="str">
        <f>TEXT(Sales_Data_1[[#This Row],[Order_Date]], "mmm")</f>
        <v>Feb</v>
      </c>
      <c r="V259">
        <f>MONTH(Sales_Data_1[[#This Row],[Order_Date]])</f>
        <v>2</v>
      </c>
      <c r="W259" t="str">
        <f>TEXT(Sales_Data_1[[#This Row],[Order_Date]], "yyyy-mm")</f>
        <v>2024-02</v>
      </c>
      <c r="X259">
        <f>Sales_Data_1[[#This Row],[Sales]]-Sales_Data_1[[#This Row],[Profit_Amount]]</f>
        <v>5934.2900000000009</v>
      </c>
      <c r="Y259" t="str" cm="1">
        <f t="array" ref="Y259">_xlfn.IFS(Sales_Data_1[[#This Row],[Delivery_Days]]&lt;=3, "Fast", Sales_Data_1[[#This Row],[Delivery_Days]]&lt;= 7, "Standard", TRUE, "Delayed")</f>
        <v>Fast</v>
      </c>
      <c r="Z259" t="str" cm="1">
        <f t="array" ref="Z259">_xlfn.IFS(Sales_Data_1[[#This Row],[Profit_Amount]]&gt; 0, "Profitable", Sales_Data_1[[#This Row],[Profit_Amount]] = 0, "Break-Even", TRUE, "Loss")</f>
        <v>Profitable</v>
      </c>
      <c r="AA259" t="str" cm="1">
        <f t="array" ref="AA259">_xlfn.IFS(Sales_Data_1[[#This Row],[Sales]]&gt;= 1000, "High Value", Sales_Data_1[[#This Row],[Sales]]&gt;= 300, "Mid Value", TRUE, "Low Value")</f>
        <v>High Value</v>
      </c>
    </row>
    <row r="260" spans="1:27" x14ac:dyDescent="0.3">
      <c r="A260" t="s">
        <v>2298</v>
      </c>
      <c r="B260" s="1">
        <v>45184</v>
      </c>
      <c r="C260" t="s">
        <v>55</v>
      </c>
      <c r="D260" t="s">
        <v>41</v>
      </c>
      <c r="E260" t="s">
        <v>42</v>
      </c>
      <c r="F260" t="s">
        <v>33</v>
      </c>
      <c r="G260" t="s">
        <v>34</v>
      </c>
      <c r="H260" t="s">
        <v>141</v>
      </c>
      <c r="I260" t="s">
        <v>586</v>
      </c>
      <c r="J260">
        <v>5</v>
      </c>
      <c r="K260">
        <v>1015</v>
      </c>
      <c r="L260">
        <v>0.02</v>
      </c>
      <c r="M260">
        <v>994.7</v>
      </c>
      <c r="N260">
        <v>4973.5</v>
      </c>
      <c r="O260">
        <v>0.4</v>
      </c>
      <c r="P260">
        <v>1989.4</v>
      </c>
      <c r="Q260" t="s">
        <v>51</v>
      </c>
      <c r="R260" t="s">
        <v>48</v>
      </c>
      <c r="S260">
        <v>3</v>
      </c>
      <c r="T260">
        <f>YEAR(Sales_Data_1[[#This Row],[Order_Date]])</f>
        <v>2023</v>
      </c>
      <c r="U260" t="str">
        <f>TEXT(Sales_Data_1[[#This Row],[Order_Date]], "mmm")</f>
        <v>Sep</v>
      </c>
      <c r="V260">
        <f>MONTH(Sales_Data_1[[#This Row],[Order_Date]])</f>
        <v>9</v>
      </c>
      <c r="W260" t="str">
        <f>TEXT(Sales_Data_1[[#This Row],[Order_Date]], "yyyy-mm")</f>
        <v>2023-09</v>
      </c>
      <c r="X260">
        <f>Sales_Data_1[[#This Row],[Sales]]-Sales_Data_1[[#This Row],[Profit_Amount]]</f>
        <v>2984.1</v>
      </c>
      <c r="Y260" t="str" cm="1">
        <f t="array" ref="Y260">_xlfn.IFS(Sales_Data_1[[#This Row],[Delivery_Days]]&lt;=3, "Fast", Sales_Data_1[[#This Row],[Delivery_Days]]&lt;= 7, "Standard", TRUE, "Delayed")</f>
        <v>Fast</v>
      </c>
      <c r="Z260" t="str" cm="1">
        <f t="array" ref="Z260">_xlfn.IFS(Sales_Data_1[[#This Row],[Profit_Amount]]&gt; 0, "Profitable", Sales_Data_1[[#This Row],[Profit_Amount]] = 0, "Break-Even", TRUE, "Loss")</f>
        <v>Profitable</v>
      </c>
      <c r="AA260" t="str" cm="1">
        <f t="array" ref="AA260">_xlfn.IFS(Sales_Data_1[[#This Row],[Sales]]&gt;= 1000, "High Value", Sales_Data_1[[#This Row],[Sales]]&gt;= 300, "Mid Value", TRUE, "Low Value")</f>
        <v>High Value</v>
      </c>
    </row>
    <row r="261" spans="1:27" x14ac:dyDescent="0.3">
      <c r="A261" t="s">
        <v>2587</v>
      </c>
      <c r="B261" s="1">
        <v>45473</v>
      </c>
      <c r="C261" t="s">
        <v>96</v>
      </c>
      <c r="D261" t="s">
        <v>56</v>
      </c>
      <c r="E261" t="s">
        <v>42</v>
      </c>
      <c r="F261" t="s">
        <v>68</v>
      </c>
      <c r="G261" t="s">
        <v>34</v>
      </c>
      <c r="H261" t="s">
        <v>141</v>
      </c>
      <c r="I261" t="s">
        <v>1156</v>
      </c>
      <c r="J261">
        <v>5</v>
      </c>
      <c r="K261">
        <v>1019</v>
      </c>
      <c r="L261">
        <v>0.02</v>
      </c>
      <c r="M261">
        <v>998.62</v>
      </c>
      <c r="N261">
        <v>4993.1000000000004</v>
      </c>
      <c r="O261">
        <v>0.4</v>
      </c>
      <c r="P261">
        <v>1997.24</v>
      </c>
      <c r="Q261" t="s">
        <v>27</v>
      </c>
      <c r="R261" t="s">
        <v>48</v>
      </c>
      <c r="S261">
        <v>9</v>
      </c>
      <c r="T261">
        <f>YEAR(Sales_Data_1[[#This Row],[Order_Date]])</f>
        <v>2024</v>
      </c>
      <c r="U261" t="str">
        <f>TEXT(Sales_Data_1[[#This Row],[Order_Date]], "mmm")</f>
        <v>Jun</v>
      </c>
      <c r="V261">
        <f>MONTH(Sales_Data_1[[#This Row],[Order_Date]])</f>
        <v>6</v>
      </c>
      <c r="W261" t="str">
        <f>TEXT(Sales_Data_1[[#This Row],[Order_Date]], "yyyy-mm")</f>
        <v>2024-06</v>
      </c>
      <c r="X261">
        <f>Sales_Data_1[[#This Row],[Sales]]-Sales_Data_1[[#This Row],[Profit_Amount]]</f>
        <v>2995.8600000000006</v>
      </c>
      <c r="Y261" t="str" cm="1">
        <f t="array" ref="Y261">_xlfn.IFS(Sales_Data_1[[#This Row],[Delivery_Days]]&lt;=3, "Fast", Sales_Data_1[[#This Row],[Delivery_Days]]&lt;= 7, "Standard", TRUE, "Delayed")</f>
        <v>Delayed</v>
      </c>
      <c r="Z261" t="str" cm="1">
        <f t="array" ref="Z261">_xlfn.IFS(Sales_Data_1[[#This Row],[Profit_Amount]]&gt; 0, "Profitable", Sales_Data_1[[#This Row],[Profit_Amount]] = 0, "Break-Even", TRUE, "Loss")</f>
        <v>Profitable</v>
      </c>
      <c r="AA261" t="str" cm="1">
        <f t="array" ref="AA261">_xlfn.IFS(Sales_Data_1[[#This Row],[Sales]]&gt;= 1000, "High Value", Sales_Data_1[[#This Row],[Sales]]&gt;= 300, "Mid Value", TRUE, "Low Value")</f>
        <v>High Value</v>
      </c>
    </row>
    <row r="262" spans="1:27" x14ac:dyDescent="0.3">
      <c r="A262" t="s">
        <v>2324</v>
      </c>
      <c r="B262" s="1">
        <v>45210</v>
      </c>
      <c r="C262" t="s">
        <v>55</v>
      </c>
      <c r="D262" t="s">
        <v>31</v>
      </c>
      <c r="E262" t="s">
        <v>42</v>
      </c>
      <c r="F262" t="s">
        <v>23</v>
      </c>
      <c r="G262" t="s">
        <v>24</v>
      </c>
      <c r="H262" t="s">
        <v>25</v>
      </c>
      <c r="I262" t="s">
        <v>638</v>
      </c>
      <c r="J262">
        <v>2</v>
      </c>
      <c r="K262">
        <v>5146</v>
      </c>
      <c r="L262">
        <v>0.22</v>
      </c>
      <c r="M262">
        <v>4013.88</v>
      </c>
      <c r="N262">
        <v>8027.76</v>
      </c>
      <c r="O262">
        <v>0.25</v>
      </c>
      <c r="P262">
        <v>2006.94</v>
      </c>
      <c r="Q262" t="s">
        <v>47</v>
      </c>
      <c r="R262" t="s">
        <v>48</v>
      </c>
      <c r="S262">
        <v>1</v>
      </c>
      <c r="T262">
        <f>YEAR(Sales_Data_1[[#This Row],[Order_Date]])</f>
        <v>2023</v>
      </c>
      <c r="U262" t="str">
        <f>TEXT(Sales_Data_1[[#This Row],[Order_Date]], "mmm")</f>
        <v>Oct</v>
      </c>
      <c r="V262">
        <f>MONTH(Sales_Data_1[[#This Row],[Order_Date]])</f>
        <v>10</v>
      </c>
      <c r="W262" t="str">
        <f>TEXT(Sales_Data_1[[#This Row],[Order_Date]], "yyyy-mm")</f>
        <v>2023-10</v>
      </c>
      <c r="X262">
        <f>Sales_Data_1[[#This Row],[Sales]]-Sales_Data_1[[#This Row],[Profit_Amount]]</f>
        <v>6020.82</v>
      </c>
      <c r="Y262" t="str" cm="1">
        <f t="array" ref="Y262">_xlfn.IFS(Sales_Data_1[[#This Row],[Delivery_Days]]&lt;=3, "Fast", Sales_Data_1[[#This Row],[Delivery_Days]]&lt;= 7, "Standard", TRUE, "Delayed")</f>
        <v>Fast</v>
      </c>
      <c r="Z262" t="str" cm="1">
        <f t="array" ref="Z262">_xlfn.IFS(Sales_Data_1[[#This Row],[Profit_Amount]]&gt; 0, "Profitable", Sales_Data_1[[#This Row],[Profit_Amount]] = 0, "Break-Even", TRUE, "Loss")</f>
        <v>Profitable</v>
      </c>
      <c r="AA262" t="str" cm="1">
        <f t="array" ref="AA262">_xlfn.IFS(Sales_Data_1[[#This Row],[Sales]]&gt;= 1000, "High Value", Sales_Data_1[[#This Row],[Sales]]&gt;= 300, "Mid Value", TRUE, "Low Value")</f>
        <v>High Value</v>
      </c>
    </row>
    <row r="263" spans="1:27" x14ac:dyDescent="0.3">
      <c r="A263" t="s">
        <v>2241</v>
      </c>
      <c r="B263" s="1">
        <v>45127</v>
      </c>
      <c r="C263" t="s">
        <v>20</v>
      </c>
      <c r="D263" t="s">
        <v>21</v>
      </c>
      <c r="E263" t="s">
        <v>2040</v>
      </c>
      <c r="F263" t="s">
        <v>97</v>
      </c>
      <c r="G263" t="s">
        <v>57</v>
      </c>
      <c r="H263" t="s">
        <v>81</v>
      </c>
      <c r="I263" t="s">
        <v>472</v>
      </c>
      <c r="J263">
        <v>2</v>
      </c>
      <c r="K263">
        <v>5719</v>
      </c>
      <c r="L263">
        <v>0.12</v>
      </c>
      <c r="M263">
        <v>5032.72</v>
      </c>
      <c r="N263">
        <v>10065.44</v>
      </c>
      <c r="O263">
        <v>0.2</v>
      </c>
      <c r="P263">
        <v>2013.09</v>
      </c>
      <c r="Q263" t="s">
        <v>37</v>
      </c>
      <c r="R263" t="s">
        <v>48</v>
      </c>
      <c r="S263">
        <v>2</v>
      </c>
      <c r="T263">
        <f>YEAR(Sales_Data_1[[#This Row],[Order_Date]])</f>
        <v>2023</v>
      </c>
      <c r="U263" t="str">
        <f>TEXT(Sales_Data_1[[#This Row],[Order_Date]], "mmm")</f>
        <v>Jul</v>
      </c>
      <c r="V263">
        <f>MONTH(Sales_Data_1[[#This Row],[Order_Date]])</f>
        <v>7</v>
      </c>
      <c r="W263" t="str">
        <f>TEXT(Sales_Data_1[[#This Row],[Order_Date]], "yyyy-mm")</f>
        <v>2023-07</v>
      </c>
      <c r="X263">
        <f>Sales_Data_1[[#This Row],[Sales]]-Sales_Data_1[[#This Row],[Profit_Amount]]</f>
        <v>8052.35</v>
      </c>
      <c r="Y263" t="str" cm="1">
        <f t="array" ref="Y263">_xlfn.IFS(Sales_Data_1[[#This Row],[Delivery_Days]]&lt;=3, "Fast", Sales_Data_1[[#This Row],[Delivery_Days]]&lt;= 7, "Standard", TRUE, "Delayed")</f>
        <v>Fast</v>
      </c>
      <c r="Z263" t="str" cm="1">
        <f t="array" ref="Z263">_xlfn.IFS(Sales_Data_1[[#This Row],[Profit_Amount]]&gt; 0, "Profitable", Sales_Data_1[[#This Row],[Profit_Amount]] = 0, "Break-Even", TRUE, "Loss")</f>
        <v>Profitable</v>
      </c>
      <c r="AA263" t="str" cm="1">
        <f t="array" ref="AA263">_xlfn.IFS(Sales_Data_1[[#This Row],[Sales]]&gt;= 1000, "High Value", Sales_Data_1[[#This Row],[Sales]]&gt;= 300, "Mid Value", TRUE, "Low Value")</f>
        <v>High Value</v>
      </c>
    </row>
    <row r="264" spans="1:27" x14ac:dyDescent="0.3">
      <c r="A264" t="s">
        <v>2994</v>
      </c>
      <c r="B264" s="1">
        <v>45880</v>
      </c>
      <c r="C264" t="s">
        <v>63</v>
      </c>
      <c r="D264" t="s">
        <v>41</v>
      </c>
      <c r="E264" t="s">
        <v>67</v>
      </c>
      <c r="F264" t="s">
        <v>97</v>
      </c>
      <c r="G264" t="s">
        <v>34</v>
      </c>
      <c r="H264" t="s">
        <v>104</v>
      </c>
      <c r="I264" t="s">
        <v>1949</v>
      </c>
      <c r="J264">
        <v>8</v>
      </c>
      <c r="K264">
        <v>760</v>
      </c>
      <c r="L264">
        <v>0.17</v>
      </c>
      <c r="M264">
        <v>630.79999999999995</v>
      </c>
      <c r="N264">
        <v>5046.3999999999996</v>
      </c>
      <c r="O264">
        <v>0.4</v>
      </c>
      <c r="P264">
        <v>2018.56</v>
      </c>
      <c r="Q264" t="s">
        <v>27</v>
      </c>
      <c r="R264" t="s">
        <v>48</v>
      </c>
      <c r="S264">
        <v>3</v>
      </c>
      <c r="T264">
        <f>YEAR(Sales_Data_1[[#This Row],[Order_Date]])</f>
        <v>2025</v>
      </c>
      <c r="U264" t="str">
        <f>TEXT(Sales_Data_1[[#This Row],[Order_Date]], "mmm")</f>
        <v>Aug</v>
      </c>
      <c r="V264">
        <f>MONTH(Sales_Data_1[[#This Row],[Order_Date]])</f>
        <v>8</v>
      </c>
      <c r="W264" t="str">
        <f>TEXT(Sales_Data_1[[#This Row],[Order_Date]], "yyyy-mm")</f>
        <v>2025-08</v>
      </c>
      <c r="X264">
        <f>Sales_Data_1[[#This Row],[Sales]]-Sales_Data_1[[#This Row],[Profit_Amount]]</f>
        <v>3027.8399999999997</v>
      </c>
      <c r="Y264" t="str" cm="1">
        <f t="array" ref="Y264">_xlfn.IFS(Sales_Data_1[[#This Row],[Delivery_Days]]&lt;=3, "Fast", Sales_Data_1[[#This Row],[Delivery_Days]]&lt;= 7, "Standard", TRUE, "Delayed")</f>
        <v>Fast</v>
      </c>
      <c r="Z264" t="str" cm="1">
        <f t="array" ref="Z264">_xlfn.IFS(Sales_Data_1[[#This Row],[Profit_Amount]]&gt; 0, "Profitable", Sales_Data_1[[#This Row],[Profit_Amount]] = 0, "Break-Even", TRUE, "Loss")</f>
        <v>Profitable</v>
      </c>
      <c r="AA264" t="str" cm="1">
        <f t="array" ref="AA264">_xlfn.IFS(Sales_Data_1[[#This Row],[Sales]]&gt;= 1000, "High Value", Sales_Data_1[[#This Row],[Sales]]&gt;= 300, "Mid Value", TRUE, "Low Value")</f>
        <v>High Value</v>
      </c>
    </row>
    <row r="265" spans="1:27" x14ac:dyDescent="0.3">
      <c r="A265" t="s">
        <v>2719</v>
      </c>
      <c r="B265" s="1">
        <v>45605</v>
      </c>
      <c r="C265" t="s">
        <v>40</v>
      </c>
      <c r="D265" t="s">
        <v>21</v>
      </c>
      <c r="E265" t="s">
        <v>67</v>
      </c>
      <c r="F265" t="s">
        <v>103</v>
      </c>
      <c r="G265" t="s">
        <v>34</v>
      </c>
      <c r="H265" t="s">
        <v>104</v>
      </c>
      <c r="I265" t="s">
        <v>1414</v>
      </c>
      <c r="J265">
        <v>8</v>
      </c>
      <c r="K265">
        <v>721</v>
      </c>
      <c r="L265">
        <v>0.12</v>
      </c>
      <c r="M265">
        <v>634.48</v>
      </c>
      <c r="N265">
        <v>5075.84</v>
      </c>
      <c r="O265">
        <v>0.4</v>
      </c>
      <c r="P265">
        <v>2030.34</v>
      </c>
      <c r="Q265" t="s">
        <v>27</v>
      </c>
      <c r="R265" t="s">
        <v>48</v>
      </c>
      <c r="S265">
        <v>9</v>
      </c>
      <c r="T265">
        <f>YEAR(Sales_Data_1[[#This Row],[Order_Date]])</f>
        <v>2024</v>
      </c>
      <c r="U265" t="str">
        <f>TEXT(Sales_Data_1[[#This Row],[Order_Date]], "mmm")</f>
        <v>Nov</v>
      </c>
      <c r="V265">
        <f>MONTH(Sales_Data_1[[#This Row],[Order_Date]])</f>
        <v>11</v>
      </c>
      <c r="W265" t="str">
        <f>TEXT(Sales_Data_1[[#This Row],[Order_Date]], "yyyy-mm")</f>
        <v>2024-11</v>
      </c>
      <c r="X265">
        <f>Sales_Data_1[[#This Row],[Sales]]-Sales_Data_1[[#This Row],[Profit_Amount]]</f>
        <v>3045.5</v>
      </c>
      <c r="Y265" t="str" cm="1">
        <f t="array" ref="Y265">_xlfn.IFS(Sales_Data_1[[#This Row],[Delivery_Days]]&lt;=3, "Fast", Sales_Data_1[[#This Row],[Delivery_Days]]&lt;= 7, "Standard", TRUE, "Delayed")</f>
        <v>Delayed</v>
      </c>
      <c r="Z265" t="str" cm="1">
        <f t="array" ref="Z265">_xlfn.IFS(Sales_Data_1[[#This Row],[Profit_Amount]]&gt; 0, "Profitable", Sales_Data_1[[#This Row],[Profit_Amount]] = 0, "Break-Even", TRUE, "Loss")</f>
        <v>Profitable</v>
      </c>
      <c r="AA265" t="str" cm="1">
        <f t="array" ref="AA265">_xlfn.IFS(Sales_Data_1[[#This Row],[Sales]]&gt;= 1000, "High Value", Sales_Data_1[[#This Row],[Sales]]&gt;= 300, "Mid Value", TRUE, "Low Value")</f>
        <v>High Value</v>
      </c>
    </row>
    <row r="266" spans="1:27" x14ac:dyDescent="0.3">
      <c r="A266" t="s">
        <v>2841</v>
      </c>
      <c r="B266" s="1">
        <v>45727</v>
      </c>
      <c r="C266" t="s">
        <v>20</v>
      </c>
      <c r="D266" t="s">
        <v>41</v>
      </c>
      <c r="E266" t="s">
        <v>2040</v>
      </c>
      <c r="F266" t="s">
        <v>97</v>
      </c>
      <c r="G266" t="s">
        <v>44</v>
      </c>
      <c r="H266" t="s">
        <v>45</v>
      </c>
      <c r="I266" t="s">
        <v>1653</v>
      </c>
      <c r="J266">
        <v>6</v>
      </c>
      <c r="K266">
        <v>1041</v>
      </c>
      <c r="L266">
        <v>7.0000000000000007E-2</v>
      </c>
      <c r="M266">
        <v>968.13</v>
      </c>
      <c r="N266">
        <v>5808.78</v>
      </c>
      <c r="O266">
        <v>0.35</v>
      </c>
      <c r="P266">
        <v>2033.07</v>
      </c>
      <c r="Q266" t="s">
        <v>37</v>
      </c>
      <c r="R266" t="s">
        <v>48</v>
      </c>
      <c r="S266">
        <v>8</v>
      </c>
      <c r="T266">
        <f>YEAR(Sales_Data_1[[#This Row],[Order_Date]])</f>
        <v>2025</v>
      </c>
      <c r="U266" t="str">
        <f>TEXT(Sales_Data_1[[#This Row],[Order_Date]], "mmm")</f>
        <v>Mar</v>
      </c>
      <c r="V266">
        <f>MONTH(Sales_Data_1[[#This Row],[Order_Date]])</f>
        <v>3</v>
      </c>
      <c r="W266" t="str">
        <f>TEXT(Sales_Data_1[[#This Row],[Order_Date]], "yyyy-mm")</f>
        <v>2025-03</v>
      </c>
      <c r="X266">
        <f>Sales_Data_1[[#This Row],[Sales]]-Sales_Data_1[[#This Row],[Profit_Amount]]</f>
        <v>3775.71</v>
      </c>
      <c r="Y266" t="str" cm="1">
        <f t="array" ref="Y266">_xlfn.IFS(Sales_Data_1[[#This Row],[Delivery_Days]]&lt;=3, "Fast", Sales_Data_1[[#This Row],[Delivery_Days]]&lt;= 7, "Standard", TRUE, "Delayed")</f>
        <v>Delayed</v>
      </c>
      <c r="Z266" t="str" cm="1">
        <f t="array" ref="Z266">_xlfn.IFS(Sales_Data_1[[#This Row],[Profit_Amount]]&gt; 0, "Profitable", Sales_Data_1[[#This Row],[Profit_Amount]] = 0, "Break-Even", TRUE, "Loss")</f>
        <v>Profitable</v>
      </c>
      <c r="AA266" t="str" cm="1">
        <f t="array" ref="AA266">_xlfn.IFS(Sales_Data_1[[#This Row],[Sales]]&gt;= 1000, "High Value", Sales_Data_1[[#This Row],[Sales]]&gt;= 300, "Mid Value", TRUE, "Low Value")</f>
        <v>High Value</v>
      </c>
    </row>
    <row r="267" spans="1:27" x14ac:dyDescent="0.3">
      <c r="A267" t="s">
        <v>3033</v>
      </c>
      <c r="B267" s="1">
        <v>45919</v>
      </c>
      <c r="C267" t="s">
        <v>63</v>
      </c>
      <c r="D267" t="s">
        <v>56</v>
      </c>
      <c r="E267" t="s">
        <v>67</v>
      </c>
      <c r="F267" t="s">
        <v>33</v>
      </c>
      <c r="G267" t="s">
        <v>24</v>
      </c>
      <c r="H267" t="s">
        <v>186</v>
      </c>
      <c r="I267" t="s">
        <v>2024</v>
      </c>
      <c r="J267">
        <v>9</v>
      </c>
      <c r="K267">
        <v>1007</v>
      </c>
      <c r="L267">
        <v>0.1</v>
      </c>
      <c r="M267">
        <v>906.3</v>
      </c>
      <c r="N267">
        <v>8156.7</v>
      </c>
      <c r="O267">
        <v>0.25</v>
      </c>
      <c r="P267">
        <v>2039.18</v>
      </c>
      <c r="Q267" t="s">
        <v>37</v>
      </c>
      <c r="R267" t="s">
        <v>48</v>
      </c>
      <c r="S267">
        <v>5</v>
      </c>
      <c r="T267">
        <f>YEAR(Sales_Data_1[[#This Row],[Order_Date]])</f>
        <v>2025</v>
      </c>
      <c r="U267" t="str">
        <f>TEXT(Sales_Data_1[[#This Row],[Order_Date]], "mmm")</f>
        <v>Sep</v>
      </c>
      <c r="V267">
        <f>MONTH(Sales_Data_1[[#This Row],[Order_Date]])</f>
        <v>9</v>
      </c>
      <c r="W267" t="str">
        <f>TEXT(Sales_Data_1[[#This Row],[Order_Date]], "yyyy-mm")</f>
        <v>2025-09</v>
      </c>
      <c r="X267">
        <f>Sales_Data_1[[#This Row],[Sales]]-Sales_Data_1[[#This Row],[Profit_Amount]]</f>
        <v>6117.5199999999995</v>
      </c>
      <c r="Y267" t="str" cm="1">
        <f t="array" ref="Y267">_xlfn.IFS(Sales_Data_1[[#This Row],[Delivery_Days]]&lt;=3, "Fast", Sales_Data_1[[#This Row],[Delivery_Days]]&lt;= 7, "Standard", TRUE, "Delayed")</f>
        <v>Standard</v>
      </c>
      <c r="Z267" t="str" cm="1">
        <f t="array" ref="Z267">_xlfn.IFS(Sales_Data_1[[#This Row],[Profit_Amount]]&gt; 0, "Profitable", Sales_Data_1[[#This Row],[Profit_Amount]] = 0, "Break-Even", TRUE, "Loss")</f>
        <v>Profitable</v>
      </c>
      <c r="AA267" t="str" cm="1">
        <f t="array" ref="AA267">_xlfn.IFS(Sales_Data_1[[#This Row],[Sales]]&gt;= 1000, "High Value", Sales_Data_1[[#This Row],[Sales]]&gt;= 300, "Mid Value", TRUE, "Low Value")</f>
        <v>High Value</v>
      </c>
    </row>
    <row r="268" spans="1:27" x14ac:dyDescent="0.3">
      <c r="A268" t="s">
        <v>2360</v>
      </c>
      <c r="B268" s="1">
        <v>45246</v>
      </c>
      <c r="C268" t="s">
        <v>20</v>
      </c>
      <c r="D268" t="s">
        <v>56</v>
      </c>
      <c r="E268" t="s">
        <v>2040</v>
      </c>
      <c r="F268" t="s">
        <v>103</v>
      </c>
      <c r="G268" t="s">
        <v>44</v>
      </c>
      <c r="H268" t="s">
        <v>116</v>
      </c>
      <c r="I268" t="s">
        <v>708</v>
      </c>
      <c r="J268">
        <v>3</v>
      </c>
      <c r="K268">
        <v>2208</v>
      </c>
      <c r="L268">
        <v>0.12</v>
      </c>
      <c r="M268">
        <v>1943.04</v>
      </c>
      <c r="N268">
        <v>5829.12</v>
      </c>
      <c r="O268">
        <v>0.35</v>
      </c>
      <c r="P268">
        <v>2040.19</v>
      </c>
      <c r="Q268" t="s">
        <v>37</v>
      </c>
      <c r="R268" t="s">
        <v>48</v>
      </c>
      <c r="S268">
        <v>3</v>
      </c>
      <c r="T268">
        <f>YEAR(Sales_Data_1[[#This Row],[Order_Date]])</f>
        <v>2023</v>
      </c>
      <c r="U268" t="str">
        <f>TEXT(Sales_Data_1[[#This Row],[Order_Date]], "mmm")</f>
        <v>Nov</v>
      </c>
      <c r="V268">
        <f>MONTH(Sales_Data_1[[#This Row],[Order_Date]])</f>
        <v>11</v>
      </c>
      <c r="W268" t="str">
        <f>TEXT(Sales_Data_1[[#This Row],[Order_Date]], "yyyy-mm")</f>
        <v>2023-11</v>
      </c>
      <c r="X268">
        <f>Sales_Data_1[[#This Row],[Sales]]-Sales_Data_1[[#This Row],[Profit_Amount]]</f>
        <v>3788.93</v>
      </c>
      <c r="Y268" t="str" cm="1">
        <f t="array" ref="Y268">_xlfn.IFS(Sales_Data_1[[#This Row],[Delivery_Days]]&lt;=3, "Fast", Sales_Data_1[[#This Row],[Delivery_Days]]&lt;= 7, "Standard", TRUE, "Delayed")</f>
        <v>Fast</v>
      </c>
      <c r="Z268" t="str" cm="1">
        <f t="array" ref="Z268">_xlfn.IFS(Sales_Data_1[[#This Row],[Profit_Amount]]&gt; 0, "Profitable", Sales_Data_1[[#This Row],[Profit_Amount]] = 0, "Break-Even", TRUE, "Loss")</f>
        <v>Profitable</v>
      </c>
      <c r="AA268" t="str" cm="1">
        <f t="array" ref="AA268">_xlfn.IFS(Sales_Data_1[[#This Row],[Sales]]&gt;= 1000, "High Value", Sales_Data_1[[#This Row],[Sales]]&gt;= 300, "Mid Value", TRUE, "Low Value")</f>
        <v>High Value</v>
      </c>
    </row>
    <row r="269" spans="1:27" x14ac:dyDescent="0.3">
      <c r="A269" t="s">
        <v>2716</v>
      </c>
      <c r="B269" s="1">
        <v>45602</v>
      </c>
      <c r="C269" t="s">
        <v>30</v>
      </c>
      <c r="D269" t="s">
        <v>21</v>
      </c>
      <c r="E269" t="s">
        <v>67</v>
      </c>
      <c r="F269" t="s">
        <v>23</v>
      </c>
      <c r="G269" t="s">
        <v>34</v>
      </c>
      <c r="H269" t="s">
        <v>35</v>
      </c>
      <c r="I269" t="s">
        <v>1408</v>
      </c>
      <c r="J269">
        <v>5</v>
      </c>
      <c r="K269">
        <v>1091</v>
      </c>
      <c r="L269">
        <v>0.06</v>
      </c>
      <c r="M269">
        <v>1025.54</v>
      </c>
      <c r="N269">
        <v>5127.7</v>
      </c>
      <c r="O269">
        <v>0.4</v>
      </c>
      <c r="P269">
        <v>2051.08</v>
      </c>
      <c r="Q269" t="s">
        <v>37</v>
      </c>
      <c r="R269" t="s">
        <v>48</v>
      </c>
      <c r="S269">
        <v>7</v>
      </c>
      <c r="T269">
        <f>YEAR(Sales_Data_1[[#This Row],[Order_Date]])</f>
        <v>2024</v>
      </c>
      <c r="U269" t="str">
        <f>TEXT(Sales_Data_1[[#This Row],[Order_Date]], "mmm")</f>
        <v>Nov</v>
      </c>
      <c r="V269">
        <f>MONTH(Sales_Data_1[[#This Row],[Order_Date]])</f>
        <v>11</v>
      </c>
      <c r="W269" t="str">
        <f>TEXT(Sales_Data_1[[#This Row],[Order_Date]], "yyyy-mm")</f>
        <v>2024-11</v>
      </c>
      <c r="X269">
        <f>Sales_Data_1[[#This Row],[Sales]]-Sales_Data_1[[#This Row],[Profit_Amount]]</f>
        <v>3076.62</v>
      </c>
      <c r="Y269" t="str" cm="1">
        <f t="array" ref="Y269">_xlfn.IFS(Sales_Data_1[[#This Row],[Delivery_Days]]&lt;=3, "Fast", Sales_Data_1[[#This Row],[Delivery_Days]]&lt;= 7, "Standard", TRUE, "Delayed")</f>
        <v>Standard</v>
      </c>
      <c r="Z269" t="str" cm="1">
        <f t="array" ref="Z269">_xlfn.IFS(Sales_Data_1[[#This Row],[Profit_Amount]]&gt; 0, "Profitable", Sales_Data_1[[#This Row],[Profit_Amount]] = 0, "Break-Even", TRUE, "Loss")</f>
        <v>Profitable</v>
      </c>
      <c r="AA269" t="str" cm="1">
        <f t="array" ref="AA269">_xlfn.IFS(Sales_Data_1[[#This Row],[Sales]]&gt;= 1000, "High Value", Sales_Data_1[[#This Row],[Sales]]&gt;= 300, "Mid Value", TRUE, "Low Value")</f>
        <v>High Value</v>
      </c>
    </row>
    <row r="270" spans="1:27" x14ac:dyDescent="0.3">
      <c r="A270" t="s">
        <v>2253</v>
      </c>
      <c r="B270" s="1">
        <v>45139</v>
      </c>
      <c r="C270" t="s">
        <v>55</v>
      </c>
      <c r="D270" t="s">
        <v>21</v>
      </c>
      <c r="E270" t="s">
        <v>2042</v>
      </c>
      <c r="F270" t="s">
        <v>33</v>
      </c>
      <c r="G270" t="s">
        <v>44</v>
      </c>
      <c r="H270" t="s">
        <v>64</v>
      </c>
      <c r="I270" t="s">
        <v>496</v>
      </c>
      <c r="J270">
        <v>2</v>
      </c>
      <c r="K270">
        <v>3791</v>
      </c>
      <c r="L270">
        <v>0.22</v>
      </c>
      <c r="M270">
        <v>2956.98</v>
      </c>
      <c r="N270">
        <v>5913.96</v>
      </c>
      <c r="O270">
        <v>0.35</v>
      </c>
      <c r="P270">
        <v>2069.89</v>
      </c>
      <c r="Q270" t="s">
        <v>27</v>
      </c>
      <c r="R270" t="s">
        <v>38</v>
      </c>
      <c r="S270">
        <v>7</v>
      </c>
      <c r="T270">
        <f>YEAR(Sales_Data_1[[#This Row],[Order_Date]])</f>
        <v>2023</v>
      </c>
      <c r="U270" t="str">
        <f>TEXT(Sales_Data_1[[#This Row],[Order_Date]], "mmm")</f>
        <v>Aug</v>
      </c>
      <c r="V270">
        <f>MONTH(Sales_Data_1[[#This Row],[Order_Date]])</f>
        <v>8</v>
      </c>
      <c r="W270" t="str">
        <f>TEXT(Sales_Data_1[[#This Row],[Order_Date]], "yyyy-mm")</f>
        <v>2023-08</v>
      </c>
      <c r="X270">
        <f>Sales_Data_1[[#This Row],[Sales]]-Sales_Data_1[[#This Row],[Profit_Amount]]</f>
        <v>3844.07</v>
      </c>
      <c r="Y270" t="str" cm="1">
        <f t="array" ref="Y270">_xlfn.IFS(Sales_Data_1[[#This Row],[Delivery_Days]]&lt;=3, "Fast", Sales_Data_1[[#This Row],[Delivery_Days]]&lt;= 7, "Standard", TRUE, "Delayed")</f>
        <v>Standard</v>
      </c>
      <c r="Z270" t="str" cm="1">
        <f t="array" ref="Z270">_xlfn.IFS(Sales_Data_1[[#This Row],[Profit_Amount]]&gt; 0, "Profitable", Sales_Data_1[[#This Row],[Profit_Amount]] = 0, "Break-Even", TRUE, "Loss")</f>
        <v>Profitable</v>
      </c>
      <c r="AA270" t="str" cm="1">
        <f t="array" ref="AA270">_xlfn.IFS(Sales_Data_1[[#This Row],[Sales]]&gt;= 1000, "High Value", Sales_Data_1[[#This Row],[Sales]]&gt;= 300, "Mid Value", TRUE, "Low Value")</f>
        <v>High Value</v>
      </c>
    </row>
    <row r="271" spans="1:27" x14ac:dyDescent="0.3">
      <c r="A271" t="s">
        <v>2286</v>
      </c>
      <c r="B271" s="1">
        <v>45172</v>
      </c>
      <c r="C271" t="s">
        <v>55</v>
      </c>
      <c r="D271" t="s">
        <v>56</v>
      </c>
      <c r="E271" t="s">
        <v>2040</v>
      </c>
      <c r="F271" t="s">
        <v>33</v>
      </c>
      <c r="G271" t="s">
        <v>44</v>
      </c>
      <c r="H271" t="s">
        <v>45</v>
      </c>
      <c r="I271" t="s">
        <v>562</v>
      </c>
      <c r="J271">
        <v>5</v>
      </c>
      <c r="K271">
        <v>1235</v>
      </c>
      <c r="L271">
        <v>0.04</v>
      </c>
      <c r="M271">
        <v>1185.5999999999999</v>
      </c>
      <c r="N271">
        <v>5928</v>
      </c>
      <c r="O271">
        <v>0.35</v>
      </c>
      <c r="P271">
        <v>2074.8000000000002</v>
      </c>
      <c r="Q271" t="s">
        <v>37</v>
      </c>
      <c r="R271" t="s">
        <v>48</v>
      </c>
      <c r="S271">
        <v>3</v>
      </c>
      <c r="T271">
        <f>YEAR(Sales_Data_1[[#This Row],[Order_Date]])</f>
        <v>2023</v>
      </c>
      <c r="U271" t="str">
        <f>TEXT(Sales_Data_1[[#This Row],[Order_Date]], "mmm")</f>
        <v>Sep</v>
      </c>
      <c r="V271">
        <f>MONTH(Sales_Data_1[[#This Row],[Order_Date]])</f>
        <v>9</v>
      </c>
      <c r="W271" t="str">
        <f>TEXT(Sales_Data_1[[#This Row],[Order_Date]], "yyyy-mm")</f>
        <v>2023-09</v>
      </c>
      <c r="X271">
        <f>Sales_Data_1[[#This Row],[Sales]]-Sales_Data_1[[#This Row],[Profit_Amount]]</f>
        <v>3853.2</v>
      </c>
      <c r="Y271" t="str" cm="1">
        <f t="array" ref="Y271">_xlfn.IFS(Sales_Data_1[[#This Row],[Delivery_Days]]&lt;=3, "Fast", Sales_Data_1[[#This Row],[Delivery_Days]]&lt;= 7, "Standard", TRUE, "Delayed")</f>
        <v>Fast</v>
      </c>
      <c r="Z271" t="str" cm="1">
        <f t="array" ref="Z271">_xlfn.IFS(Sales_Data_1[[#This Row],[Profit_Amount]]&gt; 0, "Profitable", Sales_Data_1[[#This Row],[Profit_Amount]] = 0, "Break-Even", TRUE, "Loss")</f>
        <v>Profitable</v>
      </c>
      <c r="AA271" t="str" cm="1">
        <f t="array" ref="AA271">_xlfn.IFS(Sales_Data_1[[#This Row],[Sales]]&gt;= 1000, "High Value", Sales_Data_1[[#This Row],[Sales]]&gt;= 300, "Mid Value", TRUE, "Low Value")</f>
        <v>High Value</v>
      </c>
    </row>
    <row r="272" spans="1:27" x14ac:dyDescent="0.3">
      <c r="A272" t="s">
        <v>2608</v>
      </c>
      <c r="B272" s="1">
        <v>45494</v>
      </c>
      <c r="C272" t="s">
        <v>40</v>
      </c>
      <c r="D272" t="s">
        <v>31</v>
      </c>
      <c r="E272" t="s">
        <v>2042</v>
      </c>
      <c r="F272" t="s">
        <v>68</v>
      </c>
      <c r="G272" t="s">
        <v>34</v>
      </c>
      <c r="H272" t="s">
        <v>104</v>
      </c>
      <c r="I272" t="s">
        <v>1198</v>
      </c>
      <c r="J272">
        <v>6</v>
      </c>
      <c r="K272">
        <v>941</v>
      </c>
      <c r="L272">
        <v>0.08</v>
      </c>
      <c r="M272">
        <v>865.72</v>
      </c>
      <c r="N272">
        <v>5194.32</v>
      </c>
      <c r="O272">
        <v>0.4</v>
      </c>
      <c r="P272">
        <v>2077.73</v>
      </c>
      <c r="Q272" t="s">
        <v>47</v>
      </c>
      <c r="R272" t="s">
        <v>48</v>
      </c>
      <c r="S272">
        <v>1</v>
      </c>
      <c r="T272">
        <f>YEAR(Sales_Data_1[[#This Row],[Order_Date]])</f>
        <v>2024</v>
      </c>
      <c r="U272" t="str">
        <f>TEXT(Sales_Data_1[[#This Row],[Order_Date]], "mmm")</f>
        <v>Jul</v>
      </c>
      <c r="V272">
        <f>MONTH(Sales_Data_1[[#This Row],[Order_Date]])</f>
        <v>7</v>
      </c>
      <c r="W272" t="str">
        <f>TEXT(Sales_Data_1[[#This Row],[Order_Date]], "yyyy-mm")</f>
        <v>2024-07</v>
      </c>
      <c r="X272">
        <f>Sales_Data_1[[#This Row],[Sales]]-Sales_Data_1[[#This Row],[Profit_Amount]]</f>
        <v>3116.5899999999997</v>
      </c>
      <c r="Y272" t="str" cm="1">
        <f t="array" ref="Y272">_xlfn.IFS(Sales_Data_1[[#This Row],[Delivery_Days]]&lt;=3, "Fast", Sales_Data_1[[#This Row],[Delivery_Days]]&lt;= 7, "Standard", TRUE, "Delayed")</f>
        <v>Fast</v>
      </c>
      <c r="Z272" t="str" cm="1">
        <f t="array" ref="Z272">_xlfn.IFS(Sales_Data_1[[#This Row],[Profit_Amount]]&gt; 0, "Profitable", Sales_Data_1[[#This Row],[Profit_Amount]] = 0, "Break-Even", TRUE, "Loss")</f>
        <v>Profitable</v>
      </c>
      <c r="AA272" t="str" cm="1">
        <f t="array" ref="AA272">_xlfn.IFS(Sales_Data_1[[#This Row],[Sales]]&gt;= 1000, "High Value", Sales_Data_1[[#This Row],[Sales]]&gt;= 300, "Mid Value", TRUE, "Low Value")</f>
        <v>High Value</v>
      </c>
    </row>
    <row r="273" spans="1:27" x14ac:dyDescent="0.3">
      <c r="A273" t="s">
        <v>2614</v>
      </c>
      <c r="B273" s="1">
        <v>45500</v>
      </c>
      <c r="C273" t="s">
        <v>55</v>
      </c>
      <c r="D273" t="s">
        <v>21</v>
      </c>
      <c r="E273" t="s">
        <v>2042</v>
      </c>
      <c r="F273" t="s">
        <v>68</v>
      </c>
      <c r="G273" t="s">
        <v>44</v>
      </c>
      <c r="H273" t="s">
        <v>138</v>
      </c>
      <c r="I273" t="s">
        <v>1210</v>
      </c>
      <c r="J273">
        <v>2</v>
      </c>
      <c r="K273">
        <v>3584</v>
      </c>
      <c r="L273">
        <v>0.17</v>
      </c>
      <c r="M273">
        <v>2974.72</v>
      </c>
      <c r="N273">
        <v>5949.44</v>
      </c>
      <c r="O273">
        <v>0.35</v>
      </c>
      <c r="P273">
        <v>2082.3000000000002</v>
      </c>
      <c r="Q273" t="s">
        <v>27</v>
      </c>
      <c r="R273" t="s">
        <v>48</v>
      </c>
      <c r="S273">
        <v>4</v>
      </c>
      <c r="T273">
        <f>YEAR(Sales_Data_1[[#This Row],[Order_Date]])</f>
        <v>2024</v>
      </c>
      <c r="U273" t="str">
        <f>TEXT(Sales_Data_1[[#This Row],[Order_Date]], "mmm")</f>
        <v>Jul</v>
      </c>
      <c r="V273">
        <f>MONTH(Sales_Data_1[[#This Row],[Order_Date]])</f>
        <v>7</v>
      </c>
      <c r="W273" t="str">
        <f>TEXT(Sales_Data_1[[#This Row],[Order_Date]], "yyyy-mm")</f>
        <v>2024-07</v>
      </c>
      <c r="X273">
        <f>Sales_Data_1[[#This Row],[Sales]]-Sales_Data_1[[#This Row],[Profit_Amount]]</f>
        <v>3867.1399999999994</v>
      </c>
      <c r="Y273" t="str" cm="1">
        <f t="array" ref="Y273">_xlfn.IFS(Sales_Data_1[[#This Row],[Delivery_Days]]&lt;=3, "Fast", Sales_Data_1[[#This Row],[Delivery_Days]]&lt;= 7, "Standard", TRUE, "Delayed")</f>
        <v>Standard</v>
      </c>
      <c r="Z273" t="str" cm="1">
        <f t="array" ref="Z273">_xlfn.IFS(Sales_Data_1[[#This Row],[Profit_Amount]]&gt; 0, "Profitable", Sales_Data_1[[#This Row],[Profit_Amount]] = 0, "Break-Even", TRUE, "Loss")</f>
        <v>Profitable</v>
      </c>
      <c r="AA273" t="str" cm="1">
        <f t="array" ref="AA273">_xlfn.IFS(Sales_Data_1[[#This Row],[Sales]]&gt;= 1000, "High Value", Sales_Data_1[[#This Row],[Sales]]&gt;= 300, "Mid Value", TRUE, "Low Value")</f>
        <v>High Value</v>
      </c>
    </row>
    <row r="274" spans="1:27" x14ac:dyDescent="0.3">
      <c r="A274" t="s">
        <v>2604</v>
      </c>
      <c r="B274" s="1">
        <v>45490</v>
      </c>
      <c r="C274" t="s">
        <v>20</v>
      </c>
      <c r="D274" t="s">
        <v>56</v>
      </c>
      <c r="E274" t="s">
        <v>67</v>
      </c>
      <c r="F274" t="s">
        <v>43</v>
      </c>
      <c r="G274" t="s">
        <v>24</v>
      </c>
      <c r="H274" t="s">
        <v>25</v>
      </c>
      <c r="I274" t="s">
        <v>1190</v>
      </c>
      <c r="J274">
        <v>2</v>
      </c>
      <c r="K274">
        <v>5481</v>
      </c>
      <c r="L274">
        <v>0.24</v>
      </c>
      <c r="M274">
        <v>4165.5600000000004</v>
      </c>
      <c r="N274">
        <v>8331.1200000000008</v>
      </c>
      <c r="O274">
        <v>0.25</v>
      </c>
      <c r="P274">
        <v>2082.7800000000002</v>
      </c>
      <c r="Q274" t="s">
        <v>27</v>
      </c>
      <c r="R274" t="s">
        <v>48</v>
      </c>
      <c r="S274">
        <v>5</v>
      </c>
      <c r="T274">
        <f>YEAR(Sales_Data_1[[#This Row],[Order_Date]])</f>
        <v>2024</v>
      </c>
      <c r="U274" t="str">
        <f>TEXT(Sales_Data_1[[#This Row],[Order_Date]], "mmm")</f>
        <v>Jul</v>
      </c>
      <c r="V274">
        <f>MONTH(Sales_Data_1[[#This Row],[Order_Date]])</f>
        <v>7</v>
      </c>
      <c r="W274" t="str">
        <f>TEXT(Sales_Data_1[[#This Row],[Order_Date]], "yyyy-mm")</f>
        <v>2024-07</v>
      </c>
      <c r="X274">
        <f>Sales_Data_1[[#This Row],[Sales]]-Sales_Data_1[[#This Row],[Profit_Amount]]</f>
        <v>6248.34</v>
      </c>
      <c r="Y274" t="str" cm="1">
        <f t="array" ref="Y274">_xlfn.IFS(Sales_Data_1[[#This Row],[Delivery_Days]]&lt;=3, "Fast", Sales_Data_1[[#This Row],[Delivery_Days]]&lt;= 7, "Standard", TRUE, "Delayed")</f>
        <v>Standard</v>
      </c>
      <c r="Z274" t="str" cm="1">
        <f t="array" ref="Z274">_xlfn.IFS(Sales_Data_1[[#This Row],[Profit_Amount]]&gt; 0, "Profitable", Sales_Data_1[[#This Row],[Profit_Amount]] = 0, "Break-Even", TRUE, "Loss")</f>
        <v>Profitable</v>
      </c>
      <c r="AA274" t="str" cm="1">
        <f t="array" ref="AA274">_xlfn.IFS(Sales_Data_1[[#This Row],[Sales]]&gt;= 1000, "High Value", Sales_Data_1[[#This Row],[Sales]]&gt;= 300, "Mid Value", TRUE, "Low Value")</f>
        <v>High Value</v>
      </c>
    </row>
    <row r="275" spans="1:27" x14ac:dyDescent="0.3">
      <c r="A275" t="s">
        <v>2255</v>
      </c>
      <c r="B275" s="1">
        <v>45141</v>
      </c>
      <c r="C275" t="s">
        <v>55</v>
      </c>
      <c r="D275" t="s">
        <v>41</v>
      </c>
      <c r="E275" t="s">
        <v>2042</v>
      </c>
      <c r="F275" t="s">
        <v>23</v>
      </c>
      <c r="G275" t="s">
        <v>44</v>
      </c>
      <c r="H275" t="s">
        <v>45</v>
      </c>
      <c r="I275" t="s">
        <v>500</v>
      </c>
      <c r="J275">
        <v>6</v>
      </c>
      <c r="K275">
        <v>1203</v>
      </c>
      <c r="L275">
        <v>0.17</v>
      </c>
      <c r="M275">
        <v>998.49</v>
      </c>
      <c r="N275">
        <v>5990.94</v>
      </c>
      <c r="O275">
        <v>0.35</v>
      </c>
      <c r="P275">
        <v>2096.83</v>
      </c>
      <c r="Q275" t="s">
        <v>27</v>
      </c>
      <c r="R275" t="s">
        <v>48</v>
      </c>
      <c r="S275">
        <v>5</v>
      </c>
      <c r="T275">
        <f>YEAR(Sales_Data_1[[#This Row],[Order_Date]])</f>
        <v>2023</v>
      </c>
      <c r="U275" t="str">
        <f>TEXT(Sales_Data_1[[#This Row],[Order_Date]], "mmm")</f>
        <v>Aug</v>
      </c>
      <c r="V275">
        <f>MONTH(Sales_Data_1[[#This Row],[Order_Date]])</f>
        <v>8</v>
      </c>
      <c r="W275" t="str">
        <f>TEXT(Sales_Data_1[[#This Row],[Order_Date]], "yyyy-mm")</f>
        <v>2023-08</v>
      </c>
      <c r="X275">
        <f>Sales_Data_1[[#This Row],[Sales]]-Sales_Data_1[[#This Row],[Profit_Amount]]</f>
        <v>3894.1099999999997</v>
      </c>
      <c r="Y275" t="str" cm="1">
        <f t="array" ref="Y275">_xlfn.IFS(Sales_Data_1[[#This Row],[Delivery_Days]]&lt;=3, "Fast", Sales_Data_1[[#This Row],[Delivery_Days]]&lt;= 7, "Standard", TRUE, "Delayed")</f>
        <v>Standard</v>
      </c>
      <c r="Z275" t="str" cm="1">
        <f t="array" ref="Z275">_xlfn.IFS(Sales_Data_1[[#This Row],[Profit_Amount]]&gt; 0, "Profitable", Sales_Data_1[[#This Row],[Profit_Amount]] = 0, "Break-Even", TRUE, "Loss")</f>
        <v>Profitable</v>
      </c>
      <c r="AA275" t="str" cm="1">
        <f t="array" ref="AA275">_xlfn.IFS(Sales_Data_1[[#This Row],[Sales]]&gt;= 1000, "High Value", Sales_Data_1[[#This Row],[Sales]]&gt;= 300, "Mid Value", TRUE, "Low Value")</f>
        <v>High Value</v>
      </c>
    </row>
    <row r="276" spans="1:27" x14ac:dyDescent="0.3">
      <c r="A276" t="s">
        <v>2456</v>
      </c>
      <c r="B276" s="1">
        <v>45342</v>
      </c>
      <c r="C276" t="s">
        <v>30</v>
      </c>
      <c r="D276" t="s">
        <v>41</v>
      </c>
      <c r="E276" t="s">
        <v>67</v>
      </c>
      <c r="F276" t="s">
        <v>33</v>
      </c>
      <c r="G276" t="s">
        <v>34</v>
      </c>
      <c r="H276" t="s">
        <v>71</v>
      </c>
      <c r="I276" t="s">
        <v>898</v>
      </c>
      <c r="J276">
        <v>9</v>
      </c>
      <c r="K276">
        <v>652</v>
      </c>
      <c r="L276">
        <v>0.09</v>
      </c>
      <c r="M276">
        <v>593.32000000000005</v>
      </c>
      <c r="N276">
        <v>5339.88</v>
      </c>
      <c r="O276">
        <v>0.4</v>
      </c>
      <c r="P276">
        <v>2135.9499999999998</v>
      </c>
      <c r="Q276" t="s">
        <v>51</v>
      </c>
      <c r="R276" t="s">
        <v>48</v>
      </c>
      <c r="S276">
        <v>9</v>
      </c>
      <c r="T276">
        <f>YEAR(Sales_Data_1[[#This Row],[Order_Date]])</f>
        <v>2024</v>
      </c>
      <c r="U276" t="str">
        <f>TEXT(Sales_Data_1[[#This Row],[Order_Date]], "mmm")</f>
        <v>Feb</v>
      </c>
      <c r="V276">
        <f>MONTH(Sales_Data_1[[#This Row],[Order_Date]])</f>
        <v>2</v>
      </c>
      <c r="W276" t="str">
        <f>TEXT(Sales_Data_1[[#This Row],[Order_Date]], "yyyy-mm")</f>
        <v>2024-02</v>
      </c>
      <c r="X276">
        <f>Sales_Data_1[[#This Row],[Sales]]-Sales_Data_1[[#This Row],[Profit_Amount]]</f>
        <v>3203.9300000000003</v>
      </c>
      <c r="Y276" t="str" cm="1">
        <f t="array" ref="Y276">_xlfn.IFS(Sales_Data_1[[#This Row],[Delivery_Days]]&lt;=3, "Fast", Sales_Data_1[[#This Row],[Delivery_Days]]&lt;= 7, "Standard", TRUE, "Delayed")</f>
        <v>Delayed</v>
      </c>
      <c r="Z276" t="str" cm="1">
        <f t="array" ref="Z276">_xlfn.IFS(Sales_Data_1[[#This Row],[Profit_Amount]]&gt; 0, "Profitable", Sales_Data_1[[#This Row],[Profit_Amount]] = 0, "Break-Even", TRUE, "Loss")</f>
        <v>Profitable</v>
      </c>
      <c r="AA276" t="str" cm="1">
        <f t="array" ref="AA276">_xlfn.IFS(Sales_Data_1[[#This Row],[Sales]]&gt;= 1000, "High Value", Sales_Data_1[[#This Row],[Sales]]&gt;= 300, "Mid Value", TRUE, "Low Value")</f>
        <v>High Value</v>
      </c>
    </row>
    <row r="277" spans="1:27" x14ac:dyDescent="0.3">
      <c r="A277" t="s">
        <v>2507</v>
      </c>
      <c r="B277" s="1">
        <v>45393</v>
      </c>
      <c r="C277" t="s">
        <v>40</v>
      </c>
      <c r="D277" t="s">
        <v>21</v>
      </c>
      <c r="E277" t="s">
        <v>2040</v>
      </c>
      <c r="F277" t="s">
        <v>43</v>
      </c>
      <c r="G277" t="s">
        <v>57</v>
      </c>
      <c r="H277" t="s">
        <v>183</v>
      </c>
      <c r="I277" t="s">
        <v>999</v>
      </c>
      <c r="J277">
        <v>1</v>
      </c>
      <c r="K277">
        <v>14329</v>
      </c>
      <c r="L277">
        <v>0.25</v>
      </c>
      <c r="M277">
        <v>10746.75</v>
      </c>
      <c r="N277">
        <v>10746.75</v>
      </c>
      <c r="O277">
        <v>0.2</v>
      </c>
      <c r="P277">
        <v>2149.35</v>
      </c>
      <c r="Q277" t="s">
        <v>51</v>
      </c>
      <c r="R277" t="s">
        <v>48</v>
      </c>
      <c r="S277">
        <v>8</v>
      </c>
      <c r="T277">
        <f>YEAR(Sales_Data_1[[#This Row],[Order_Date]])</f>
        <v>2024</v>
      </c>
      <c r="U277" t="str">
        <f>TEXT(Sales_Data_1[[#This Row],[Order_Date]], "mmm")</f>
        <v>Apr</v>
      </c>
      <c r="V277">
        <f>MONTH(Sales_Data_1[[#This Row],[Order_Date]])</f>
        <v>4</v>
      </c>
      <c r="W277" t="str">
        <f>TEXT(Sales_Data_1[[#This Row],[Order_Date]], "yyyy-mm")</f>
        <v>2024-04</v>
      </c>
      <c r="X277">
        <f>Sales_Data_1[[#This Row],[Sales]]-Sales_Data_1[[#This Row],[Profit_Amount]]</f>
        <v>8597.4</v>
      </c>
      <c r="Y277" t="str" cm="1">
        <f t="array" ref="Y277">_xlfn.IFS(Sales_Data_1[[#This Row],[Delivery_Days]]&lt;=3, "Fast", Sales_Data_1[[#This Row],[Delivery_Days]]&lt;= 7, "Standard", TRUE, "Delayed")</f>
        <v>Delayed</v>
      </c>
      <c r="Z277" t="str" cm="1">
        <f t="array" ref="Z277">_xlfn.IFS(Sales_Data_1[[#This Row],[Profit_Amount]]&gt; 0, "Profitable", Sales_Data_1[[#This Row],[Profit_Amount]] = 0, "Break-Even", TRUE, "Loss")</f>
        <v>Profitable</v>
      </c>
      <c r="AA277" t="str" cm="1">
        <f t="array" ref="AA277">_xlfn.IFS(Sales_Data_1[[#This Row],[Sales]]&gt;= 1000, "High Value", Sales_Data_1[[#This Row],[Sales]]&gt;= 300, "Mid Value", TRUE, "Low Value")</f>
        <v>High Value</v>
      </c>
    </row>
    <row r="278" spans="1:27" x14ac:dyDescent="0.3">
      <c r="A278" t="s">
        <v>2050</v>
      </c>
      <c r="B278" s="1">
        <v>44936</v>
      </c>
      <c r="C278" t="s">
        <v>40</v>
      </c>
      <c r="D278" t="s">
        <v>31</v>
      </c>
      <c r="E278" t="s">
        <v>67</v>
      </c>
      <c r="F278" t="s">
        <v>23</v>
      </c>
      <c r="G278" t="s">
        <v>34</v>
      </c>
      <c r="H278" t="s">
        <v>71</v>
      </c>
      <c r="I278" t="s">
        <v>72</v>
      </c>
      <c r="J278">
        <v>8</v>
      </c>
      <c r="K278">
        <v>752</v>
      </c>
      <c r="L278">
        <v>0.1</v>
      </c>
      <c r="M278">
        <v>676.8</v>
      </c>
      <c r="N278">
        <v>5414.4</v>
      </c>
      <c r="O278">
        <v>0.4</v>
      </c>
      <c r="P278">
        <v>2165.7600000000002</v>
      </c>
      <c r="Q278" t="s">
        <v>37</v>
      </c>
      <c r="R278" t="s">
        <v>48</v>
      </c>
      <c r="S278">
        <v>5</v>
      </c>
      <c r="T278">
        <f>YEAR(Sales_Data_1[[#This Row],[Order_Date]])</f>
        <v>2023</v>
      </c>
      <c r="U278" t="str">
        <f>TEXT(Sales_Data_1[[#This Row],[Order_Date]], "mmm")</f>
        <v>Jan</v>
      </c>
      <c r="V278">
        <f>MONTH(Sales_Data_1[[#This Row],[Order_Date]])</f>
        <v>1</v>
      </c>
      <c r="W278" t="str">
        <f>TEXT(Sales_Data_1[[#This Row],[Order_Date]], "yyyy-mm")</f>
        <v>2023-01</v>
      </c>
      <c r="X278">
        <f>Sales_Data_1[[#This Row],[Sales]]-Sales_Data_1[[#This Row],[Profit_Amount]]</f>
        <v>3248.6399999999994</v>
      </c>
      <c r="Y278" t="str" cm="1">
        <f t="array" ref="Y278">_xlfn.IFS(Sales_Data_1[[#This Row],[Delivery_Days]]&lt;=3, "Fast", Sales_Data_1[[#This Row],[Delivery_Days]]&lt;= 7, "Standard", TRUE, "Delayed")</f>
        <v>Standard</v>
      </c>
      <c r="Z278" t="str" cm="1">
        <f t="array" ref="Z278">_xlfn.IFS(Sales_Data_1[[#This Row],[Profit_Amount]]&gt; 0, "Profitable", Sales_Data_1[[#This Row],[Profit_Amount]] = 0, "Break-Even", TRUE, "Loss")</f>
        <v>Profitable</v>
      </c>
      <c r="AA278" t="str" cm="1">
        <f t="array" ref="AA278">_xlfn.IFS(Sales_Data_1[[#This Row],[Sales]]&gt;= 1000, "High Value", Sales_Data_1[[#This Row],[Sales]]&gt;= 300, "Mid Value", TRUE, "Low Value")</f>
        <v>High Value</v>
      </c>
    </row>
    <row r="279" spans="1:27" x14ac:dyDescent="0.3">
      <c r="A279" t="s">
        <v>2680</v>
      </c>
      <c r="B279" s="1">
        <v>45566</v>
      </c>
      <c r="C279" t="s">
        <v>63</v>
      </c>
      <c r="D279" t="s">
        <v>56</v>
      </c>
      <c r="E279" t="s">
        <v>42</v>
      </c>
      <c r="F279" t="s">
        <v>68</v>
      </c>
      <c r="G279" t="s">
        <v>34</v>
      </c>
      <c r="H279" t="s">
        <v>104</v>
      </c>
      <c r="I279" t="s">
        <v>1340</v>
      </c>
      <c r="J279">
        <v>9</v>
      </c>
      <c r="K279">
        <v>635</v>
      </c>
      <c r="L279">
        <v>0.05</v>
      </c>
      <c r="M279">
        <v>603.25</v>
      </c>
      <c r="N279">
        <v>5429.25</v>
      </c>
      <c r="O279">
        <v>0.4</v>
      </c>
      <c r="P279">
        <v>2171.6999999999998</v>
      </c>
      <c r="Q279" t="s">
        <v>51</v>
      </c>
      <c r="R279" t="s">
        <v>48</v>
      </c>
      <c r="S279">
        <v>5</v>
      </c>
      <c r="T279">
        <f>YEAR(Sales_Data_1[[#This Row],[Order_Date]])</f>
        <v>2024</v>
      </c>
      <c r="U279" t="str">
        <f>TEXT(Sales_Data_1[[#This Row],[Order_Date]], "mmm")</f>
        <v>Oct</v>
      </c>
      <c r="V279">
        <f>MONTH(Sales_Data_1[[#This Row],[Order_Date]])</f>
        <v>10</v>
      </c>
      <c r="W279" t="str">
        <f>TEXT(Sales_Data_1[[#This Row],[Order_Date]], "yyyy-mm")</f>
        <v>2024-10</v>
      </c>
      <c r="X279">
        <f>Sales_Data_1[[#This Row],[Sales]]-Sales_Data_1[[#This Row],[Profit_Amount]]</f>
        <v>3257.55</v>
      </c>
      <c r="Y279" t="str" cm="1">
        <f t="array" ref="Y279">_xlfn.IFS(Sales_Data_1[[#This Row],[Delivery_Days]]&lt;=3, "Fast", Sales_Data_1[[#This Row],[Delivery_Days]]&lt;= 7, "Standard", TRUE, "Delayed")</f>
        <v>Standard</v>
      </c>
      <c r="Z279" t="str" cm="1">
        <f t="array" ref="Z279">_xlfn.IFS(Sales_Data_1[[#This Row],[Profit_Amount]]&gt; 0, "Profitable", Sales_Data_1[[#This Row],[Profit_Amount]] = 0, "Break-Even", TRUE, "Loss")</f>
        <v>Profitable</v>
      </c>
      <c r="AA279" t="str" cm="1">
        <f t="array" ref="AA279">_xlfn.IFS(Sales_Data_1[[#This Row],[Sales]]&gt;= 1000, "High Value", Sales_Data_1[[#This Row],[Sales]]&gt;= 300, "Mid Value", TRUE, "Low Value")</f>
        <v>High Value</v>
      </c>
    </row>
    <row r="280" spans="1:27" x14ac:dyDescent="0.3">
      <c r="A280" t="s">
        <v>2991</v>
      </c>
      <c r="B280" s="1">
        <v>45877</v>
      </c>
      <c r="C280" t="s">
        <v>20</v>
      </c>
      <c r="D280" t="s">
        <v>31</v>
      </c>
      <c r="E280" t="s">
        <v>42</v>
      </c>
      <c r="F280" t="s">
        <v>33</v>
      </c>
      <c r="G280" t="s">
        <v>24</v>
      </c>
      <c r="H280" t="s">
        <v>121</v>
      </c>
      <c r="I280" t="s">
        <v>1943</v>
      </c>
      <c r="J280">
        <v>6</v>
      </c>
      <c r="K280">
        <v>1610</v>
      </c>
      <c r="L280">
        <v>0.1</v>
      </c>
      <c r="M280">
        <v>1449</v>
      </c>
      <c r="N280">
        <v>8694</v>
      </c>
      <c r="O280">
        <v>0.25</v>
      </c>
      <c r="P280">
        <v>2173.5</v>
      </c>
      <c r="Q280" t="s">
        <v>51</v>
      </c>
      <c r="R280" t="s">
        <v>48</v>
      </c>
      <c r="S280">
        <v>8</v>
      </c>
      <c r="T280">
        <f>YEAR(Sales_Data_1[[#This Row],[Order_Date]])</f>
        <v>2025</v>
      </c>
      <c r="U280" t="str">
        <f>TEXT(Sales_Data_1[[#This Row],[Order_Date]], "mmm")</f>
        <v>Aug</v>
      </c>
      <c r="V280">
        <f>MONTH(Sales_Data_1[[#This Row],[Order_Date]])</f>
        <v>8</v>
      </c>
      <c r="W280" t="str">
        <f>TEXT(Sales_Data_1[[#This Row],[Order_Date]], "yyyy-mm")</f>
        <v>2025-08</v>
      </c>
      <c r="X280">
        <f>Sales_Data_1[[#This Row],[Sales]]-Sales_Data_1[[#This Row],[Profit_Amount]]</f>
        <v>6520.5</v>
      </c>
      <c r="Y280" t="str" cm="1">
        <f t="array" ref="Y280">_xlfn.IFS(Sales_Data_1[[#This Row],[Delivery_Days]]&lt;=3, "Fast", Sales_Data_1[[#This Row],[Delivery_Days]]&lt;= 7, "Standard", TRUE, "Delayed")</f>
        <v>Delayed</v>
      </c>
      <c r="Z280" t="str" cm="1">
        <f t="array" ref="Z280">_xlfn.IFS(Sales_Data_1[[#This Row],[Profit_Amount]]&gt; 0, "Profitable", Sales_Data_1[[#This Row],[Profit_Amount]] = 0, "Break-Even", TRUE, "Loss")</f>
        <v>Profitable</v>
      </c>
      <c r="AA280" t="str" cm="1">
        <f t="array" ref="AA280">_xlfn.IFS(Sales_Data_1[[#This Row],[Sales]]&gt;= 1000, "High Value", Sales_Data_1[[#This Row],[Sales]]&gt;= 300, "Mid Value", TRUE, "Low Value")</f>
        <v>High Value</v>
      </c>
    </row>
    <row r="281" spans="1:27" x14ac:dyDescent="0.3">
      <c r="A281" t="s">
        <v>2401</v>
      </c>
      <c r="B281" s="1">
        <v>45287</v>
      </c>
      <c r="C281" t="s">
        <v>30</v>
      </c>
      <c r="D281" t="s">
        <v>56</v>
      </c>
      <c r="E281" t="s">
        <v>67</v>
      </c>
      <c r="F281" t="s">
        <v>103</v>
      </c>
      <c r="G281" t="s">
        <v>24</v>
      </c>
      <c r="H281" t="s">
        <v>186</v>
      </c>
      <c r="I281" t="s">
        <v>788</v>
      </c>
      <c r="J281">
        <v>1</v>
      </c>
      <c r="K281">
        <v>10738</v>
      </c>
      <c r="L281">
        <v>0.19</v>
      </c>
      <c r="M281">
        <v>8697.7800000000007</v>
      </c>
      <c r="N281">
        <v>8697.7800000000007</v>
      </c>
      <c r="O281">
        <v>0.25</v>
      </c>
      <c r="P281">
        <v>2174.4499999999998</v>
      </c>
      <c r="Q281" t="s">
        <v>47</v>
      </c>
      <c r="R281" t="s">
        <v>48</v>
      </c>
      <c r="S281">
        <v>7</v>
      </c>
      <c r="T281">
        <f>YEAR(Sales_Data_1[[#This Row],[Order_Date]])</f>
        <v>2023</v>
      </c>
      <c r="U281" t="str">
        <f>TEXT(Sales_Data_1[[#This Row],[Order_Date]], "mmm")</f>
        <v>Dec</v>
      </c>
      <c r="V281">
        <f>MONTH(Sales_Data_1[[#This Row],[Order_Date]])</f>
        <v>12</v>
      </c>
      <c r="W281" t="str">
        <f>TEXT(Sales_Data_1[[#This Row],[Order_Date]], "yyyy-mm")</f>
        <v>2023-12</v>
      </c>
      <c r="X281">
        <f>Sales_Data_1[[#This Row],[Sales]]-Sales_Data_1[[#This Row],[Profit_Amount]]</f>
        <v>6523.3300000000008</v>
      </c>
      <c r="Y281" t="str" cm="1">
        <f t="array" ref="Y281">_xlfn.IFS(Sales_Data_1[[#This Row],[Delivery_Days]]&lt;=3, "Fast", Sales_Data_1[[#This Row],[Delivery_Days]]&lt;= 7, "Standard", TRUE, "Delayed")</f>
        <v>Standard</v>
      </c>
      <c r="Z281" t="str" cm="1">
        <f t="array" ref="Z281">_xlfn.IFS(Sales_Data_1[[#This Row],[Profit_Amount]]&gt; 0, "Profitable", Sales_Data_1[[#This Row],[Profit_Amount]] = 0, "Break-Even", TRUE, "Loss")</f>
        <v>Profitable</v>
      </c>
      <c r="AA281" t="str" cm="1">
        <f t="array" ref="AA281">_xlfn.IFS(Sales_Data_1[[#This Row],[Sales]]&gt;= 1000, "High Value", Sales_Data_1[[#This Row],[Sales]]&gt;= 300, "Mid Value", TRUE, "Low Value")</f>
        <v>High Value</v>
      </c>
    </row>
    <row r="282" spans="1:27" x14ac:dyDescent="0.3">
      <c r="A282" t="s">
        <v>2560</v>
      </c>
      <c r="B282" s="1">
        <v>45446</v>
      </c>
      <c r="C282" t="s">
        <v>30</v>
      </c>
      <c r="D282" t="s">
        <v>41</v>
      </c>
      <c r="E282" t="s">
        <v>67</v>
      </c>
      <c r="F282" t="s">
        <v>97</v>
      </c>
      <c r="G282" t="s">
        <v>44</v>
      </c>
      <c r="H282" t="s">
        <v>64</v>
      </c>
      <c r="I282" t="s">
        <v>1103</v>
      </c>
      <c r="J282">
        <v>3</v>
      </c>
      <c r="K282">
        <v>2453</v>
      </c>
      <c r="L282">
        <v>0.15</v>
      </c>
      <c r="M282">
        <v>2085.0500000000002</v>
      </c>
      <c r="N282">
        <v>6255.15</v>
      </c>
      <c r="O282">
        <v>0.35</v>
      </c>
      <c r="P282">
        <v>2189.3000000000002</v>
      </c>
      <c r="Q282" t="s">
        <v>37</v>
      </c>
      <c r="R282" t="s">
        <v>48</v>
      </c>
      <c r="S282">
        <v>8</v>
      </c>
      <c r="T282">
        <f>YEAR(Sales_Data_1[[#This Row],[Order_Date]])</f>
        <v>2024</v>
      </c>
      <c r="U282" t="str">
        <f>TEXT(Sales_Data_1[[#This Row],[Order_Date]], "mmm")</f>
        <v>Jun</v>
      </c>
      <c r="V282">
        <f>MONTH(Sales_Data_1[[#This Row],[Order_Date]])</f>
        <v>6</v>
      </c>
      <c r="W282" t="str">
        <f>TEXT(Sales_Data_1[[#This Row],[Order_Date]], "yyyy-mm")</f>
        <v>2024-06</v>
      </c>
      <c r="X282">
        <f>Sales_Data_1[[#This Row],[Sales]]-Sales_Data_1[[#This Row],[Profit_Amount]]</f>
        <v>4065.8499999999995</v>
      </c>
      <c r="Y282" t="str" cm="1">
        <f t="array" ref="Y282">_xlfn.IFS(Sales_Data_1[[#This Row],[Delivery_Days]]&lt;=3, "Fast", Sales_Data_1[[#This Row],[Delivery_Days]]&lt;= 7, "Standard", TRUE, "Delayed")</f>
        <v>Delayed</v>
      </c>
      <c r="Z282" t="str" cm="1">
        <f t="array" ref="Z282">_xlfn.IFS(Sales_Data_1[[#This Row],[Profit_Amount]]&gt; 0, "Profitable", Sales_Data_1[[#This Row],[Profit_Amount]] = 0, "Break-Even", TRUE, "Loss")</f>
        <v>Profitable</v>
      </c>
      <c r="AA282" t="str" cm="1">
        <f t="array" ref="AA282">_xlfn.IFS(Sales_Data_1[[#This Row],[Sales]]&gt;= 1000, "High Value", Sales_Data_1[[#This Row],[Sales]]&gt;= 300, "Mid Value", TRUE, "Low Value")</f>
        <v>High Value</v>
      </c>
    </row>
    <row r="283" spans="1:27" x14ac:dyDescent="0.3">
      <c r="A283" t="s">
        <v>2651</v>
      </c>
      <c r="B283" s="1">
        <v>45537</v>
      </c>
      <c r="C283" t="s">
        <v>40</v>
      </c>
      <c r="D283" t="s">
        <v>21</v>
      </c>
      <c r="E283" t="s">
        <v>2040</v>
      </c>
      <c r="F283" t="s">
        <v>33</v>
      </c>
      <c r="G283" t="s">
        <v>92</v>
      </c>
      <c r="H283" t="s">
        <v>109</v>
      </c>
      <c r="I283" t="s">
        <v>1282</v>
      </c>
      <c r="J283">
        <v>1</v>
      </c>
      <c r="K283">
        <v>16172</v>
      </c>
      <c r="L283">
        <v>0.09</v>
      </c>
      <c r="M283">
        <v>14716.52</v>
      </c>
      <c r="N283">
        <v>14716.52</v>
      </c>
      <c r="O283">
        <v>0.15</v>
      </c>
      <c r="P283">
        <v>2207.48</v>
      </c>
      <c r="Q283" t="s">
        <v>47</v>
      </c>
      <c r="R283" t="s">
        <v>48</v>
      </c>
      <c r="S283">
        <v>9</v>
      </c>
      <c r="T283">
        <f>YEAR(Sales_Data_1[[#This Row],[Order_Date]])</f>
        <v>2024</v>
      </c>
      <c r="U283" t="str">
        <f>TEXT(Sales_Data_1[[#This Row],[Order_Date]], "mmm")</f>
        <v>Sep</v>
      </c>
      <c r="V283">
        <f>MONTH(Sales_Data_1[[#This Row],[Order_Date]])</f>
        <v>9</v>
      </c>
      <c r="W283" t="str">
        <f>TEXT(Sales_Data_1[[#This Row],[Order_Date]], "yyyy-mm")</f>
        <v>2024-09</v>
      </c>
      <c r="X283">
        <f>Sales_Data_1[[#This Row],[Sales]]-Sales_Data_1[[#This Row],[Profit_Amount]]</f>
        <v>12509.04</v>
      </c>
      <c r="Y283" t="str" cm="1">
        <f t="array" ref="Y283">_xlfn.IFS(Sales_Data_1[[#This Row],[Delivery_Days]]&lt;=3, "Fast", Sales_Data_1[[#This Row],[Delivery_Days]]&lt;= 7, "Standard", TRUE, "Delayed")</f>
        <v>Delayed</v>
      </c>
      <c r="Z283" t="str" cm="1">
        <f t="array" ref="Z283">_xlfn.IFS(Sales_Data_1[[#This Row],[Profit_Amount]]&gt; 0, "Profitable", Sales_Data_1[[#This Row],[Profit_Amount]] = 0, "Break-Even", TRUE, "Loss")</f>
        <v>Profitable</v>
      </c>
      <c r="AA283" t="str" cm="1">
        <f t="array" ref="AA283">_xlfn.IFS(Sales_Data_1[[#This Row],[Sales]]&gt;= 1000, "High Value", Sales_Data_1[[#This Row],[Sales]]&gt;= 300, "Mid Value", TRUE, "Low Value")</f>
        <v>High Value</v>
      </c>
    </row>
    <row r="284" spans="1:27" x14ac:dyDescent="0.3">
      <c r="A284" t="s">
        <v>2207</v>
      </c>
      <c r="B284" s="1">
        <v>45093</v>
      </c>
      <c r="C284" t="s">
        <v>20</v>
      </c>
      <c r="D284" t="s">
        <v>56</v>
      </c>
      <c r="E284" t="s">
        <v>42</v>
      </c>
      <c r="F284" t="s">
        <v>97</v>
      </c>
      <c r="G284" t="s">
        <v>24</v>
      </c>
      <c r="H284" t="s">
        <v>186</v>
      </c>
      <c r="I284" t="s">
        <v>404</v>
      </c>
      <c r="J284">
        <v>5</v>
      </c>
      <c r="K284">
        <v>2239</v>
      </c>
      <c r="L284">
        <v>0.21</v>
      </c>
      <c r="M284">
        <v>1768.81</v>
      </c>
      <c r="N284">
        <v>8844.0499999999993</v>
      </c>
      <c r="O284">
        <v>0.25</v>
      </c>
      <c r="P284">
        <v>2211.0100000000002</v>
      </c>
      <c r="Q284" t="s">
        <v>47</v>
      </c>
      <c r="R284" t="s">
        <v>48</v>
      </c>
      <c r="S284">
        <v>2</v>
      </c>
      <c r="T284">
        <f>YEAR(Sales_Data_1[[#This Row],[Order_Date]])</f>
        <v>2023</v>
      </c>
      <c r="U284" t="str">
        <f>TEXT(Sales_Data_1[[#This Row],[Order_Date]], "mmm")</f>
        <v>Jun</v>
      </c>
      <c r="V284">
        <f>MONTH(Sales_Data_1[[#This Row],[Order_Date]])</f>
        <v>6</v>
      </c>
      <c r="W284" t="str">
        <f>TEXT(Sales_Data_1[[#This Row],[Order_Date]], "yyyy-mm")</f>
        <v>2023-06</v>
      </c>
      <c r="X284">
        <f>Sales_Data_1[[#This Row],[Sales]]-Sales_Data_1[[#This Row],[Profit_Amount]]</f>
        <v>6633.0399999999991</v>
      </c>
      <c r="Y284" t="str" cm="1">
        <f t="array" ref="Y284">_xlfn.IFS(Sales_Data_1[[#This Row],[Delivery_Days]]&lt;=3, "Fast", Sales_Data_1[[#This Row],[Delivery_Days]]&lt;= 7, "Standard", TRUE, "Delayed")</f>
        <v>Fast</v>
      </c>
      <c r="Z284" t="str" cm="1">
        <f t="array" ref="Z284">_xlfn.IFS(Sales_Data_1[[#This Row],[Profit_Amount]]&gt; 0, "Profitable", Sales_Data_1[[#This Row],[Profit_Amount]] = 0, "Break-Even", TRUE, "Loss")</f>
        <v>Profitable</v>
      </c>
      <c r="AA284" t="str" cm="1">
        <f t="array" ref="AA284">_xlfn.IFS(Sales_Data_1[[#This Row],[Sales]]&gt;= 1000, "High Value", Sales_Data_1[[#This Row],[Sales]]&gt;= 300, "Mid Value", TRUE, "Low Value")</f>
        <v>High Value</v>
      </c>
    </row>
    <row r="285" spans="1:27" x14ac:dyDescent="0.3">
      <c r="A285" t="s">
        <v>2147</v>
      </c>
      <c r="B285" s="1">
        <v>45033</v>
      </c>
      <c r="C285" t="s">
        <v>40</v>
      </c>
      <c r="D285" t="s">
        <v>31</v>
      </c>
      <c r="E285" t="s">
        <v>67</v>
      </c>
      <c r="F285" t="s">
        <v>103</v>
      </c>
      <c r="G285" t="s">
        <v>44</v>
      </c>
      <c r="H285" t="s">
        <v>64</v>
      </c>
      <c r="I285" t="s">
        <v>284</v>
      </c>
      <c r="J285">
        <v>2</v>
      </c>
      <c r="K285">
        <v>3716</v>
      </c>
      <c r="L285">
        <v>0.15</v>
      </c>
      <c r="M285">
        <v>3158.6</v>
      </c>
      <c r="N285">
        <v>6317.2</v>
      </c>
      <c r="O285">
        <v>0.35</v>
      </c>
      <c r="P285">
        <v>2211.02</v>
      </c>
      <c r="Q285" t="s">
        <v>47</v>
      </c>
      <c r="R285" t="s">
        <v>38</v>
      </c>
      <c r="S285">
        <v>3</v>
      </c>
      <c r="T285">
        <f>YEAR(Sales_Data_1[[#This Row],[Order_Date]])</f>
        <v>2023</v>
      </c>
      <c r="U285" t="str">
        <f>TEXT(Sales_Data_1[[#This Row],[Order_Date]], "mmm")</f>
        <v>Apr</v>
      </c>
      <c r="V285">
        <f>MONTH(Sales_Data_1[[#This Row],[Order_Date]])</f>
        <v>4</v>
      </c>
      <c r="W285" t="str">
        <f>TEXT(Sales_Data_1[[#This Row],[Order_Date]], "yyyy-mm")</f>
        <v>2023-04</v>
      </c>
      <c r="X285">
        <f>Sales_Data_1[[#This Row],[Sales]]-Sales_Data_1[[#This Row],[Profit_Amount]]</f>
        <v>4106.18</v>
      </c>
      <c r="Y285" t="str" cm="1">
        <f t="array" ref="Y285">_xlfn.IFS(Sales_Data_1[[#This Row],[Delivery_Days]]&lt;=3, "Fast", Sales_Data_1[[#This Row],[Delivery_Days]]&lt;= 7, "Standard", TRUE, "Delayed")</f>
        <v>Fast</v>
      </c>
      <c r="Z285" t="str" cm="1">
        <f t="array" ref="Z285">_xlfn.IFS(Sales_Data_1[[#This Row],[Profit_Amount]]&gt; 0, "Profitable", Sales_Data_1[[#This Row],[Profit_Amount]] = 0, "Break-Even", TRUE, "Loss")</f>
        <v>Profitable</v>
      </c>
      <c r="AA285" t="str" cm="1">
        <f t="array" ref="AA285">_xlfn.IFS(Sales_Data_1[[#This Row],[Sales]]&gt;= 1000, "High Value", Sales_Data_1[[#This Row],[Sales]]&gt;= 300, "Mid Value", TRUE, "Low Value")</f>
        <v>High Value</v>
      </c>
    </row>
    <row r="286" spans="1:27" x14ac:dyDescent="0.3">
      <c r="A286" t="s">
        <v>2569</v>
      </c>
      <c r="B286" s="1">
        <v>45455</v>
      </c>
      <c r="C286" t="s">
        <v>55</v>
      </c>
      <c r="D286" t="s">
        <v>56</v>
      </c>
      <c r="E286" t="s">
        <v>2042</v>
      </c>
      <c r="F286" t="s">
        <v>33</v>
      </c>
      <c r="G286" t="s">
        <v>34</v>
      </c>
      <c r="H286" t="s">
        <v>35</v>
      </c>
      <c r="I286" t="s">
        <v>1121</v>
      </c>
      <c r="J286">
        <v>6</v>
      </c>
      <c r="K286">
        <v>1182</v>
      </c>
      <c r="L286">
        <v>0.22</v>
      </c>
      <c r="M286">
        <v>921.96</v>
      </c>
      <c r="N286">
        <v>5531.76</v>
      </c>
      <c r="O286">
        <v>0.4</v>
      </c>
      <c r="P286">
        <v>2212.6999999999998</v>
      </c>
      <c r="Q286" t="s">
        <v>27</v>
      </c>
      <c r="R286" t="s">
        <v>48</v>
      </c>
      <c r="S286">
        <v>9</v>
      </c>
      <c r="T286">
        <f>YEAR(Sales_Data_1[[#This Row],[Order_Date]])</f>
        <v>2024</v>
      </c>
      <c r="U286" t="str">
        <f>TEXT(Sales_Data_1[[#This Row],[Order_Date]], "mmm")</f>
        <v>Jun</v>
      </c>
      <c r="V286">
        <f>MONTH(Sales_Data_1[[#This Row],[Order_Date]])</f>
        <v>6</v>
      </c>
      <c r="W286" t="str">
        <f>TEXT(Sales_Data_1[[#This Row],[Order_Date]], "yyyy-mm")</f>
        <v>2024-06</v>
      </c>
      <c r="X286">
        <f>Sales_Data_1[[#This Row],[Sales]]-Sales_Data_1[[#This Row],[Profit_Amount]]</f>
        <v>3319.0600000000004</v>
      </c>
      <c r="Y286" t="str" cm="1">
        <f t="array" ref="Y286">_xlfn.IFS(Sales_Data_1[[#This Row],[Delivery_Days]]&lt;=3, "Fast", Sales_Data_1[[#This Row],[Delivery_Days]]&lt;= 7, "Standard", TRUE, "Delayed")</f>
        <v>Delayed</v>
      </c>
      <c r="Z286" t="str" cm="1">
        <f t="array" ref="Z286">_xlfn.IFS(Sales_Data_1[[#This Row],[Profit_Amount]]&gt; 0, "Profitable", Sales_Data_1[[#This Row],[Profit_Amount]] = 0, "Break-Even", TRUE, "Loss")</f>
        <v>Profitable</v>
      </c>
      <c r="AA286" t="str" cm="1">
        <f t="array" ref="AA286">_xlfn.IFS(Sales_Data_1[[#This Row],[Sales]]&gt;= 1000, "High Value", Sales_Data_1[[#This Row],[Sales]]&gt;= 300, "Mid Value", TRUE, "Low Value")</f>
        <v>High Value</v>
      </c>
    </row>
    <row r="287" spans="1:27" x14ac:dyDescent="0.3">
      <c r="A287" t="s">
        <v>2818</v>
      </c>
      <c r="B287" s="1">
        <v>45704</v>
      </c>
      <c r="C287" t="s">
        <v>55</v>
      </c>
      <c r="D287" t="s">
        <v>21</v>
      </c>
      <c r="E287" t="s">
        <v>67</v>
      </c>
      <c r="F287" t="s">
        <v>97</v>
      </c>
      <c r="G287" t="s">
        <v>34</v>
      </c>
      <c r="H287" t="s">
        <v>141</v>
      </c>
      <c r="I287" t="s">
        <v>955</v>
      </c>
      <c r="J287">
        <v>6</v>
      </c>
      <c r="K287">
        <v>1140</v>
      </c>
      <c r="L287">
        <v>0.19</v>
      </c>
      <c r="M287">
        <v>923.4</v>
      </c>
      <c r="N287">
        <v>5540.4</v>
      </c>
      <c r="O287">
        <v>0.4</v>
      </c>
      <c r="P287">
        <v>2216.16</v>
      </c>
      <c r="Q287" t="s">
        <v>51</v>
      </c>
      <c r="R287" t="s">
        <v>48</v>
      </c>
      <c r="S287">
        <v>9</v>
      </c>
      <c r="T287">
        <f>YEAR(Sales_Data_1[[#This Row],[Order_Date]])</f>
        <v>2025</v>
      </c>
      <c r="U287" t="str">
        <f>TEXT(Sales_Data_1[[#This Row],[Order_Date]], "mmm")</f>
        <v>Feb</v>
      </c>
      <c r="V287">
        <f>MONTH(Sales_Data_1[[#This Row],[Order_Date]])</f>
        <v>2</v>
      </c>
      <c r="W287" t="str">
        <f>TEXT(Sales_Data_1[[#This Row],[Order_Date]], "yyyy-mm")</f>
        <v>2025-02</v>
      </c>
      <c r="X287">
        <f>Sales_Data_1[[#This Row],[Sales]]-Sales_Data_1[[#This Row],[Profit_Amount]]</f>
        <v>3324.24</v>
      </c>
      <c r="Y287" t="str" cm="1">
        <f t="array" ref="Y287">_xlfn.IFS(Sales_Data_1[[#This Row],[Delivery_Days]]&lt;=3, "Fast", Sales_Data_1[[#This Row],[Delivery_Days]]&lt;= 7, "Standard", TRUE, "Delayed")</f>
        <v>Delayed</v>
      </c>
      <c r="Z287" t="str" cm="1">
        <f t="array" ref="Z287">_xlfn.IFS(Sales_Data_1[[#This Row],[Profit_Amount]]&gt; 0, "Profitable", Sales_Data_1[[#This Row],[Profit_Amount]] = 0, "Break-Even", TRUE, "Loss")</f>
        <v>Profitable</v>
      </c>
      <c r="AA287" t="str" cm="1">
        <f t="array" ref="AA287">_xlfn.IFS(Sales_Data_1[[#This Row],[Sales]]&gt;= 1000, "High Value", Sales_Data_1[[#This Row],[Sales]]&gt;= 300, "Mid Value", TRUE, "Low Value")</f>
        <v>High Value</v>
      </c>
    </row>
    <row r="288" spans="1:27" x14ac:dyDescent="0.3">
      <c r="A288" t="s">
        <v>2164</v>
      </c>
      <c r="B288" s="1">
        <v>45050</v>
      </c>
      <c r="C288" t="s">
        <v>55</v>
      </c>
      <c r="D288" t="s">
        <v>56</v>
      </c>
      <c r="E288" t="s">
        <v>67</v>
      </c>
      <c r="F288" t="s">
        <v>43</v>
      </c>
      <c r="G288" t="s">
        <v>44</v>
      </c>
      <c r="H288" t="s">
        <v>45</v>
      </c>
      <c r="I288" t="s">
        <v>318</v>
      </c>
      <c r="J288">
        <v>3</v>
      </c>
      <c r="K288">
        <v>2493</v>
      </c>
      <c r="L288">
        <v>0.15</v>
      </c>
      <c r="M288">
        <v>2119.0500000000002</v>
      </c>
      <c r="N288">
        <v>6357.15</v>
      </c>
      <c r="O288">
        <v>0.35</v>
      </c>
      <c r="P288">
        <v>2225</v>
      </c>
      <c r="Q288" t="s">
        <v>37</v>
      </c>
      <c r="R288" t="s">
        <v>48</v>
      </c>
      <c r="S288">
        <v>4</v>
      </c>
      <c r="T288">
        <f>YEAR(Sales_Data_1[[#This Row],[Order_Date]])</f>
        <v>2023</v>
      </c>
      <c r="U288" t="str">
        <f>TEXT(Sales_Data_1[[#This Row],[Order_Date]], "mmm")</f>
        <v>May</v>
      </c>
      <c r="V288">
        <f>MONTH(Sales_Data_1[[#This Row],[Order_Date]])</f>
        <v>5</v>
      </c>
      <c r="W288" t="str">
        <f>TEXT(Sales_Data_1[[#This Row],[Order_Date]], "yyyy-mm")</f>
        <v>2023-05</v>
      </c>
      <c r="X288">
        <f>Sales_Data_1[[#This Row],[Sales]]-Sales_Data_1[[#This Row],[Profit_Amount]]</f>
        <v>4132.1499999999996</v>
      </c>
      <c r="Y288" t="str" cm="1">
        <f t="array" ref="Y288">_xlfn.IFS(Sales_Data_1[[#This Row],[Delivery_Days]]&lt;=3, "Fast", Sales_Data_1[[#This Row],[Delivery_Days]]&lt;= 7, "Standard", TRUE, "Delayed")</f>
        <v>Standard</v>
      </c>
      <c r="Z288" t="str" cm="1">
        <f t="array" ref="Z288">_xlfn.IFS(Sales_Data_1[[#This Row],[Profit_Amount]]&gt; 0, "Profitable", Sales_Data_1[[#This Row],[Profit_Amount]] = 0, "Break-Even", TRUE, "Loss")</f>
        <v>Profitable</v>
      </c>
      <c r="AA288" t="str" cm="1">
        <f t="array" ref="AA288">_xlfn.IFS(Sales_Data_1[[#This Row],[Sales]]&gt;= 1000, "High Value", Sales_Data_1[[#This Row],[Sales]]&gt;= 300, "Mid Value", TRUE, "Low Value")</f>
        <v>High Value</v>
      </c>
    </row>
    <row r="289" spans="1:27" x14ac:dyDescent="0.3">
      <c r="A289" t="s">
        <v>2717</v>
      </c>
      <c r="B289" s="1">
        <v>45603</v>
      </c>
      <c r="C289" t="s">
        <v>63</v>
      </c>
      <c r="D289" t="s">
        <v>21</v>
      </c>
      <c r="E289" t="s">
        <v>2042</v>
      </c>
      <c r="F289" t="s">
        <v>97</v>
      </c>
      <c r="G289" t="s">
        <v>34</v>
      </c>
      <c r="H289" t="s">
        <v>104</v>
      </c>
      <c r="I289" t="s">
        <v>1410</v>
      </c>
      <c r="J289">
        <v>5</v>
      </c>
      <c r="K289">
        <v>1449</v>
      </c>
      <c r="L289">
        <v>0.23</v>
      </c>
      <c r="M289">
        <v>1115.73</v>
      </c>
      <c r="N289">
        <v>5578.65</v>
      </c>
      <c r="O289">
        <v>0.4</v>
      </c>
      <c r="P289">
        <v>2231.46</v>
      </c>
      <c r="Q289" t="s">
        <v>27</v>
      </c>
      <c r="R289" t="s">
        <v>48</v>
      </c>
      <c r="S289">
        <v>8</v>
      </c>
      <c r="T289">
        <f>YEAR(Sales_Data_1[[#This Row],[Order_Date]])</f>
        <v>2024</v>
      </c>
      <c r="U289" t="str">
        <f>TEXT(Sales_Data_1[[#This Row],[Order_Date]], "mmm")</f>
        <v>Nov</v>
      </c>
      <c r="V289">
        <f>MONTH(Sales_Data_1[[#This Row],[Order_Date]])</f>
        <v>11</v>
      </c>
      <c r="W289" t="str">
        <f>TEXT(Sales_Data_1[[#This Row],[Order_Date]], "yyyy-mm")</f>
        <v>2024-11</v>
      </c>
      <c r="X289">
        <f>Sales_Data_1[[#This Row],[Sales]]-Sales_Data_1[[#This Row],[Profit_Amount]]</f>
        <v>3347.1899999999996</v>
      </c>
      <c r="Y289" t="str" cm="1">
        <f t="array" ref="Y289">_xlfn.IFS(Sales_Data_1[[#This Row],[Delivery_Days]]&lt;=3, "Fast", Sales_Data_1[[#This Row],[Delivery_Days]]&lt;= 7, "Standard", TRUE, "Delayed")</f>
        <v>Delayed</v>
      </c>
      <c r="Z289" t="str" cm="1">
        <f t="array" ref="Z289">_xlfn.IFS(Sales_Data_1[[#This Row],[Profit_Amount]]&gt; 0, "Profitable", Sales_Data_1[[#This Row],[Profit_Amount]] = 0, "Break-Even", TRUE, "Loss")</f>
        <v>Profitable</v>
      </c>
      <c r="AA289" t="str" cm="1">
        <f t="array" ref="AA289">_xlfn.IFS(Sales_Data_1[[#This Row],[Sales]]&gt;= 1000, "High Value", Sales_Data_1[[#This Row],[Sales]]&gt;= 300, "Mid Value", TRUE, "Low Value")</f>
        <v>High Value</v>
      </c>
    </row>
    <row r="290" spans="1:27" x14ac:dyDescent="0.3">
      <c r="A290" t="s">
        <v>3012</v>
      </c>
      <c r="B290" s="1">
        <v>45898</v>
      </c>
      <c r="C290" t="s">
        <v>96</v>
      </c>
      <c r="D290" t="s">
        <v>21</v>
      </c>
      <c r="E290" t="s">
        <v>42</v>
      </c>
      <c r="F290" t="s">
        <v>103</v>
      </c>
      <c r="G290" t="s">
        <v>34</v>
      </c>
      <c r="H290" t="s">
        <v>104</v>
      </c>
      <c r="I290" t="s">
        <v>1983</v>
      </c>
      <c r="J290">
        <v>5</v>
      </c>
      <c r="K290">
        <v>1249</v>
      </c>
      <c r="L290">
        <v>0.1</v>
      </c>
      <c r="M290">
        <v>1124.0999999999999</v>
      </c>
      <c r="N290">
        <v>5620.5</v>
      </c>
      <c r="O290">
        <v>0.4</v>
      </c>
      <c r="P290">
        <v>2248.1999999999998</v>
      </c>
      <c r="Q290" t="s">
        <v>47</v>
      </c>
      <c r="R290" t="s">
        <v>38</v>
      </c>
      <c r="S290">
        <v>5</v>
      </c>
      <c r="T290">
        <f>YEAR(Sales_Data_1[[#This Row],[Order_Date]])</f>
        <v>2025</v>
      </c>
      <c r="U290" t="str">
        <f>TEXT(Sales_Data_1[[#This Row],[Order_Date]], "mmm")</f>
        <v>Aug</v>
      </c>
      <c r="V290">
        <f>MONTH(Sales_Data_1[[#This Row],[Order_Date]])</f>
        <v>8</v>
      </c>
      <c r="W290" t="str">
        <f>TEXT(Sales_Data_1[[#This Row],[Order_Date]], "yyyy-mm")</f>
        <v>2025-08</v>
      </c>
      <c r="X290">
        <f>Sales_Data_1[[#This Row],[Sales]]-Sales_Data_1[[#This Row],[Profit_Amount]]</f>
        <v>3372.3</v>
      </c>
      <c r="Y290" t="str" cm="1">
        <f t="array" ref="Y290">_xlfn.IFS(Sales_Data_1[[#This Row],[Delivery_Days]]&lt;=3, "Fast", Sales_Data_1[[#This Row],[Delivery_Days]]&lt;= 7, "Standard", TRUE, "Delayed")</f>
        <v>Standard</v>
      </c>
      <c r="Z290" t="str" cm="1">
        <f t="array" ref="Z290">_xlfn.IFS(Sales_Data_1[[#This Row],[Profit_Amount]]&gt; 0, "Profitable", Sales_Data_1[[#This Row],[Profit_Amount]] = 0, "Break-Even", TRUE, "Loss")</f>
        <v>Profitable</v>
      </c>
      <c r="AA290" t="str" cm="1">
        <f t="array" ref="AA290">_xlfn.IFS(Sales_Data_1[[#This Row],[Sales]]&gt;= 1000, "High Value", Sales_Data_1[[#This Row],[Sales]]&gt;= 300, "Mid Value", TRUE, "Low Value")</f>
        <v>High Value</v>
      </c>
    </row>
    <row r="291" spans="1:27" x14ac:dyDescent="0.3">
      <c r="A291" t="s">
        <v>2315</v>
      </c>
      <c r="B291" s="1">
        <v>45201</v>
      </c>
      <c r="C291" t="s">
        <v>96</v>
      </c>
      <c r="D291" t="s">
        <v>56</v>
      </c>
      <c r="E291" t="s">
        <v>67</v>
      </c>
      <c r="F291" t="s">
        <v>68</v>
      </c>
      <c r="G291" t="s">
        <v>44</v>
      </c>
      <c r="H291" t="s">
        <v>116</v>
      </c>
      <c r="I291" t="s">
        <v>620</v>
      </c>
      <c r="J291">
        <v>5</v>
      </c>
      <c r="K291">
        <v>1504</v>
      </c>
      <c r="L291">
        <v>0.14000000000000001</v>
      </c>
      <c r="M291">
        <v>1293.44</v>
      </c>
      <c r="N291">
        <v>6467.2</v>
      </c>
      <c r="O291">
        <v>0.35</v>
      </c>
      <c r="P291">
        <v>2263.52</v>
      </c>
      <c r="Q291" t="s">
        <v>47</v>
      </c>
      <c r="R291" t="s">
        <v>48</v>
      </c>
      <c r="S291">
        <v>6</v>
      </c>
      <c r="T291">
        <f>YEAR(Sales_Data_1[[#This Row],[Order_Date]])</f>
        <v>2023</v>
      </c>
      <c r="U291" t="str">
        <f>TEXT(Sales_Data_1[[#This Row],[Order_Date]], "mmm")</f>
        <v>Oct</v>
      </c>
      <c r="V291">
        <f>MONTH(Sales_Data_1[[#This Row],[Order_Date]])</f>
        <v>10</v>
      </c>
      <c r="W291" t="str">
        <f>TEXT(Sales_Data_1[[#This Row],[Order_Date]], "yyyy-mm")</f>
        <v>2023-10</v>
      </c>
      <c r="X291">
        <f>Sales_Data_1[[#This Row],[Sales]]-Sales_Data_1[[#This Row],[Profit_Amount]]</f>
        <v>4203.68</v>
      </c>
      <c r="Y291" t="str" cm="1">
        <f t="array" ref="Y291">_xlfn.IFS(Sales_Data_1[[#This Row],[Delivery_Days]]&lt;=3, "Fast", Sales_Data_1[[#This Row],[Delivery_Days]]&lt;= 7, "Standard", TRUE, "Delayed")</f>
        <v>Standard</v>
      </c>
      <c r="Z291" t="str" cm="1">
        <f t="array" ref="Z291">_xlfn.IFS(Sales_Data_1[[#This Row],[Profit_Amount]]&gt; 0, "Profitable", Sales_Data_1[[#This Row],[Profit_Amount]] = 0, "Break-Even", TRUE, "Loss")</f>
        <v>Profitable</v>
      </c>
      <c r="AA291" t="str" cm="1">
        <f t="array" ref="AA291">_xlfn.IFS(Sales_Data_1[[#This Row],[Sales]]&gt;= 1000, "High Value", Sales_Data_1[[#This Row],[Sales]]&gt;= 300, "Mid Value", TRUE, "Low Value")</f>
        <v>High Value</v>
      </c>
    </row>
    <row r="292" spans="1:27" x14ac:dyDescent="0.3">
      <c r="A292" t="s">
        <v>2463</v>
      </c>
      <c r="B292" s="1">
        <v>45349</v>
      </c>
      <c r="C292" t="s">
        <v>96</v>
      </c>
      <c r="D292" t="s">
        <v>21</v>
      </c>
      <c r="E292" t="s">
        <v>2042</v>
      </c>
      <c r="F292" t="s">
        <v>33</v>
      </c>
      <c r="G292" t="s">
        <v>57</v>
      </c>
      <c r="H292" t="s">
        <v>183</v>
      </c>
      <c r="I292" t="s">
        <v>912</v>
      </c>
      <c r="J292">
        <v>5</v>
      </c>
      <c r="K292">
        <v>2632</v>
      </c>
      <c r="L292">
        <v>0.14000000000000001</v>
      </c>
      <c r="M292">
        <v>2263.52</v>
      </c>
      <c r="N292">
        <v>11317.6</v>
      </c>
      <c r="O292">
        <v>0.2</v>
      </c>
      <c r="P292">
        <v>2263.52</v>
      </c>
      <c r="Q292" t="s">
        <v>47</v>
      </c>
      <c r="R292" t="s">
        <v>38</v>
      </c>
      <c r="S292">
        <v>9</v>
      </c>
      <c r="T292">
        <f>YEAR(Sales_Data_1[[#This Row],[Order_Date]])</f>
        <v>2024</v>
      </c>
      <c r="U292" t="str">
        <f>TEXT(Sales_Data_1[[#This Row],[Order_Date]], "mmm")</f>
        <v>Feb</v>
      </c>
      <c r="V292">
        <f>MONTH(Sales_Data_1[[#This Row],[Order_Date]])</f>
        <v>2</v>
      </c>
      <c r="W292" t="str">
        <f>TEXT(Sales_Data_1[[#This Row],[Order_Date]], "yyyy-mm")</f>
        <v>2024-02</v>
      </c>
      <c r="X292">
        <f>Sales_Data_1[[#This Row],[Sales]]-Sales_Data_1[[#This Row],[Profit_Amount]]</f>
        <v>9054.08</v>
      </c>
      <c r="Y292" t="str" cm="1">
        <f t="array" ref="Y292">_xlfn.IFS(Sales_Data_1[[#This Row],[Delivery_Days]]&lt;=3, "Fast", Sales_Data_1[[#This Row],[Delivery_Days]]&lt;= 7, "Standard", TRUE, "Delayed")</f>
        <v>Delayed</v>
      </c>
      <c r="Z292" t="str" cm="1">
        <f t="array" ref="Z292">_xlfn.IFS(Sales_Data_1[[#This Row],[Profit_Amount]]&gt; 0, "Profitable", Sales_Data_1[[#This Row],[Profit_Amount]] = 0, "Break-Even", TRUE, "Loss")</f>
        <v>Profitable</v>
      </c>
      <c r="AA292" t="str" cm="1">
        <f t="array" ref="AA292">_xlfn.IFS(Sales_Data_1[[#This Row],[Sales]]&gt;= 1000, "High Value", Sales_Data_1[[#This Row],[Sales]]&gt;= 300, "Mid Value", TRUE, "Low Value")</f>
        <v>High Value</v>
      </c>
    </row>
    <row r="293" spans="1:27" x14ac:dyDescent="0.3">
      <c r="A293" t="s">
        <v>2682</v>
      </c>
      <c r="B293" s="1">
        <v>45568</v>
      </c>
      <c r="C293" t="s">
        <v>55</v>
      </c>
      <c r="D293" t="s">
        <v>56</v>
      </c>
      <c r="E293" t="s">
        <v>42</v>
      </c>
      <c r="F293" t="s">
        <v>23</v>
      </c>
      <c r="G293" t="s">
        <v>34</v>
      </c>
      <c r="H293" t="s">
        <v>71</v>
      </c>
      <c r="I293" t="s">
        <v>1344</v>
      </c>
      <c r="J293">
        <v>5</v>
      </c>
      <c r="K293">
        <v>1434</v>
      </c>
      <c r="L293">
        <v>0.21</v>
      </c>
      <c r="M293">
        <v>1132.8599999999999</v>
      </c>
      <c r="N293">
        <v>5664.3</v>
      </c>
      <c r="O293">
        <v>0.4</v>
      </c>
      <c r="P293">
        <v>2265.7199999999998</v>
      </c>
      <c r="Q293" t="s">
        <v>47</v>
      </c>
      <c r="R293" t="s">
        <v>48</v>
      </c>
      <c r="S293">
        <v>1</v>
      </c>
      <c r="T293">
        <f>YEAR(Sales_Data_1[[#This Row],[Order_Date]])</f>
        <v>2024</v>
      </c>
      <c r="U293" t="str">
        <f>TEXT(Sales_Data_1[[#This Row],[Order_Date]], "mmm")</f>
        <v>Oct</v>
      </c>
      <c r="V293">
        <f>MONTH(Sales_Data_1[[#This Row],[Order_Date]])</f>
        <v>10</v>
      </c>
      <c r="W293" t="str">
        <f>TEXT(Sales_Data_1[[#This Row],[Order_Date]], "yyyy-mm")</f>
        <v>2024-10</v>
      </c>
      <c r="X293">
        <f>Sales_Data_1[[#This Row],[Sales]]-Sales_Data_1[[#This Row],[Profit_Amount]]</f>
        <v>3398.5800000000004</v>
      </c>
      <c r="Y293" t="str" cm="1">
        <f t="array" ref="Y293">_xlfn.IFS(Sales_Data_1[[#This Row],[Delivery_Days]]&lt;=3, "Fast", Sales_Data_1[[#This Row],[Delivery_Days]]&lt;= 7, "Standard", TRUE, "Delayed")</f>
        <v>Fast</v>
      </c>
      <c r="Z293" t="str" cm="1">
        <f t="array" ref="Z293">_xlfn.IFS(Sales_Data_1[[#This Row],[Profit_Amount]]&gt; 0, "Profitable", Sales_Data_1[[#This Row],[Profit_Amount]] = 0, "Break-Even", TRUE, "Loss")</f>
        <v>Profitable</v>
      </c>
      <c r="AA293" t="str" cm="1">
        <f t="array" ref="AA293">_xlfn.IFS(Sales_Data_1[[#This Row],[Sales]]&gt;= 1000, "High Value", Sales_Data_1[[#This Row],[Sales]]&gt;= 300, "Mid Value", TRUE, "Low Value")</f>
        <v>High Value</v>
      </c>
    </row>
    <row r="294" spans="1:27" x14ac:dyDescent="0.3">
      <c r="A294" t="s">
        <v>2839</v>
      </c>
      <c r="B294" s="1">
        <v>45725</v>
      </c>
      <c r="C294" t="s">
        <v>55</v>
      </c>
      <c r="D294" t="s">
        <v>21</v>
      </c>
      <c r="E294" t="s">
        <v>2040</v>
      </c>
      <c r="F294" t="s">
        <v>33</v>
      </c>
      <c r="G294" t="s">
        <v>44</v>
      </c>
      <c r="H294" t="s">
        <v>116</v>
      </c>
      <c r="I294" t="s">
        <v>1649</v>
      </c>
      <c r="J294">
        <v>6</v>
      </c>
      <c r="K294">
        <v>1163</v>
      </c>
      <c r="L294">
        <v>7.0000000000000007E-2</v>
      </c>
      <c r="M294">
        <v>1081.5899999999999</v>
      </c>
      <c r="N294">
        <v>6489.54</v>
      </c>
      <c r="O294">
        <v>0.35</v>
      </c>
      <c r="P294">
        <v>2271.34</v>
      </c>
      <c r="Q294" t="s">
        <v>47</v>
      </c>
      <c r="R294" t="s">
        <v>48</v>
      </c>
      <c r="S294">
        <v>3</v>
      </c>
      <c r="T294">
        <f>YEAR(Sales_Data_1[[#This Row],[Order_Date]])</f>
        <v>2025</v>
      </c>
      <c r="U294" t="str">
        <f>TEXT(Sales_Data_1[[#This Row],[Order_Date]], "mmm")</f>
        <v>Mar</v>
      </c>
      <c r="V294">
        <f>MONTH(Sales_Data_1[[#This Row],[Order_Date]])</f>
        <v>3</v>
      </c>
      <c r="W294" t="str">
        <f>TEXT(Sales_Data_1[[#This Row],[Order_Date]], "yyyy-mm")</f>
        <v>2025-03</v>
      </c>
      <c r="X294">
        <f>Sales_Data_1[[#This Row],[Sales]]-Sales_Data_1[[#This Row],[Profit_Amount]]</f>
        <v>4218.2</v>
      </c>
      <c r="Y294" t="str" cm="1">
        <f t="array" ref="Y294">_xlfn.IFS(Sales_Data_1[[#This Row],[Delivery_Days]]&lt;=3, "Fast", Sales_Data_1[[#This Row],[Delivery_Days]]&lt;= 7, "Standard", TRUE, "Delayed")</f>
        <v>Fast</v>
      </c>
      <c r="Z294" t="str" cm="1">
        <f t="array" ref="Z294">_xlfn.IFS(Sales_Data_1[[#This Row],[Profit_Amount]]&gt; 0, "Profitable", Sales_Data_1[[#This Row],[Profit_Amount]] = 0, "Break-Even", TRUE, "Loss")</f>
        <v>Profitable</v>
      </c>
      <c r="AA294" t="str" cm="1">
        <f t="array" ref="AA294">_xlfn.IFS(Sales_Data_1[[#This Row],[Sales]]&gt;= 1000, "High Value", Sales_Data_1[[#This Row],[Sales]]&gt;= 300, "Mid Value", TRUE, "Low Value")</f>
        <v>High Value</v>
      </c>
    </row>
    <row r="295" spans="1:27" x14ac:dyDescent="0.3">
      <c r="A295" t="s">
        <v>2594</v>
      </c>
      <c r="B295" s="1">
        <v>45480</v>
      </c>
      <c r="C295" t="s">
        <v>96</v>
      </c>
      <c r="D295" t="s">
        <v>21</v>
      </c>
      <c r="E295" t="s">
        <v>42</v>
      </c>
      <c r="F295" t="s">
        <v>23</v>
      </c>
      <c r="G295" t="s">
        <v>34</v>
      </c>
      <c r="H295" t="s">
        <v>35</v>
      </c>
      <c r="I295" t="s">
        <v>1170</v>
      </c>
      <c r="J295">
        <v>6</v>
      </c>
      <c r="K295">
        <v>967</v>
      </c>
      <c r="L295">
        <v>0.02</v>
      </c>
      <c r="M295">
        <v>947.66</v>
      </c>
      <c r="N295">
        <v>5685.96</v>
      </c>
      <c r="O295">
        <v>0.4</v>
      </c>
      <c r="P295">
        <v>2274.38</v>
      </c>
      <c r="Q295" t="s">
        <v>47</v>
      </c>
      <c r="R295" t="s">
        <v>48</v>
      </c>
      <c r="S295">
        <v>7</v>
      </c>
      <c r="T295">
        <f>YEAR(Sales_Data_1[[#This Row],[Order_Date]])</f>
        <v>2024</v>
      </c>
      <c r="U295" t="str">
        <f>TEXT(Sales_Data_1[[#This Row],[Order_Date]], "mmm")</f>
        <v>Jul</v>
      </c>
      <c r="V295">
        <f>MONTH(Sales_Data_1[[#This Row],[Order_Date]])</f>
        <v>7</v>
      </c>
      <c r="W295" t="str">
        <f>TEXT(Sales_Data_1[[#This Row],[Order_Date]], "yyyy-mm")</f>
        <v>2024-07</v>
      </c>
      <c r="X295">
        <f>Sales_Data_1[[#This Row],[Sales]]-Sales_Data_1[[#This Row],[Profit_Amount]]</f>
        <v>3411.58</v>
      </c>
      <c r="Y295" t="str" cm="1">
        <f t="array" ref="Y295">_xlfn.IFS(Sales_Data_1[[#This Row],[Delivery_Days]]&lt;=3, "Fast", Sales_Data_1[[#This Row],[Delivery_Days]]&lt;= 7, "Standard", TRUE, "Delayed")</f>
        <v>Standard</v>
      </c>
      <c r="Z295" t="str" cm="1">
        <f t="array" ref="Z295">_xlfn.IFS(Sales_Data_1[[#This Row],[Profit_Amount]]&gt; 0, "Profitable", Sales_Data_1[[#This Row],[Profit_Amount]] = 0, "Break-Even", TRUE, "Loss")</f>
        <v>Profitable</v>
      </c>
      <c r="AA295" t="str" cm="1">
        <f t="array" ref="AA295">_xlfn.IFS(Sales_Data_1[[#This Row],[Sales]]&gt;= 1000, "High Value", Sales_Data_1[[#This Row],[Sales]]&gt;= 300, "Mid Value", TRUE, "Low Value")</f>
        <v>High Value</v>
      </c>
    </row>
    <row r="296" spans="1:27" x14ac:dyDescent="0.3">
      <c r="A296" t="s">
        <v>2646</v>
      </c>
      <c r="B296" s="1">
        <v>45532</v>
      </c>
      <c r="C296" t="s">
        <v>55</v>
      </c>
      <c r="D296" t="s">
        <v>31</v>
      </c>
      <c r="E296" t="s">
        <v>2040</v>
      </c>
      <c r="F296" t="s">
        <v>23</v>
      </c>
      <c r="G296" t="s">
        <v>44</v>
      </c>
      <c r="H296" t="s">
        <v>45</v>
      </c>
      <c r="I296" t="s">
        <v>1272</v>
      </c>
      <c r="J296">
        <v>8</v>
      </c>
      <c r="K296">
        <v>892</v>
      </c>
      <c r="L296">
        <v>0.08</v>
      </c>
      <c r="M296">
        <v>820.64</v>
      </c>
      <c r="N296">
        <v>6565.12</v>
      </c>
      <c r="O296">
        <v>0.35</v>
      </c>
      <c r="P296">
        <v>2297.79</v>
      </c>
      <c r="Q296" t="s">
        <v>51</v>
      </c>
      <c r="R296" t="s">
        <v>48</v>
      </c>
      <c r="S296">
        <v>1</v>
      </c>
      <c r="T296">
        <f>YEAR(Sales_Data_1[[#This Row],[Order_Date]])</f>
        <v>2024</v>
      </c>
      <c r="U296" t="str">
        <f>TEXT(Sales_Data_1[[#This Row],[Order_Date]], "mmm")</f>
        <v>Aug</v>
      </c>
      <c r="V296">
        <f>MONTH(Sales_Data_1[[#This Row],[Order_Date]])</f>
        <v>8</v>
      </c>
      <c r="W296" t="str">
        <f>TEXT(Sales_Data_1[[#This Row],[Order_Date]], "yyyy-mm")</f>
        <v>2024-08</v>
      </c>
      <c r="X296">
        <f>Sales_Data_1[[#This Row],[Sales]]-Sales_Data_1[[#This Row],[Profit_Amount]]</f>
        <v>4267.33</v>
      </c>
      <c r="Y296" t="str" cm="1">
        <f t="array" ref="Y296">_xlfn.IFS(Sales_Data_1[[#This Row],[Delivery_Days]]&lt;=3, "Fast", Sales_Data_1[[#This Row],[Delivery_Days]]&lt;= 7, "Standard", TRUE, "Delayed")</f>
        <v>Fast</v>
      </c>
      <c r="Z296" t="str" cm="1">
        <f t="array" ref="Z296">_xlfn.IFS(Sales_Data_1[[#This Row],[Profit_Amount]]&gt; 0, "Profitable", Sales_Data_1[[#This Row],[Profit_Amount]] = 0, "Break-Even", TRUE, "Loss")</f>
        <v>Profitable</v>
      </c>
      <c r="AA296" t="str" cm="1">
        <f t="array" ref="AA296">_xlfn.IFS(Sales_Data_1[[#This Row],[Sales]]&gt;= 1000, "High Value", Sales_Data_1[[#This Row],[Sales]]&gt;= 300, "Mid Value", TRUE, "Low Value")</f>
        <v>High Value</v>
      </c>
    </row>
    <row r="297" spans="1:27" x14ac:dyDescent="0.3">
      <c r="A297" t="s">
        <v>2432</v>
      </c>
      <c r="B297" s="1">
        <v>45318</v>
      </c>
      <c r="C297" t="s">
        <v>55</v>
      </c>
      <c r="D297" t="s">
        <v>21</v>
      </c>
      <c r="E297" t="s">
        <v>42</v>
      </c>
      <c r="F297" t="s">
        <v>23</v>
      </c>
      <c r="G297" t="s">
        <v>34</v>
      </c>
      <c r="H297" t="s">
        <v>71</v>
      </c>
      <c r="I297" t="s">
        <v>850</v>
      </c>
      <c r="J297">
        <v>6</v>
      </c>
      <c r="K297">
        <v>1155</v>
      </c>
      <c r="L297">
        <v>0.17</v>
      </c>
      <c r="M297">
        <v>958.65</v>
      </c>
      <c r="N297">
        <v>5751.9</v>
      </c>
      <c r="O297">
        <v>0.4</v>
      </c>
      <c r="P297">
        <v>2300.7600000000002</v>
      </c>
      <c r="Q297" t="s">
        <v>51</v>
      </c>
      <c r="R297" t="s">
        <v>48</v>
      </c>
      <c r="S297">
        <v>8</v>
      </c>
      <c r="T297">
        <f>YEAR(Sales_Data_1[[#This Row],[Order_Date]])</f>
        <v>2024</v>
      </c>
      <c r="U297" t="str">
        <f>TEXT(Sales_Data_1[[#This Row],[Order_Date]], "mmm")</f>
        <v>Jan</v>
      </c>
      <c r="V297">
        <f>MONTH(Sales_Data_1[[#This Row],[Order_Date]])</f>
        <v>1</v>
      </c>
      <c r="W297" t="str">
        <f>TEXT(Sales_Data_1[[#This Row],[Order_Date]], "yyyy-mm")</f>
        <v>2024-01</v>
      </c>
      <c r="X297">
        <f>Sales_Data_1[[#This Row],[Sales]]-Sales_Data_1[[#This Row],[Profit_Amount]]</f>
        <v>3451.1399999999994</v>
      </c>
      <c r="Y297" t="str" cm="1">
        <f t="array" ref="Y297">_xlfn.IFS(Sales_Data_1[[#This Row],[Delivery_Days]]&lt;=3, "Fast", Sales_Data_1[[#This Row],[Delivery_Days]]&lt;= 7, "Standard", TRUE, "Delayed")</f>
        <v>Delayed</v>
      </c>
      <c r="Z297" t="str" cm="1">
        <f t="array" ref="Z297">_xlfn.IFS(Sales_Data_1[[#This Row],[Profit_Amount]]&gt; 0, "Profitable", Sales_Data_1[[#This Row],[Profit_Amount]] = 0, "Break-Even", TRUE, "Loss")</f>
        <v>Profitable</v>
      </c>
      <c r="AA297" t="str" cm="1">
        <f t="array" ref="AA297">_xlfn.IFS(Sales_Data_1[[#This Row],[Sales]]&gt;= 1000, "High Value", Sales_Data_1[[#This Row],[Sales]]&gt;= 300, "Mid Value", TRUE, "Low Value")</f>
        <v>High Value</v>
      </c>
    </row>
    <row r="298" spans="1:27" x14ac:dyDescent="0.3">
      <c r="A298" t="s">
        <v>2691</v>
      </c>
      <c r="B298" s="1">
        <v>45577</v>
      </c>
      <c r="C298" t="s">
        <v>96</v>
      </c>
      <c r="D298" t="s">
        <v>31</v>
      </c>
      <c r="E298" t="s">
        <v>2042</v>
      </c>
      <c r="F298" t="s">
        <v>33</v>
      </c>
      <c r="G298" t="s">
        <v>57</v>
      </c>
      <c r="H298" t="s">
        <v>58</v>
      </c>
      <c r="I298" t="s">
        <v>1361</v>
      </c>
      <c r="J298">
        <v>1</v>
      </c>
      <c r="K298">
        <v>11765</v>
      </c>
      <c r="L298">
        <v>0.02</v>
      </c>
      <c r="M298">
        <v>11529.7</v>
      </c>
      <c r="N298">
        <v>11529.7</v>
      </c>
      <c r="O298">
        <v>0.2</v>
      </c>
      <c r="P298">
        <v>2305.94</v>
      </c>
      <c r="Q298" t="s">
        <v>37</v>
      </c>
      <c r="R298" t="s">
        <v>48</v>
      </c>
      <c r="S298">
        <v>6</v>
      </c>
      <c r="T298">
        <f>YEAR(Sales_Data_1[[#This Row],[Order_Date]])</f>
        <v>2024</v>
      </c>
      <c r="U298" t="str">
        <f>TEXT(Sales_Data_1[[#This Row],[Order_Date]], "mmm")</f>
        <v>Oct</v>
      </c>
      <c r="V298">
        <f>MONTH(Sales_Data_1[[#This Row],[Order_Date]])</f>
        <v>10</v>
      </c>
      <c r="W298" t="str">
        <f>TEXT(Sales_Data_1[[#This Row],[Order_Date]], "yyyy-mm")</f>
        <v>2024-10</v>
      </c>
      <c r="X298">
        <f>Sales_Data_1[[#This Row],[Sales]]-Sales_Data_1[[#This Row],[Profit_Amount]]</f>
        <v>9223.76</v>
      </c>
      <c r="Y298" t="str" cm="1">
        <f t="array" ref="Y298">_xlfn.IFS(Sales_Data_1[[#This Row],[Delivery_Days]]&lt;=3, "Fast", Sales_Data_1[[#This Row],[Delivery_Days]]&lt;= 7, "Standard", TRUE, "Delayed")</f>
        <v>Standard</v>
      </c>
      <c r="Z298" t="str" cm="1">
        <f t="array" ref="Z298">_xlfn.IFS(Sales_Data_1[[#This Row],[Profit_Amount]]&gt; 0, "Profitable", Sales_Data_1[[#This Row],[Profit_Amount]] = 0, "Break-Even", TRUE, "Loss")</f>
        <v>Profitable</v>
      </c>
      <c r="AA298" t="str" cm="1">
        <f t="array" ref="AA298">_xlfn.IFS(Sales_Data_1[[#This Row],[Sales]]&gt;= 1000, "High Value", Sales_Data_1[[#This Row],[Sales]]&gt;= 300, "Mid Value", TRUE, "Low Value")</f>
        <v>High Value</v>
      </c>
    </row>
    <row r="299" spans="1:27" x14ac:dyDescent="0.3">
      <c r="A299" t="s">
        <v>2398</v>
      </c>
      <c r="B299" s="1">
        <v>45284</v>
      </c>
      <c r="C299" t="s">
        <v>40</v>
      </c>
      <c r="D299" t="s">
        <v>31</v>
      </c>
      <c r="E299" t="s">
        <v>2042</v>
      </c>
      <c r="F299" t="s">
        <v>33</v>
      </c>
      <c r="G299" t="s">
        <v>34</v>
      </c>
      <c r="H299" t="s">
        <v>71</v>
      </c>
      <c r="I299" t="s">
        <v>782</v>
      </c>
      <c r="J299">
        <v>6</v>
      </c>
      <c r="K299">
        <v>1187</v>
      </c>
      <c r="L299">
        <v>0.19</v>
      </c>
      <c r="M299">
        <v>961.47</v>
      </c>
      <c r="N299">
        <v>5768.82</v>
      </c>
      <c r="O299">
        <v>0.4</v>
      </c>
      <c r="P299">
        <v>2307.5300000000002</v>
      </c>
      <c r="Q299" t="s">
        <v>27</v>
      </c>
      <c r="R299" t="s">
        <v>48</v>
      </c>
      <c r="S299">
        <v>4</v>
      </c>
      <c r="T299">
        <f>YEAR(Sales_Data_1[[#This Row],[Order_Date]])</f>
        <v>2023</v>
      </c>
      <c r="U299" t="str">
        <f>TEXT(Sales_Data_1[[#This Row],[Order_Date]], "mmm")</f>
        <v>Dec</v>
      </c>
      <c r="V299">
        <f>MONTH(Sales_Data_1[[#This Row],[Order_Date]])</f>
        <v>12</v>
      </c>
      <c r="W299" t="str">
        <f>TEXT(Sales_Data_1[[#This Row],[Order_Date]], "yyyy-mm")</f>
        <v>2023-12</v>
      </c>
      <c r="X299">
        <f>Sales_Data_1[[#This Row],[Sales]]-Sales_Data_1[[#This Row],[Profit_Amount]]</f>
        <v>3461.2899999999995</v>
      </c>
      <c r="Y299" t="str" cm="1">
        <f t="array" ref="Y299">_xlfn.IFS(Sales_Data_1[[#This Row],[Delivery_Days]]&lt;=3, "Fast", Sales_Data_1[[#This Row],[Delivery_Days]]&lt;= 7, "Standard", TRUE, "Delayed")</f>
        <v>Standard</v>
      </c>
      <c r="Z299" t="str" cm="1">
        <f t="array" ref="Z299">_xlfn.IFS(Sales_Data_1[[#This Row],[Profit_Amount]]&gt; 0, "Profitable", Sales_Data_1[[#This Row],[Profit_Amount]] = 0, "Break-Even", TRUE, "Loss")</f>
        <v>Profitable</v>
      </c>
      <c r="AA299" t="str" cm="1">
        <f t="array" ref="AA299">_xlfn.IFS(Sales_Data_1[[#This Row],[Sales]]&gt;= 1000, "High Value", Sales_Data_1[[#This Row],[Sales]]&gt;= 300, "Mid Value", TRUE, "Low Value")</f>
        <v>High Value</v>
      </c>
    </row>
    <row r="300" spans="1:27" x14ac:dyDescent="0.3">
      <c r="A300" t="s">
        <v>2767</v>
      </c>
      <c r="B300" s="1">
        <v>45653</v>
      </c>
      <c r="C300" t="s">
        <v>30</v>
      </c>
      <c r="D300" t="s">
        <v>21</v>
      </c>
      <c r="E300" t="s">
        <v>2042</v>
      </c>
      <c r="F300" t="s">
        <v>33</v>
      </c>
      <c r="G300" t="s">
        <v>24</v>
      </c>
      <c r="H300" t="s">
        <v>186</v>
      </c>
      <c r="I300" t="s">
        <v>488</v>
      </c>
      <c r="J300">
        <v>4</v>
      </c>
      <c r="K300">
        <v>2653</v>
      </c>
      <c r="L300">
        <v>0.13</v>
      </c>
      <c r="M300">
        <v>2308.11</v>
      </c>
      <c r="N300">
        <v>9232.44</v>
      </c>
      <c r="O300">
        <v>0.25</v>
      </c>
      <c r="P300">
        <v>2308.11</v>
      </c>
      <c r="Q300" t="s">
        <v>27</v>
      </c>
      <c r="R300" t="s">
        <v>48</v>
      </c>
      <c r="S300">
        <v>3</v>
      </c>
      <c r="T300">
        <f>YEAR(Sales_Data_1[[#This Row],[Order_Date]])</f>
        <v>2024</v>
      </c>
      <c r="U300" t="str">
        <f>TEXT(Sales_Data_1[[#This Row],[Order_Date]], "mmm")</f>
        <v>Dec</v>
      </c>
      <c r="V300">
        <f>MONTH(Sales_Data_1[[#This Row],[Order_Date]])</f>
        <v>12</v>
      </c>
      <c r="W300" t="str">
        <f>TEXT(Sales_Data_1[[#This Row],[Order_Date]], "yyyy-mm")</f>
        <v>2024-12</v>
      </c>
      <c r="X300">
        <f>Sales_Data_1[[#This Row],[Sales]]-Sales_Data_1[[#This Row],[Profit_Amount]]</f>
        <v>6924.33</v>
      </c>
      <c r="Y300" t="str" cm="1">
        <f t="array" ref="Y300">_xlfn.IFS(Sales_Data_1[[#This Row],[Delivery_Days]]&lt;=3, "Fast", Sales_Data_1[[#This Row],[Delivery_Days]]&lt;= 7, "Standard", TRUE, "Delayed")</f>
        <v>Fast</v>
      </c>
      <c r="Z300" t="str" cm="1">
        <f t="array" ref="Z300">_xlfn.IFS(Sales_Data_1[[#This Row],[Profit_Amount]]&gt; 0, "Profitable", Sales_Data_1[[#This Row],[Profit_Amount]] = 0, "Break-Even", TRUE, "Loss")</f>
        <v>Profitable</v>
      </c>
      <c r="AA300" t="str" cm="1">
        <f t="array" ref="AA300">_xlfn.IFS(Sales_Data_1[[#This Row],[Sales]]&gt;= 1000, "High Value", Sales_Data_1[[#This Row],[Sales]]&gt;= 300, "Mid Value", TRUE, "Low Value")</f>
        <v>High Value</v>
      </c>
    </row>
    <row r="301" spans="1:27" x14ac:dyDescent="0.3">
      <c r="A301" t="s">
        <v>2863</v>
      </c>
      <c r="B301" s="1">
        <v>45749</v>
      </c>
      <c r="C301" t="s">
        <v>40</v>
      </c>
      <c r="D301" t="s">
        <v>31</v>
      </c>
      <c r="E301" t="s">
        <v>67</v>
      </c>
      <c r="F301" t="s">
        <v>23</v>
      </c>
      <c r="G301" t="s">
        <v>57</v>
      </c>
      <c r="H301" t="s">
        <v>183</v>
      </c>
      <c r="I301" t="s">
        <v>1697</v>
      </c>
      <c r="J301">
        <v>4</v>
      </c>
      <c r="K301">
        <v>3283</v>
      </c>
      <c r="L301">
        <v>0.12</v>
      </c>
      <c r="M301">
        <v>2889.04</v>
      </c>
      <c r="N301">
        <v>11556.16</v>
      </c>
      <c r="O301">
        <v>0.2</v>
      </c>
      <c r="P301">
        <v>2311.23</v>
      </c>
      <c r="Q301" t="s">
        <v>47</v>
      </c>
      <c r="R301" t="s">
        <v>48</v>
      </c>
      <c r="S301">
        <v>1</v>
      </c>
      <c r="T301">
        <f>YEAR(Sales_Data_1[[#This Row],[Order_Date]])</f>
        <v>2025</v>
      </c>
      <c r="U301" t="str">
        <f>TEXT(Sales_Data_1[[#This Row],[Order_Date]], "mmm")</f>
        <v>Apr</v>
      </c>
      <c r="V301">
        <f>MONTH(Sales_Data_1[[#This Row],[Order_Date]])</f>
        <v>4</v>
      </c>
      <c r="W301" t="str">
        <f>TEXT(Sales_Data_1[[#This Row],[Order_Date]], "yyyy-mm")</f>
        <v>2025-04</v>
      </c>
      <c r="X301">
        <f>Sales_Data_1[[#This Row],[Sales]]-Sales_Data_1[[#This Row],[Profit_Amount]]</f>
        <v>9244.93</v>
      </c>
      <c r="Y301" t="str" cm="1">
        <f t="array" ref="Y301">_xlfn.IFS(Sales_Data_1[[#This Row],[Delivery_Days]]&lt;=3, "Fast", Sales_Data_1[[#This Row],[Delivery_Days]]&lt;= 7, "Standard", TRUE, "Delayed")</f>
        <v>Fast</v>
      </c>
      <c r="Z301" t="str" cm="1">
        <f t="array" ref="Z301">_xlfn.IFS(Sales_Data_1[[#This Row],[Profit_Amount]]&gt; 0, "Profitable", Sales_Data_1[[#This Row],[Profit_Amount]] = 0, "Break-Even", TRUE, "Loss")</f>
        <v>Profitable</v>
      </c>
      <c r="AA301" t="str" cm="1">
        <f t="array" ref="AA301">_xlfn.IFS(Sales_Data_1[[#This Row],[Sales]]&gt;= 1000, "High Value", Sales_Data_1[[#This Row],[Sales]]&gt;= 300, "Mid Value", TRUE, "Low Value")</f>
        <v>High Value</v>
      </c>
    </row>
    <row r="302" spans="1:27" x14ac:dyDescent="0.3">
      <c r="A302" t="s">
        <v>2526</v>
      </c>
      <c r="B302" s="1">
        <v>45412</v>
      </c>
      <c r="C302" t="s">
        <v>20</v>
      </c>
      <c r="D302" t="s">
        <v>41</v>
      </c>
      <c r="E302" t="s">
        <v>42</v>
      </c>
      <c r="F302" t="s">
        <v>103</v>
      </c>
      <c r="G302" t="s">
        <v>44</v>
      </c>
      <c r="H302" t="s">
        <v>138</v>
      </c>
      <c r="I302" t="s">
        <v>1036</v>
      </c>
      <c r="J302">
        <v>3</v>
      </c>
      <c r="K302">
        <v>2485</v>
      </c>
      <c r="L302">
        <v>0.11</v>
      </c>
      <c r="M302">
        <v>2211.65</v>
      </c>
      <c r="N302">
        <v>6634.95</v>
      </c>
      <c r="O302">
        <v>0.35</v>
      </c>
      <c r="P302">
        <v>2322.23</v>
      </c>
      <c r="Q302" t="s">
        <v>27</v>
      </c>
      <c r="R302" t="s">
        <v>48</v>
      </c>
      <c r="S302">
        <v>7</v>
      </c>
      <c r="T302">
        <f>YEAR(Sales_Data_1[[#This Row],[Order_Date]])</f>
        <v>2024</v>
      </c>
      <c r="U302" t="str">
        <f>TEXT(Sales_Data_1[[#This Row],[Order_Date]], "mmm")</f>
        <v>Apr</v>
      </c>
      <c r="V302">
        <f>MONTH(Sales_Data_1[[#This Row],[Order_Date]])</f>
        <v>4</v>
      </c>
      <c r="W302" t="str">
        <f>TEXT(Sales_Data_1[[#This Row],[Order_Date]], "yyyy-mm")</f>
        <v>2024-04</v>
      </c>
      <c r="X302">
        <f>Sales_Data_1[[#This Row],[Sales]]-Sales_Data_1[[#This Row],[Profit_Amount]]</f>
        <v>4312.7199999999993</v>
      </c>
      <c r="Y302" t="str" cm="1">
        <f t="array" ref="Y302">_xlfn.IFS(Sales_Data_1[[#This Row],[Delivery_Days]]&lt;=3, "Fast", Sales_Data_1[[#This Row],[Delivery_Days]]&lt;= 7, "Standard", TRUE, "Delayed")</f>
        <v>Standard</v>
      </c>
      <c r="Z302" t="str" cm="1">
        <f t="array" ref="Z302">_xlfn.IFS(Sales_Data_1[[#This Row],[Profit_Amount]]&gt; 0, "Profitable", Sales_Data_1[[#This Row],[Profit_Amount]] = 0, "Break-Even", TRUE, "Loss")</f>
        <v>Profitable</v>
      </c>
      <c r="AA302" t="str" cm="1">
        <f t="array" ref="AA302">_xlfn.IFS(Sales_Data_1[[#This Row],[Sales]]&gt;= 1000, "High Value", Sales_Data_1[[#This Row],[Sales]]&gt;= 300, "Mid Value", TRUE, "Low Value")</f>
        <v>High Value</v>
      </c>
    </row>
    <row r="303" spans="1:27" x14ac:dyDescent="0.3">
      <c r="A303" t="s">
        <v>2578</v>
      </c>
      <c r="B303" s="1">
        <v>45464</v>
      </c>
      <c r="C303" t="s">
        <v>63</v>
      </c>
      <c r="D303" t="s">
        <v>56</v>
      </c>
      <c r="E303" t="s">
        <v>67</v>
      </c>
      <c r="F303" t="s">
        <v>103</v>
      </c>
      <c r="G303" t="s">
        <v>44</v>
      </c>
      <c r="H303" t="s">
        <v>45</v>
      </c>
      <c r="I303" t="s">
        <v>1139</v>
      </c>
      <c r="J303">
        <v>8</v>
      </c>
      <c r="K303">
        <v>1108</v>
      </c>
      <c r="L303">
        <v>0.25</v>
      </c>
      <c r="M303">
        <v>831</v>
      </c>
      <c r="N303">
        <v>6648</v>
      </c>
      <c r="O303">
        <v>0.35</v>
      </c>
      <c r="P303">
        <v>2326.8000000000002</v>
      </c>
      <c r="Q303" t="s">
        <v>47</v>
      </c>
      <c r="R303" t="s">
        <v>48</v>
      </c>
      <c r="S303">
        <v>3</v>
      </c>
      <c r="T303">
        <f>YEAR(Sales_Data_1[[#This Row],[Order_Date]])</f>
        <v>2024</v>
      </c>
      <c r="U303" t="str">
        <f>TEXT(Sales_Data_1[[#This Row],[Order_Date]], "mmm")</f>
        <v>Jun</v>
      </c>
      <c r="V303">
        <f>MONTH(Sales_Data_1[[#This Row],[Order_Date]])</f>
        <v>6</v>
      </c>
      <c r="W303" t="str">
        <f>TEXT(Sales_Data_1[[#This Row],[Order_Date]], "yyyy-mm")</f>
        <v>2024-06</v>
      </c>
      <c r="X303">
        <f>Sales_Data_1[[#This Row],[Sales]]-Sales_Data_1[[#This Row],[Profit_Amount]]</f>
        <v>4321.2</v>
      </c>
      <c r="Y303" t="str" cm="1">
        <f t="array" ref="Y303">_xlfn.IFS(Sales_Data_1[[#This Row],[Delivery_Days]]&lt;=3, "Fast", Sales_Data_1[[#This Row],[Delivery_Days]]&lt;= 7, "Standard", TRUE, "Delayed")</f>
        <v>Fast</v>
      </c>
      <c r="Z303" t="str" cm="1">
        <f t="array" ref="Z303">_xlfn.IFS(Sales_Data_1[[#This Row],[Profit_Amount]]&gt; 0, "Profitable", Sales_Data_1[[#This Row],[Profit_Amount]] = 0, "Break-Even", TRUE, "Loss")</f>
        <v>Profitable</v>
      </c>
      <c r="AA303" t="str" cm="1">
        <f t="array" ref="AA303">_xlfn.IFS(Sales_Data_1[[#This Row],[Sales]]&gt;= 1000, "High Value", Sales_Data_1[[#This Row],[Sales]]&gt;= 300, "Mid Value", TRUE, "Low Value")</f>
        <v>High Value</v>
      </c>
    </row>
    <row r="304" spans="1:27" x14ac:dyDescent="0.3">
      <c r="A304" t="s">
        <v>2633</v>
      </c>
      <c r="B304" s="1">
        <v>45519</v>
      </c>
      <c r="C304" t="s">
        <v>96</v>
      </c>
      <c r="D304" t="s">
        <v>56</v>
      </c>
      <c r="E304" t="s">
        <v>42</v>
      </c>
      <c r="F304" t="s">
        <v>97</v>
      </c>
      <c r="G304" t="s">
        <v>34</v>
      </c>
      <c r="H304" t="s">
        <v>104</v>
      </c>
      <c r="I304" t="s">
        <v>1247</v>
      </c>
      <c r="J304">
        <v>9</v>
      </c>
      <c r="K304">
        <v>745</v>
      </c>
      <c r="L304">
        <v>0.12</v>
      </c>
      <c r="M304">
        <v>655.6</v>
      </c>
      <c r="N304">
        <v>5900.4</v>
      </c>
      <c r="O304">
        <v>0.4</v>
      </c>
      <c r="P304">
        <v>2360.16</v>
      </c>
      <c r="Q304" t="s">
        <v>27</v>
      </c>
      <c r="R304" t="s">
        <v>38</v>
      </c>
      <c r="S304">
        <v>3</v>
      </c>
      <c r="T304">
        <f>YEAR(Sales_Data_1[[#This Row],[Order_Date]])</f>
        <v>2024</v>
      </c>
      <c r="U304" t="str">
        <f>TEXT(Sales_Data_1[[#This Row],[Order_Date]], "mmm")</f>
        <v>Aug</v>
      </c>
      <c r="V304">
        <f>MONTH(Sales_Data_1[[#This Row],[Order_Date]])</f>
        <v>8</v>
      </c>
      <c r="W304" t="str">
        <f>TEXT(Sales_Data_1[[#This Row],[Order_Date]], "yyyy-mm")</f>
        <v>2024-08</v>
      </c>
      <c r="X304">
        <f>Sales_Data_1[[#This Row],[Sales]]-Sales_Data_1[[#This Row],[Profit_Amount]]</f>
        <v>3540.24</v>
      </c>
      <c r="Y304" t="str" cm="1">
        <f t="array" ref="Y304">_xlfn.IFS(Sales_Data_1[[#This Row],[Delivery_Days]]&lt;=3, "Fast", Sales_Data_1[[#This Row],[Delivery_Days]]&lt;= 7, "Standard", TRUE, "Delayed")</f>
        <v>Fast</v>
      </c>
      <c r="Z304" t="str" cm="1">
        <f t="array" ref="Z304">_xlfn.IFS(Sales_Data_1[[#This Row],[Profit_Amount]]&gt; 0, "Profitable", Sales_Data_1[[#This Row],[Profit_Amount]] = 0, "Break-Even", TRUE, "Loss")</f>
        <v>Profitable</v>
      </c>
      <c r="AA304" t="str" cm="1">
        <f t="array" ref="AA304">_xlfn.IFS(Sales_Data_1[[#This Row],[Sales]]&gt;= 1000, "High Value", Sales_Data_1[[#This Row],[Sales]]&gt;= 300, "Mid Value", TRUE, "Low Value")</f>
        <v>High Value</v>
      </c>
    </row>
    <row r="305" spans="1:27" x14ac:dyDescent="0.3">
      <c r="A305" t="s">
        <v>2143</v>
      </c>
      <c r="B305" s="1">
        <v>45029</v>
      </c>
      <c r="C305" t="s">
        <v>96</v>
      </c>
      <c r="D305" t="s">
        <v>41</v>
      </c>
      <c r="E305" t="s">
        <v>67</v>
      </c>
      <c r="F305" t="s">
        <v>23</v>
      </c>
      <c r="G305" t="s">
        <v>24</v>
      </c>
      <c r="H305" t="s">
        <v>121</v>
      </c>
      <c r="I305" t="s">
        <v>276</v>
      </c>
      <c r="J305">
        <v>3</v>
      </c>
      <c r="K305">
        <v>4155</v>
      </c>
      <c r="L305">
        <v>0.24</v>
      </c>
      <c r="M305">
        <v>3157.8</v>
      </c>
      <c r="N305">
        <v>9473.4</v>
      </c>
      <c r="O305">
        <v>0.25</v>
      </c>
      <c r="P305">
        <v>2368.35</v>
      </c>
      <c r="Q305" t="s">
        <v>51</v>
      </c>
      <c r="R305" t="s">
        <v>48</v>
      </c>
      <c r="S305">
        <v>9</v>
      </c>
      <c r="T305">
        <f>YEAR(Sales_Data_1[[#This Row],[Order_Date]])</f>
        <v>2023</v>
      </c>
      <c r="U305" t="str">
        <f>TEXT(Sales_Data_1[[#This Row],[Order_Date]], "mmm")</f>
        <v>Apr</v>
      </c>
      <c r="V305">
        <f>MONTH(Sales_Data_1[[#This Row],[Order_Date]])</f>
        <v>4</v>
      </c>
      <c r="W305" t="str">
        <f>TEXT(Sales_Data_1[[#This Row],[Order_Date]], "yyyy-mm")</f>
        <v>2023-04</v>
      </c>
      <c r="X305">
        <f>Sales_Data_1[[#This Row],[Sales]]-Sales_Data_1[[#This Row],[Profit_Amount]]</f>
        <v>7105.0499999999993</v>
      </c>
      <c r="Y305" t="str" cm="1">
        <f t="array" ref="Y305">_xlfn.IFS(Sales_Data_1[[#This Row],[Delivery_Days]]&lt;=3, "Fast", Sales_Data_1[[#This Row],[Delivery_Days]]&lt;= 7, "Standard", TRUE, "Delayed")</f>
        <v>Delayed</v>
      </c>
      <c r="Z305" t="str" cm="1">
        <f t="array" ref="Z305">_xlfn.IFS(Sales_Data_1[[#This Row],[Profit_Amount]]&gt; 0, "Profitable", Sales_Data_1[[#This Row],[Profit_Amount]] = 0, "Break-Even", TRUE, "Loss")</f>
        <v>Profitable</v>
      </c>
      <c r="AA305" t="str" cm="1">
        <f t="array" ref="AA305">_xlfn.IFS(Sales_Data_1[[#This Row],[Sales]]&gt;= 1000, "High Value", Sales_Data_1[[#This Row],[Sales]]&gt;= 300, "Mid Value", TRUE, "Low Value")</f>
        <v>High Value</v>
      </c>
    </row>
    <row r="306" spans="1:27" x14ac:dyDescent="0.3">
      <c r="A306" t="s">
        <v>2642</v>
      </c>
      <c r="B306" s="1">
        <v>45528</v>
      </c>
      <c r="C306" t="s">
        <v>96</v>
      </c>
      <c r="D306" t="s">
        <v>21</v>
      </c>
      <c r="E306" t="s">
        <v>2042</v>
      </c>
      <c r="F306" t="s">
        <v>43</v>
      </c>
      <c r="G306" t="s">
        <v>24</v>
      </c>
      <c r="H306" t="s">
        <v>121</v>
      </c>
      <c r="I306" t="s">
        <v>1265</v>
      </c>
      <c r="J306">
        <v>3</v>
      </c>
      <c r="K306">
        <v>3672</v>
      </c>
      <c r="L306">
        <v>0.14000000000000001</v>
      </c>
      <c r="M306">
        <v>3157.92</v>
      </c>
      <c r="N306">
        <v>9473.76</v>
      </c>
      <c r="O306">
        <v>0.25</v>
      </c>
      <c r="P306">
        <v>2368.44</v>
      </c>
      <c r="Q306" t="s">
        <v>47</v>
      </c>
      <c r="R306" t="s">
        <v>38</v>
      </c>
      <c r="S306">
        <v>6</v>
      </c>
      <c r="T306">
        <f>YEAR(Sales_Data_1[[#This Row],[Order_Date]])</f>
        <v>2024</v>
      </c>
      <c r="U306" t="str">
        <f>TEXT(Sales_Data_1[[#This Row],[Order_Date]], "mmm")</f>
        <v>Aug</v>
      </c>
      <c r="V306">
        <f>MONTH(Sales_Data_1[[#This Row],[Order_Date]])</f>
        <v>8</v>
      </c>
      <c r="W306" t="str">
        <f>TEXT(Sales_Data_1[[#This Row],[Order_Date]], "yyyy-mm")</f>
        <v>2024-08</v>
      </c>
      <c r="X306">
        <f>Sales_Data_1[[#This Row],[Sales]]-Sales_Data_1[[#This Row],[Profit_Amount]]</f>
        <v>7105.32</v>
      </c>
      <c r="Y306" t="str" cm="1">
        <f t="array" ref="Y306">_xlfn.IFS(Sales_Data_1[[#This Row],[Delivery_Days]]&lt;=3, "Fast", Sales_Data_1[[#This Row],[Delivery_Days]]&lt;= 7, "Standard", TRUE, "Delayed")</f>
        <v>Standard</v>
      </c>
      <c r="Z306" t="str" cm="1">
        <f t="array" ref="Z306">_xlfn.IFS(Sales_Data_1[[#This Row],[Profit_Amount]]&gt; 0, "Profitable", Sales_Data_1[[#This Row],[Profit_Amount]] = 0, "Break-Even", TRUE, "Loss")</f>
        <v>Profitable</v>
      </c>
      <c r="AA306" t="str" cm="1">
        <f t="array" ref="AA306">_xlfn.IFS(Sales_Data_1[[#This Row],[Sales]]&gt;= 1000, "High Value", Sales_Data_1[[#This Row],[Sales]]&gt;= 300, "Mid Value", TRUE, "Low Value")</f>
        <v>High Value</v>
      </c>
    </row>
    <row r="307" spans="1:27" x14ac:dyDescent="0.3">
      <c r="A307" t="s">
        <v>2337</v>
      </c>
      <c r="B307" s="1">
        <v>45223</v>
      </c>
      <c r="C307" t="s">
        <v>20</v>
      </c>
      <c r="D307" t="s">
        <v>31</v>
      </c>
      <c r="E307" t="s">
        <v>67</v>
      </c>
      <c r="F307" t="s">
        <v>33</v>
      </c>
      <c r="G307" t="s">
        <v>34</v>
      </c>
      <c r="H307" t="s">
        <v>71</v>
      </c>
      <c r="I307" t="s">
        <v>663</v>
      </c>
      <c r="J307">
        <v>5</v>
      </c>
      <c r="K307">
        <v>1367</v>
      </c>
      <c r="L307">
        <v>0.13</v>
      </c>
      <c r="M307">
        <v>1189.29</v>
      </c>
      <c r="N307">
        <v>5946.45</v>
      </c>
      <c r="O307">
        <v>0.4</v>
      </c>
      <c r="P307">
        <v>2378.58</v>
      </c>
      <c r="Q307" t="s">
        <v>51</v>
      </c>
      <c r="R307" t="s">
        <v>48</v>
      </c>
      <c r="S307">
        <v>9</v>
      </c>
      <c r="T307">
        <f>YEAR(Sales_Data_1[[#This Row],[Order_Date]])</f>
        <v>2023</v>
      </c>
      <c r="U307" t="str">
        <f>TEXT(Sales_Data_1[[#This Row],[Order_Date]], "mmm")</f>
        <v>Oct</v>
      </c>
      <c r="V307">
        <f>MONTH(Sales_Data_1[[#This Row],[Order_Date]])</f>
        <v>10</v>
      </c>
      <c r="W307" t="str">
        <f>TEXT(Sales_Data_1[[#This Row],[Order_Date]], "yyyy-mm")</f>
        <v>2023-10</v>
      </c>
      <c r="X307">
        <f>Sales_Data_1[[#This Row],[Sales]]-Sales_Data_1[[#This Row],[Profit_Amount]]</f>
        <v>3567.87</v>
      </c>
      <c r="Y307" t="str" cm="1">
        <f t="array" ref="Y307">_xlfn.IFS(Sales_Data_1[[#This Row],[Delivery_Days]]&lt;=3, "Fast", Sales_Data_1[[#This Row],[Delivery_Days]]&lt;= 7, "Standard", TRUE, "Delayed")</f>
        <v>Delayed</v>
      </c>
      <c r="Z307" t="str" cm="1">
        <f t="array" ref="Z307">_xlfn.IFS(Sales_Data_1[[#This Row],[Profit_Amount]]&gt; 0, "Profitable", Sales_Data_1[[#This Row],[Profit_Amount]] = 0, "Break-Even", TRUE, "Loss")</f>
        <v>Profitable</v>
      </c>
      <c r="AA307" t="str" cm="1">
        <f t="array" ref="AA307">_xlfn.IFS(Sales_Data_1[[#This Row],[Sales]]&gt;= 1000, "High Value", Sales_Data_1[[#This Row],[Sales]]&gt;= 300, "Mid Value", TRUE, "Low Value")</f>
        <v>High Value</v>
      </c>
    </row>
    <row r="308" spans="1:27" x14ac:dyDescent="0.3">
      <c r="A308" t="s">
        <v>2146</v>
      </c>
      <c r="B308" s="1">
        <v>45032</v>
      </c>
      <c r="C308" t="s">
        <v>30</v>
      </c>
      <c r="D308" t="s">
        <v>21</v>
      </c>
      <c r="E308" t="s">
        <v>2040</v>
      </c>
      <c r="F308" t="s">
        <v>103</v>
      </c>
      <c r="G308" t="s">
        <v>34</v>
      </c>
      <c r="H308" t="s">
        <v>71</v>
      </c>
      <c r="I308" t="s">
        <v>282</v>
      </c>
      <c r="J308">
        <v>7</v>
      </c>
      <c r="K308">
        <v>1037</v>
      </c>
      <c r="L308">
        <v>0.18</v>
      </c>
      <c r="M308">
        <v>850.34</v>
      </c>
      <c r="N308">
        <v>5952.38</v>
      </c>
      <c r="O308">
        <v>0.4</v>
      </c>
      <c r="P308">
        <v>2380.9499999999998</v>
      </c>
      <c r="Q308" t="s">
        <v>51</v>
      </c>
      <c r="R308" t="s">
        <v>48</v>
      </c>
      <c r="S308">
        <v>9</v>
      </c>
      <c r="T308">
        <f>YEAR(Sales_Data_1[[#This Row],[Order_Date]])</f>
        <v>2023</v>
      </c>
      <c r="U308" t="str">
        <f>TEXT(Sales_Data_1[[#This Row],[Order_Date]], "mmm")</f>
        <v>Apr</v>
      </c>
      <c r="V308">
        <f>MONTH(Sales_Data_1[[#This Row],[Order_Date]])</f>
        <v>4</v>
      </c>
      <c r="W308" t="str">
        <f>TEXT(Sales_Data_1[[#This Row],[Order_Date]], "yyyy-mm")</f>
        <v>2023-04</v>
      </c>
      <c r="X308">
        <f>Sales_Data_1[[#This Row],[Sales]]-Sales_Data_1[[#This Row],[Profit_Amount]]</f>
        <v>3571.4300000000003</v>
      </c>
      <c r="Y308" t="str" cm="1">
        <f t="array" ref="Y308">_xlfn.IFS(Sales_Data_1[[#This Row],[Delivery_Days]]&lt;=3, "Fast", Sales_Data_1[[#This Row],[Delivery_Days]]&lt;= 7, "Standard", TRUE, "Delayed")</f>
        <v>Delayed</v>
      </c>
      <c r="Z308" t="str" cm="1">
        <f t="array" ref="Z308">_xlfn.IFS(Sales_Data_1[[#This Row],[Profit_Amount]]&gt; 0, "Profitable", Sales_Data_1[[#This Row],[Profit_Amount]] = 0, "Break-Even", TRUE, "Loss")</f>
        <v>Profitable</v>
      </c>
      <c r="AA308" t="str" cm="1">
        <f t="array" ref="AA308">_xlfn.IFS(Sales_Data_1[[#This Row],[Sales]]&gt;= 1000, "High Value", Sales_Data_1[[#This Row],[Sales]]&gt;= 300, "Mid Value", TRUE, "Low Value")</f>
        <v>High Value</v>
      </c>
    </row>
    <row r="309" spans="1:27" x14ac:dyDescent="0.3">
      <c r="A309" t="s">
        <v>2555</v>
      </c>
      <c r="B309" s="1">
        <v>45441</v>
      </c>
      <c r="C309" t="s">
        <v>96</v>
      </c>
      <c r="D309" t="s">
        <v>21</v>
      </c>
      <c r="E309" t="s">
        <v>2042</v>
      </c>
      <c r="F309" t="s">
        <v>43</v>
      </c>
      <c r="G309" t="s">
        <v>24</v>
      </c>
      <c r="H309" t="s">
        <v>186</v>
      </c>
      <c r="I309" t="s">
        <v>1093</v>
      </c>
      <c r="J309">
        <v>2</v>
      </c>
      <c r="K309">
        <v>5349</v>
      </c>
      <c r="L309">
        <v>0.1</v>
      </c>
      <c r="M309">
        <v>4814.1000000000004</v>
      </c>
      <c r="N309">
        <v>9628.2000000000007</v>
      </c>
      <c r="O309">
        <v>0.25</v>
      </c>
      <c r="P309">
        <v>2407.0500000000002</v>
      </c>
      <c r="Q309" t="s">
        <v>27</v>
      </c>
      <c r="R309" t="s">
        <v>38</v>
      </c>
      <c r="S309">
        <v>6</v>
      </c>
      <c r="T309">
        <f>YEAR(Sales_Data_1[[#This Row],[Order_Date]])</f>
        <v>2024</v>
      </c>
      <c r="U309" t="str">
        <f>TEXT(Sales_Data_1[[#This Row],[Order_Date]], "mmm")</f>
        <v>May</v>
      </c>
      <c r="V309">
        <f>MONTH(Sales_Data_1[[#This Row],[Order_Date]])</f>
        <v>5</v>
      </c>
      <c r="W309" t="str">
        <f>TEXT(Sales_Data_1[[#This Row],[Order_Date]], "yyyy-mm")</f>
        <v>2024-05</v>
      </c>
      <c r="X309">
        <f>Sales_Data_1[[#This Row],[Sales]]-Sales_Data_1[[#This Row],[Profit_Amount]]</f>
        <v>7221.1500000000005</v>
      </c>
      <c r="Y309" t="str" cm="1">
        <f t="array" ref="Y309">_xlfn.IFS(Sales_Data_1[[#This Row],[Delivery_Days]]&lt;=3, "Fast", Sales_Data_1[[#This Row],[Delivery_Days]]&lt;= 7, "Standard", TRUE, "Delayed")</f>
        <v>Standard</v>
      </c>
      <c r="Z309" t="str" cm="1">
        <f t="array" ref="Z309">_xlfn.IFS(Sales_Data_1[[#This Row],[Profit_Amount]]&gt; 0, "Profitable", Sales_Data_1[[#This Row],[Profit_Amount]] = 0, "Break-Even", TRUE, "Loss")</f>
        <v>Profitable</v>
      </c>
      <c r="AA309" t="str" cm="1">
        <f t="array" ref="AA309">_xlfn.IFS(Sales_Data_1[[#This Row],[Sales]]&gt;= 1000, "High Value", Sales_Data_1[[#This Row],[Sales]]&gt;= 300, "Mid Value", TRUE, "Low Value")</f>
        <v>High Value</v>
      </c>
    </row>
    <row r="310" spans="1:27" x14ac:dyDescent="0.3">
      <c r="A310" t="s">
        <v>2813</v>
      </c>
      <c r="B310" s="1">
        <v>45699</v>
      </c>
      <c r="C310" t="s">
        <v>63</v>
      </c>
      <c r="D310" t="s">
        <v>56</v>
      </c>
      <c r="E310" t="s">
        <v>2040</v>
      </c>
      <c r="F310" t="s">
        <v>103</v>
      </c>
      <c r="G310" t="s">
        <v>24</v>
      </c>
      <c r="H310" t="s">
        <v>25</v>
      </c>
      <c r="I310" t="s">
        <v>1598</v>
      </c>
      <c r="J310">
        <v>2</v>
      </c>
      <c r="K310">
        <v>5966</v>
      </c>
      <c r="L310">
        <v>0.19</v>
      </c>
      <c r="M310">
        <v>4832.46</v>
      </c>
      <c r="N310">
        <v>9664.92</v>
      </c>
      <c r="O310">
        <v>0.25</v>
      </c>
      <c r="P310">
        <v>2416.23</v>
      </c>
      <c r="Q310" t="s">
        <v>27</v>
      </c>
      <c r="R310" t="s">
        <v>38</v>
      </c>
      <c r="S310">
        <v>8</v>
      </c>
      <c r="T310">
        <f>YEAR(Sales_Data_1[[#This Row],[Order_Date]])</f>
        <v>2025</v>
      </c>
      <c r="U310" t="str">
        <f>TEXT(Sales_Data_1[[#This Row],[Order_Date]], "mmm")</f>
        <v>Feb</v>
      </c>
      <c r="V310">
        <f>MONTH(Sales_Data_1[[#This Row],[Order_Date]])</f>
        <v>2</v>
      </c>
      <c r="W310" t="str">
        <f>TEXT(Sales_Data_1[[#This Row],[Order_Date]], "yyyy-mm")</f>
        <v>2025-02</v>
      </c>
      <c r="X310">
        <f>Sales_Data_1[[#This Row],[Sales]]-Sales_Data_1[[#This Row],[Profit_Amount]]</f>
        <v>7248.6900000000005</v>
      </c>
      <c r="Y310" t="str" cm="1">
        <f t="array" ref="Y310">_xlfn.IFS(Sales_Data_1[[#This Row],[Delivery_Days]]&lt;=3, "Fast", Sales_Data_1[[#This Row],[Delivery_Days]]&lt;= 7, "Standard", TRUE, "Delayed")</f>
        <v>Delayed</v>
      </c>
      <c r="Z310" t="str" cm="1">
        <f t="array" ref="Z310">_xlfn.IFS(Sales_Data_1[[#This Row],[Profit_Amount]]&gt; 0, "Profitable", Sales_Data_1[[#This Row],[Profit_Amount]] = 0, "Break-Even", TRUE, "Loss")</f>
        <v>Profitable</v>
      </c>
      <c r="AA310" t="str" cm="1">
        <f t="array" ref="AA310">_xlfn.IFS(Sales_Data_1[[#This Row],[Sales]]&gt;= 1000, "High Value", Sales_Data_1[[#This Row],[Sales]]&gt;= 300, "Mid Value", TRUE, "Low Value")</f>
        <v>High Value</v>
      </c>
    </row>
    <row r="311" spans="1:27" x14ac:dyDescent="0.3">
      <c r="A311" t="s">
        <v>2182</v>
      </c>
      <c r="B311" s="1">
        <v>45068</v>
      </c>
      <c r="C311" t="s">
        <v>40</v>
      </c>
      <c r="D311" t="s">
        <v>56</v>
      </c>
      <c r="E311" t="s">
        <v>2042</v>
      </c>
      <c r="F311" t="s">
        <v>23</v>
      </c>
      <c r="G311" t="s">
        <v>34</v>
      </c>
      <c r="H311" t="s">
        <v>35</v>
      </c>
      <c r="I311" t="s">
        <v>354</v>
      </c>
      <c r="J311">
        <v>9</v>
      </c>
      <c r="K311">
        <v>819</v>
      </c>
      <c r="L311">
        <v>0.18</v>
      </c>
      <c r="M311">
        <v>671.58</v>
      </c>
      <c r="N311">
        <v>6044.22</v>
      </c>
      <c r="O311">
        <v>0.4</v>
      </c>
      <c r="P311">
        <v>2417.69</v>
      </c>
      <c r="Q311" t="s">
        <v>37</v>
      </c>
      <c r="R311" t="s">
        <v>38</v>
      </c>
      <c r="S311">
        <v>1</v>
      </c>
      <c r="T311">
        <f>YEAR(Sales_Data_1[[#This Row],[Order_Date]])</f>
        <v>2023</v>
      </c>
      <c r="U311" t="str">
        <f>TEXT(Sales_Data_1[[#This Row],[Order_Date]], "mmm")</f>
        <v>May</v>
      </c>
      <c r="V311">
        <f>MONTH(Sales_Data_1[[#This Row],[Order_Date]])</f>
        <v>5</v>
      </c>
      <c r="W311" t="str">
        <f>TEXT(Sales_Data_1[[#This Row],[Order_Date]], "yyyy-mm")</f>
        <v>2023-05</v>
      </c>
      <c r="X311">
        <f>Sales_Data_1[[#This Row],[Sales]]-Sales_Data_1[[#This Row],[Profit_Amount]]</f>
        <v>3626.53</v>
      </c>
      <c r="Y311" t="str" cm="1">
        <f t="array" ref="Y311">_xlfn.IFS(Sales_Data_1[[#This Row],[Delivery_Days]]&lt;=3, "Fast", Sales_Data_1[[#This Row],[Delivery_Days]]&lt;= 7, "Standard", TRUE, "Delayed")</f>
        <v>Fast</v>
      </c>
      <c r="Z311" t="str" cm="1">
        <f t="array" ref="Z311">_xlfn.IFS(Sales_Data_1[[#This Row],[Profit_Amount]]&gt; 0, "Profitable", Sales_Data_1[[#This Row],[Profit_Amount]] = 0, "Break-Even", TRUE, "Loss")</f>
        <v>Profitable</v>
      </c>
      <c r="AA311" t="str" cm="1">
        <f t="array" ref="AA311">_xlfn.IFS(Sales_Data_1[[#This Row],[Sales]]&gt;= 1000, "High Value", Sales_Data_1[[#This Row],[Sales]]&gt;= 300, "Mid Value", TRUE, "Low Value")</f>
        <v>High Value</v>
      </c>
    </row>
    <row r="312" spans="1:27" x14ac:dyDescent="0.3">
      <c r="A312" t="s">
        <v>2404</v>
      </c>
      <c r="B312" s="1">
        <v>45290</v>
      </c>
      <c r="C312" t="s">
        <v>96</v>
      </c>
      <c r="D312" t="s">
        <v>21</v>
      </c>
      <c r="E312" t="s">
        <v>42</v>
      </c>
      <c r="F312" t="s">
        <v>68</v>
      </c>
      <c r="G312" t="s">
        <v>34</v>
      </c>
      <c r="H312" t="s">
        <v>104</v>
      </c>
      <c r="I312" t="s">
        <v>794</v>
      </c>
      <c r="J312">
        <v>8</v>
      </c>
      <c r="K312">
        <v>789</v>
      </c>
      <c r="L312">
        <v>0.04</v>
      </c>
      <c r="M312">
        <v>757.44</v>
      </c>
      <c r="N312">
        <v>6059.52</v>
      </c>
      <c r="O312">
        <v>0.4</v>
      </c>
      <c r="P312">
        <v>2423.81</v>
      </c>
      <c r="Q312" t="s">
        <v>37</v>
      </c>
      <c r="R312" t="s">
        <v>28</v>
      </c>
      <c r="S312">
        <v>2</v>
      </c>
      <c r="T312">
        <f>YEAR(Sales_Data_1[[#This Row],[Order_Date]])</f>
        <v>2023</v>
      </c>
      <c r="U312" t="str">
        <f>TEXT(Sales_Data_1[[#This Row],[Order_Date]], "mmm")</f>
        <v>Dec</v>
      </c>
      <c r="V312">
        <f>MONTH(Sales_Data_1[[#This Row],[Order_Date]])</f>
        <v>12</v>
      </c>
      <c r="W312" t="str">
        <f>TEXT(Sales_Data_1[[#This Row],[Order_Date]], "yyyy-mm")</f>
        <v>2023-12</v>
      </c>
      <c r="X312">
        <f>Sales_Data_1[[#This Row],[Sales]]-Sales_Data_1[[#This Row],[Profit_Amount]]</f>
        <v>3635.7100000000005</v>
      </c>
      <c r="Y312" t="str" cm="1">
        <f t="array" ref="Y312">_xlfn.IFS(Sales_Data_1[[#This Row],[Delivery_Days]]&lt;=3, "Fast", Sales_Data_1[[#This Row],[Delivery_Days]]&lt;= 7, "Standard", TRUE, "Delayed")</f>
        <v>Fast</v>
      </c>
      <c r="Z312" t="str" cm="1">
        <f t="array" ref="Z312">_xlfn.IFS(Sales_Data_1[[#This Row],[Profit_Amount]]&gt; 0, "Profitable", Sales_Data_1[[#This Row],[Profit_Amount]] = 0, "Break-Even", TRUE, "Loss")</f>
        <v>Profitable</v>
      </c>
      <c r="AA312" t="str" cm="1">
        <f t="array" ref="AA312">_xlfn.IFS(Sales_Data_1[[#This Row],[Sales]]&gt;= 1000, "High Value", Sales_Data_1[[#This Row],[Sales]]&gt;= 300, "Mid Value", TRUE, "Low Value")</f>
        <v>High Value</v>
      </c>
    </row>
    <row r="313" spans="1:27" x14ac:dyDescent="0.3">
      <c r="A313" t="s">
        <v>2537</v>
      </c>
      <c r="B313" s="1">
        <v>45423</v>
      </c>
      <c r="C313" t="s">
        <v>20</v>
      </c>
      <c r="D313" t="s">
        <v>41</v>
      </c>
      <c r="E313" t="s">
        <v>67</v>
      </c>
      <c r="F313" t="s">
        <v>33</v>
      </c>
      <c r="G313" t="s">
        <v>44</v>
      </c>
      <c r="H313" t="s">
        <v>45</v>
      </c>
      <c r="I313" t="s">
        <v>1058</v>
      </c>
      <c r="J313">
        <v>3</v>
      </c>
      <c r="K313">
        <v>2460</v>
      </c>
      <c r="L313">
        <v>0.04</v>
      </c>
      <c r="M313">
        <v>2361.6</v>
      </c>
      <c r="N313">
        <v>7084.8</v>
      </c>
      <c r="O313">
        <v>0.35</v>
      </c>
      <c r="P313">
        <v>2479.6799999999998</v>
      </c>
      <c r="Q313" t="s">
        <v>37</v>
      </c>
      <c r="R313" t="s">
        <v>48</v>
      </c>
      <c r="S313">
        <v>7</v>
      </c>
      <c r="T313">
        <f>YEAR(Sales_Data_1[[#This Row],[Order_Date]])</f>
        <v>2024</v>
      </c>
      <c r="U313" t="str">
        <f>TEXT(Sales_Data_1[[#This Row],[Order_Date]], "mmm")</f>
        <v>May</v>
      </c>
      <c r="V313">
        <f>MONTH(Sales_Data_1[[#This Row],[Order_Date]])</f>
        <v>5</v>
      </c>
      <c r="W313" t="str">
        <f>TEXT(Sales_Data_1[[#This Row],[Order_Date]], "yyyy-mm")</f>
        <v>2024-05</v>
      </c>
      <c r="X313">
        <f>Sales_Data_1[[#This Row],[Sales]]-Sales_Data_1[[#This Row],[Profit_Amount]]</f>
        <v>4605.1200000000008</v>
      </c>
      <c r="Y313" t="str" cm="1">
        <f t="array" ref="Y313">_xlfn.IFS(Sales_Data_1[[#This Row],[Delivery_Days]]&lt;=3, "Fast", Sales_Data_1[[#This Row],[Delivery_Days]]&lt;= 7, "Standard", TRUE, "Delayed")</f>
        <v>Standard</v>
      </c>
      <c r="Z313" t="str" cm="1">
        <f t="array" ref="Z313">_xlfn.IFS(Sales_Data_1[[#This Row],[Profit_Amount]]&gt; 0, "Profitable", Sales_Data_1[[#This Row],[Profit_Amount]] = 0, "Break-Even", TRUE, "Loss")</f>
        <v>Profitable</v>
      </c>
      <c r="AA313" t="str" cm="1">
        <f t="array" ref="AA313">_xlfn.IFS(Sales_Data_1[[#This Row],[Sales]]&gt;= 1000, "High Value", Sales_Data_1[[#This Row],[Sales]]&gt;= 300, "Mid Value", TRUE, "Low Value")</f>
        <v>High Value</v>
      </c>
    </row>
    <row r="314" spans="1:27" x14ac:dyDescent="0.3">
      <c r="A314" t="s">
        <v>3013</v>
      </c>
      <c r="B314" s="1">
        <v>45899</v>
      </c>
      <c r="C314" t="s">
        <v>96</v>
      </c>
      <c r="D314" t="s">
        <v>41</v>
      </c>
      <c r="E314" t="s">
        <v>42</v>
      </c>
      <c r="F314" t="s">
        <v>68</v>
      </c>
      <c r="G314" t="s">
        <v>34</v>
      </c>
      <c r="H314" t="s">
        <v>141</v>
      </c>
      <c r="I314" t="s">
        <v>1985</v>
      </c>
      <c r="J314">
        <v>6</v>
      </c>
      <c r="K314">
        <v>1080</v>
      </c>
      <c r="L314">
        <v>0.04</v>
      </c>
      <c r="M314">
        <v>1036.8</v>
      </c>
      <c r="N314">
        <v>6220.8</v>
      </c>
      <c r="O314">
        <v>0.4</v>
      </c>
      <c r="P314">
        <v>2488.3200000000002</v>
      </c>
      <c r="Q314" t="s">
        <v>47</v>
      </c>
      <c r="R314" t="s">
        <v>38</v>
      </c>
      <c r="S314">
        <v>2</v>
      </c>
      <c r="T314">
        <f>YEAR(Sales_Data_1[[#This Row],[Order_Date]])</f>
        <v>2025</v>
      </c>
      <c r="U314" t="str">
        <f>TEXT(Sales_Data_1[[#This Row],[Order_Date]], "mmm")</f>
        <v>Aug</v>
      </c>
      <c r="V314">
        <f>MONTH(Sales_Data_1[[#This Row],[Order_Date]])</f>
        <v>8</v>
      </c>
      <c r="W314" t="str">
        <f>TEXT(Sales_Data_1[[#This Row],[Order_Date]], "yyyy-mm")</f>
        <v>2025-08</v>
      </c>
      <c r="X314">
        <f>Sales_Data_1[[#This Row],[Sales]]-Sales_Data_1[[#This Row],[Profit_Amount]]</f>
        <v>3732.48</v>
      </c>
      <c r="Y314" t="str" cm="1">
        <f t="array" ref="Y314">_xlfn.IFS(Sales_Data_1[[#This Row],[Delivery_Days]]&lt;=3, "Fast", Sales_Data_1[[#This Row],[Delivery_Days]]&lt;= 7, "Standard", TRUE, "Delayed")</f>
        <v>Fast</v>
      </c>
      <c r="Z314" t="str" cm="1">
        <f t="array" ref="Z314">_xlfn.IFS(Sales_Data_1[[#This Row],[Profit_Amount]]&gt; 0, "Profitable", Sales_Data_1[[#This Row],[Profit_Amount]] = 0, "Break-Even", TRUE, "Loss")</f>
        <v>Profitable</v>
      </c>
      <c r="AA314" t="str" cm="1">
        <f t="array" ref="AA314">_xlfn.IFS(Sales_Data_1[[#This Row],[Sales]]&gt;= 1000, "High Value", Sales_Data_1[[#This Row],[Sales]]&gt;= 300, "Mid Value", TRUE, "Low Value")</f>
        <v>High Value</v>
      </c>
    </row>
    <row r="315" spans="1:27" x14ac:dyDescent="0.3">
      <c r="A315" t="s">
        <v>2185</v>
      </c>
      <c r="B315" s="1">
        <v>45071</v>
      </c>
      <c r="C315" t="s">
        <v>30</v>
      </c>
      <c r="D315" t="s">
        <v>31</v>
      </c>
      <c r="E315" t="s">
        <v>42</v>
      </c>
      <c r="F315" t="s">
        <v>23</v>
      </c>
      <c r="G315" t="s">
        <v>24</v>
      </c>
      <c r="H315" t="s">
        <v>121</v>
      </c>
      <c r="I315" t="s">
        <v>360</v>
      </c>
      <c r="J315">
        <v>4</v>
      </c>
      <c r="K315">
        <v>2939</v>
      </c>
      <c r="L315">
        <v>0.15</v>
      </c>
      <c r="M315">
        <v>2498.15</v>
      </c>
      <c r="N315">
        <v>9992.6</v>
      </c>
      <c r="O315">
        <v>0.25</v>
      </c>
      <c r="P315">
        <v>2498.15</v>
      </c>
      <c r="Q315" t="s">
        <v>51</v>
      </c>
      <c r="R315" t="s">
        <v>48</v>
      </c>
      <c r="S315">
        <v>1</v>
      </c>
      <c r="T315">
        <f>YEAR(Sales_Data_1[[#This Row],[Order_Date]])</f>
        <v>2023</v>
      </c>
      <c r="U315" t="str">
        <f>TEXT(Sales_Data_1[[#This Row],[Order_Date]], "mmm")</f>
        <v>May</v>
      </c>
      <c r="V315">
        <f>MONTH(Sales_Data_1[[#This Row],[Order_Date]])</f>
        <v>5</v>
      </c>
      <c r="W315" t="str">
        <f>TEXT(Sales_Data_1[[#This Row],[Order_Date]], "yyyy-mm")</f>
        <v>2023-05</v>
      </c>
      <c r="X315">
        <f>Sales_Data_1[[#This Row],[Sales]]-Sales_Data_1[[#This Row],[Profit_Amount]]</f>
        <v>7494.4500000000007</v>
      </c>
      <c r="Y315" t="str" cm="1">
        <f t="array" ref="Y315">_xlfn.IFS(Sales_Data_1[[#This Row],[Delivery_Days]]&lt;=3, "Fast", Sales_Data_1[[#This Row],[Delivery_Days]]&lt;= 7, "Standard", TRUE, "Delayed")</f>
        <v>Fast</v>
      </c>
      <c r="Z315" t="str" cm="1">
        <f t="array" ref="Z315">_xlfn.IFS(Sales_Data_1[[#This Row],[Profit_Amount]]&gt; 0, "Profitable", Sales_Data_1[[#This Row],[Profit_Amount]] = 0, "Break-Even", TRUE, "Loss")</f>
        <v>Profitable</v>
      </c>
      <c r="AA315" t="str" cm="1">
        <f t="array" ref="AA315">_xlfn.IFS(Sales_Data_1[[#This Row],[Sales]]&gt;= 1000, "High Value", Sales_Data_1[[#This Row],[Sales]]&gt;= 300, "Mid Value", TRUE, "Low Value")</f>
        <v>High Value</v>
      </c>
    </row>
    <row r="316" spans="1:27" x14ac:dyDescent="0.3">
      <c r="A316" t="s">
        <v>2439</v>
      </c>
      <c r="B316" s="1">
        <v>45325</v>
      </c>
      <c r="C316" t="s">
        <v>20</v>
      </c>
      <c r="D316" t="s">
        <v>21</v>
      </c>
      <c r="E316" t="s">
        <v>2042</v>
      </c>
      <c r="F316" t="s">
        <v>68</v>
      </c>
      <c r="G316" t="s">
        <v>24</v>
      </c>
      <c r="H316" t="s">
        <v>25</v>
      </c>
      <c r="I316" t="s">
        <v>864</v>
      </c>
      <c r="J316">
        <v>1</v>
      </c>
      <c r="K316">
        <v>10777</v>
      </c>
      <c r="L316">
        <v>7.0000000000000007E-2</v>
      </c>
      <c r="M316">
        <v>10022.61</v>
      </c>
      <c r="N316">
        <v>10022.61</v>
      </c>
      <c r="O316">
        <v>0.25</v>
      </c>
      <c r="P316">
        <v>2505.65</v>
      </c>
      <c r="Q316" t="s">
        <v>47</v>
      </c>
      <c r="R316" t="s">
        <v>48</v>
      </c>
      <c r="S316">
        <v>8</v>
      </c>
      <c r="T316">
        <f>YEAR(Sales_Data_1[[#This Row],[Order_Date]])</f>
        <v>2024</v>
      </c>
      <c r="U316" t="str">
        <f>TEXT(Sales_Data_1[[#This Row],[Order_Date]], "mmm")</f>
        <v>Feb</v>
      </c>
      <c r="V316">
        <f>MONTH(Sales_Data_1[[#This Row],[Order_Date]])</f>
        <v>2</v>
      </c>
      <c r="W316" t="str">
        <f>TEXT(Sales_Data_1[[#This Row],[Order_Date]], "yyyy-mm")</f>
        <v>2024-02</v>
      </c>
      <c r="X316">
        <f>Sales_Data_1[[#This Row],[Sales]]-Sales_Data_1[[#This Row],[Profit_Amount]]</f>
        <v>7516.9600000000009</v>
      </c>
      <c r="Y316" t="str" cm="1">
        <f t="array" ref="Y316">_xlfn.IFS(Sales_Data_1[[#This Row],[Delivery_Days]]&lt;=3, "Fast", Sales_Data_1[[#This Row],[Delivery_Days]]&lt;= 7, "Standard", TRUE, "Delayed")</f>
        <v>Delayed</v>
      </c>
      <c r="Z316" t="str" cm="1">
        <f t="array" ref="Z316">_xlfn.IFS(Sales_Data_1[[#This Row],[Profit_Amount]]&gt; 0, "Profitable", Sales_Data_1[[#This Row],[Profit_Amount]] = 0, "Break-Even", TRUE, "Loss")</f>
        <v>Profitable</v>
      </c>
      <c r="AA316" t="str" cm="1">
        <f t="array" ref="AA316">_xlfn.IFS(Sales_Data_1[[#This Row],[Sales]]&gt;= 1000, "High Value", Sales_Data_1[[#This Row],[Sales]]&gt;= 300, "Mid Value", TRUE, "Low Value")</f>
        <v>High Value</v>
      </c>
    </row>
    <row r="317" spans="1:27" x14ac:dyDescent="0.3">
      <c r="A317" t="s">
        <v>2751</v>
      </c>
      <c r="B317" s="1">
        <v>45637</v>
      </c>
      <c r="C317" t="s">
        <v>55</v>
      </c>
      <c r="D317" t="s">
        <v>41</v>
      </c>
      <c r="E317" t="s">
        <v>67</v>
      </c>
      <c r="F317" t="s">
        <v>23</v>
      </c>
      <c r="G317" t="s">
        <v>34</v>
      </c>
      <c r="H317" t="s">
        <v>71</v>
      </c>
      <c r="I317" t="s">
        <v>1477</v>
      </c>
      <c r="J317">
        <v>7</v>
      </c>
      <c r="K317">
        <v>969</v>
      </c>
      <c r="L317">
        <v>7.0000000000000007E-2</v>
      </c>
      <c r="M317">
        <v>901.17</v>
      </c>
      <c r="N317">
        <v>6308.19</v>
      </c>
      <c r="O317">
        <v>0.4</v>
      </c>
      <c r="P317">
        <v>2523.2800000000002</v>
      </c>
      <c r="Q317" t="s">
        <v>51</v>
      </c>
      <c r="R317" t="s">
        <v>48</v>
      </c>
      <c r="S317">
        <v>1</v>
      </c>
      <c r="T317">
        <f>YEAR(Sales_Data_1[[#This Row],[Order_Date]])</f>
        <v>2024</v>
      </c>
      <c r="U317" t="str">
        <f>TEXT(Sales_Data_1[[#This Row],[Order_Date]], "mmm")</f>
        <v>Dec</v>
      </c>
      <c r="V317">
        <f>MONTH(Sales_Data_1[[#This Row],[Order_Date]])</f>
        <v>12</v>
      </c>
      <c r="W317" t="str">
        <f>TEXT(Sales_Data_1[[#This Row],[Order_Date]], "yyyy-mm")</f>
        <v>2024-12</v>
      </c>
      <c r="X317">
        <f>Sales_Data_1[[#This Row],[Sales]]-Sales_Data_1[[#This Row],[Profit_Amount]]</f>
        <v>3784.9099999999994</v>
      </c>
      <c r="Y317" t="str" cm="1">
        <f t="array" ref="Y317">_xlfn.IFS(Sales_Data_1[[#This Row],[Delivery_Days]]&lt;=3, "Fast", Sales_Data_1[[#This Row],[Delivery_Days]]&lt;= 7, "Standard", TRUE, "Delayed")</f>
        <v>Fast</v>
      </c>
      <c r="Z317" t="str" cm="1">
        <f t="array" ref="Z317">_xlfn.IFS(Sales_Data_1[[#This Row],[Profit_Amount]]&gt; 0, "Profitable", Sales_Data_1[[#This Row],[Profit_Amount]] = 0, "Break-Even", TRUE, "Loss")</f>
        <v>Profitable</v>
      </c>
      <c r="AA317" t="str" cm="1">
        <f t="array" ref="AA317">_xlfn.IFS(Sales_Data_1[[#This Row],[Sales]]&gt;= 1000, "High Value", Sales_Data_1[[#This Row],[Sales]]&gt;= 300, "Mid Value", TRUE, "Low Value")</f>
        <v>High Value</v>
      </c>
    </row>
    <row r="318" spans="1:27" x14ac:dyDescent="0.3">
      <c r="A318" t="s">
        <v>2299</v>
      </c>
      <c r="B318" s="1">
        <v>45185</v>
      </c>
      <c r="C318" t="s">
        <v>63</v>
      </c>
      <c r="D318" t="s">
        <v>31</v>
      </c>
      <c r="E318" t="s">
        <v>2042</v>
      </c>
      <c r="F318" t="s">
        <v>23</v>
      </c>
      <c r="G318" t="s">
        <v>57</v>
      </c>
      <c r="H318" t="s">
        <v>81</v>
      </c>
      <c r="I318" t="s">
        <v>588</v>
      </c>
      <c r="J318">
        <v>1</v>
      </c>
      <c r="K318">
        <v>12693</v>
      </c>
      <c r="L318">
        <v>0</v>
      </c>
      <c r="M318">
        <v>12693</v>
      </c>
      <c r="N318">
        <v>12693</v>
      </c>
      <c r="O318">
        <v>0.2</v>
      </c>
      <c r="P318">
        <v>2538.6</v>
      </c>
      <c r="Q318" t="s">
        <v>27</v>
      </c>
      <c r="R318" t="s">
        <v>48</v>
      </c>
      <c r="S318">
        <v>3</v>
      </c>
      <c r="T318">
        <f>YEAR(Sales_Data_1[[#This Row],[Order_Date]])</f>
        <v>2023</v>
      </c>
      <c r="U318" t="str">
        <f>TEXT(Sales_Data_1[[#This Row],[Order_Date]], "mmm")</f>
        <v>Sep</v>
      </c>
      <c r="V318">
        <f>MONTH(Sales_Data_1[[#This Row],[Order_Date]])</f>
        <v>9</v>
      </c>
      <c r="W318" t="str">
        <f>TEXT(Sales_Data_1[[#This Row],[Order_Date]], "yyyy-mm")</f>
        <v>2023-09</v>
      </c>
      <c r="X318">
        <f>Sales_Data_1[[#This Row],[Sales]]-Sales_Data_1[[#This Row],[Profit_Amount]]</f>
        <v>10154.4</v>
      </c>
      <c r="Y318" t="str" cm="1">
        <f t="array" ref="Y318">_xlfn.IFS(Sales_Data_1[[#This Row],[Delivery_Days]]&lt;=3, "Fast", Sales_Data_1[[#This Row],[Delivery_Days]]&lt;= 7, "Standard", TRUE, "Delayed")</f>
        <v>Fast</v>
      </c>
      <c r="Z318" t="str" cm="1">
        <f t="array" ref="Z318">_xlfn.IFS(Sales_Data_1[[#This Row],[Profit_Amount]]&gt; 0, "Profitable", Sales_Data_1[[#This Row],[Profit_Amount]] = 0, "Break-Even", TRUE, "Loss")</f>
        <v>Profitable</v>
      </c>
      <c r="AA318" t="str" cm="1">
        <f t="array" ref="AA318">_xlfn.IFS(Sales_Data_1[[#This Row],[Sales]]&gt;= 1000, "High Value", Sales_Data_1[[#This Row],[Sales]]&gt;= 300, "Mid Value", TRUE, "Low Value")</f>
        <v>High Value</v>
      </c>
    </row>
    <row r="319" spans="1:27" x14ac:dyDescent="0.3">
      <c r="A319" t="s">
        <v>2416</v>
      </c>
      <c r="B319" s="1">
        <v>45302</v>
      </c>
      <c r="C319" t="s">
        <v>40</v>
      </c>
      <c r="D319" t="s">
        <v>41</v>
      </c>
      <c r="E319" t="s">
        <v>67</v>
      </c>
      <c r="F319" t="s">
        <v>23</v>
      </c>
      <c r="G319" t="s">
        <v>44</v>
      </c>
      <c r="H319" t="s">
        <v>45</v>
      </c>
      <c r="I319" t="s">
        <v>818</v>
      </c>
      <c r="J319">
        <v>3</v>
      </c>
      <c r="K319">
        <v>3101</v>
      </c>
      <c r="L319">
        <v>0.22</v>
      </c>
      <c r="M319">
        <v>2418.7800000000002</v>
      </c>
      <c r="N319">
        <v>7256.34</v>
      </c>
      <c r="O319">
        <v>0.35</v>
      </c>
      <c r="P319">
        <v>2539.7199999999998</v>
      </c>
      <c r="Q319" t="s">
        <v>47</v>
      </c>
      <c r="R319" t="s">
        <v>48</v>
      </c>
      <c r="S319">
        <v>1</v>
      </c>
      <c r="T319">
        <f>YEAR(Sales_Data_1[[#This Row],[Order_Date]])</f>
        <v>2024</v>
      </c>
      <c r="U319" t="str">
        <f>TEXT(Sales_Data_1[[#This Row],[Order_Date]], "mmm")</f>
        <v>Jan</v>
      </c>
      <c r="V319">
        <f>MONTH(Sales_Data_1[[#This Row],[Order_Date]])</f>
        <v>1</v>
      </c>
      <c r="W319" t="str">
        <f>TEXT(Sales_Data_1[[#This Row],[Order_Date]], "yyyy-mm")</f>
        <v>2024-01</v>
      </c>
      <c r="X319">
        <f>Sales_Data_1[[#This Row],[Sales]]-Sales_Data_1[[#This Row],[Profit_Amount]]</f>
        <v>4716.6200000000008</v>
      </c>
      <c r="Y319" t="str" cm="1">
        <f t="array" ref="Y319">_xlfn.IFS(Sales_Data_1[[#This Row],[Delivery_Days]]&lt;=3, "Fast", Sales_Data_1[[#This Row],[Delivery_Days]]&lt;= 7, "Standard", TRUE, "Delayed")</f>
        <v>Fast</v>
      </c>
      <c r="Z319" t="str" cm="1">
        <f t="array" ref="Z319">_xlfn.IFS(Sales_Data_1[[#This Row],[Profit_Amount]]&gt; 0, "Profitable", Sales_Data_1[[#This Row],[Profit_Amount]] = 0, "Break-Even", TRUE, "Loss")</f>
        <v>Profitable</v>
      </c>
      <c r="AA319" t="str" cm="1">
        <f t="array" ref="AA319">_xlfn.IFS(Sales_Data_1[[#This Row],[Sales]]&gt;= 1000, "High Value", Sales_Data_1[[#This Row],[Sales]]&gt;= 300, "Mid Value", TRUE, "Low Value")</f>
        <v>High Value</v>
      </c>
    </row>
    <row r="320" spans="1:27" x14ac:dyDescent="0.3">
      <c r="A320" t="s">
        <v>2859</v>
      </c>
      <c r="B320" s="1">
        <v>45745</v>
      </c>
      <c r="C320" t="s">
        <v>63</v>
      </c>
      <c r="D320" t="s">
        <v>56</v>
      </c>
      <c r="E320" t="s">
        <v>2042</v>
      </c>
      <c r="F320" t="s">
        <v>68</v>
      </c>
      <c r="G320" t="s">
        <v>34</v>
      </c>
      <c r="H320" t="s">
        <v>71</v>
      </c>
      <c r="I320" t="s">
        <v>1689</v>
      </c>
      <c r="J320">
        <v>6</v>
      </c>
      <c r="K320">
        <v>1341</v>
      </c>
      <c r="L320">
        <v>0.21</v>
      </c>
      <c r="M320">
        <v>1059.3900000000001</v>
      </c>
      <c r="N320">
        <v>6356.34</v>
      </c>
      <c r="O320">
        <v>0.4</v>
      </c>
      <c r="P320">
        <v>2542.54</v>
      </c>
      <c r="Q320" t="s">
        <v>47</v>
      </c>
      <c r="R320" t="s">
        <v>48</v>
      </c>
      <c r="S320">
        <v>7</v>
      </c>
      <c r="T320">
        <f>YEAR(Sales_Data_1[[#This Row],[Order_Date]])</f>
        <v>2025</v>
      </c>
      <c r="U320" t="str">
        <f>TEXT(Sales_Data_1[[#This Row],[Order_Date]], "mmm")</f>
        <v>Mar</v>
      </c>
      <c r="V320">
        <f>MONTH(Sales_Data_1[[#This Row],[Order_Date]])</f>
        <v>3</v>
      </c>
      <c r="W320" t="str">
        <f>TEXT(Sales_Data_1[[#This Row],[Order_Date]], "yyyy-mm")</f>
        <v>2025-03</v>
      </c>
      <c r="X320">
        <f>Sales_Data_1[[#This Row],[Sales]]-Sales_Data_1[[#This Row],[Profit_Amount]]</f>
        <v>3813.8</v>
      </c>
      <c r="Y320" t="str" cm="1">
        <f t="array" ref="Y320">_xlfn.IFS(Sales_Data_1[[#This Row],[Delivery_Days]]&lt;=3, "Fast", Sales_Data_1[[#This Row],[Delivery_Days]]&lt;= 7, "Standard", TRUE, "Delayed")</f>
        <v>Standard</v>
      </c>
      <c r="Z320" t="str" cm="1">
        <f t="array" ref="Z320">_xlfn.IFS(Sales_Data_1[[#This Row],[Profit_Amount]]&gt; 0, "Profitable", Sales_Data_1[[#This Row],[Profit_Amount]] = 0, "Break-Even", TRUE, "Loss")</f>
        <v>Profitable</v>
      </c>
      <c r="AA320" t="str" cm="1">
        <f t="array" ref="AA320">_xlfn.IFS(Sales_Data_1[[#This Row],[Sales]]&gt;= 1000, "High Value", Sales_Data_1[[#This Row],[Sales]]&gt;= 300, "Mid Value", TRUE, "Low Value")</f>
        <v>High Value</v>
      </c>
    </row>
    <row r="321" spans="1:27" x14ac:dyDescent="0.3">
      <c r="A321" t="s">
        <v>2992</v>
      </c>
      <c r="B321" s="1">
        <v>45878</v>
      </c>
      <c r="C321" t="s">
        <v>55</v>
      </c>
      <c r="D321" t="s">
        <v>56</v>
      </c>
      <c r="E321" t="s">
        <v>2042</v>
      </c>
      <c r="F321" t="s">
        <v>68</v>
      </c>
      <c r="G321" t="s">
        <v>44</v>
      </c>
      <c r="H321" t="s">
        <v>45</v>
      </c>
      <c r="I321" t="s">
        <v>1945</v>
      </c>
      <c r="J321">
        <v>4</v>
      </c>
      <c r="K321">
        <v>2227</v>
      </c>
      <c r="L321">
        <v>0.18</v>
      </c>
      <c r="M321">
        <v>1826.14</v>
      </c>
      <c r="N321">
        <v>7304.56</v>
      </c>
      <c r="O321">
        <v>0.35</v>
      </c>
      <c r="P321">
        <v>2556.6</v>
      </c>
      <c r="Q321" t="s">
        <v>27</v>
      </c>
      <c r="R321" t="s">
        <v>48</v>
      </c>
      <c r="S321">
        <v>4</v>
      </c>
      <c r="T321">
        <f>YEAR(Sales_Data_1[[#This Row],[Order_Date]])</f>
        <v>2025</v>
      </c>
      <c r="U321" t="str">
        <f>TEXT(Sales_Data_1[[#This Row],[Order_Date]], "mmm")</f>
        <v>Aug</v>
      </c>
      <c r="V321">
        <f>MONTH(Sales_Data_1[[#This Row],[Order_Date]])</f>
        <v>8</v>
      </c>
      <c r="W321" t="str">
        <f>TEXT(Sales_Data_1[[#This Row],[Order_Date]], "yyyy-mm")</f>
        <v>2025-08</v>
      </c>
      <c r="X321">
        <f>Sales_Data_1[[#This Row],[Sales]]-Sales_Data_1[[#This Row],[Profit_Amount]]</f>
        <v>4747.9600000000009</v>
      </c>
      <c r="Y321" t="str" cm="1">
        <f t="array" ref="Y321">_xlfn.IFS(Sales_Data_1[[#This Row],[Delivery_Days]]&lt;=3, "Fast", Sales_Data_1[[#This Row],[Delivery_Days]]&lt;= 7, "Standard", TRUE, "Delayed")</f>
        <v>Standard</v>
      </c>
      <c r="Z321" t="str" cm="1">
        <f t="array" ref="Z321">_xlfn.IFS(Sales_Data_1[[#This Row],[Profit_Amount]]&gt; 0, "Profitable", Sales_Data_1[[#This Row],[Profit_Amount]] = 0, "Break-Even", TRUE, "Loss")</f>
        <v>Profitable</v>
      </c>
      <c r="AA321" t="str" cm="1">
        <f t="array" ref="AA321">_xlfn.IFS(Sales_Data_1[[#This Row],[Sales]]&gt;= 1000, "High Value", Sales_Data_1[[#This Row],[Sales]]&gt;= 300, "Mid Value", TRUE, "Low Value")</f>
        <v>High Value</v>
      </c>
    </row>
    <row r="322" spans="1:27" x14ac:dyDescent="0.3">
      <c r="A322" t="s">
        <v>2408</v>
      </c>
      <c r="B322" s="1">
        <v>45294</v>
      </c>
      <c r="C322" t="s">
        <v>20</v>
      </c>
      <c r="D322" t="s">
        <v>31</v>
      </c>
      <c r="E322" t="s">
        <v>42</v>
      </c>
      <c r="F322" t="s">
        <v>97</v>
      </c>
      <c r="G322" t="s">
        <v>44</v>
      </c>
      <c r="H322" t="s">
        <v>138</v>
      </c>
      <c r="I322" t="s">
        <v>802</v>
      </c>
      <c r="J322">
        <v>6</v>
      </c>
      <c r="K322">
        <v>1269</v>
      </c>
      <c r="L322">
        <v>0.04</v>
      </c>
      <c r="M322">
        <v>1218.24</v>
      </c>
      <c r="N322">
        <v>7309.44</v>
      </c>
      <c r="O322">
        <v>0.35</v>
      </c>
      <c r="P322">
        <v>2558.3000000000002</v>
      </c>
      <c r="Q322" t="s">
        <v>51</v>
      </c>
      <c r="R322" t="s">
        <v>48</v>
      </c>
      <c r="S322">
        <v>2</v>
      </c>
      <c r="T322">
        <f>YEAR(Sales_Data_1[[#This Row],[Order_Date]])</f>
        <v>2024</v>
      </c>
      <c r="U322" t="str">
        <f>TEXT(Sales_Data_1[[#This Row],[Order_Date]], "mmm")</f>
        <v>Jan</v>
      </c>
      <c r="V322">
        <f>MONTH(Sales_Data_1[[#This Row],[Order_Date]])</f>
        <v>1</v>
      </c>
      <c r="W322" t="str">
        <f>TEXT(Sales_Data_1[[#This Row],[Order_Date]], "yyyy-mm")</f>
        <v>2024-01</v>
      </c>
      <c r="X322">
        <f>Sales_Data_1[[#This Row],[Sales]]-Sales_Data_1[[#This Row],[Profit_Amount]]</f>
        <v>4751.1399999999994</v>
      </c>
      <c r="Y322" t="str" cm="1">
        <f t="array" ref="Y322">_xlfn.IFS(Sales_Data_1[[#This Row],[Delivery_Days]]&lt;=3, "Fast", Sales_Data_1[[#This Row],[Delivery_Days]]&lt;= 7, "Standard", TRUE, "Delayed")</f>
        <v>Fast</v>
      </c>
      <c r="Z322" t="str" cm="1">
        <f t="array" ref="Z322">_xlfn.IFS(Sales_Data_1[[#This Row],[Profit_Amount]]&gt; 0, "Profitable", Sales_Data_1[[#This Row],[Profit_Amount]] = 0, "Break-Even", TRUE, "Loss")</f>
        <v>Profitable</v>
      </c>
      <c r="AA322" t="str" cm="1">
        <f t="array" ref="AA322">_xlfn.IFS(Sales_Data_1[[#This Row],[Sales]]&gt;= 1000, "High Value", Sales_Data_1[[#This Row],[Sales]]&gt;= 300, "Mid Value", TRUE, "Low Value")</f>
        <v>High Value</v>
      </c>
    </row>
    <row r="323" spans="1:27" x14ac:dyDescent="0.3">
      <c r="A323" t="s">
        <v>2956</v>
      </c>
      <c r="B323" s="1">
        <v>45842</v>
      </c>
      <c r="C323" t="s">
        <v>55</v>
      </c>
      <c r="D323" t="s">
        <v>56</v>
      </c>
      <c r="E323" t="s">
        <v>2042</v>
      </c>
      <c r="F323" t="s">
        <v>97</v>
      </c>
      <c r="G323" t="s">
        <v>34</v>
      </c>
      <c r="H323" t="s">
        <v>141</v>
      </c>
      <c r="I323" t="s">
        <v>608</v>
      </c>
      <c r="J323">
        <v>7</v>
      </c>
      <c r="K323">
        <v>1052</v>
      </c>
      <c r="L323">
        <v>0.13</v>
      </c>
      <c r="M323">
        <v>915.24</v>
      </c>
      <c r="N323">
        <v>6406.68</v>
      </c>
      <c r="O323">
        <v>0.4</v>
      </c>
      <c r="P323">
        <v>2562.67</v>
      </c>
      <c r="Q323" t="s">
        <v>37</v>
      </c>
      <c r="R323" t="s">
        <v>48</v>
      </c>
      <c r="S323">
        <v>4</v>
      </c>
      <c r="T323">
        <f>YEAR(Sales_Data_1[[#This Row],[Order_Date]])</f>
        <v>2025</v>
      </c>
      <c r="U323" t="str">
        <f>TEXT(Sales_Data_1[[#This Row],[Order_Date]], "mmm")</f>
        <v>Jul</v>
      </c>
      <c r="V323">
        <f>MONTH(Sales_Data_1[[#This Row],[Order_Date]])</f>
        <v>7</v>
      </c>
      <c r="W323" t="str">
        <f>TEXT(Sales_Data_1[[#This Row],[Order_Date]], "yyyy-mm")</f>
        <v>2025-07</v>
      </c>
      <c r="X323">
        <f>Sales_Data_1[[#This Row],[Sales]]-Sales_Data_1[[#This Row],[Profit_Amount]]</f>
        <v>3844.01</v>
      </c>
      <c r="Y323" t="str" cm="1">
        <f t="array" ref="Y323">_xlfn.IFS(Sales_Data_1[[#This Row],[Delivery_Days]]&lt;=3, "Fast", Sales_Data_1[[#This Row],[Delivery_Days]]&lt;= 7, "Standard", TRUE, "Delayed")</f>
        <v>Standard</v>
      </c>
      <c r="Z323" t="str" cm="1">
        <f t="array" ref="Z323">_xlfn.IFS(Sales_Data_1[[#This Row],[Profit_Amount]]&gt; 0, "Profitable", Sales_Data_1[[#This Row],[Profit_Amount]] = 0, "Break-Even", TRUE, "Loss")</f>
        <v>Profitable</v>
      </c>
      <c r="AA323" t="str" cm="1">
        <f t="array" ref="AA323">_xlfn.IFS(Sales_Data_1[[#This Row],[Sales]]&gt;= 1000, "High Value", Sales_Data_1[[#This Row],[Sales]]&gt;= 300, "Mid Value", TRUE, "Low Value")</f>
        <v>High Value</v>
      </c>
    </row>
    <row r="324" spans="1:27" x14ac:dyDescent="0.3">
      <c r="A324" t="s">
        <v>2154</v>
      </c>
      <c r="B324" s="1">
        <v>45040</v>
      </c>
      <c r="C324" t="s">
        <v>55</v>
      </c>
      <c r="D324" t="s">
        <v>31</v>
      </c>
      <c r="E324" t="s">
        <v>2042</v>
      </c>
      <c r="F324" t="s">
        <v>68</v>
      </c>
      <c r="G324" t="s">
        <v>44</v>
      </c>
      <c r="H324" t="s">
        <v>45</v>
      </c>
      <c r="I324" t="s">
        <v>298</v>
      </c>
      <c r="J324">
        <v>3</v>
      </c>
      <c r="K324">
        <v>2546</v>
      </c>
      <c r="L324">
        <v>0.04</v>
      </c>
      <c r="M324">
        <v>2444.16</v>
      </c>
      <c r="N324">
        <v>7332.48</v>
      </c>
      <c r="O324">
        <v>0.35</v>
      </c>
      <c r="P324">
        <v>2566.37</v>
      </c>
      <c r="Q324" t="s">
        <v>37</v>
      </c>
      <c r="R324" t="s">
        <v>48</v>
      </c>
      <c r="S324">
        <v>6</v>
      </c>
      <c r="T324">
        <f>YEAR(Sales_Data_1[[#This Row],[Order_Date]])</f>
        <v>2023</v>
      </c>
      <c r="U324" t="str">
        <f>TEXT(Sales_Data_1[[#This Row],[Order_Date]], "mmm")</f>
        <v>Apr</v>
      </c>
      <c r="V324">
        <f>MONTH(Sales_Data_1[[#This Row],[Order_Date]])</f>
        <v>4</v>
      </c>
      <c r="W324" t="str">
        <f>TEXT(Sales_Data_1[[#This Row],[Order_Date]], "yyyy-mm")</f>
        <v>2023-04</v>
      </c>
      <c r="X324">
        <f>Sales_Data_1[[#This Row],[Sales]]-Sales_Data_1[[#This Row],[Profit_Amount]]</f>
        <v>4766.1099999999997</v>
      </c>
      <c r="Y324" t="str" cm="1">
        <f t="array" ref="Y324">_xlfn.IFS(Sales_Data_1[[#This Row],[Delivery_Days]]&lt;=3, "Fast", Sales_Data_1[[#This Row],[Delivery_Days]]&lt;= 7, "Standard", TRUE, "Delayed")</f>
        <v>Standard</v>
      </c>
      <c r="Z324" t="str" cm="1">
        <f t="array" ref="Z324">_xlfn.IFS(Sales_Data_1[[#This Row],[Profit_Amount]]&gt; 0, "Profitable", Sales_Data_1[[#This Row],[Profit_Amount]] = 0, "Break-Even", TRUE, "Loss")</f>
        <v>Profitable</v>
      </c>
      <c r="AA324" t="str" cm="1">
        <f t="array" ref="AA324">_xlfn.IFS(Sales_Data_1[[#This Row],[Sales]]&gt;= 1000, "High Value", Sales_Data_1[[#This Row],[Sales]]&gt;= 300, "Mid Value", TRUE, "Low Value")</f>
        <v>High Value</v>
      </c>
    </row>
    <row r="325" spans="1:27" x14ac:dyDescent="0.3">
      <c r="A325" t="s">
        <v>2847</v>
      </c>
      <c r="B325" s="1">
        <v>45733</v>
      </c>
      <c r="C325" t="s">
        <v>20</v>
      </c>
      <c r="D325" t="s">
        <v>56</v>
      </c>
      <c r="E325" t="s">
        <v>67</v>
      </c>
      <c r="F325" t="s">
        <v>33</v>
      </c>
      <c r="G325" t="s">
        <v>44</v>
      </c>
      <c r="H325" t="s">
        <v>138</v>
      </c>
      <c r="I325" t="s">
        <v>1665</v>
      </c>
      <c r="J325">
        <v>2</v>
      </c>
      <c r="K325">
        <v>4778</v>
      </c>
      <c r="L325">
        <v>0.23</v>
      </c>
      <c r="M325">
        <v>3679.06</v>
      </c>
      <c r="N325">
        <v>7358.12</v>
      </c>
      <c r="O325">
        <v>0.35</v>
      </c>
      <c r="P325">
        <v>2575.34</v>
      </c>
      <c r="Q325" t="s">
        <v>51</v>
      </c>
      <c r="R325" t="s">
        <v>48</v>
      </c>
      <c r="S325">
        <v>5</v>
      </c>
      <c r="T325">
        <f>YEAR(Sales_Data_1[[#This Row],[Order_Date]])</f>
        <v>2025</v>
      </c>
      <c r="U325" t="str">
        <f>TEXT(Sales_Data_1[[#This Row],[Order_Date]], "mmm")</f>
        <v>Mar</v>
      </c>
      <c r="V325">
        <f>MONTH(Sales_Data_1[[#This Row],[Order_Date]])</f>
        <v>3</v>
      </c>
      <c r="W325" t="str">
        <f>TEXT(Sales_Data_1[[#This Row],[Order_Date]], "yyyy-mm")</f>
        <v>2025-03</v>
      </c>
      <c r="X325">
        <f>Sales_Data_1[[#This Row],[Sales]]-Sales_Data_1[[#This Row],[Profit_Amount]]</f>
        <v>4782.78</v>
      </c>
      <c r="Y325" t="str" cm="1">
        <f t="array" ref="Y325">_xlfn.IFS(Sales_Data_1[[#This Row],[Delivery_Days]]&lt;=3, "Fast", Sales_Data_1[[#This Row],[Delivery_Days]]&lt;= 7, "Standard", TRUE, "Delayed")</f>
        <v>Standard</v>
      </c>
      <c r="Z325" t="str" cm="1">
        <f t="array" ref="Z325">_xlfn.IFS(Sales_Data_1[[#This Row],[Profit_Amount]]&gt; 0, "Profitable", Sales_Data_1[[#This Row],[Profit_Amount]] = 0, "Break-Even", TRUE, "Loss")</f>
        <v>Profitable</v>
      </c>
      <c r="AA325" t="str" cm="1">
        <f t="array" ref="AA325">_xlfn.IFS(Sales_Data_1[[#This Row],[Sales]]&gt;= 1000, "High Value", Sales_Data_1[[#This Row],[Sales]]&gt;= 300, "Mid Value", TRUE, "Low Value")</f>
        <v>High Value</v>
      </c>
    </row>
    <row r="326" spans="1:27" x14ac:dyDescent="0.3">
      <c r="A326" t="s">
        <v>2047</v>
      </c>
      <c r="B326" s="1">
        <v>44933</v>
      </c>
      <c r="C326" t="s">
        <v>20</v>
      </c>
      <c r="D326" t="s">
        <v>21</v>
      </c>
      <c r="E326" t="s">
        <v>42</v>
      </c>
      <c r="F326" t="s">
        <v>23</v>
      </c>
      <c r="G326" t="s">
        <v>44</v>
      </c>
      <c r="H326" t="s">
        <v>45</v>
      </c>
      <c r="I326" t="s">
        <v>61</v>
      </c>
      <c r="J326">
        <v>3</v>
      </c>
      <c r="K326">
        <v>2556</v>
      </c>
      <c r="L326">
        <v>0.04</v>
      </c>
      <c r="M326">
        <v>2453.7600000000002</v>
      </c>
      <c r="N326">
        <v>7361.28</v>
      </c>
      <c r="O326">
        <v>0.35</v>
      </c>
      <c r="P326">
        <v>2576.4499999999998</v>
      </c>
      <c r="Q326" t="s">
        <v>37</v>
      </c>
      <c r="R326" t="s">
        <v>48</v>
      </c>
      <c r="S326">
        <v>9</v>
      </c>
      <c r="T326">
        <f>YEAR(Sales_Data_1[[#This Row],[Order_Date]])</f>
        <v>2023</v>
      </c>
      <c r="U326" t="str">
        <f>TEXT(Sales_Data_1[[#This Row],[Order_Date]], "mmm")</f>
        <v>Jan</v>
      </c>
      <c r="V326">
        <f>MONTH(Sales_Data_1[[#This Row],[Order_Date]])</f>
        <v>1</v>
      </c>
      <c r="W326" t="str">
        <f>TEXT(Sales_Data_1[[#This Row],[Order_Date]], "yyyy-mm")</f>
        <v>2023-01</v>
      </c>
      <c r="X326">
        <f>Sales_Data_1[[#This Row],[Sales]]-Sales_Data_1[[#This Row],[Profit_Amount]]</f>
        <v>4784.83</v>
      </c>
      <c r="Y326" t="str" cm="1">
        <f t="array" ref="Y326">_xlfn.IFS(Sales_Data_1[[#This Row],[Delivery_Days]]&lt;=3, "Fast", Sales_Data_1[[#This Row],[Delivery_Days]]&lt;= 7, "Standard", TRUE, "Delayed")</f>
        <v>Delayed</v>
      </c>
      <c r="Z326" t="str" cm="1">
        <f t="array" ref="Z326">_xlfn.IFS(Sales_Data_1[[#This Row],[Profit_Amount]]&gt; 0, "Profitable", Sales_Data_1[[#This Row],[Profit_Amount]] = 0, "Break-Even", TRUE, "Loss")</f>
        <v>Profitable</v>
      </c>
      <c r="AA326" t="str" cm="1">
        <f t="array" ref="AA326">_xlfn.IFS(Sales_Data_1[[#This Row],[Sales]]&gt;= 1000, "High Value", Sales_Data_1[[#This Row],[Sales]]&gt;= 300, "Mid Value", TRUE, "Low Value")</f>
        <v>High Value</v>
      </c>
    </row>
    <row r="327" spans="1:27" x14ac:dyDescent="0.3">
      <c r="A327" t="s">
        <v>2535</v>
      </c>
      <c r="B327" s="1">
        <v>45421</v>
      </c>
      <c r="C327" t="s">
        <v>20</v>
      </c>
      <c r="D327" t="s">
        <v>41</v>
      </c>
      <c r="E327" t="s">
        <v>42</v>
      </c>
      <c r="F327" t="s">
        <v>97</v>
      </c>
      <c r="G327" t="s">
        <v>34</v>
      </c>
      <c r="H327" t="s">
        <v>141</v>
      </c>
      <c r="I327" t="s">
        <v>1054</v>
      </c>
      <c r="J327">
        <v>7</v>
      </c>
      <c r="K327">
        <v>1098</v>
      </c>
      <c r="L327">
        <v>0.16</v>
      </c>
      <c r="M327">
        <v>922.32</v>
      </c>
      <c r="N327">
        <v>6456.24</v>
      </c>
      <c r="O327">
        <v>0.4</v>
      </c>
      <c r="P327">
        <v>2582.5</v>
      </c>
      <c r="Q327" t="s">
        <v>47</v>
      </c>
      <c r="R327" t="s">
        <v>48</v>
      </c>
      <c r="S327">
        <v>8</v>
      </c>
      <c r="T327">
        <f>YEAR(Sales_Data_1[[#This Row],[Order_Date]])</f>
        <v>2024</v>
      </c>
      <c r="U327" t="str">
        <f>TEXT(Sales_Data_1[[#This Row],[Order_Date]], "mmm")</f>
        <v>May</v>
      </c>
      <c r="V327">
        <f>MONTH(Sales_Data_1[[#This Row],[Order_Date]])</f>
        <v>5</v>
      </c>
      <c r="W327" t="str">
        <f>TEXT(Sales_Data_1[[#This Row],[Order_Date]], "yyyy-mm")</f>
        <v>2024-05</v>
      </c>
      <c r="X327">
        <f>Sales_Data_1[[#This Row],[Sales]]-Sales_Data_1[[#This Row],[Profit_Amount]]</f>
        <v>3873.74</v>
      </c>
      <c r="Y327" t="str" cm="1">
        <f t="array" ref="Y327">_xlfn.IFS(Sales_Data_1[[#This Row],[Delivery_Days]]&lt;=3, "Fast", Sales_Data_1[[#This Row],[Delivery_Days]]&lt;= 7, "Standard", TRUE, "Delayed")</f>
        <v>Delayed</v>
      </c>
      <c r="Z327" t="str" cm="1">
        <f t="array" ref="Z327">_xlfn.IFS(Sales_Data_1[[#This Row],[Profit_Amount]]&gt; 0, "Profitable", Sales_Data_1[[#This Row],[Profit_Amount]] = 0, "Break-Even", TRUE, "Loss")</f>
        <v>Profitable</v>
      </c>
      <c r="AA327" t="str" cm="1">
        <f t="array" ref="AA327">_xlfn.IFS(Sales_Data_1[[#This Row],[Sales]]&gt;= 1000, "High Value", Sales_Data_1[[#This Row],[Sales]]&gt;= 300, "Mid Value", TRUE, "Low Value")</f>
        <v>High Value</v>
      </c>
    </row>
    <row r="328" spans="1:27" x14ac:dyDescent="0.3">
      <c r="A328" t="s">
        <v>2279</v>
      </c>
      <c r="B328" s="1">
        <v>45165</v>
      </c>
      <c r="C328" t="s">
        <v>96</v>
      </c>
      <c r="D328" t="s">
        <v>56</v>
      </c>
      <c r="E328" t="s">
        <v>42</v>
      </c>
      <c r="F328" t="s">
        <v>103</v>
      </c>
      <c r="G328" t="s">
        <v>34</v>
      </c>
      <c r="H328" t="s">
        <v>141</v>
      </c>
      <c r="I328" t="s">
        <v>548</v>
      </c>
      <c r="J328">
        <v>9</v>
      </c>
      <c r="K328">
        <v>910</v>
      </c>
      <c r="L328">
        <v>0.21</v>
      </c>
      <c r="M328">
        <v>718.9</v>
      </c>
      <c r="N328">
        <v>6470.1</v>
      </c>
      <c r="O328">
        <v>0.4</v>
      </c>
      <c r="P328">
        <v>2588.04</v>
      </c>
      <c r="Q328" t="s">
        <v>27</v>
      </c>
      <c r="R328" t="s">
        <v>48</v>
      </c>
      <c r="S328">
        <v>6</v>
      </c>
      <c r="T328">
        <f>YEAR(Sales_Data_1[[#This Row],[Order_Date]])</f>
        <v>2023</v>
      </c>
      <c r="U328" t="str">
        <f>TEXT(Sales_Data_1[[#This Row],[Order_Date]], "mmm")</f>
        <v>Aug</v>
      </c>
      <c r="V328">
        <f>MONTH(Sales_Data_1[[#This Row],[Order_Date]])</f>
        <v>8</v>
      </c>
      <c r="W328" t="str">
        <f>TEXT(Sales_Data_1[[#This Row],[Order_Date]], "yyyy-mm")</f>
        <v>2023-08</v>
      </c>
      <c r="X328">
        <f>Sales_Data_1[[#This Row],[Sales]]-Sales_Data_1[[#This Row],[Profit_Amount]]</f>
        <v>3882.0600000000004</v>
      </c>
      <c r="Y328" t="str" cm="1">
        <f t="array" ref="Y328">_xlfn.IFS(Sales_Data_1[[#This Row],[Delivery_Days]]&lt;=3, "Fast", Sales_Data_1[[#This Row],[Delivery_Days]]&lt;= 7, "Standard", TRUE, "Delayed")</f>
        <v>Standard</v>
      </c>
      <c r="Z328" t="str" cm="1">
        <f t="array" ref="Z328">_xlfn.IFS(Sales_Data_1[[#This Row],[Profit_Amount]]&gt; 0, "Profitable", Sales_Data_1[[#This Row],[Profit_Amount]] = 0, "Break-Even", TRUE, "Loss")</f>
        <v>Profitable</v>
      </c>
      <c r="AA328" t="str" cm="1">
        <f t="array" ref="AA328">_xlfn.IFS(Sales_Data_1[[#This Row],[Sales]]&gt;= 1000, "High Value", Sales_Data_1[[#This Row],[Sales]]&gt;= 300, "Mid Value", TRUE, "Low Value")</f>
        <v>High Value</v>
      </c>
    </row>
    <row r="329" spans="1:27" x14ac:dyDescent="0.3">
      <c r="A329" t="s">
        <v>2414</v>
      </c>
      <c r="B329" s="1">
        <v>45300</v>
      </c>
      <c r="C329" t="s">
        <v>30</v>
      </c>
      <c r="D329" t="s">
        <v>41</v>
      </c>
      <c r="E329" t="s">
        <v>67</v>
      </c>
      <c r="F329" t="s">
        <v>43</v>
      </c>
      <c r="G329" t="s">
        <v>44</v>
      </c>
      <c r="H329" t="s">
        <v>64</v>
      </c>
      <c r="I329" t="s">
        <v>814</v>
      </c>
      <c r="J329">
        <v>5</v>
      </c>
      <c r="K329">
        <v>1741</v>
      </c>
      <c r="L329">
        <v>0.15</v>
      </c>
      <c r="M329">
        <v>1479.85</v>
      </c>
      <c r="N329">
        <v>7399.25</v>
      </c>
      <c r="O329">
        <v>0.35</v>
      </c>
      <c r="P329">
        <v>2589.7399999999998</v>
      </c>
      <c r="Q329" t="s">
        <v>51</v>
      </c>
      <c r="R329" t="s">
        <v>48</v>
      </c>
      <c r="S329">
        <v>4</v>
      </c>
      <c r="T329">
        <f>YEAR(Sales_Data_1[[#This Row],[Order_Date]])</f>
        <v>2024</v>
      </c>
      <c r="U329" t="str">
        <f>TEXT(Sales_Data_1[[#This Row],[Order_Date]], "mmm")</f>
        <v>Jan</v>
      </c>
      <c r="V329">
        <f>MONTH(Sales_Data_1[[#This Row],[Order_Date]])</f>
        <v>1</v>
      </c>
      <c r="W329" t="str">
        <f>TEXT(Sales_Data_1[[#This Row],[Order_Date]], "yyyy-mm")</f>
        <v>2024-01</v>
      </c>
      <c r="X329">
        <f>Sales_Data_1[[#This Row],[Sales]]-Sales_Data_1[[#This Row],[Profit_Amount]]</f>
        <v>4809.51</v>
      </c>
      <c r="Y329" t="str" cm="1">
        <f t="array" ref="Y329">_xlfn.IFS(Sales_Data_1[[#This Row],[Delivery_Days]]&lt;=3, "Fast", Sales_Data_1[[#This Row],[Delivery_Days]]&lt;= 7, "Standard", TRUE, "Delayed")</f>
        <v>Standard</v>
      </c>
      <c r="Z329" t="str" cm="1">
        <f t="array" ref="Z329">_xlfn.IFS(Sales_Data_1[[#This Row],[Profit_Amount]]&gt; 0, "Profitable", Sales_Data_1[[#This Row],[Profit_Amount]] = 0, "Break-Even", TRUE, "Loss")</f>
        <v>Profitable</v>
      </c>
      <c r="AA329" t="str" cm="1">
        <f t="array" ref="AA329">_xlfn.IFS(Sales_Data_1[[#This Row],[Sales]]&gt;= 1000, "High Value", Sales_Data_1[[#This Row],[Sales]]&gt;= 300, "Mid Value", TRUE, "Low Value")</f>
        <v>High Value</v>
      </c>
    </row>
    <row r="330" spans="1:27" x14ac:dyDescent="0.3">
      <c r="A330" t="s">
        <v>2804</v>
      </c>
      <c r="B330" s="1">
        <v>45690</v>
      </c>
      <c r="C330" t="s">
        <v>40</v>
      </c>
      <c r="D330" t="s">
        <v>56</v>
      </c>
      <c r="E330" t="s">
        <v>2040</v>
      </c>
      <c r="F330" t="s">
        <v>103</v>
      </c>
      <c r="G330" t="s">
        <v>34</v>
      </c>
      <c r="H330" t="s">
        <v>71</v>
      </c>
      <c r="I330" t="s">
        <v>1581</v>
      </c>
      <c r="J330">
        <v>5</v>
      </c>
      <c r="K330">
        <v>1355</v>
      </c>
      <c r="L330">
        <v>0.04</v>
      </c>
      <c r="M330">
        <v>1300.8</v>
      </c>
      <c r="N330">
        <v>6504</v>
      </c>
      <c r="O330">
        <v>0.4</v>
      </c>
      <c r="P330">
        <v>2601.6</v>
      </c>
      <c r="Q330" t="s">
        <v>47</v>
      </c>
      <c r="R330" t="s">
        <v>48</v>
      </c>
      <c r="S330">
        <v>5</v>
      </c>
      <c r="T330">
        <f>YEAR(Sales_Data_1[[#This Row],[Order_Date]])</f>
        <v>2025</v>
      </c>
      <c r="U330" t="str">
        <f>TEXT(Sales_Data_1[[#This Row],[Order_Date]], "mmm")</f>
        <v>Feb</v>
      </c>
      <c r="V330">
        <f>MONTH(Sales_Data_1[[#This Row],[Order_Date]])</f>
        <v>2</v>
      </c>
      <c r="W330" t="str">
        <f>TEXT(Sales_Data_1[[#This Row],[Order_Date]], "yyyy-mm")</f>
        <v>2025-02</v>
      </c>
      <c r="X330">
        <f>Sales_Data_1[[#This Row],[Sales]]-Sales_Data_1[[#This Row],[Profit_Amount]]</f>
        <v>3902.4</v>
      </c>
      <c r="Y330" t="str" cm="1">
        <f t="array" ref="Y330">_xlfn.IFS(Sales_Data_1[[#This Row],[Delivery_Days]]&lt;=3, "Fast", Sales_Data_1[[#This Row],[Delivery_Days]]&lt;= 7, "Standard", TRUE, "Delayed")</f>
        <v>Standard</v>
      </c>
      <c r="Z330" t="str" cm="1">
        <f t="array" ref="Z330">_xlfn.IFS(Sales_Data_1[[#This Row],[Profit_Amount]]&gt; 0, "Profitable", Sales_Data_1[[#This Row],[Profit_Amount]] = 0, "Break-Even", TRUE, "Loss")</f>
        <v>Profitable</v>
      </c>
      <c r="AA330" t="str" cm="1">
        <f t="array" ref="AA330">_xlfn.IFS(Sales_Data_1[[#This Row],[Sales]]&gt;= 1000, "High Value", Sales_Data_1[[#This Row],[Sales]]&gt;= 300, "Mid Value", TRUE, "Low Value")</f>
        <v>High Value</v>
      </c>
    </row>
    <row r="331" spans="1:27" x14ac:dyDescent="0.3">
      <c r="A331" t="s">
        <v>2891</v>
      </c>
      <c r="B331" s="1">
        <v>45777</v>
      </c>
      <c r="C331" t="s">
        <v>63</v>
      </c>
      <c r="D331" t="s">
        <v>21</v>
      </c>
      <c r="E331" t="s">
        <v>2042</v>
      </c>
      <c r="F331" t="s">
        <v>33</v>
      </c>
      <c r="G331" t="s">
        <v>44</v>
      </c>
      <c r="H331" t="s">
        <v>45</v>
      </c>
      <c r="I331" t="s">
        <v>1752</v>
      </c>
      <c r="J331">
        <v>3</v>
      </c>
      <c r="K331">
        <v>2903</v>
      </c>
      <c r="L331">
        <v>0.14000000000000001</v>
      </c>
      <c r="M331">
        <v>2496.58</v>
      </c>
      <c r="N331">
        <v>7489.74</v>
      </c>
      <c r="O331">
        <v>0.35</v>
      </c>
      <c r="P331">
        <v>2621.41</v>
      </c>
      <c r="Q331" t="s">
        <v>47</v>
      </c>
      <c r="R331" t="s">
        <v>48</v>
      </c>
      <c r="S331">
        <v>1</v>
      </c>
      <c r="T331">
        <f>YEAR(Sales_Data_1[[#This Row],[Order_Date]])</f>
        <v>2025</v>
      </c>
      <c r="U331" t="str">
        <f>TEXT(Sales_Data_1[[#This Row],[Order_Date]], "mmm")</f>
        <v>Apr</v>
      </c>
      <c r="V331">
        <f>MONTH(Sales_Data_1[[#This Row],[Order_Date]])</f>
        <v>4</v>
      </c>
      <c r="W331" t="str">
        <f>TEXT(Sales_Data_1[[#This Row],[Order_Date]], "yyyy-mm")</f>
        <v>2025-04</v>
      </c>
      <c r="X331">
        <f>Sales_Data_1[[#This Row],[Sales]]-Sales_Data_1[[#This Row],[Profit_Amount]]</f>
        <v>4868.33</v>
      </c>
      <c r="Y331" t="str" cm="1">
        <f t="array" ref="Y331">_xlfn.IFS(Sales_Data_1[[#This Row],[Delivery_Days]]&lt;=3, "Fast", Sales_Data_1[[#This Row],[Delivery_Days]]&lt;= 7, "Standard", TRUE, "Delayed")</f>
        <v>Fast</v>
      </c>
      <c r="Z331" t="str" cm="1">
        <f t="array" ref="Z331">_xlfn.IFS(Sales_Data_1[[#This Row],[Profit_Amount]]&gt; 0, "Profitable", Sales_Data_1[[#This Row],[Profit_Amount]] = 0, "Break-Even", TRUE, "Loss")</f>
        <v>Profitable</v>
      </c>
      <c r="AA331" t="str" cm="1">
        <f t="array" ref="AA331">_xlfn.IFS(Sales_Data_1[[#This Row],[Sales]]&gt;= 1000, "High Value", Sales_Data_1[[#This Row],[Sales]]&gt;= 300, "Mid Value", TRUE, "Low Value")</f>
        <v>High Value</v>
      </c>
    </row>
    <row r="332" spans="1:27" x14ac:dyDescent="0.3">
      <c r="A332" t="s">
        <v>2788</v>
      </c>
      <c r="B332" s="1">
        <v>45674</v>
      </c>
      <c r="C332" t="s">
        <v>40</v>
      </c>
      <c r="D332" t="s">
        <v>56</v>
      </c>
      <c r="E332" t="s">
        <v>2040</v>
      </c>
      <c r="F332" t="s">
        <v>97</v>
      </c>
      <c r="G332" t="s">
        <v>44</v>
      </c>
      <c r="H332" t="s">
        <v>64</v>
      </c>
      <c r="I332" t="s">
        <v>1549</v>
      </c>
      <c r="J332">
        <v>3</v>
      </c>
      <c r="K332">
        <v>3047</v>
      </c>
      <c r="L332">
        <v>0.18</v>
      </c>
      <c r="M332">
        <v>2498.54</v>
      </c>
      <c r="N332">
        <v>7495.62</v>
      </c>
      <c r="O332">
        <v>0.35</v>
      </c>
      <c r="P332">
        <v>2623.47</v>
      </c>
      <c r="Q332" t="s">
        <v>27</v>
      </c>
      <c r="R332" t="s">
        <v>48</v>
      </c>
      <c r="S332">
        <v>6</v>
      </c>
      <c r="T332">
        <f>YEAR(Sales_Data_1[[#This Row],[Order_Date]])</f>
        <v>2025</v>
      </c>
      <c r="U332" t="str">
        <f>TEXT(Sales_Data_1[[#This Row],[Order_Date]], "mmm")</f>
        <v>Jan</v>
      </c>
      <c r="V332">
        <f>MONTH(Sales_Data_1[[#This Row],[Order_Date]])</f>
        <v>1</v>
      </c>
      <c r="W332" t="str">
        <f>TEXT(Sales_Data_1[[#This Row],[Order_Date]], "yyyy-mm")</f>
        <v>2025-01</v>
      </c>
      <c r="X332">
        <f>Sales_Data_1[[#This Row],[Sales]]-Sales_Data_1[[#This Row],[Profit_Amount]]</f>
        <v>4872.1499999999996</v>
      </c>
      <c r="Y332" t="str" cm="1">
        <f t="array" ref="Y332">_xlfn.IFS(Sales_Data_1[[#This Row],[Delivery_Days]]&lt;=3, "Fast", Sales_Data_1[[#This Row],[Delivery_Days]]&lt;= 7, "Standard", TRUE, "Delayed")</f>
        <v>Standard</v>
      </c>
      <c r="Z332" t="str" cm="1">
        <f t="array" ref="Z332">_xlfn.IFS(Sales_Data_1[[#This Row],[Profit_Amount]]&gt; 0, "Profitable", Sales_Data_1[[#This Row],[Profit_Amount]] = 0, "Break-Even", TRUE, "Loss")</f>
        <v>Profitable</v>
      </c>
      <c r="AA332" t="str" cm="1">
        <f t="array" ref="AA332">_xlfn.IFS(Sales_Data_1[[#This Row],[Sales]]&gt;= 1000, "High Value", Sales_Data_1[[#This Row],[Sales]]&gt;= 300, "Mid Value", TRUE, "Low Value")</f>
        <v>High Value</v>
      </c>
    </row>
    <row r="333" spans="1:27" x14ac:dyDescent="0.3">
      <c r="A333" t="s">
        <v>3031</v>
      </c>
      <c r="B333" s="1">
        <v>45917</v>
      </c>
      <c r="C333" t="s">
        <v>63</v>
      </c>
      <c r="D333" t="s">
        <v>21</v>
      </c>
      <c r="E333" t="s">
        <v>2042</v>
      </c>
      <c r="F333" t="s">
        <v>43</v>
      </c>
      <c r="G333" t="s">
        <v>57</v>
      </c>
      <c r="H333" t="s">
        <v>183</v>
      </c>
      <c r="I333" t="s">
        <v>2021</v>
      </c>
      <c r="J333">
        <v>2</v>
      </c>
      <c r="K333">
        <v>8411</v>
      </c>
      <c r="L333">
        <v>0.22</v>
      </c>
      <c r="M333">
        <v>6560.58</v>
      </c>
      <c r="N333">
        <v>13121.16</v>
      </c>
      <c r="O333">
        <v>0.2</v>
      </c>
      <c r="P333">
        <v>2624.23</v>
      </c>
      <c r="Q333" t="s">
        <v>51</v>
      </c>
      <c r="R333" t="s">
        <v>38</v>
      </c>
      <c r="S333">
        <v>3</v>
      </c>
      <c r="T333">
        <f>YEAR(Sales_Data_1[[#This Row],[Order_Date]])</f>
        <v>2025</v>
      </c>
      <c r="U333" t="str">
        <f>TEXT(Sales_Data_1[[#This Row],[Order_Date]], "mmm")</f>
        <v>Sep</v>
      </c>
      <c r="V333">
        <f>MONTH(Sales_Data_1[[#This Row],[Order_Date]])</f>
        <v>9</v>
      </c>
      <c r="W333" t="str">
        <f>TEXT(Sales_Data_1[[#This Row],[Order_Date]], "yyyy-mm")</f>
        <v>2025-09</v>
      </c>
      <c r="X333">
        <f>Sales_Data_1[[#This Row],[Sales]]-Sales_Data_1[[#This Row],[Profit_Amount]]</f>
        <v>10496.93</v>
      </c>
      <c r="Y333" t="str" cm="1">
        <f t="array" ref="Y333">_xlfn.IFS(Sales_Data_1[[#This Row],[Delivery_Days]]&lt;=3, "Fast", Sales_Data_1[[#This Row],[Delivery_Days]]&lt;= 7, "Standard", TRUE, "Delayed")</f>
        <v>Fast</v>
      </c>
      <c r="Z333" t="str" cm="1">
        <f t="array" ref="Z333">_xlfn.IFS(Sales_Data_1[[#This Row],[Profit_Amount]]&gt; 0, "Profitable", Sales_Data_1[[#This Row],[Profit_Amount]] = 0, "Break-Even", TRUE, "Loss")</f>
        <v>Profitable</v>
      </c>
      <c r="AA333" t="str" cm="1">
        <f t="array" ref="AA333">_xlfn.IFS(Sales_Data_1[[#This Row],[Sales]]&gt;= 1000, "High Value", Sales_Data_1[[#This Row],[Sales]]&gt;= 300, "Mid Value", TRUE, "Low Value")</f>
        <v>High Value</v>
      </c>
    </row>
    <row r="334" spans="1:27" x14ac:dyDescent="0.3">
      <c r="A334" t="s">
        <v>2331</v>
      </c>
      <c r="B334" s="1">
        <v>45217</v>
      </c>
      <c r="C334" t="s">
        <v>63</v>
      </c>
      <c r="D334" t="s">
        <v>21</v>
      </c>
      <c r="E334" t="s">
        <v>42</v>
      </c>
      <c r="F334" t="s">
        <v>68</v>
      </c>
      <c r="G334" t="s">
        <v>44</v>
      </c>
      <c r="H334" t="s">
        <v>64</v>
      </c>
      <c r="I334" t="s">
        <v>652</v>
      </c>
      <c r="J334">
        <v>9</v>
      </c>
      <c r="K334">
        <v>872</v>
      </c>
      <c r="L334">
        <v>0.04</v>
      </c>
      <c r="M334">
        <v>837.12</v>
      </c>
      <c r="N334">
        <v>7534.08</v>
      </c>
      <c r="O334">
        <v>0.35</v>
      </c>
      <c r="P334">
        <v>2636.93</v>
      </c>
      <c r="Q334" t="s">
        <v>27</v>
      </c>
      <c r="R334" t="s">
        <v>48</v>
      </c>
      <c r="S334">
        <v>9</v>
      </c>
      <c r="T334">
        <f>YEAR(Sales_Data_1[[#This Row],[Order_Date]])</f>
        <v>2023</v>
      </c>
      <c r="U334" t="str">
        <f>TEXT(Sales_Data_1[[#This Row],[Order_Date]], "mmm")</f>
        <v>Oct</v>
      </c>
      <c r="V334">
        <f>MONTH(Sales_Data_1[[#This Row],[Order_Date]])</f>
        <v>10</v>
      </c>
      <c r="W334" t="str">
        <f>TEXT(Sales_Data_1[[#This Row],[Order_Date]], "yyyy-mm")</f>
        <v>2023-10</v>
      </c>
      <c r="X334">
        <f>Sales_Data_1[[#This Row],[Sales]]-Sales_Data_1[[#This Row],[Profit_Amount]]</f>
        <v>4897.1499999999996</v>
      </c>
      <c r="Y334" t="str" cm="1">
        <f t="array" ref="Y334">_xlfn.IFS(Sales_Data_1[[#This Row],[Delivery_Days]]&lt;=3, "Fast", Sales_Data_1[[#This Row],[Delivery_Days]]&lt;= 7, "Standard", TRUE, "Delayed")</f>
        <v>Delayed</v>
      </c>
      <c r="Z334" t="str" cm="1">
        <f t="array" ref="Z334">_xlfn.IFS(Sales_Data_1[[#This Row],[Profit_Amount]]&gt; 0, "Profitable", Sales_Data_1[[#This Row],[Profit_Amount]] = 0, "Break-Even", TRUE, "Loss")</f>
        <v>Profitable</v>
      </c>
      <c r="AA334" t="str" cm="1">
        <f t="array" ref="AA334">_xlfn.IFS(Sales_Data_1[[#This Row],[Sales]]&gt;= 1000, "High Value", Sales_Data_1[[#This Row],[Sales]]&gt;= 300, "Mid Value", TRUE, "Low Value")</f>
        <v>High Value</v>
      </c>
    </row>
    <row r="335" spans="1:27" x14ac:dyDescent="0.3">
      <c r="A335" t="s">
        <v>2785</v>
      </c>
      <c r="B335" s="1">
        <v>45671</v>
      </c>
      <c r="C335" t="s">
        <v>55</v>
      </c>
      <c r="D335" t="s">
        <v>21</v>
      </c>
      <c r="E335" t="s">
        <v>2042</v>
      </c>
      <c r="F335" t="s">
        <v>33</v>
      </c>
      <c r="G335" t="s">
        <v>44</v>
      </c>
      <c r="H335" t="s">
        <v>138</v>
      </c>
      <c r="I335" t="s">
        <v>1543</v>
      </c>
      <c r="J335">
        <v>7</v>
      </c>
      <c r="K335">
        <v>1422</v>
      </c>
      <c r="L335">
        <v>0.24</v>
      </c>
      <c r="M335">
        <v>1080.72</v>
      </c>
      <c r="N335">
        <v>7565.04</v>
      </c>
      <c r="O335">
        <v>0.35</v>
      </c>
      <c r="P335">
        <v>2647.76</v>
      </c>
      <c r="Q335" t="s">
        <v>47</v>
      </c>
      <c r="R335" t="s">
        <v>38</v>
      </c>
      <c r="S335">
        <v>1</v>
      </c>
      <c r="T335">
        <f>YEAR(Sales_Data_1[[#This Row],[Order_Date]])</f>
        <v>2025</v>
      </c>
      <c r="U335" t="str">
        <f>TEXT(Sales_Data_1[[#This Row],[Order_Date]], "mmm")</f>
        <v>Jan</v>
      </c>
      <c r="V335">
        <f>MONTH(Sales_Data_1[[#This Row],[Order_Date]])</f>
        <v>1</v>
      </c>
      <c r="W335" t="str">
        <f>TEXT(Sales_Data_1[[#This Row],[Order_Date]], "yyyy-mm")</f>
        <v>2025-01</v>
      </c>
      <c r="X335">
        <f>Sales_Data_1[[#This Row],[Sales]]-Sales_Data_1[[#This Row],[Profit_Amount]]</f>
        <v>4917.28</v>
      </c>
      <c r="Y335" t="str" cm="1">
        <f t="array" ref="Y335">_xlfn.IFS(Sales_Data_1[[#This Row],[Delivery_Days]]&lt;=3, "Fast", Sales_Data_1[[#This Row],[Delivery_Days]]&lt;= 7, "Standard", TRUE, "Delayed")</f>
        <v>Fast</v>
      </c>
      <c r="Z335" t="str" cm="1">
        <f t="array" ref="Z335">_xlfn.IFS(Sales_Data_1[[#This Row],[Profit_Amount]]&gt; 0, "Profitable", Sales_Data_1[[#This Row],[Profit_Amount]] = 0, "Break-Even", TRUE, "Loss")</f>
        <v>Profitable</v>
      </c>
      <c r="AA335" t="str" cm="1">
        <f t="array" ref="AA335">_xlfn.IFS(Sales_Data_1[[#This Row],[Sales]]&gt;= 1000, "High Value", Sales_Data_1[[#This Row],[Sales]]&gt;= 300, "Mid Value", TRUE, "Low Value")</f>
        <v>High Value</v>
      </c>
    </row>
    <row r="336" spans="1:27" x14ac:dyDescent="0.3">
      <c r="A336" t="s">
        <v>2637</v>
      </c>
      <c r="B336" s="1">
        <v>45523</v>
      </c>
      <c r="C336" t="s">
        <v>63</v>
      </c>
      <c r="D336" t="s">
        <v>31</v>
      </c>
      <c r="E336" t="s">
        <v>2042</v>
      </c>
      <c r="F336" t="s">
        <v>23</v>
      </c>
      <c r="G336" t="s">
        <v>34</v>
      </c>
      <c r="H336" t="s">
        <v>141</v>
      </c>
      <c r="I336" t="s">
        <v>1255</v>
      </c>
      <c r="J336">
        <v>9</v>
      </c>
      <c r="K336">
        <v>943</v>
      </c>
      <c r="L336">
        <v>0.21</v>
      </c>
      <c r="M336">
        <v>744.97</v>
      </c>
      <c r="N336">
        <v>6704.73</v>
      </c>
      <c r="O336">
        <v>0.4</v>
      </c>
      <c r="P336">
        <v>2681.89</v>
      </c>
      <c r="Q336" t="s">
        <v>37</v>
      </c>
      <c r="R336" t="s">
        <v>48</v>
      </c>
      <c r="S336">
        <v>2</v>
      </c>
      <c r="T336">
        <f>YEAR(Sales_Data_1[[#This Row],[Order_Date]])</f>
        <v>2024</v>
      </c>
      <c r="U336" t="str">
        <f>TEXT(Sales_Data_1[[#This Row],[Order_Date]], "mmm")</f>
        <v>Aug</v>
      </c>
      <c r="V336">
        <f>MONTH(Sales_Data_1[[#This Row],[Order_Date]])</f>
        <v>8</v>
      </c>
      <c r="W336" t="str">
        <f>TEXT(Sales_Data_1[[#This Row],[Order_Date]], "yyyy-mm")</f>
        <v>2024-08</v>
      </c>
      <c r="X336">
        <f>Sales_Data_1[[#This Row],[Sales]]-Sales_Data_1[[#This Row],[Profit_Amount]]</f>
        <v>4022.8399999999997</v>
      </c>
      <c r="Y336" t="str" cm="1">
        <f t="array" ref="Y336">_xlfn.IFS(Sales_Data_1[[#This Row],[Delivery_Days]]&lt;=3, "Fast", Sales_Data_1[[#This Row],[Delivery_Days]]&lt;= 7, "Standard", TRUE, "Delayed")</f>
        <v>Fast</v>
      </c>
      <c r="Z336" t="str" cm="1">
        <f t="array" ref="Z336">_xlfn.IFS(Sales_Data_1[[#This Row],[Profit_Amount]]&gt; 0, "Profitable", Sales_Data_1[[#This Row],[Profit_Amount]] = 0, "Break-Even", TRUE, "Loss")</f>
        <v>Profitable</v>
      </c>
      <c r="AA336" t="str" cm="1">
        <f t="array" ref="AA336">_xlfn.IFS(Sales_Data_1[[#This Row],[Sales]]&gt;= 1000, "High Value", Sales_Data_1[[#This Row],[Sales]]&gt;= 300, "Mid Value", TRUE, "Low Value")</f>
        <v>High Value</v>
      </c>
    </row>
    <row r="337" spans="1:27" x14ac:dyDescent="0.3">
      <c r="A337" t="s">
        <v>2894</v>
      </c>
      <c r="B337" s="1">
        <v>45780</v>
      </c>
      <c r="C337" t="s">
        <v>96</v>
      </c>
      <c r="D337" t="s">
        <v>21</v>
      </c>
      <c r="E337" t="s">
        <v>42</v>
      </c>
      <c r="F337" t="s">
        <v>97</v>
      </c>
      <c r="G337" t="s">
        <v>57</v>
      </c>
      <c r="H337" t="s">
        <v>58</v>
      </c>
      <c r="I337" t="s">
        <v>1758</v>
      </c>
      <c r="J337">
        <v>1</v>
      </c>
      <c r="K337">
        <v>17078</v>
      </c>
      <c r="L337">
        <v>0.21</v>
      </c>
      <c r="M337">
        <v>13491.62</v>
      </c>
      <c r="N337">
        <v>13491.62</v>
      </c>
      <c r="O337">
        <v>0.2</v>
      </c>
      <c r="P337">
        <v>2698.32</v>
      </c>
      <c r="Q337" t="s">
        <v>37</v>
      </c>
      <c r="R337" t="s">
        <v>48</v>
      </c>
      <c r="S337">
        <v>2</v>
      </c>
      <c r="T337">
        <f>YEAR(Sales_Data_1[[#This Row],[Order_Date]])</f>
        <v>2025</v>
      </c>
      <c r="U337" t="str">
        <f>TEXT(Sales_Data_1[[#This Row],[Order_Date]], "mmm")</f>
        <v>May</v>
      </c>
      <c r="V337">
        <f>MONTH(Sales_Data_1[[#This Row],[Order_Date]])</f>
        <v>5</v>
      </c>
      <c r="W337" t="str">
        <f>TEXT(Sales_Data_1[[#This Row],[Order_Date]], "yyyy-mm")</f>
        <v>2025-05</v>
      </c>
      <c r="X337">
        <f>Sales_Data_1[[#This Row],[Sales]]-Sales_Data_1[[#This Row],[Profit_Amount]]</f>
        <v>10793.300000000001</v>
      </c>
      <c r="Y337" t="str" cm="1">
        <f t="array" ref="Y337">_xlfn.IFS(Sales_Data_1[[#This Row],[Delivery_Days]]&lt;=3, "Fast", Sales_Data_1[[#This Row],[Delivery_Days]]&lt;= 7, "Standard", TRUE, "Delayed")</f>
        <v>Fast</v>
      </c>
      <c r="Z337" t="str" cm="1">
        <f t="array" ref="Z337">_xlfn.IFS(Sales_Data_1[[#This Row],[Profit_Amount]]&gt; 0, "Profitable", Sales_Data_1[[#This Row],[Profit_Amount]] = 0, "Break-Even", TRUE, "Loss")</f>
        <v>Profitable</v>
      </c>
      <c r="AA337" t="str" cm="1">
        <f t="array" ref="AA337">_xlfn.IFS(Sales_Data_1[[#This Row],[Sales]]&gt;= 1000, "High Value", Sales_Data_1[[#This Row],[Sales]]&gt;= 300, "Mid Value", TRUE, "Low Value")</f>
        <v>High Value</v>
      </c>
    </row>
    <row r="338" spans="1:27" x14ac:dyDescent="0.3">
      <c r="A338" t="s">
        <v>2566</v>
      </c>
      <c r="B338" s="1">
        <v>45452</v>
      </c>
      <c r="C338" t="s">
        <v>40</v>
      </c>
      <c r="D338" t="s">
        <v>56</v>
      </c>
      <c r="E338" t="s">
        <v>2042</v>
      </c>
      <c r="F338" t="s">
        <v>103</v>
      </c>
      <c r="G338" t="s">
        <v>24</v>
      </c>
      <c r="H338" t="s">
        <v>25</v>
      </c>
      <c r="I338" t="s">
        <v>1115</v>
      </c>
      <c r="J338">
        <v>1</v>
      </c>
      <c r="K338">
        <v>11142</v>
      </c>
      <c r="L338">
        <v>0.02</v>
      </c>
      <c r="M338">
        <v>10919.16</v>
      </c>
      <c r="N338">
        <v>10919.16</v>
      </c>
      <c r="O338">
        <v>0.25</v>
      </c>
      <c r="P338">
        <v>2729.79</v>
      </c>
      <c r="Q338" t="s">
        <v>51</v>
      </c>
      <c r="R338" t="s">
        <v>48</v>
      </c>
      <c r="S338">
        <v>8</v>
      </c>
      <c r="T338">
        <f>YEAR(Sales_Data_1[[#This Row],[Order_Date]])</f>
        <v>2024</v>
      </c>
      <c r="U338" t="str">
        <f>TEXT(Sales_Data_1[[#This Row],[Order_Date]], "mmm")</f>
        <v>Jun</v>
      </c>
      <c r="V338">
        <f>MONTH(Sales_Data_1[[#This Row],[Order_Date]])</f>
        <v>6</v>
      </c>
      <c r="W338" t="str">
        <f>TEXT(Sales_Data_1[[#This Row],[Order_Date]], "yyyy-mm")</f>
        <v>2024-06</v>
      </c>
      <c r="X338">
        <f>Sales_Data_1[[#This Row],[Sales]]-Sales_Data_1[[#This Row],[Profit_Amount]]</f>
        <v>8189.37</v>
      </c>
      <c r="Y338" t="str" cm="1">
        <f t="array" ref="Y338">_xlfn.IFS(Sales_Data_1[[#This Row],[Delivery_Days]]&lt;=3, "Fast", Sales_Data_1[[#This Row],[Delivery_Days]]&lt;= 7, "Standard", TRUE, "Delayed")</f>
        <v>Delayed</v>
      </c>
      <c r="Z338" t="str" cm="1">
        <f t="array" ref="Z338">_xlfn.IFS(Sales_Data_1[[#This Row],[Profit_Amount]]&gt; 0, "Profitable", Sales_Data_1[[#This Row],[Profit_Amount]] = 0, "Break-Even", TRUE, "Loss")</f>
        <v>Profitable</v>
      </c>
      <c r="AA338" t="str" cm="1">
        <f t="array" ref="AA338">_xlfn.IFS(Sales_Data_1[[#This Row],[Sales]]&gt;= 1000, "High Value", Sales_Data_1[[#This Row],[Sales]]&gt;= 300, "Mid Value", TRUE, "Low Value")</f>
        <v>High Value</v>
      </c>
    </row>
    <row r="339" spans="1:27" x14ac:dyDescent="0.3">
      <c r="A339" t="s">
        <v>2206</v>
      </c>
      <c r="B339" s="1">
        <v>45092</v>
      </c>
      <c r="C339" t="s">
        <v>63</v>
      </c>
      <c r="D339" t="s">
        <v>31</v>
      </c>
      <c r="E339" t="s">
        <v>2040</v>
      </c>
      <c r="F339" t="s">
        <v>43</v>
      </c>
      <c r="G339" t="s">
        <v>57</v>
      </c>
      <c r="H339" t="s">
        <v>58</v>
      </c>
      <c r="I339" t="s">
        <v>402</v>
      </c>
      <c r="J339">
        <v>4</v>
      </c>
      <c r="K339">
        <v>4289</v>
      </c>
      <c r="L339">
        <v>0.2</v>
      </c>
      <c r="M339">
        <v>3431.2</v>
      </c>
      <c r="N339">
        <v>13724.8</v>
      </c>
      <c r="O339">
        <v>0.2</v>
      </c>
      <c r="P339">
        <v>2744.96</v>
      </c>
      <c r="Q339" t="s">
        <v>47</v>
      </c>
      <c r="R339" t="s">
        <v>48</v>
      </c>
      <c r="S339">
        <v>3</v>
      </c>
      <c r="T339">
        <f>YEAR(Sales_Data_1[[#This Row],[Order_Date]])</f>
        <v>2023</v>
      </c>
      <c r="U339" t="str">
        <f>TEXT(Sales_Data_1[[#This Row],[Order_Date]], "mmm")</f>
        <v>Jun</v>
      </c>
      <c r="V339">
        <f>MONTH(Sales_Data_1[[#This Row],[Order_Date]])</f>
        <v>6</v>
      </c>
      <c r="W339" t="str">
        <f>TEXT(Sales_Data_1[[#This Row],[Order_Date]], "yyyy-mm")</f>
        <v>2023-06</v>
      </c>
      <c r="X339">
        <f>Sales_Data_1[[#This Row],[Sales]]-Sales_Data_1[[#This Row],[Profit_Amount]]</f>
        <v>10979.84</v>
      </c>
      <c r="Y339" t="str" cm="1">
        <f t="array" ref="Y339">_xlfn.IFS(Sales_Data_1[[#This Row],[Delivery_Days]]&lt;=3, "Fast", Sales_Data_1[[#This Row],[Delivery_Days]]&lt;= 7, "Standard", TRUE, "Delayed")</f>
        <v>Fast</v>
      </c>
      <c r="Z339" t="str" cm="1">
        <f t="array" ref="Z339">_xlfn.IFS(Sales_Data_1[[#This Row],[Profit_Amount]]&gt; 0, "Profitable", Sales_Data_1[[#This Row],[Profit_Amount]] = 0, "Break-Even", TRUE, "Loss")</f>
        <v>Profitable</v>
      </c>
      <c r="AA339" t="str" cm="1">
        <f t="array" ref="AA339">_xlfn.IFS(Sales_Data_1[[#This Row],[Sales]]&gt;= 1000, "High Value", Sales_Data_1[[#This Row],[Sales]]&gt;= 300, "Mid Value", TRUE, "Low Value")</f>
        <v>High Value</v>
      </c>
    </row>
    <row r="340" spans="1:27" x14ac:dyDescent="0.3">
      <c r="A340" t="s">
        <v>2850</v>
      </c>
      <c r="B340" s="1">
        <v>45736</v>
      </c>
      <c r="C340" t="s">
        <v>96</v>
      </c>
      <c r="D340" t="s">
        <v>56</v>
      </c>
      <c r="E340" t="s">
        <v>2040</v>
      </c>
      <c r="F340" t="s">
        <v>43</v>
      </c>
      <c r="G340" t="s">
        <v>34</v>
      </c>
      <c r="H340" t="s">
        <v>35</v>
      </c>
      <c r="I340" t="s">
        <v>1671</v>
      </c>
      <c r="J340">
        <v>8</v>
      </c>
      <c r="K340">
        <v>1030</v>
      </c>
      <c r="L340">
        <v>0.16</v>
      </c>
      <c r="M340">
        <v>865.2</v>
      </c>
      <c r="N340">
        <v>6921.6</v>
      </c>
      <c r="O340">
        <v>0.4</v>
      </c>
      <c r="P340">
        <v>2768.64</v>
      </c>
      <c r="Q340" t="s">
        <v>27</v>
      </c>
      <c r="R340" t="s">
        <v>48</v>
      </c>
      <c r="S340">
        <v>9</v>
      </c>
      <c r="T340">
        <f>YEAR(Sales_Data_1[[#This Row],[Order_Date]])</f>
        <v>2025</v>
      </c>
      <c r="U340" t="str">
        <f>TEXT(Sales_Data_1[[#This Row],[Order_Date]], "mmm")</f>
        <v>Mar</v>
      </c>
      <c r="V340">
        <f>MONTH(Sales_Data_1[[#This Row],[Order_Date]])</f>
        <v>3</v>
      </c>
      <c r="W340" t="str">
        <f>TEXT(Sales_Data_1[[#This Row],[Order_Date]], "yyyy-mm")</f>
        <v>2025-03</v>
      </c>
      <c r="X340">
        <f>Sales_Data_1[[#This Row],[Sales]]-Sales_Data_1[[#This Row],[Profit_Amount]]</f>
        <v>4152.9600000000009</v>
      </c>
      <c r="Y340" t="str" cm="1">
        <f t="array" ref="Y340">_xlfn.IFS(Sales_Data_1[[#This Row],[Delivery_Days]]&lt;=3, "Fast", Sales_Data_1[[#This Row],[Delivery_Days]]&lt;= 7, "Standard", TRUE, "Delayed")</f>
        <v>Delayed</v>
      </c>
      <c r="Z340" t="str" cm="1">
        <f t="array" ref="Z340">_xlfn.IFS(Sales_Data_1[[#This Row],[Profit_Amount]]&gt; 0, "Profitable", Sales_Data_1[[#This Row],[Profit_Amount]] = 0, "Break-Even", TRUE, "Loss")</f>
        <v>Profitable</v>
      </c>
      <c r="AA340" t="str" cm="1">
        <f t="array" ref="AA340">_xlfn.IFS(Sales_Data_1[[#This Row],[Sales]]&gt;= 1000, "High Value", Sales_Data_1[[#This Row],[Sales]]&gt;= 300, "Mid Value", TRUE, "Low Value")</f>
        <v>High Value</v>
      </c>
    </row>
    <row r="341" spans="1:27" x14ac:dyDescent="0.3">
      <c r="A341" t="s">
        <v>2659</v>
      </c>
      <c r="B341" s="1">
        <v>45545</v>
      </c>
      <c r="C341" t="s">
        <v>20</v>
      </c>
      <c r="D341" t="s">
        <v>41</v>
      </c>
      <c r="E341" t="s">
        <v>2040</v>
      </c>
      <c r="F341" t="s">
        <v>103</v>
      </c>
      <c r="G341" t="s">
        <v>24</v>
      </c>
      <c r="H341" t="s">
        <v>121</v>
      </c>
      <c r="I341" t="s">
        <v>1298</v>
      </c>
      <c r="J341">
        <v>1</v>
      </c>
      <c r="K341">
        <v>14046</v>
      </c>
      <c r="L341">
        <v>0.21</v>
      </c>
      <c r="M341">
        <v>11096.34</v>
      </c>
      <c r="N341">
        <v>11096.34</v>
      </c>
      <c r="O341">
        <v>0.25</v>
      </c>
      <c r="P341">
        <v>2774.08</v>
      </c>
      <c r="Q341" t="s">
        <v>27</v>
      </c>
      <c r="R341" t="s">
        <v>48</v>
      </c>
      <c r="S341">
        <v>7</v>
      </c>
      <c r="T341">
        <f>YEAR(Sales_Data_1[[#This Row],[Order_Date]])</f>
        <v>2024</v>
      </c>
      <c r="U341" t="str">
        <f>TEXT(Sales_Data_1[[#This Row],[Order_Date]], "mmm")</f>
        <v>Sep</v>
      </c>
      <c r="V341">
        <f>MONTH(Sales_Data_1[[#This Row],[Order_Date]])</f>
        <v>9</v>
      </c>
      <c r="W341" t="str">
        <f>TEXT(Sales_Data_1[[#This Row],[Order_Date]], "yyyy-mm")</f>
        <v>2024-09</v>
      </c>
      <c r="X341">
        <f>Sales_Data_1[[#This Row],[Sales]]-Sales_Data_1[[#This Row],[Profit_Amount]]</f>
        <v>8322.26</v>
      </c>
      <c r="Y341" t="str" cm="1">
        <f t="array" ref="Y341">_xlfn.IFS(Sales_Data_1[[#This Row],[Delivery_Days]]&lt;=3, "Fast", Sales_Data_1[[#This Row],[Delivery_Days]]&lt;= 7, "Standard", TRUE, "Delayed")</f>
        <v>Standard</v>
      </c>
      <c r="Z341" t="str" cm="1">
        <f t="array" ref="Z341">_xlfn.IFS(Sales_Data_1[[#This Row],[Profit_Amount]]&gt; 0, "Profitable", Sales_Data_1[[#This Row],[Profit_Amount]] = 0, "Break-Even", TRUE, "Loss")</f>
        <v>Profitable</v>
      </c>
      <c r="AA341" t="str" cm="1">
        <f t="array" ref="AA341">_xlfn.IFS(Sales_Data_1[[#This Row],[Sales]]&gt;= 1000, "High Value", Sales_Data_1[[#This Row],[Sales]]&gt;= 300, "Mid Value", TRUE, "Low Value")</f>
        <v>High Value</v>
      </c>
    </row>
    <row r="342" spans="1:27" x14ac:dyDescent="0.3">
      <c r="A342" t="s">
        <v>2806</v>
      </c>
      <c r="B342" s="1">
        <v>45692</v>
      </c>
      <c r="C342" t="s">
        <v>96</v>
      </c>
      <c r="D342" t="s">
        <v>41</v>
      </c>
      <c r="E342" t="s">
        <v>2042</v>
      </c>
      <c r="F342" t="s">
        <v>103</v>
      </c>
      <c r="G342" t="s">
        <v>24</v>
      </c>
      <c r="H342" t="s">
        <v>186</v>
      </c>
      <c r="I342" t="s">
        <v>1585</v>
      </c>
      <c r="J342">
        <v>4</v>
      </c>
      <c r="K342">
        <v>2929</v>
      </c>
      <c r="L342">
        <v>0.04</v>
      </c>
      <c r="M342">
        <v>2811.84</v>
      </c>
      <c r="N342">
        <v>11247.36</v>
      </c>
      <c r="O342">
        <v>0.25</v>
      </c>
      <c r="P342">
        <v>2811.84</v>
      </c>
      <c r="Q342" t="s">
        <v>51</v>
      </c>
      <c r="R342" t="s">
        <v>48</v>
      </c>
      <c r="S342">
        <v>6</v>
      </c>
      <c r="T342">
        <f>YEAR(Sales_Data_1[[#This Row],[Order_Date]])</f>
        <v>2025</v>
      </c>
      <c r="U342" t="str">
        <f>TEXT(Sales_Data_1[[#This Row],[Order_Date]], "mmm")</f>
        <v>Feb</v>
      </c>
      <c r="V342">
        <f>MONTH(Sales_Data_1[[#This Row],[Order_Date]])</f>
        <v>2</v>
      </c>
      <c r="W342" t="str">
        <f>TEXT(Sales_Data_1[[#This Row],[Order_Date]], "yyyy-mm")</f>
        <v>2025-02</v>
      </c>
      <c r="X342">
        <f>Sales_Data_1[[#This Row],[Sales]]-Sales_Data_1[[#This Row],[Profit_Amount]]</f>
        <v>8435.52</v>
      </c>
      <c r="Y342" t="str" cm="1">
        <f t="array" ref="Y342">_xlfn.IFS(Sales_Data_1[[#This Row],[Delivery_Days]]&lt;=3, "Fast", Sales_Data_1[[#This Row],[Delivery_Days]]&lt;= 7, "Standard", TRUE, "Delayed")</f>
        <v>Standard</v>
      </c>
      <c r="Z342" t="str" cm="1">
        <f t="array" ref="Z342">_xlfn.IFS(Sales_Data_1[[#This Row],[Profit_Amount]]&gt; 0, "Profitable", Sales_Data_1[[#This Row],[Profit_Amount]] = 0, "Break-Even", TRUE, "Loss")</f>
        <v>Profitable</v>
      </c>
      <c r="AA342" t="str" cm="1">
        <f t="array" ref="AA342">_xlfn.IFS(Sales_Data_1[[#This Row],[Sales]]&gt;= 1000, "High Value", Sales_Data_1[[#This Row],[Sales]]&gt;= 300, "Mid Value", TRUE, "Low Value")</f>
        <v>High Value</v>
      </c>
    </row>
    <row r="343" spans="1:27" x14ac:dyDescent="0.3">
      <c r="A343" t="s">
        <v>2612</v>
      </c>
      <c r="B343" s="1">
        <v>45498</v>
      </c>
      <c r="C343" t="s">
        <v>20</v>
      </c>
      <c r="D343" t="s">
        <v>56</v>
      </c>
      <c r="E343" t="s">
        <v>2042</v>
      </c>
      <c r="F343" t="s">
        <v>68</v>
      </c>
      <c r="G343" t="s">
        <v>57</v>
      </c>
      <c r="H343" t="s">
        <v>100</v>
      </c>
      <c r="I343" t="s">
        <v>1206</v>
      </c>
      <c r="J343">
        <v>2</v>
      </c>
      <c r="K343">
        <v>7542</v>
      </c>
      <c r="L343">
        <v>0.06</v>
      </c>
      <c r="M343">
        <v>7089.48</v>
      </c>
      <c r="N343">
        <v>14178.96</v>
      </c>
      <c r="O343">
        <v>0.2</v>
      </c>
      <c r="P343">
        <v>2835.79</v>
      </c>
      <c r="Q343" t="s">
        <v>51</v>
      </c>
      <c r="R343" t="s">
        <v>38</v>
      </c>
      <c r="S343">
        <v>6</v>
      </c>
      <c r="T343">
        <f>YEAR(Sales_Data_1[[#This Row],[Order_Date]])</f>
        <v>2024</v>
      </c>
      <c r="U343" t="str">
        <f>TEXT(Sales_Data_1[[#This Row],[Order_Date]], "mmm")</f>
        <v>Jul</v>
      </c>
      <c r="V343">
        <f>MONTH(Sales_Data_1[[#This Row],[Order_Date]])</f>
        <v>7</v>
      </c>
      <c r="W343" t="str">
        <f>TEXT(Sales_Data_1[[#This Row],[Order_Date]], "yyyy-mm")</f>
        <v>2024-07</v>
      </c>
      <c r="X343">
        <f>Sales_Data_1[[#This Row],[Sales]]-Sales_Data_1[[#This Row],[Profit_Amount]]</f>
        <v>11343.169999999998</v>
      </c>
      <c r="Y343" t="str" cm="1">
        <f t="array" ref="Y343">_xlfn.IFS(Sales_Data_1[[#This Row],[Delivery_Days]]&lt;=3, "Fast", Sales_Data_1[[#This Row],[Delivery_Days]]&lt;= 7, "Standard", TRUE, "Delayed")</f>
        <v>Standard</v>
      </c>
      <c r="Z343" t="str" cm="1">
        <f t="array" ref="Z343">_xlfn.IFS(Sales_Data_1[[#This Row],[Profit_Amount]]&gt; 0, "Profitable", Sales_Data_1[[#This Row],[Profit_Amount]] = 0, "Break-Even", TRUE, "Loss")</f>
        <v>Profitable</v>
      </c>
      <c r="AA343" t="str" cm="1">
        <f t="array" ref="AA343">_xlfn.IFS(Sales_Data_1[[#This Row],[Sales]]&gt;= 1000, "High Value", Sales_Data_1[[#This Row],[Sales]]&gt;= 300, "Mid Value", TRUE, "Low Value")</f>
        <v>High Value</v>
      </c>
    </row>
    <row r="344" spans="1:27" x14ac:dyDescent="0.3">
      <c r="A344" t="s">
        <v>2649</v>
      </c>
      <c r="B344" s="1">
        <v>45535</v>
      </c>
      <c r="C344" t="s">
        <v>55</v>
      </c>
      <c r="D344" t="s">
        <v>21</v>
      </c>
      <c r="E344" t="s">
        <v>2040</v>
      </c>
      <c r="F344" t="s">
        <v>68</v>
      </c>
      <c r="G344" t="s">
        <v>57</v>
      </c>
      <c r="H344" t="s">
        <v>58</v>
      </c>
      <c r="I344" t="s">
        <v>1278</v>
      </c>
      <c r="J344">
        <v>1</v>
      </c>
      <c r="K344">
        <v>18955</v>
      </c>
      <c r="L344">
        <v>0.25</v>
      </c>
      <c r="M344">
        <v>14216.25</v>
      </c>
      <c r="N344">
        <v>14216.25</v>
      </c>
      <c r="O344">
        <v>0.2</v>
      </c>
      <c r="P344">
        <v>2843.25</v>
      </c>
      <c r="Q344" t="s">
        <v>47</v>
      </c>
      <c r="R344" t="s">
        <v>48</v>
      </c>
      <c r="S344">
        <v>5</v>
      </c>
      <c r="T344">
        <f>YEAR(Sales_Data_1[[#This Row],[Order_Date]])</f>
        <v>2024</v>
      </c>
      <c r="U344" t="str">
        <f>TEXT(Sales_Data_1[[#This Row],[Order_Date]], "mmm")</f>
        <v>Aug</v>
      </c>
      <c r="V344">
        <f>MONTH(Sales_Data_1[[#This Row],[Order_Date]])</f>
        <v>8</v>
      </c>
      <c r="W344" t="str">
        <f>TEXT(Sales_Data_1[[#This Row],[Order_Date]], "yyyy-mm")</f>
        <v>2024-08</v>
      </c>
      <c r="X344">
        <f>Sales_Data_1[[#This Row],[Sales]]-Sales_Data_1[[#This Row],[Profit_Amount]]</f>
        <v>11373</v>
      </c>
      <c r="Y344" t="str" cm="1">
        <f t="array" ref="Y344">_xlfn.IFS(Sales_Data_1[[#This Row],[Delivery_Days]]&lt;=3, "Fast", Sales_Data_1[[#This Row],[Delivery_Days]]&lt;= 7, "Standard", TRUE, "Delayed")</f>
        <v>Standard</v>
      </c>
      <c r="Z344" t="str" cm="1">
        <f t="array" ref="Z344">_xlfn.IFS(Sales_Data_1[[#This Row],[Profit_Amount]]&gt; 0, "Profitable", Sales_Data_1[[#This Row],[Profit_Amount]] = 0, "Break-Even", TRUE, "Loss")</f>
        <v>Profitable</v>
      </c>
      <c r="AA344" t="str" cm="1">
        <f t="array" ref="AA344">_xlfn.IFS(Sales_Data_1[[#This Row],[Sales]]&gt;= 1000, "High Value", Sales_Data_1[[#This Row],[Sales]]&gt;= 300, "Mid Value", TRUE, "Low Value")</f>
        <v>High Value</v>
      </c>
    </row>
    <row r="345" spans="1:27" x14ac:dyDescent="0.3">
      <c r="A345" t="s">
        <v>2163</v>
      </c>
      <c r="B345" s="1">
        <v>45049</v>
      </c>
      <c r="C345" t="s">
        <v>63</v>
      </c>
      <c r="D345" t="s">
        <v>56</v>
      </c>
      <c r="E345" t="s">
        <v>42</v>
      </c>
      <c r="F345" t="s">
        <v>23</v>
      </c>
      <c r="G345" t="s">
        <v>34</v>
      </c>
      <c r="H345" t="s">
        <v>141</v>
      </c>
      <c r="I345" t="s">
        <v>316</v>
      </c>
      <c r="J345">
        <v>9</v>
      </c>
      <c r="K345">
        <v>791</v>
      </c>
      <c r="L345">
        <v>0</v>
      </c>
      <c r="M345">
        <v>791</v>
      </c>
      <c r="N345">
        <v>7119</v>
      </c>
      <c r="O345">
        <v>0.4</v>
      </c>
      <c r="P345">
        <v>2847.6</v>
      </c>
      <c r="Q345" t="s">
        <v>27</v>
      </c>
      <c r="R345" t="s">
        <v>38</v>
      </c>
      <c r="S345">
        <v>2</v>
      </c>
      <c r="T345">
        <f>YEAR(Sales_Data_1[[#This Row],[Order_Date]])</f>
        <v>2023</v>
      </c>
      <c r="U345" t="str">
        <f>TEXT(Sales_Data_1[[#This Row],[Order_Date]], "mmm")</f>
        <v>May</v>
      </c>
      <c r="V345">
        <f>MONTH(Sales_Data_1[[#This Row],[Order_Date]])</f>
        <v>5</v>
      </c>
      <c r="W345" t="str">
        <f>TEXT(Sales_Data_1[[#This Row],[Order_Date]], "yyyy-mm")</f>
        <v>2023-05</v>
      </c>
      <c r="X345">
        <f>Sales_Data_1[[#This Row],[Sales]]-Sales_Data_1[[#This Row],[Profit_Amount]]</f>
        <v>4271.3999999999996</v>
      </c>
      <c r="Y345" t="str" cm="1">
        <f t="array" ref="Y345">_xlfn.IFS(Sales_Data_1[[#This Row],[Delivery_Days]]&lt;=3, "Fast", Sales_Data_1[[#This Row],[Delivery_Days]]&lt;= 7, "Standard", TRUE, "Delayed")</f>
        <v>Fast</v>
      </c>
      <c r="Z345" t="str" cm="1">
        <f t="array" ref="Z345">_xlfn.IFS(Sales_Data_1[[#This Row],[Profit_Amount]]&gt; 0, "Profitable", Sales_Data_1[[#This Row],[Profit_Amount]] = 0, "Break-Even", TRUE, "Loss")</f>
        <v>Profitable</v>
      </c>
      <c r="AA345" t="str" cm="1">
        <f t="array" ref="AA345">_xlfn.IFS(Sales_Data_1[[#This Row],[Sales]]&gt;= 1000, "High Value", Sales_Data_1[[#This Row],[Sales]]&gt;= 300, "Mid Value", TRUE, "Low Value")</f>
        <v>High Value</v>
      </c>
    </row>
    <row r="346" spans="1:27" x14ac:dyDescent="0.3">
      <c r="A346" t="s">
        <v>2742</v>
      </c>
      <c r="B346" s="1">
        <v>45628</v>
      </c>
      <c r="C346" t="s">
        <v>20</v>
      </c>
      <c r="D346" t="s">
        <v>56</v>
      </c>
      <c r="E346" t="s">
        <v>42</v>
      </c>
      <c r="F346" t="s">
        <v>43</v>
      </c>
      <c r="G346" t="s">
        <v>44</v>
      </c>
      <c r="H346" t="s">
        <v>45</v>
      </c>
      <c r="I346" t="s">
        <v>1460</v>
      </c>
      <c r="J346">
        <v>9</v>
      </c>
      <c r="K346">
        <v>1146</v>
      </c>
      <c r="L346">
        <v>0.21</v>
      </c>
      <c r="M346">
        <v>905.34</v>
      </c>
      <c r="N346">
        <v>8148.06</v>
      </c>
      <c r="O346">
        <v>0.35</v>
      </c>
      <c r="P346">
        <v>2851.82</v>
      </c>
      <c r="Q346" t="s">
        <v>27</v>
      </c>
      <c r="R346" t="s">
        <v>48</v>
      </c>
      <c r="S346">
        <v>1</v>
      </c>
      <c r="T346">
        <f>YEAR(Sales_Data_1[[#This Row],[Order_Date]])</f>
        <v>2024</v>
      </c>
      <c r="U346" t="str">
        <f>TEXT(Sales_Data_1[[#This Row],[Order_Date]], "mmm")</f>
        <v>Dec</v>
      </c>
      <c r="V346">
        <f>MONTH(Sales_Data_1[[#This Row],[Order_Date]])</f>
        <v>12</v>
      </c>
      <c r="W346" t="str">
        <f>TEXT(Sales_Data_1[[#This Row],[Order_Date]], "yyyy-mm")</f>
        <v>2024-12</v>
      </c>
      <c r="X346">
        <f>Sales_Data_1[[#This Row],[Sales]]-Sales_Data_1[[#This Row],[Profit_Amount]]</f>
        <v>5296.24</v>
      </c>
      <c r="Y346" t="str" cm="1">
        <f t="array" ref="Y346">_xlfn.IFS(Sales_Data_1[[#This Row],[Delivery_Days]]&lt;=3, "Fast", Sales_Data_1[[#This Row],[Delivery_Days]]&lt;= 7, "Standard", TRUE, "Delayed")</f>
        <v>Fast</v>
      </c>
      <c r="Z346" t="str" cm="1">
        <f t="array" ref="Z346">_xlfn.IFS(Sales_Data_1[[#This Row],[Profit_Amount]]&gt; 0, "Profitable", Sales_Data_1[[#This Row],[Profit_Amount]] = 0, "Break-Even", TRUE, "Loss")</f>
        <v>Profitable</v>
      </c>
      <c r="AA346" t="str" cm="1">
        <f t="array" ref="AA346">_xlfn.IFS(Sales_Data_1[[#This Row],[Sales]]&gt;= 1000, "High Value", Sales_Data_1[[#This Row],[Sales]]&gt;= 300, "Mid Value", TRUE, "Low Value")</f>
        <v>High Value</v>
      </c>
    </row>
    <row r="347" spans="1:27" x14ac:dyDescent="0.3">
      <c r="A347" t="s">
        <v>2258</v>
      </c>
      <c r="B347" s="1">
        <v>45144</v>
      </c>
      <c r="C347" t="s">
        <v>55</v>
      </c>
      <c r="D347" t="s">
        <v>56</v>
      </c>
      <c r="E347" t="s">
        <v>2042</v>
      </c>
      <c r="F347" t="s">
        <v>33</v>
      </c>
      <c r="G347" t="s">
        <v>24</v>
      </c>
      <c r="H347" t="s">
        <v>74</v>
      </c>
      <c r="I347" t="s">
        <v>506</v>
      </c>
      <c r="J347">
        <v>1</v>
      </c>
      <c r="K347">
        <v>12424</v>
      </c>
      <c r="L347">
        <v>0.08</v>
      </c>
      <c r="M347">
        <v>11430.08</v>
      </c>
      <c r="N347">
        <v>11430.08</v>
      </c>
      <c r="O347">
        <v>0.25</v>
      </c>
      <c r="P347">
        <v>2857.52</v>
      </c>
      <c r="Q347" t="s">
        <v>37</v>
      </c>
      <c r="R347" t="s">
        <v>48</v>
      </c>
      <c r="S347">
        <v>9</v>
      </c>
      <c r="T347">
        <f>YEAR(Sales_Data_1[[#This Row],[Order_Date]])</f>
        <v>2023</v>
      </c>
      <c r="U347" t="str">
        <f>TEXT(Sales_Data_1[[#This Row],[Order_Date]], "mmm")</f>
        <v>Aug</v>
      </c>
      <c r="V347">
        <f>MONTH(Sales_Data_1[[#This Row],[Order_Date]])</f>
        <v>8</v>
      </c>
      <c r="W347" t="str">
        <f>TEXT(Sales_Data_1[[#This Row],[Order_Date]], "yyyy-mm")</f>
        <v>2023-08</v>
      </c>
      <c r="X347">
        <f>Sales_Data_1[[#This Row],[Sales]]-Sales_Data_1[[#This Row],[Profit_Amount]]</f>
        <v>8572.56</v>
      </c>
      <c r="Y347" t="str" cm="1">
        <f t="array" ref="Y347">_xlfn.IFS(Sales_Data_1[[#This Row],[Delivery_Days]]&lt;=3, "Fast", Sales_Data_1[[#This Row],[Delivery_Days]]&lt;= 7, "Standard", TRUE, "Delayed")</f>
        <v>Delayed</v>
      </c>
      <c r="Z347" t="str" cm="1">
        <f t="array" ref="Z347">_xlfn.IFS(Sales_Data_1[[#This Row],[Profit_Amount]]&gt; 0, "Profitable", Sales_Data_1[[#This Row],[Profit_Amount]] = 0, "Break-Even", TRUE, "Loss")</f>
        <v>Profitable</v>
      </c>
      <c r="AA347" t="str" cm="1">
        <f t="array" ref="AA347">_xlfn.IFS(Sales_Data_1[[#This Row],[Sales]]&gt;= 1000, "High Value", Sales_Data_1[[#This Row],[Sales]]&gt;= 300, "Mid Value", TRUE, "Low Value")</f>
        <v>High Value</v>
      </c>
    </row>
    <row r="348" spans="1:27" x14ac:dyDescent="0.3">
      <c r="A348" t="s">
        <v>2952</v>
      </c>
      <c r="B348" s="1">
        <v>45838</v>
      </c>
      <c r="C348" t="s">
        <v>55</v>
      </c>
      <c r="D348" t="s">
        <v>21</v>
      </c>
      <c r="E348" t="s">
        <v>2040</v>
      </c>
      <c r="F348" t="s">
        <v>68</v>
      </c>
      <c r="G348" t="s">
        <v>44</v>
      </c>
      <c r="H348" t="s">
        <v>116</v>
      </c>
      <c r="I348" t="s">
        <v>1871</v>
      </c>
      <c r="J348">
        <v>3</v>
      </c>
      <c r="K348">
        <v>2852</v>
      </c>
      <c r="L348">
        <v>0.04</v>
      </c>
      <c r="M348">
        <v>2737.92</v>
      </c>
      <c r="N348">
        <v>8213.76</v>
      </c>
      <c r="O348">
        <v>0.35</v>
      </c>
      <c r="P348">
        <v>2874.82</v>
      </c>
      <c r="Q348" t="s">
        <v>51</v>
      </c>
      <c r="R348" t="s">
        <v>48</v>
      </c>
      <c r="S348">
        <v>9</v>
      </c>
      <c r="T348">
        <f>YEAR(Sales_Data_1[[#This Row],[Order_Date]])</f>
        <v>2025</v>
      </c>
      <c r="U348" t="str">
        <f>TEXT(Sales_Data_1[[#This Row],[Order_Date]], "mmm")</f>
        <v>Jun</v>
      </c>
      <c r="V348">
        <f>MONTH(Sales_Data_1[[#This Row],[Order_Date]])</f>
        <v>6</v>
      </c>
      <c r="W348" t="str">
        <f>TEXT(Sales_Data_1[[#This Row],[Order_Date]], "yyyy-mm")</f>
        <v>2025-06</v>
      </c>
      <c r="X348">
        <f>Sales_Data_1[[#This Row],[Sales]]-Sales_Data_1[[#This Row],[Profit_Amount]]</f>
        <v>5338.9400000000005</v>
      </c>
      <c r="Y348" t="str" cm="1">
        <f t="array" ref="Y348">_xlfn.IFS(Sales_Data_1[[#This Row],[Delivery_Days]]&lt;=3, "Fast", Sales_Data_1[[#This Row],[Delivery_Days]]&lt;= 7, "Standard", TRUE, "Delayed")</f>
        <v>Delayed</v>
      </c>
      <c r="Z348" t="str" cm="1">
        <f t="array" ref="Z348">_xlfn.IFS(Sales_Data_1[[#This Row],[Profit_Amount]]&gt; 0, "Profitable", Sales_Data_1[[#This Row],[Profit_Amount]] = 0, "Break-Even", TRUE, "Loss")</f>
        <v>Profitable</v>
      </c>
      <c r="AA348" t="str" cm="1">
        <f t="array" ref="AA348">_xlfn.IFS(Sales_Data_1[[#This Row],[Sales]]&gt;= 1000, "High Value", Sales_Data_1[[#This Row],[Sales]]&gt;= 300, "Mid Value", TRUE, "Low Value")</f>
        <v>High Value</v>
      </c>
    </row>
    <row r="349" spans="1:27" x14ac:dyDescent="0.3">
      <c r="A349" t="s">
        <v>2043</v>
      </c>
      <c r="B349" s="1">
        <v>44929</v>
      </c>
      <c r="C349" t="s">
        <v>40</v>
      </c>
      <c r="D349" t="s">
        <v>41</v>
      </c>
      <c r="E349" t="s">
        <v>42</v>
      </c>
      <c r="F349" t="s">
        <v>43</v>
      </c>
      <c r="G349" t="s">
        <v>44</v>
      </c>
      <c r="H349" t="s">
        <v>45</v>
      </c>
      <c r="I349" t="s">
        <v>46</v>
      </c>
      <c r="J349">
        <v>4</v>
      </c>
      <c r="K349">
        <v>2395</v>
      </c>
      <c r="L349">
        <v>0.14000000000000001</v>
      </c>
      <c r="M349">
        <v>2059.6999999999998</v>
      </c>
      <c r="N349">
        <v>8238.7999999999993</v>
      </c>
      <c r="O349">
        <v>0.35</v>
      </c>
      <c r="P349">
        <v>2883.58</v>
      </c>
      <c r="Q349" t="s">
        <v>47</v>
      </c>
      <c r="R349" t="s">
        <v>48</v>
      </c>
      <c r="S349">
        <v>6</v>
      </c>
      <c r="T349">
        <f>YEAR(Sales_Data_1[[#This Row],[Order_Date]])</f>
        <v>2023</v>
      </c>
      <c r="U349" t="str">
        <f>TEXT(Sales_Data_1[[#This Row],[Order_Date]], "mmm")</f>
        <v>Jan</v>
      </c>
      <c r="V349">
        <f>MONTH(Sales_Data_1[[#This Row],[Order_Date]])</f>
        <v>1</v>
      </c>
      <c r="W349" t="str">
        <f>TEXT(Sales_Data_1[[#This Row],[Order_Date]], "yyyy-mm")</f>
        <v>2023-01</v>
      </c>
      <c r="X349">
        <f>Sales_Data_1[[#This Row],[Sales]]-Sales_Data_1[[#This Row],[Profit_Amount]]</f>
        <v>5355.2199999999993</v>
      </c>
      <c r="Y349" t="str" cm="1">
        <f t="array" ref="Y349">_xlfn.IFS(Sales_Data_1[[#This Row],[Delivery_Days]]&lt;=3, "Fast", Sales_Data_1[[#This Row],[Delivery_Days]]&lt;= 7, "Standard", TRUE, "Delayed")</f>
        <v>Standard</v>
      </c>
      <c r="Z349" t="str" cm="1">
        <f t="array" ref="Z349">_xlfn.IFS(Sales_Data_1[[#This Row],[Profit_Amount]]&gt; 0, "Profitable", Sales_Data_1[[#This Row],[Profit_Amount]] = 0, "Break-Even", TRUE, "Loss")</f>
        <v>Profitable</v>
      </c>
      <c r="AA349" t="str" cm="1">
        <f t="array" ref="AA349">_xlfn.IFS(Sales_Data_1[[#This Row],[Sales]]&gt;= 1000, "High Value", Sales_Data_1[[#This Row],[Sales]]&gt;= 300, "Mid Value", TRUE, "Low Value")</f>
        <v>High Value</v>
      </c>
    </row>
    <row r="350" spans="1:27" x14ac:dyDescent="0.3">
      <c r="A350" t="s">
        <v>2635</v>
      </c>
      <c r="B350" s="1">
        <v>45521</v>
      </c>
      <c r="C350" t="s">
        <v>55</v>
      </c>
      <c r="D350" t="s">
        <v>41</v>
      </c>
      <c r="E350" t="s">
        <v>2040</v>
      </c>
      <c r="F350" t="s">
        <v>23</v>
      </c>
      <c r="G350" t="s">
        <v>24</v>
      </c>
      <c r="H350" t="s">
        <v>121</v>
      </c>
      <c r="I350" t="s">
        <v>1251</v>
      </c>
      <c r="J350">
        <v>1</v>
      </c>
      <c r="K350">
        <v>13027</v>
      </c>
      <c r="L350">
        <v>0.11</v>
      </c>
      <c r="M350">
        <v>11594.03</v>
      </c>
      <c r="N350">
        <v>11594.03</v>
      </c>
      <c r="O350">
        <v>0.25</v>
      </c>
      <c r="P350">
        <v>2898.51</v>
      </c>
      <c r="Q350" t="s">
        <v>47</v>
      </c>
      <c r="R350" t="s">
        <v>28</v>
      </c>
      <c r="S350">
        <v>9</v>
      </c>
      <c r="T350">
        <f>YEAR(Sales_Data_1[[#This Row],[Order_Date]])</f>
        <v>2024</v>
      </c>
      <c r="U350" t="str">
        <f>TEXT(Sales_Data_1[[#This Row],[Order_Date]], "mmm")</f>
        <v>Aug</v>
      </c>
      <c r="V350">
        <f>MONTH(Sales_Data_1[[#This Row],[Order_Date]])</f>
        <v>8</v>
      </c>
      <c r="W350" t="str">
        <f>TEXT(Sales_Data_1[[#This Row],[Order_Date]], "yyyy-mm")</f>
        <v>2024-08</v>
      </c>
      <c r="X350">
        <f>Sales_Data_1[[#This Row],[Sales]]-Sales_Data_1[[#This Row],[Profit_Amount]]</f>
        <v>8695.52</v>
      </c>
      <c r="Y350" t="str" cm="1">
        <f t="array" ref="Y350">_xlfn.IFS(Sales_Data_1[[#This Row],[Delivery_Days]]&lt;=3, "Fast", Sales_Data_1[[#This Row],[Delivery_Days]]&lt;= 7, "Standard", TRUE, "Delayed")</f>
        <v>Delayed</v>
      </c>
      <c r="Z350" t="str" cm="1">
        <f t="array" ref="Z350">_xlfn.IFS(Sales_Data_1[[#This Row],[Profit_Amount]]&gt; 0, "Profitable", Sales_Data_1[[#This Row],[Profit_Amount]] = 0, "Break-Even", TRUE, "Loss")</f>
        <v>Profitable</v>
      </c>
      <c r="AA350" t="str" cm="1">
        <f t="array" ref="AA350">_xlfn.IFS(Sales_Data_1[[#This Row],[Sales]]&gt;= 1000, "High Value", Sales_Data_1[[#This Row],[Sales]]&gt;= 300, "Mid Value", TRUE, "Low Value")</f>
        <v>High Value</v>
      </c>
    </row>
    <row r="351" spans="1:27" x14ac:dyDescent="0.3">
      <c r="A351" t="s">
        <v>2880</v>
      </c>
      <c r="B351" s="1">
        <v>45766</v>
      </c>
      <c r="C351" t="s">
        <v>96</v>
      </c>
      <c r="D351" t="s">
        <v>56</v>
      </c>
      <c r="E351" t="s">
        <v>2042</v>
      </c>
      <c r="F351" t="s">
        <v>103</v>
      </c>
      <c r="G351" t="s">
        <v>44</v>
      </c>
      <c r="H351" t="s">
        <v>45</v>
      </c>
      <c r="I351" t="s">
        <v>1730</v>
      </c>
      <c r="J351">
        <v>2</v>
      </c>
      <c r="K351">
        <v>4420</v>
      </c>
      <c r="L351">
        <v>0.06</v>
      </c>
      <c r="M351">
        <v>4154.8</v>
      </c>
      <c r="N351">
        <v>8309.6</v>
      </c>
      <c r="O351">
        <v>0.35</v>
      </c>
      <c r="P351">
        <v>2908.36</v>
      </c>
      <c r="Q351" t="s">
        <v>51</v>
      </c>
      <c r="R351" t="s">
        <v>48</v>
      </c>
      <c r="S351">
        <v>1</v>
      </c>
      <c r="T351">
        <f>YEAR(Sales_Data_1[[#This Row],[Order_Date]])</f>
        <v>2025</v>
      </c>
      <c r="U351" t="str">
        <f>TEXT(Sales_Data_1[[#This Row],[Order_Date]], "mmm")</f>
        <v>Apr</v>
      </c>
      <c r="V351">
        <f>MONTH(Sales_Data_1[[#This Row],[Order_Date]])</f>
        <v>4</v>
      </c>
      <c r="W351" t="str">
        <f>TEXT(Sales_Data_1[[#This Row],[Order_Date]], "yyyy-mm")</f>
        <v>2025-04</v>
      </c>
      <c r="X351">
        <f>Sales_Data_1[[#This Row],[Sales]]-Sales_Data_1[[#This Row],[Profit_Amount]]</f>
        <v>5401.24</v>
      </c>
      <c r="Y351" t="str" cm="1">
        <f t="array" ref="Y351">_xlfn.IFS(Sales_Data_1[[#This Row],[Delivery_Days]]&lt;=3, "Fast", Sales_Data_1[[#This Row],[Delivery_Days]]&lt;= 7, "Standard", TRUE, "Delayed")</f>
        <v>Fast</v>
      </c>
      <c r="Z351" t="str" cm="1">
        <f t="array" ref="Z351">_xlfn.IFS(Sales_Data_1[[#This Row],[Profit_Amount]]&gt; 0, "Profitable", Sales_Data_1[[#This Row],[Profit_Amount]] = 0, "Break-Even", TRUE, "Loss")</f>
        <v>Profitable</v>
      </c>
      <c r="AA351" t="str" cm="1">
        <f t="array" ref="AA351">_xlfn.IFS(Sales_Data_1[[#This Row],[Sales]]&gt;= 1000, "High Value", Sales_Data_1[[#This Row],[Sales]]&gt;= 300, "Mid Value", TRUE, "Low Value")</f>
        <v>High Value</v>
      </c>
    </row>
    <row r="352" spans="1:27" x14ac:dyDescent="0.3">
      <c r="A352" t="s">
        <v>2256</v>
      </c>
      <c r="B352" s="1">
        <v>45142</v>
      </c>
      <c r="C352" t="s">
        <v>20</v>
      </c>
      <c r="D352" t="s">
        <v>41</v>
      </c>
      <c r="E352" t="s">
        <v>2042</v>
      </c>
      <c r="F352" t="s">
        <v>23</v>
      </c>
      <c r="G352" t="s">
        <v>44</v>
      </c>
      <c r="H352" t="s">
        <v>64</v>
      </c>
      <c r="I352" t="s">
        <v>502</v>
      </c>
      <c r="J352">
        <v>8</v>
      </c>
      <c r="K352">
        <v>1074</v>
      </c>
      <c r="L352">
        <v>0.03</v>
      </c>
      <c r="M352">
        <v>1041.78</v>
      </c>
      <c r="N352">
        <v>8334.24</v>
      </c>
      <c r="O352">
        <v>0.35</v>
      </c>
      <c r="P352">
        <v>2916.98</v>
      </c>
      <c r="Q352" t="s">
        <v>47</v>
      </c>
      <c r="R352" t="s">
        <v>48</v>
      </c>
      <c r="S352">
        <v>4</v>
      </c>
      <c r="T352">
        <f>YEAR(Sales_Data_1[[#This Row],[Order_Date]])</f>
        <v>2023</v>
      </c>
      <c r="U352" t="str">
        <f>TEXT(Sales_Data_1[[#This Row],[Order_Date]], "mmm")</f>
        <v>Aug</v>
      </c>
      <c r="V352">
        <f>MONTH(Sales_Data_1[[#This Row],[Order_Date]])</f>
        <v>8</v>
      </c>
      <c r="W352" t="str">
        <f>TEXT(Sales_Data_1[[#This Row],[Order_Date]], "yyyy-mm")</f>
        <v>2023-08</v>
      </c>
      <c r="X352">
        <f>Sales_Data_1[[#This Row],[Sales]]-Sales_Data_1[[#This Row],[Profit_Amount]]</f>
        <v>5417.26</v>
      </c>
      <c r="Y352" t="str" cm="1">
        <f t="array" ref="Y352">_xlfn.IFS(Sales_Data_1[[#This Row],[Delivery_Days]]&lt;=3, "Fast", Sales_Data_1[[#This Row],[Delivery_Days]]&lt;= 7, "Standard", TRUE, "Delayed")</f>
        <v>Standard</v>
      </c>
      <c r="Z352" t="str" cm="1">
        <f t="array" ref="Z352">_xlfn.IFS(Sales_Data_1[[#This Row],[Profit_Amount]]&gt; 0, "Profitable", Sales_Data_1[[#This Row],[Profit_Amount]] = 0, "Break-Even", TRUE, "Loss")</f>
        <v>Profitable</v>
      </c>
      <c r="AA352" t="str" cm="1">
        <f t="array" ref="AA352">_xlfn.IFS(Sales_Data_1[[#This Row],[Sales]]&gt;= 1000, "High Value", Sales_Data_1[[#This Row],[Sales]]&gt;= 300, "Mid Value", TRUE, "Low Value")</f>
        <v>High Value</v>
      </c>
    </row>
    <row r="353" spans="1:27" x14ac:dyDescent="0.3">
      <c r="A353" t="s">
        <v>2769</v>
      </c>
      <c r="B353" s="1">
        <v>45655</v>
      </c>
      <c r="C353" t="s">
        <v>63</v>
      </c>
      <c r="D353" t="s">
        <v>31</v>
      </c>
      <c r="E353" t="s">
        <v>67</v>
      </c>
      <c r="F353" t="s">
        <v>103</v>
      </c>
      <c r="G353" t="s">
        <v>44</v>
      </c>
      <c r="H353" t="s">
        <v>138</v>
      </c>
      <c r="I353" t="s">
        <v>1512</v>
      </c>
      <c r="J353">
        <v>3</v>
      </c>
      <c r="K353">
        <v>2960</v>
      </c>
      <c r="L353">
        <v>0.06</v>
      </c>
      <c r="M353">
        <v>2782.4</v>
      </c>
      <c r="N353">
        <v>8347.2000000000007</v>
      </c>
      <c r="O353">
        <v>0.35</v>
      </c>
      <c r="P353">
        <v>2921.52</v>
      </c>
      <c r="Q353" t="s">
        <v>51</v>
      </c>
      <c r="R353" t="s">
        <v>48</v>
      </c>
      <c r="S353">
        <v>2</v>
      </c>
      <c r="T353">
        <f>YEAR(Sales_Data_1[[#This Row],[Order_Date]])</f>
        <v>2024</v>
      </c>
      <c r="U353" t="str">
        <f>TEXT(Sales_Data_1[[#This Row],[Order_Date]], "mmm")</f>
        <v>Dec</v>
      </c>
      <c r="V353">
        <f>MONTH(Sales_Data_1[[#This Row],[Order_Date]])</f>
        <v>12</v>
      </c>
      <c r="W353" t="str">
        <f>TEXT(Sales_Data_1[[#This Row],[Order_Date]], "yyyy-mm")</f>
        <v>2024-12</v>
      </c>
      <c r="X353">
        <f>Sales_Data_1[[#This Row],[Sales]]-Sales_Data_1[[#This Row],[Profit_Amount]]</f>
        <v>5425.68</v>
      </c>
      <c r="Y353" t="str" cm="1">
        <f t="array" ref="Y353">_xlfn.IFS(Sales_Data_1[[#This Row],[Delivery_Days]]&lt;=3, "Fast", Sales_Data_1[[#This Row],[Delivery_Days]]&lt;= 7, "Standard", TRUE, "Delayed")</f>
        <v>Fast</v>
      </c>
      <c r="Z353" t="str" cm="1">
        <f t="array" ref="Z353">_xlfn.IFS(Sales_Data_1[[#This Row],[Profit_Amount]]&gt; 0, "Profitable", Sales_Data_1[[#This Row],[Profit_Amount]] = 0, "Break-Even", TRUE, "Loss")</f>
        <v>Profitable</v>
      </c>
      <c r="AA353" t="str" cm="1">
        <f t="array" ref="AA353">_xlfn.IFS(Sales_Data_1[[#This Row],[Sales]]&gt;= 1000, "High Value", Sales_Data_1[[#This Row],[Sales]]&gt;= 300, "Mid Value", TRUE, "Low Value")</f>
        <v>High Value</v>
      </c>
    </row>
    <row r="354" spans="1:27" x14ac:dyDescent="0.3">
      <c r="A354" t="s">
        <v>2450</v>
      </c>
      <c r="B354" s="1">
        <v>45336</v>
      </c>
      <c r="C354" t="s">
        <v>63</v>
      </c>
      <c r="D354" t="s">
        <v>41</v>
      </c>
      <c r="E354" t="s">
        <v>2040</v>
      </c>
      <c r="F354" t="s">
        <v>68</v>
      </c>
      <c r="G354" t="s">
        <v>24</v>
      </c>
      <c r="H354" t="s">
        <v>25</v>
      </c>
      <c r="I354" t="s">
        <v>886</v>
      </c>
      <c r="J354">
        <v>3</v>
      </c>
      <c r="K354">
        <v>4874</v>
      </c>
      <c r="L354">
        <v>0.2</v>
      </c>
      <c r="M354">
        <v>3899.2</v>
      </c>
      <c r="N354">
        <v>11697.6</v>
      </c>
      <c r="O354">
        <v>0.25</v>
      </c>
      <c r="P354">
        <v>2924.4</v>
      </c>
      <c r="Q354" t="s">
        <v>27</v>
      </c>
      <c r="R354" t="s">
        <v>48</v>
      </c>
      <c r="S354">
        <v>8</v>
      </c>
      <c r="T354">
        <f>YEAR(Sales_Data_1[[#This Row],[Order_Date]])</f>
        <v>2024</v>
      </c>
      <c r="U354" t="str">
        <f>TEXT(Sales_Data_1[[#This Row],[Order_Date]], "mmm")</f>
        <v>Feb</v>
      </c>
      <c r="V354">
        <f>MONTH(Sales_Data_1[[#This Row],[Order_Date]])</f>
        <v>2</v>
      </c>
      <c r="W354" t="str">
        <f>TEXT(Sales_Data_1[[#This Row],[Order_Date]], "yyyy-mm")</f>
        <v>2024-02</v>
      </c>
      <c r="X354">
        <f>Sales_Data_1[[#This Row],[Sales]]-Sales_Data_1[[#This Row],[Profit_Amount]]</f>
        <v>8773.2000000000007</v>
      </c>
      <c r="Y354" t="str" cm="1">
        <f t="array" ref="Y354">_xlfn.IFS(Sales_Data_1[[#This Row],[Delivery_Days]]&lt;=3, "Fast", Sales_Data_1[[#This Row],[Delivery_Days]]&lt;= 7, "Standard", TRUE, "Delayed")</f>
        <v>Delayed</v>
      </c>
      <c r="Z354" t="str" cm="1">
        <f t="array" ref="Z354">_xlfn.IFS(Sales_Data_1[[#This Row],[Profit_Amount]]&gt; 0, "Profitable", Sales_Data_1[[#This Row],[Profit_Amount]] = 0, "Break-Even", TRUE, "Loss")</f>
        <v>Profitable</v>
      </c>
      <c r="AA354" t="str" cm="1">
        <f t="array" ref="AA354">_xlfn.IFS(Sales_Data_1[[#This Row],[Sales]]&gt;= 1000, "High Value", Sales_Data_1[[#This Row],[Sales]]&gt;= 300, "Mid Value", TRUE, "Low Value")</f>
        <v>High Value</v>
      </c>
    </row>
    <row r="355" spans="1:27" x14ac:dyDescent="0.3">
      <c r="A355" t="s">
        <v>2796</v>
      </c>
      <c r="B355" s="1">
        <v>45682</v>
      </c>
      <c r="C355" t="s">
        <v>20</v>
      </c>
      <c r="D355" t="s">
        <v>41</v>
      </c>
      <c r="E355" t="s">
        <v>42</v>
      </c>
      <c r="F355" t="s">
        <v>43</v>
      </c>
      <c r="G355" t="s">
        <v>44</v>
      </c>
      <c r="H355" t="s">
        <v>116</v>
      </c>
      <c r="I355" t="s">
        <v>1565</v>
      </c>
      <c r="J355">
        <v>6</v>
      </c>
      <c r="K355">
        <v>1537</v>
      </c>
      <c r="L355">
        <v>0.09</v>
      </c>
      <c r="M355">
        <v>1398.67</v>
      </c>
      <c r="N355">
        <v>8392.02</v>
      </c>
      <c r="O355">
        <v>0.35</v>
      </c>
      <c r="P355">
        <v>2937.21</v>
      </c>
      <c r="Q355" t="s">
        <v>27</v>
      </c>
      <c r="R355" t="s">
        <v>48</v>
      </c>
      <c r="S355">
        <v>2</v>
      </c>
      <c r="T355">
        <f>YEAR(Sales_Data_1[[#This Row],[Order_Date]])</f>
        <v>2025</v>
      </c>
      <c r="U355" t="str">
        <f>TEXT(Sales_Data_1[[#This Row],[Order_Date]], "mmm")</f>
        <v>Jan</v>
      </c>
      <c r="V355">
        <f>MONTH(Sales_Data_1[[#This Row],[Order_Date]])</f>
        <v>1</v>
      </c>
      <c r="W355" t="str">
        <f>TEXT(Sales_Data_1[[#This Row],[Order_Date]], "yyyy-mm")</f>
        <v>2025-01</v>
      </c>
      <c r="X355">
        <f>Sales_Data_1[[#This Row],[Sales]]-Sales_Data_1[[#This Row],[Profit_Amount]]</f>
        <v>5454.81</v>
      </c>
      <c r="Y355" t="str" cm="1">
        <f t="array" ref="Y355">_xlfn.IFS(Sales_Data_1[[#This Row],[Delivery_Days]]&lt;=3, "Fast", Sales_Data_1[[#This Row],[Delivery_Days]]&lt;= 7, "Standard", TRUE, "Delayed")</f>
        <v>Fast</v>
      </c>
      <c r="Z355" t="str" cm="1">
        <f t="array" ref="Z355">_xlfn.IFS(Sales_Data_1[[#This Row],[Profit_Amount]]&gt; 0, "Profitable", Sales_Data_1[[#This Row],[Profit_Amount]] = 0, "Break-Even", TRUE, "Loss")</f>
        <v>Profitable</v>
      </c>
      <c r="AA355" t="str" cm="1">
        <f t="array" ref="AA355">_xlfn.IFS(Sales_Data_1[[#This Row],[Sales]]&gt;= 1000, "High Value", Sales_Data_1[[#This Row],[Sales]]&gt;= 300, "Mid Value", TRUE, "Low Value")</f>
        <v>High Value</v>
      </c>
    </row>
    <row r="356" spans="1:27" x14ac:dyDescent="0.3">
      <c r="A356" t="s">
        <v>3034</v>
      </c>
      <c r="B356" s="1">
        <v>45920</v>
      </c>
      <c r="C356" t="s">
        <v>96</v>
      </c>
      <c r="D356" t="s">
        <v>41</v>
      </c>
      <c r="E356" t="s">
        <v>67</v>
      </c>
      <c r="F356" t="s">
        <v>23</v>
      </c>
      <c r="G356" t="s">
        <v>57</v>
      </c>
      <c r="H356" t="s">
        <v>183</v>
      </c>
      <c r="I356" t="s">
        <v>2026</v>
      </c>
      <c r="J356">
        <v>6</v>
      </c>
      <c r="K356">
        <v>2475</v>
      </c>
      <c r="L356">
        <v>0.01</v>
      </c>
      <c r="M356">
        <v>2450.25</v>
      </c>
      <c r="N356">
        <v>14701.5</v>
      </c>
      <c r="O356">
        <v>0.2</v>
      </c>
      <c r="P356">
        <v>2940.3</v>
      </c>
      <c r="Q356" t="s">
        <v>37</v>
      </c>
      <c r="R356" t="s">
        <v>48</v>
      </c>
      <c r="S356">
        <v>2</v>
      </c>
      <c r="T356">
        <f>YEAR(Sales_Data_1[[#This Row],[Order_Date]])</f>
        <v>2025</v>
      </c>
      <c r="U356" t="str">
        <f>TEXT(Sales_Data_1[[#This Row],[Order_Date]], "mmm")</f>
        <v>Sep</v>
      </c>
      <c r="V356">
        <f>MONTH(Sales_Data_1[[#This Row],[Order_Date]])</f>
        <v>9</v>
      </c>
      <c r="W356" t="str">
        <f>TEXT(Sales_Data_1[[#This Row],[Order_Date]], "yyyy-mm")</f>
        <v>2025-09</v>
      </c>
      <c r="X356">
        <f>Sales_Data_1[[#This Row],[Sales]]-Sales_Data_1[[#This Row],[Profit_Amount]]</f>
        <v>11761.2</v>
      </c>
      <c r="Y356" t="str" cm="1">
        <f t="array" ref="Y356">_xlfn.IFS(Sales_Data_1[[#This Row],[Delivery_Days]]&lt;=3, "Fast", Sales_Data_1[[#This Row],[Delivery_Days]]&lt;= 7, "Standard", TRUE, "Delayed")</f>
        <v>Fast</v>
      </c>
      <c r="Z356" t="str" cm="1">
        <f t="array" ref="Z356">_xlfn.IFS(Sales_Data_1[[#This Row],[Profit_Amount]]&gt; 0, "Profitable", Sales_Data_1[[#This Row],[Profit_Amount]] = 0, "Break-Even", TRUE, "Loss")</f>
        <v>Profitable</v>
      </c>
      <c r="AA356" t="str" cm="1">
        <f t="array" ref="AA356">_xlfn.IFS(Sales_Data_1[[#This Row],[Sales]]&gt;= 1000, "High Value", Sales_Data_1[[#This Row],[Sales]]&gt;= 300, "Mid Value", TRUE, "Low Value")</f>
        <v>High Value</v>
      </c>
    </row>
    <row r="357" spans="1:27" x14ac:dyDescent="0.3">
      <c r="A357" t="s">
        <v>2120</v>
      </c>
      <c r="B357" s="1">
        <v>45006</v>
      </c>
      <c r="C357" t="s">
        <v>30</v>
      </c>
      <c r="D357" t="s">
        <v>41</v>
      </c>
      <c r="E357" t="s">
        <v>42</v>
      </c>
      <c r="F357" t="s">
        <v>43</v>
      </c>
      <c r="G357" t="s">
        <v>24</v>
      </c>
      <c r="H357" t="s">
        <v>121</v>
      </c>
      <c r="I357" t="s">
        <v>229</v>
      </c>
      <c r="J357">
        <v>6</v>
      </c>
      <c r="K357">
        <v>2394</v>
      </c>
      <c r="L357">
        <v>0.18</v>
      </c>
      <c r="M357">
        <v>1963.08</v>
      </c>
      <c r="N357">
        <v>11778.48</v>
      </c>
      <c r="O357">
        <v>0.25</v>
      </c>
      <c r="P357">
        <v>2944.62</v>
      </c>
      <c r="Q357" t="s">
        <v>27</v>
      </c>
      <c r="R357" t="s">
        <v>38</v>
      </c>
      <c r="S357">
        <v>5</v>
      </c>
      <c r="T357">
        <f>YEAR(Sales_Data_1[[#This Row],[Order_Date]])</f>
        <v>2023</v>
      </c>
      <c r="U357" t="str">
        <f>TEXT(Sales_Data_1[[#This Row],[Order_Date]], "mmm")</f>
        <v>Mar</v>
      </c>
      <c r="V357">
        <f>MONTH(Sales_Data_1[[#This Row],[Order_Date]])</f>
        <v>3</v>
      </c>
      <c r="W357" t="str">
        <f>TEXT(Sales_Data_1[[#This Row],[Order_Date]], "yyyy-mm")</f>
        <v>2023-03</v>
      </c>
      <c r="X357">
        <f>Sales_Data_1[[#This Row],[Sales]]-Sales_Data_1[[#This Row],[Profit_Amount]]</f>
        <v>8833.86</v>
      </c>
      <c r="Y357" t="str" cm="1">
        <f t="array" ref="Y357">_xlfn.IFS(Sales_Data_1[[#This Row],[Delivery_Days]]&lt;=3, "Fast", Sales_Data_1[[#This Row],[Delivery_Days]]&lt;= 7, "Standard", TRUE, "Delayed")</f>
        <v>Standard</v>
      </c>
      <c r="Z357" t="str" cm="1">
        <f t="array" ref="Z357">_xlfn.IFS(Sales_Data_1[[#This Row],[Profit_Amount]]&gt; 0, "Profitable", Sales_Data_1[[#This Row],[Profit_Amount]] = 0, "Break-Even", TRUE, "Loss")</f>
        <v>Profitable</v>
      </c>
      <c r="AA357" t="str" cm="1">
        <f t="array" ref="AA357">_xlfn.IFS(Sales_Data_1[[#This Row],[Sales]]&gt;= 1000, "High Value", Sales_Data_1[[#This Row],[Sales]]&gt;= 300, "Mid Value", TRUE, "Low Value")</f>
        <v>High Value</v>
      </c>
    </row>
    <row r="358" spans="1:27" x14ac:dyDescent="0.3">
      <c r="A358" t="s">
        <v>2986</v>
      </c>
      <c r="B358" s="1">
        <v>45872</v>
      </c>
      <c r="C358" t="s">
        <v>40</v>
      </c>
      <c r="D358" t="s">
        <v>21</v>
      </c>
      <c r="E358" t="s">
        <v>42</v>
      </c>
      <c r="F358" t="s">
        <v>97</v>
      </c>
      <c r="G358" t="s">
        <v>44</v>
      </c>
      <c r="H358" t="s">
        <v>116</v>
      </c>
      <c r="I358" t="s">
        <v>1934</v>
      </c>
      <c r="J358">
        <v>2</v>
      </c>
      <c r="K358">
        <v>4250</v>
      </c>
      <c r="L358">
        <v>0.01</v>
      </c>
      <c r="M358">
        <v>4207.5</v>
      </c>
      <c r="N358">
        <v>8415</v>
      </c>
      <c r="O358">
        <v>0.35</v>
      </c>
      <c r="P358">
        <v>2945.25</v>
      </c>
      <c r="Q358" t="s">
        <v>37</v>
      </c>
      <c r="R358" t="s">
        <v>48</v>
      </c>
      <c r="S358">
        <v>8</v>
      </c>
      <c r="T358">
        <f>YEAR(Sales_Data_1[[#This Row],[Order_Date]])</f>
        <v>2025</v>
      </c>
      <c r="U358" t="str">
        <f>TEXT(Sales_Data_1[[#This Row],[Order_Date]], "mmm")</f>
        <v>Aug</v>
      </c>
      <c r="V358">
        <f>MONTH(Sales_Data_1[[#This Row],[Order_Date]])</f>
        <v>8</v>
      </c>
      <c r="W358" t="str">
        <f>TEXT(Sales_Data_1[[#This Row],[Order_Date]], "yyyy-mm")</f>
        <v>2025-08</v>
      </c>
      <c r="X358">
        <f>Sales_Data_1[[#This Row],[Sales]]-Sales_Data_1[[#This Row],[Profit_Amount]]</f>
        <v>5469.75</v>
      </c>
      <c r="Y358" t="str" cm="1">
        <f t="array" ref="Y358">_xlfn.IFS(Sales_Data_1[[#This Row],[Delivery_Days]]&lt;=3, "Fast", Sales_Data_1[[#This Row],[Delivery_Days]]&lt;= 7, "Standard", TRUE, "Delayed")</f>
        <v>Delayed</v>
      </c>
      <c r="Z358" t="str" cm="1">
        <f t="array" ref="Z358">_xlfn.IFS(Sales_Data_1[[#This Row],[Profit_Amount]]&gt; 0, "Profitable", Sales_Data_1[[#This Row],[Profit_Amount]] = 0, "Break-Even", TRUE, "Loss")</f>
        <v>Profitable</v>
      </c>
      <c r="AA358" t="str" cm="1">
        <f t="array" ref="AA358">_xlfn.IFS(Sales_Data_1[[#This Row],[Sales]]&gt;= 1000, "High Value", Sales_Data_1[[#This Row],[Sales]]&gt;= 300, "Mid Value", TRUE, "Low Value")</f>
        <v>High Value</v>
      </c>
    </row>
    <row r="359" spans="1:27" x14ac:dyDescent="0.3">
      <c r="A359" t="s">
        <v>2817</v>
      </c>
      <c r="B359" s="1">
        <v>45703</v>
      </c>
      <c r="C359" t="s">
        <v>96</v>
      </c>
      <c r="D359" t="s">
        <v>31</v>
      </c>
      <c r="E359" t="s">
        <v>42</v>
      </c>
      <c r="F359" t="s">
        <v>97</v>
      </c>
      <c r="G359" t="s">
        <v>57</v>
      </c>
      <c r="H359" t="s">
        <v>58</v>
      </c>
      <c r="I359" t="s">
        <v>1606</v>
      </c>
      <c r="J359">
        <v>6</v>
      </c>
      <c r="K359">
        <v>3080</v>
      </c>
      <c r="L359">
        <v>0.2</v>
      </c>
      <c r="M359">
        <v>2464</v>
      </c>
      <c r="N359">
        <v>14784</v>
      </c>
      <c r="O359">
        <v>0.2</v>
      </c>
      <c r="P359">
        <v>2956.8</v>
      </c>
      <c r="Q359" t="s">
        <v>27</v>
      </c>
      <c r="R359" t="s">
        <v>28</v>
      </c>
      <c r="S359">
        <v>6</v>
      </c>
      <c r="T359">
        <f>YEAR(Sales_Data_1[[#This Row],[Order_Date]])</f>
        <v>2025</v>
      </c>
      <c r="U359" t="str">
        <f>TEXT(Sales_Data_1[[#This Row],[Order_Date]], "mmm")</f>
        <v>Feb</v>
      </c>
      <c r="V359">
        <f>MONTH(Sales_Data_1[[#This Row],[Order_Date]])</f>
        <v>2</v>
      </c>
      <c r="W359" t="str">
        <f>TEXT(Sales_Data_1[[#This Row],[Order_Date]], "yyyy-mm")</f>
        <v>2025-02</v>
      </c>
      <c r="X359">
        <f>Sales_Data_1[[#This Row],[Sales]]-Sales_Data_1[[#This Row],[Profit_Amount]]</f>
        <v>11827.2</v>
      </c>
      <c r="Y359" t="str" cm="1">
        <f t="array" ref="Y359">_xlfn.IFS(Sales_Data_1[[#This Row],[Delivery_Days]]&lt;=3, "Fast", Sales_Data_1[[#This Row],[Delivery_Days]]&lt;= 7, "Standard", TRUE, "Delayed")</f>
        <v>Standard</v>
      </c>
      <c r="Z359" t="str" cm="1">
        <f t="array" ref="Z359">_xlfn.IFS(Sales_Data_1[[#This Row],[Profit_Amount]]&gt; 0, "Profitable", Sales_Data_1[[#This Row],[Profit_Amount]] = 0, "Break-Even", TRUE, "Loss")</f>
        <v>Profitable</v>
      </c>
      <c r="AA359" t="str" cm="1">
        <f t="array" ref="AA359">_xlfn.IFS(Sales_Data_1[[#This Row],[Sales]]&gt;= 1000, "High Value", Sales_Data_1[[#This Row],[Sales]]&gt;= 300, "Mid Value", TRUE, "Low Value")</f>
        <v>High Value</v>
      </c>
    </row>
    <row r="360" spans="1:27" x14ac:dyDescent="0.3">
      <c r="A360" t="s">
        <v>2101</v>
      </c>
      <c r="B360" s="1">
        <v>44987</v>
      </c>
      <c r="C360" t="s">
        <v>55</v>
      </c>
      <c r="D360" t="s">
        <v>41</v>
      </c>
      <c r="E360" t="s">
        <v>67</v>
      </c>
      <c r="F360" t="s">
        <v>43</v>
      </c>
      <c r="G360" t="s">
        <v>57</v>
      </c>
      <c r="H360" t="s">
        <v>183</v>
      </c>
      <c r="I360" t="s">
        <v>191</v>
      </c>
      <c r="J360">
        <v>4</v>
      </c>
      <c r="K360">
        <v>4071</v>
      </c>
      <c r="L360">
        <v>0.09</v>
      </c>
      <c r="M360">
        <v>3704.61</v>
      </c>
      <c r="N360">
        <v>14818.44</v>
      </c>
      <c r="O360">
        <v>0.2</v>
      </c>
      <c r="P360">
        <v>2963.69</v>
      </c>
      <c r="Q360" t="s">
        <v>47</v>
      </c>
      <c r="R360" t="s">
        <v>48</v>
      </c>
      <c r="S360">
        <v>5</v>
      </c>
      <c r="T360">
        <f>YEAR(Sales_Data_1[[#This Row],[Order_Date]])</f>
        <v>2023</v>
      </c>
      <c r="U360" t="str">
        <f>TEXT(Sales_Data_1[[#This Row],[Order_Date]], "mmm")</f>
        <v>Mar</v>
      </c>
      <c r="V360">
        <f>MONTH(Sales_Data_1[[#This Row],[Order_Date]])</f>
        <v>3</v>
      </c>
      <c r="W360" t="str">
        <f>TEXT(Sales_Data_1[[#This Row],[Order_Date]], "yyyy-mm")</f>
        <v>2023-03</v>
      </c>
      <c r="X360">
        <f>Sales_Data_1[[#This Row],[Sales]]-Sales_Data_1[[#This Row],[Profit_Amount]]</f>
        <v>11854.75</v>
      </c>
      <c r="Y360" t="str" cm="1">
        <f t="array" ref="Y360">_xlfn.IFS(Sales_Data_1[[#This Row],[Delivery_Days]]&lt;=3, "Fast", Sales_Data_1[[#This Row],[Delivery_Days]]&lt;= 7, "Standard", TRUE, "Delayed")</f>
        <v>Standard</v>
      </c>
      <c r="Z360" t="str" cm="1">
        <f t="array" ref="Z360">_xlfn.IFS(Sales_Data_1[[#This Row],[Profit_Amount]]&gt; 0, "Profitable", Sales_Data_1[[#This Row],[Profit_Amount]] = 0, "Break-Even", TRUE, "Loss")</f>
        <v>Profitable</v>
      </c>
      <c r="AA360" t="str" cm="1">
        <f t="array" ref="AA360">_xlfn.IFS(Sales_Data_1[[#This Row],[Sales]]&gt;= 1000, "High Value", Sales_Data_1[[#This Row],[Sales]]&gt;= 300, "Mid Value", TRUE, "Low Value")</f>
        <v>High Value</v>
      </c>
    </row>
    <row r="361" spans="1:27" x14ac:dyDescent="0.3">
      <c r="A361" t="s">
        <v>2470</v>
      </c>
      <c r="B361" s="1">
        <v>45356</v>
      </c>
      <c r="C361" t="s">
        <v>96</v>
      </c>
      <c r="D361" t="s">
        <v>41</v>
      </c>
      <c r="E361" t="s">
        <v>67</v>
      </c>
      <c r="F361" t="s">
        <v>103</v>
      </c>
      <c r="G361" t="s">
        <v>24</v>
      </c>
      <c r="H361" t="s">
        <v>186</v>
      </c>
      <c r="I361" t="s">
        <v>926</v>
      </c>
      <c r="J361">
        <v>2</v>
      </c>
      <c r="K361">
        <v>7770</v>
      </c>
      <c r="L361">
        <v>0.23</v>
      </c>
      <c r="M361">
        <v>5982.9</v>
      </c>
      <c r="N361">
        <v>11965.8</v>
      </c>
      <c r="O361">
        <v>0.25</v>
      </c>
      <c r="P361">
        <v>2991.45</v>
      </c>
      <c r="Q361" t="s">
        <v>37</v>
      </c>
      <c r="R361" t="s">
        <v>48</v>
      </c>
      <c r="S361">
        <v>3</v>
      </c>
      <c r="T361">
        <f>YEAR(Sales_Data_1[[#This Row],[Order_Date]])</f>
        <v>2024</v>
      </c>
      <c r="U361" t="str">
        <f>TEXT(Sales_Data_1[[#This Row],[Order_Date]], "mmm")</f>
        <v>Mar</v>
      </c>
      <c r="V361">
        <f>MONTH(Sales_Data_1[[#This Row],[Order_Date]])</f>
        <v>3</v>
      </c>
      <c r="W361" t="str">
        <f>TEXT(Sales_Data_1[[#This Row],[Order_Date]], "yyyy-mm")</f>
        <v>2024-03</v>
      </c>
      <c r="X361">
        <f>Sales_Data_1[[#This Row],[Sales]]-Sales_Data_1[[#This Row],[Profit_Amount]]</f>
        <v>8974.3499999999985</v>
      </c>
      <c r="Y361" t="str" cm="1">
        <f t="array" ref="Y361">_xlfn.IFS(Sales_Data_1[[#This Row],[Delivery_Days]]&lt;=3, "Fast", Sales_Data_1[[#This Row],[Delivery_Days]]&lt;= 7, "Standard", TRUE, "Delayed")</f>
        <v>Fast</v>
      </c>
      <c r="Z361" t="str" cm="1">
        <f t="array" ref="Z361">_xlfn.IFS(Sales_Data_1[[#This Row],[Profit_Amount]]&gt; 0, "Profitable", Sales_Data_1[[#This Row],[Profit_Amount]] = 0, "Break-Even", TRUE, "Loss")</f>
        <v>Profitable</v>
      </c>
      <c r="AA361" t="str" cm="1">
        <f t="array" ref="AA361">_xlfn.IFS(Sales_Data_1[[#This Row],[Sales]]&gt;= 1000, "High Value", Sales_Data_1[[#This Row],[Sales]]&gt;= 300, "Mid Value", TRUE, "Low Value")</f>
        <v>High Value</v>
      </c>
    </row>
    <row r="362" spans="1:27" x14ac:dyDescent="0.3">
      <c r="A362" t="s">
        <v>2490</v>
      </c>
      <c r="B362" s="1">
        <v>45376</v>
      </c>
      <c r="C362" t="s">
        <v>30</v>
      </c>
      <c r="D362" t="s">
        <v>56</v>
      </c>
      <c r="E362" t="s">
        <v>42</v>
      </c>
      <c r="F362" t="s">
        <v>97</v>
      </c>
      <c r="G362" t="s">
        <v>57</v>
      </c>
      <c r="H362" t="s">
        <v>81</v>
      </c>
      <c r="I362" t="s">
        <v>965</v>
      </c>
      <c r="J362">
        <v>1</v>
      </c>
      <c r="K362">
        <v>18724</v>
      </c>
      <c r="L362">
        <v>0.2</v>
      </c>
      <c r="M362">
        <v>14979.2</v>
      </c>
      <c r="N362">
        <v>14979.2</v>
      </c>
      <c r="O362">
        <v>0.2</v>
      </c>
      <c r="P362">
        <v>2995.84</v>
      </c>
      <c r="Q362" t="s">
        <v>37</v>
      </c>
      <c r="R362" t="s">
        <v>48</v>
      </c>
      <c r="S362">
        <v>5</v>
      </c>
      <c r="T362">
        <f>YEAR(Sales_Data_1[[#This Row],[Order_Date]])</f>
        <v>2024</v>
      </c>
      <c r="U362" t="str">
        <f>TEXT(Sales_Data_1[[#This Row],[Order_Date]], "mmm")</f>
        <v>Mar</v>
      </c>
      <c r="V362">
        <f>MONTH(Sales_Data_1[[#This Row],[Order_Date]])</f>
        <v>3</v>
      </c>
      <c r="W362" t="str">
        <f>TEXT(Sales_Data_1[[#This Row],[Order_Date]], "yyyy-mm")</f>
        <v>2024-03</v>
      </c>
      <c r="X362">
        <f>Sales_Data_1[[#This Row],[Sales]]-Sales_Data_1[[#This Row],[Profit_Amount]]</f>
        <v>11983.36</v>
      </c>
      <c r="Y362" t="str" cm="1">
        <f t="array" ref="Y362">_xlfn.IFS(Sales_Data_1[[#This Row],[Delivery_Days]]&lt;=3, "Fast", Sales_Data_1[[#This Row],[Delivery_Days]]&lt;= 7, "Standard", TRUE, "Delayed")</f>
        <v>Standard</v>
      </c>
      <c r="Z362" t="str" cm="1">
        <f t="array" ref="Z362">_xlfn.IFS(Sales_Data_1[[#This Row],[Profit_Amount]]&gt; 0, "Profitable", Sales_Data_1[[#This Row],[Profit_Amount]] = 0, "Break-Even", TRUE, "Loss")</f>
        <v>Profitable</v>
      </c>
      <c r="AA362" t="str" cm="1">
        <f t="array" ref="AA362">_xlfn.IFS(Sales_Data_1[[#This Row],[Sales]]&gt;= 1000, "High Value", Sales_Data_1[[#This Row],[Sales]]&gt;= 300, "Mid Value", TRUE, "Low Value")</f>
        <v>High Value</v>
      </c>
    </row>
    <row r="363" spans="1:27" x14ac:dyDescent="0.3">
      <c r="A363" t="s">
        <v>2727</v>
      </c>
      <c r="B363" s="1">
        <v>45613</v>
      </c>
      <c r="C363" t="s">
        <v>20</v>
      </c>
      <c r="D363" t="s">
        <v>31</v>
      </c>
      <c r="E363" t="s">
        <v>67</v>
      </c>
      <c r="F363" t="s">
        <v>43</v>
      </c>
      <c r="G363" t="s">
        <v>34</v>
      </c>
      <c r="H363" t="s">
        <v>104</v>
      </c>
      <c r="I363" t="s">
        <v>1430</v>
      </c>
      <c r="J363">
        <v>6</v>
      </c>
      <c r="K363">
        <v>1395</v>
      </c>
      <c r="L363">
        <v>0.1</v>
      </c>
      <c r="M363">
        <v>1255.5</v>
      </c>
      <c r="N363">
        <v>7533</v>
      </c>
      <c r="O363">
        <v>0.4</v>
      </c>
      <c r="P363">
        <v>3013.2</v>
      </c>
      <c r="Q363" t="s">
        <v>47</v>
      </c>
      <c r="R363" t="s">
        <v>48</v>
      </c>
      <c r="S363">
        <v>3</v>
      </c>
      <c r="T363">
        <f>YEAR(Sales_Data_1[[#This Row],[Order_Date]])</f>
        <v>2024</v>
      </c>
      <c r="U363" t="str">
        <f>TEXT(Sales_Data_1[[#This Row],[Order_Date]], "mmm")</f>
        <v>Nov</v>
      </c>
      <c r="V363">
        <f>MONTH(Sales_Data_1[[#This Row],[Order_Date]])</f>
        <v>11</v>
      </c>
      <c r="W363" t="str">
        <f>TEXT(Sales_Data_1[[#This Row],[Order_Date]], "yyyy-mm")</f>
        <v>2024-11</v>
      </c>
      <c r="X363">
        <f>Sales_Data_1[[#This Row],[Sales]]-Sales_Data_1[[#This Row],[Profit_Amount]]</f>
        <v>4519.8</v>
      </c>
      <c r="Y363" t="str" cm="1">
        <f t="array" ref="Y363">_xlfn.IFS(Sales_Data_1[[#This Row],[Delivery_Days]]&lt;=3, "Fast", Sales_Data_1[[#This Row],[Delivery_Days]]&lt;= 7, "Standard", TRUE, "Delayed")</f>
        <v>Fast</v>
      </c>
      <c r="Z363" t="str" cm="1">
        <f t="array" ref="Z363">_xlfn.IFS(Sales_Data_1[[#This Row],[Profit_Amount]]&gt; 0, "Profitable", Sales_Data_1[[#This Row],[Profit_Amount]] = 0, "Break-Even", TRUE, "Loss")</f>
        <v>Profitable</v>
      </c>
      <c r="AA363" t="str" cm="1">
        <f t="array" ref="AA363">_xlfn.IFS(Sales_Data_1[[#This Row],[Sales]]&gt;= 1000, "High Value", Sales_Data_1[[#This Row],[Sales]]&gt;= 300, "Mid Value", TRUE, "Low Value")</f>
        <v>High Value</v>
      </c>
    </row>
    <row r="364" spans="1:27" x14ac:dyDescent="0.3">
      <c r="A364" t="s">
        <v>2150</v>
      </c>
      <c r="B364" s="1">
        <v>45036</v>
      </c>
      <c r="C364" t="s">
        <v>96</v>
      </c>
      <c r="D364" t="s">
        <v>56</v>
      </c>
      <c r="E364" t="s">
        <v>67</v>
      </c>
      <c r="F364" t="s">
        <v>103</v>
      </c>
      <c r="G364" t="s">
        <v>44</v>
      </c>
      <c r="H364" t="s">
        <v>116</v>
      </c>
      <c r="I364" t="s">
        <v>290</v>
      </c>
      <c r="J364">
        <v>4</v>
      </c>
      <c r="K364">
        <v>2540</v>
      </c>
      <c r="L364">
        <v>0.15</v>
      </c>
      <c r="M364">
        <v>2159</v>
      </c>
      <c r="N364">
        <v>8636</v>
      </c>
      <c r="O364">
        <v>0.35</v>
      </c>
      <c r="P364">
        <v>3022.6</v>
      </c>
      <c r="Q364" t="s">
        <v>37</v>
      </c>
      <c r="R364" t="s">
        <v>48</v>
      </c>
      <c r="S364">
        <v>8</v>
      </c>
      <c r="T364">
        <f>YEAR(Sales_Data_1[[#This Row],[Order_Date]])</f>
        <v>2023</v>
      </c>
      <c r="U364" t="str">
        <f>TEXT(Sales_Data_1[[#This Row],[Order_Date]], "mmm")</f>
        <v>Apr</v>
      </c>
      <c r="V364">
        <f>MONTH(Sales_Data_1[[#This Row],[Order_Date]])</f>
        <v>4</v>
      </c>
      <c r="W364" t="str">
        <f>TEXT(Sales_Data_1[[#This Row],[Order_Date]], "yyyy-mm")</f>
        <v>2023-04</v>
      </c>
      <c r="X364">
        <f>Sales_Data_1[[#This Row],[Sales]]-Sales_Data_1[[#This Row],[Profit_Amount]]</f>
        <v>5613.4</v>
      </c>
      <c r="Y364" t="str" cm="1">
        <f t="array" ref="Y364">_xlfn.IFS(Sales_Data_1[[#This Row],[Delivery_Days]]&lt;=3, "Fast", Sales_Data_1[[#This Row],[Delivery_Days]]&lt;= 7, "Standard", TRUE, "Delayed")</f>
        <v>Delayed</v>
      </c>
      <c r="Z364" t="str" cm="1">
        <f t="array" ref="Z364">_xlfn.IFS(Sales_Data_1[[#This Row],[Profit_Amount]]&gt; 0, "Profitable", Sales_Data_1[[#This Row],[Profit_Amount]] = 0, "Break-Even", TRUE, "Loss")</f>
        <v>Profitable</v>
      </c>
      <c r="AA364" t="str" cm="1">
        <f t="array" ref="AA364">_xlfn.IFS(Sales_Data_1[[#This Row],[Sales]]&gt;= 1000, "High Value", Sales_Data_1[[#This Row],[Sales]]&gt;= 300, "Mid Value", TRUE, "Low Value")</f>
        <v>High Value</v>
      </c>
    </row>
    <row r="365" spans="1:27" x14ac:dyDescent="0.3">
      <c r="A365" t="s">
        <v>2103</v>
      </c>
      <c r="B365" s="1">
        <v>44989</v>
      </c>
      <c r="C365" t="s">
        <v>20</v>
      </c>
      <c r="D365" t="s">
        <v>41</v>
      </c>
      <c r="E365" t="s">
        <v>67</v>
      </c>
      <c r="F365" t="s">
        <v>23</v>
      </c>
      <c r="G365" t="s">
        <v>34</v>
      </c>
      <c r="H365" t="s">
        <v>141</v>
      </c>
      <c r="I365" t="s">
        <v>195</v>
      </c>
      <c r="J365">
        <v>9</v>
      </c>
      <c r="K365">
        <v>1004</v>
      </c>
      <c r="L365">
        <v>0.16</v>
      </c>
      <c r="M365">
        <v>843.36</v>
      </c>
      <c r="N365">
        <v>7590.24</v>
      </c>
      <c r="O365">
        <v>0.4</v>
      </c>
      <c r="P365">
        <v>3036.1</v>
      </c>
      <c r="Q365" t="s">
        <v>51</v>
      </c>
      <c r="R365" t="s">
        <v>48</v>
      </c>
      <c r="S365">
        <v>7</v>
      </c>
      <c r="T365">
        <f>YEAR(Sales_Data_1[[#This Row],[Order_Date]])</f>
        <v>2023</v>
      </c>
      <c r="U365" t="str">
        <f>TEXT(Sales_Data_1[[#This Row],[Order_Date]], "mmm")</f>
        <v>Mar</v>
      </c>
      <c r="V365">
        <f>MONTH(Sales_Data_1[[#This Row],[Order_Date]])</f>
        <v>3</v>
      </c>
      <c r="W365" t="str">
        <f>TEXT(Sales_Data_1[[#This Row],[Order_Date]], "yyyy-mm")</f>
        <v>2023-03</v>
      </c>
      <c r="X365">
        <f>Sales_Data_1[[#This Row],[Sales]]-Sales_Data_1[[#This Row],[Profit_Amount]]</f>
        <v>4554.1399999999994</v>
      </c>
      <c r="Y365" t="str" cm="1">
        <f t="array" ref="Y365">_xlfn.IFS(Sales_Data_1[[#This Row],[Delivery_Days]]&lt;=3, "Fast", Sales_Data_1[[#This Row],[Delivery_Days]]&lt;= 7, "Standard", TRUE, "Delayed")</f>
        <v>Standard</v>
      </c>
      <c r="Z365" t="str" cm="1">
        <f t="array" ref="Z365">_xlfn.IFS(Sales_Data_1[[#This Row],[Profit_Amount]]&gt; 0, "Profitable", Sales_Data_1[[#This Row],[Profit_Amount]] = 0, "Break-Even", TRUE, "Loss")</f>
        <v>Profitable</v>
      </c>
      <c r="AA365" t="str" cm="1">
        <f t="array" ref="AA365">_xlfn.IFS(Sales_Data_1[[#This Row],[Sales]]&gt;= 1000, "High Value", Sales_Data_1[[#This Row],[Sales]]&gt;= 300, "Mid Value", TRUE, "Low Value")</f>
        <v>High Value</v>
      </c>
    </row>
    <row r="366" spans="1:27" x14ac:dyDescent="0.3">
      <c r="A366" t="s">
        <v>2567</v>
      </c>
      <c r="B366" s="1">
        <v>45453</v>
      </c>
      <c r="C366" t="s">
        <v>40</v>
      </c>
      <c r="D366" t="s">
        <v>21</v>
      </c>
      <c r="E366" t="s">
        <v>2040</v>
      </c>
      <c r="F366" t="s">
        <v>33</v>
      </c>
      <c r="G366" t="s">
        <v>34</v>
      </c>
      <c r="H366" t="s">
        <v>104</v>
      </c>
      <c r="I366" t="s">
        <v>1117</v>
      </c>
      <c r="J366">
        <v>7</v>
      </c>
      <c r="K366">
        <v>1279</v>
      </c>
      <c r="L366">
        <v>0.15</v>
      </c>
      <c r="M366">
        <v>1087.1500000000001</v>
      </c>
      <c r="N366">
        <v>7610.05</v>
      </c>
      <c r="O366">
        <v>0.4</v>
      </c>
      <c r="P366">
        <v>3044.02</v>
      </c>
      <c r="Q366" t="s">
        <v>37</v>
      </c>
      <c r="R366" t="s">
        <v>48</v>
      </c>
      <c r="S366">
        <v>5</v>
      </c>
      <c r="T366">
        <f>YEAR(Sales_Data_1[[#This Row],[Order_Date]])</f>
        <v>2024</v>
      </c>
      <c r="U366" t="str">
        <f>TEXT(Sales_Data_1[[#This Row],[Order_Date]], "mmm")</f>
        <v>Jun</v>
      </c>
      <c r="V366">
        <f>MONTH(Sales_Data_1[[#This Row],[Order_Date]])</f>
        <v>6</v>
      </c>
      <c r="W366" t="str">
        <f>TEXT(Sales_Data_1[[#This Row],[Order_Date]], "yyyy-mm")</f>
        <v>2024-06</v>
      </c>
      <c r="X366">
        <f>Sales_Data_1[[#This Row],[Sales]]-Sales_Data_1[[#This Row],[Profit_Amount]]</f>
        <v>4566.0300000000007</v>
      </c>
      <c r="Y366" t="str" cm="1">
        <f t="array" ref="Y366">_xlfn.IFS(Sales_Data_1[[#This Row],[Delivery_Days]]&lt;=3, "Fast", Sales_Data_1[[#This Row],[Delivery_Days]]&lt;= 7, "Standard", TRUE, "Delayed")</f>
        <v>Standard</v>
      </c>
      <c r="Z366" t="str" cm="1">
        <f t="array" ref="Z366">_xlfn.IFS(Sales_Data_1[[#This Row],[Profit_Amount]]&gt; 0, "Profitable", Sales_Data_1[[#This Row],[Profit_Amount]] = 0, "Break-Even", TRUE, "Loss")</f>
        <v>Profitable</v>
      </c>
      <c r="AA366" t="str" cm="1">
        <f t="array" ref="AA366">_xlfn.IFS(Sales_Data_1[[#This Row],[Sales]]&gt;= 1000, "High Value", Sales_Data_1[[#This Row],[Sales]]&gt;= 300, "Mid Value", TRUE, "Low Value")</f>
        <v>High Value</v>
      </c>
    </row>
    <row r="367" spans="1:27" x14ac:dyDescent="0.3">
      <c r="A367" t="s">
        <v>2161</v>
      </c>
      <c r="B367" s="1">
        <v>45047</v>
      </c>
      <c r="C367" t="s">
        <v>20</v>
      </c>
      <c r="D367" t="s">
        <v>31</v>
      </c>
      <c r="E367" t="s">
        <v>42</v>
      </c>
      <c r="F367" t="s">
        <v>43</v>
      </c>
      <c r="G367" t="s">
        <v>57</v>
      </c>
      <c r="H367" t="s">
        <v>58</v>
      </c>
      <c r="I367" t="s">
        <v>312</v>
      </c>
      <c r="J367">
        <v>7</v>
      </c>
      <c r="K367">
        <v>2629</v>
      </c>
      <c r="L367">
        <v>0.17</v>
      </c>
      <c r="M367">
        <v>2182.0700000000002</v>
      </c>
      <c r="N367">
        <v>15274.49</v>
      </c>
      <c r="O367">
        <v>0.2</v>
      </c>
      <c r="P367">
        <v>3054.9</v>
      </c>
      <c r="Q367" t="s">
        <v>37</v>
      </c>
      <c r="R367" t="s">
        <v>48</v>
      </c>
      <c r="S367">
        <v>7</v>
      </c>
      <c r="T367">
        <f>YEAR(Sales_Data_1[[#This Row],[Order_Date]])</f>
        <v>2023</v>
      </c>
      <c r="U367" t="str">
        <f>TEXT(Sales_Data_1[[#This Row],[Order_Date]], "mmm")</f>
        <v>May</v>
      </c>
      <c r="V367">
        <f>MONTH(Sales_Data_1[[#This Row],[Order_Date]])</f>
        <v>5</v>
      </c>
      <c r="W367" t="str">
        <f>TEXT(Sales_Data_1[[#This Row],[Order_Date]], "yyyy-mm")</f>
        <v>2023-05</v>
      </c>
      <c r="X367">
        <f>Sales_Data_1[[#This Row],[Sales]]-Sales_Data_1[[#This Row],[Profit_Amount]]</f>
        <v>12219.59</v>
      </c>
      <c r="Y367" t="str" cm="1">
        <f t="array" ref="Y367">_xlfn.IFS(Sales_Data_1[[#This Row],[Delivery_Days]]&lt;=3, "Fast", Sales_Data_1[[#This Row],[Delivery_Days]]&lt;= 7, "Standard", TRUE, "Delayed")</f>
        <v>Standard</v>
      </c>
      <c r="Z367" t="str" cm="1">
        <f t="array" ref="Z367">_xlfn.IFS(Sales_Data_1[[#This Row],[Profit_Amount]]&gt; 0, "Profitable", Sales_Data_1[[#This Row],[Profit_Amount]] = 0, "Break-Even", TRUE, "Loss")</f>
        <v>Profitable</v>
      </c>
      <c r="AA367" t="str" cm="1">
        <f t="array" ref="AA367">_xlfn.IFS(Sales_Data_1[[#This Row],[Sales]]&gt;= 1000, "High Value", Sales_Data_1[[#This Row],[Sales]]&gt;= 300, "Mid Value", TRUE, "Low Value")</f>
        <v>High Value</v>
      </c>
    </row>
    <row r="368" spans="1:27" x14ac:dyDescent="0.3">
      <c r="A368" t="s">
        <v>2793</v>
      </c>
      <c r="B368" s="1">
        <v>45679</v>
      </c>
      <c r="C368" t="s">
        <v>20</v>
      </c>
      <c r="D368" t="s">
        <v>41</v>
      </c>
      <c r="E368" t="s">
        <v>67</v>
      </c>
      <c r="F368" t="s">
        <v>97</v>
      </c>
      <c r="G368" t="s">
        <v>92</v>
      </c>
      <c r="H368" t="s">
        <v>93</v>
      </c>
      <c r="I368" t="s">
        <v>1559</v>
      </c>
      <c r="J368">
        <v>1</v>
      </c>
      <c r="K368">
        <v>20805</v>
      </c>
      <c r="L368">
        <v>0.02</v>
      </c>
      <c r="M368">
        <v>20388.900000000001</v>
      </c>
      <c r="N368">
        <v>20388.900000000001</v>
      </c>
      <c r="O368">
        <v>0.15</v>
      </c>
      <c r="P368">
        <v>3058.34</v>
      </c>
      <c r="Q368" t="s">
        <v>37</v>
      </c>
      <c r="R368" t="s">
        <v>48</v>
      </c>
      <c r="S368">
        <v>6</v>
      </c>
      <c r="T368">
        <f>YEAR(Sales_Data_1[[#This Row],[Order_Date]])</f>
        <v>2025</v>
      </c>
      <c r="U368" t="str">
        <f>TEXT(Sales_Data_1[[#This Row],[Order_Date]], "mmm")</f>
        <v>Jan</v>
      </c>
      <c r="V368">
        <f>MONTH(Sales_Data_1[[#This Row],[Order_Date]])</f>
        <v>1</v>
      </c>
      <c r="W368" t="str">
        <f>TEXT(Sales_Data_1[[#This Row],[Order_Date]], "yyyy-mm")</f>
        <v>2025-01</v>
      </c>
      <c r="X368">
        <f>Sales_Data_1[[#This Row],[Sales]]-Sales_Data_1[[#This Row],[Profit_Amount]]</f>
        <v>17330.560000000001</v>
      </c>
      <c r="Y368" t="str" cm="1">
        <f t="array" ref="Y368">_xlfn.IFS(Sales_Data_1[[#This Row],[Delivery_Days]]&lt;=3, "Fast", Sales_Data_1[[#This Row],[Delivery_Days]]&lt;= 7, "Standard", TRUE, "Delayed")</f>
        <v>Standard</v>
      </c>
      <c r="Z368" t="str" cm="1">
        <f t="array" ref="Z368">_xlfn.IFS(Sales_Data_1[[#This Row],[Profit_Amount]]&gt; 0, "Profitable", Sales_Data_1[[#This Row],[Profit_Amount]] = 0, "Break-Even", TRUE, "Loss")</f>
        <v>Profitable</v>
      </c>
      <c r="AA368" t="str" cm="1">
        <f t="array" ref="AA368">_xlfn.IFS(Sales_Data_1[[#This Row],[Sales]]&gt;= 1000, "High Value", Sales_Data_1[[#This Row],[Sales]]&gt;= 300, "Mid Value", TRUE, "Low Value")</f>
        <v>High Value</v>
      </c>
    </row>
    <row r="369" spans="1:27" x14ac:dyDescent="0.3">
      <c r="A369" t="s">
        <v>2048</v>
      </c>
      <c r="B369" s="1">
        <v>44934</v>
      </c>
      <c r="C369" t="s">
        <v>63</v>
      </c>
      <c r="D369" t="s">
        <v>41</v>
      </c>
      <c r="E369" t="s">
        <v>2040</v>
      </c>
      <c r="F369" t="s">
        <v>33</v>
      </c>
      <c r="G369" t="s">
        <v>44</v>
      </c>
      <c r="H369" t="s">
        <v>64</v>
      </c>
      <c r="I369" t="s">
        <v>65</v>
      </c>
      <c r="J369">
        <v>3</v>
      </c>
      <c r="K369">
        <v>3644</v>
      </c>
      <c r="L369">
        <v>0.2</v>
      </c>
      <c r="M369">
        <v>2915.2</v>
      </c>
      <c r="N369">
        <v>8745.6</v>
      </c>
      <c r="O369">
        <v>0.35</v>
      </c>
      <c r="P369">
        <v>3060.96</v>
      </c>
      <c r="Q369" t="s">
        <v>27</v>
      </c>
      <c r="R369" t="s">
        <v>38</v>
      </c>
      <c r="S369">
        <v>4</v>
      </c>
      <c r="T369">
        <f>YEAR(Sales_Data_1[[#This Row],[Order_Date]])</f>
        <v>2023</v>
      </c>
      <c r="U369" t="str">
        <f>TEXT(Sales_Data_1[[#This Row],[Order_Date]], "mmm")</f>
        <v>Jan</v>
      </c>
      <c r="V369">
        <f>MONTH(Sales_Data_1[[#This Row],[Order_Date]])</f>
        <v>1</v>
      </c>
      <c r="W369" t="str">
        <f>TEXT(Sales_Data_1[[#This Row],[Order_Date]], "yyyy-mm")</f>
        <v>2023-01</v>
      </c>
      <c r="X369">
        <f>Sales_Data_1[[#This Row],[Sales]]-Sales_Data_1[[#This Row],[Profit_Amount]]</f>
        <v>5684.64</v>
      </c>
      <c r="Y369" t="str" cm="1">
        <f t="array" ref="Y369">_xlfn.IFS(Sales_Data_1[[#This Row],[Delivery_Days]]&lt;=3, "Fast", Sales_Data_1[[#This Row],[Delivery_Days]]&lt;= 7, "Standard", TRUE, "Delayed")</f>
        <v>Standard</v>
      </c>
      <c r="Z369" t="str" cm="1">
        <f t="array" ref="Z369">_xlfn.IFS(Sales_Data_1[[#This Row],[Profit_Amount]]&gt; 0, "Profitable", Sales_Data_1[[#This Row],[Profit_Amount]] = 0, "Break-Even", TRUE, "Loss")</f>
        <v>Profitable</v>
      </c>
      <c r="AA369" t="str" cm="1">
        <f t="array" ref="AA369">_xlfn.IFS(Sales_Data_1[[#This Row],[Sales]]&gt;= 1000, "High Value", Sales_Data_1[[#This Row],[Sales]]&gt;= 300, "Mid Value", TRUE, "Low Value")</f>
        <v>High Value</v>
      </c>
    </row>
    <row r="370" spans="1:27" x14ac:dyDescent="0.3">
      <c r="A370" t="s">
        <v>2591</v>
      </c>
      <c r="B370" s="1">
        <v>45477</v>
      </c>
      <c r="C370" t="s">
        <v>63</v>
      </c>
      <c r="D370" t="s">
        <v>31</v>
      </c>
      <c r="E370" t="s">
        <v>42</v>
      </c>
      <c r="F370" t="s">
        <v>97</v>
      </c>
      <c r="G370" t="s">
        <v>44</v>
      </c>
      <c r="H370" t="s">
        <v>116</v>
      </c>
      <c r="I370" t="s">
        <v>1164</v>
      </c>
      <c r="J370">
        <v>3</v>
      </c>
      <c r="K370">
        <v>3802</v>
      </c>
      <c r="L370">
        <v>0.23</v>
      </c>
      <c r="M370">
        <v>2927.54</v>
      </c>
      <c r="N370">
        <v>8782.6200000000008</v>
      </c>
      <c r="O370">
        <v>0.35</v>
      </c>
      <c r="P370">
        <v>3073.92</v>
      </c>
      <c r="Q370" t="s">
        <v>47</v>
      </c>
      <c r="R370" t="s">
        <v>48</v>
      </c>
      <c r="S370">
        <v>5</v>
      </c>
      <c r="T370">
        <f>YEAR(Sales_Data_1[[#This Row],[Order_Date]])</f>
        <v>2024</v>
      </c>
      <c r="U370" t="str">
        <f>TEXT(Sales_Data_1[[#This Row],[Order_Date]], "mmm")</f>
        <v>Jul</v>
      </c>
      <c r="V370">
        <f>MONTH(Sales_Data_1[[#This Row],[Order_Date]])</f>
        <v>7</v>
      </c>
      <c r="W370" t="str">
        <f>TEXT(Sales_Data_1[[#This Row],[Order_Date]], "yyyy-mm")</f>
        <v>2024-07</v>
      </c>
      <c r="X370">
        <f>Sales_Data_1[[#This Row],[Sales]]-Sales_Data_1[[#This Row],[Profit_Amount]]</f>
        <v>5708.7000000000007</v>
      </c>
      <c r="Y370" t="str" cm="1">
        <f t="array" ref="Y370">_xlfn.IFS(Sales_Data_1[[#This Row],[Delivery_Days]]&lt;=3, "Fast", Sales_Data_1[[#This Row],[Delivery_Days]]&lt;= 7, "Standard", TRUE, "Delayed")</f>
        <v>Standard</v>
      </c>
      <c r="Z370" t="str" cm="1">
        <f t="array" ref="Z370">_xlfn.IFS(Sales_Data_1[[#This Row],[Profit_Amount]]&gt; 0, "Profitable", Sales_Data_1[[#This Row],[Profit_Amount]] = 0, "Break-Even", TRUE, "Loss")</f>
        <v>Profitable</v>
      </c>
      <c r="AA370" t="str" cm="1">
        <f t="array" ref="AA370">_xlfn.IFS(Sales_Data_1[[#This Row],[Sales]]&gt;= 1000, "High Value", Sales_Data_1[[#This Row],[Sales]]&gt;= 300, "Mid Value", TRUE, "Low Value")</f>
        <v>High Value</v>
      </c>
    </row>
    <row r="371" spans="1:27" x14ac:dyDescent="0.3">
      <c r="A371" t="s">
        <v>2523</v>
      </c>
      <c r="B371" s="1">
        <v>45409</v>
      </c>
      <c r="C371" t="s">
        <v>30</v>
      </c>
      <c r="D371" t="s">
        <v>21</v>
      </c>
      <c r="E371" t="s">
        <v>42</v>
      </c>
      <c r="F371" t="s">
        <v>103</v>
      </c>
      <c r="G371" t="s">
        <v>57</v>
      </c>
      <c r="H371" t="s">
        <v>81</v>
      </c>
      <c r="I371" t="s">
        <v>1030</v>
      </c>
      <c r="J371">
        <v>2</v>
      </c>
      <c r="K371">
        <v>9373</v>
      </c>
      <c r="L371">
        <v>0.18</v>
      </c>
      <c r="M371">
        <v>7685.86</v>
      </c>
      <c r="N371">
        <v>15371.72</v>
      </c>
      <c r="O371">
        <v>0.2</v>
      </c>
      <c r="P371">
        <v>3074.34</v>
      </c>
      <c r="Q371" t="s">
        <v>47</v>
      </c>
      <c r="R371" t="s">
        <v>48</v>
      </c>
      <c r="S371">
        <v>3</v>
      </c>
      <c r="T371">
        <f>YEAR(Sales_Data_1[[#This Row],[Order_Date]])</f>
        <v>2024</v>
      </c>
      <c r="U371" t="str">
        <f>TEXT(Sales_Data_1[[#This Row],[Order_Date]], "mmm")</f>
        <v>Apr</v>
      </c>
      <c r="V371">
        <f>MONTH(Sales_Data_1[[#This Row],[Order_Date]])</f>
        <v>4</v>
      </c>
      <c r="W371" t="str">
        <f>TEXT(Sales_Data_1[[#This Row],[Order_Date]], "yyyy-mm")</f>
        <v>2024-04</v>
      </c>
      <c r="X371">
        <f>Sales_Data_1[[#This Row],[Sales]]-Sales_Data_1[[#This Row],[Profit_Amount]]</f>
        <v>12297.38</v>
      </c>
      <c r="Y371" t="str" cm="1">
        <f t="array" ref="Y371">_xlfn.IFS(Sales_Data_1[[#This Row],[Delivery_Days]]&lt;=3, "Fast", Sales_Data_1[[#This Row],[Delivery_Days]]&lt;= 7, "Standard", TRUE, "Delayed")</f>
        <v>Fast</v>
      </c>
      <c r="Z371" t="str" cm="1">
        <f t="array" ref="Z371">_xlfn.IFS(Sales_Data_1[[#This Row],[Profit_Amount]]&gt; 0, "Profitable", Sales_Data_1[[#This Row],[Profit_Amount]] = 0, "Break-Even", TRUE, "Loss")</f>
        <v>Profitable</v>
      </c>
      <c r="AA371" t="str" cm="1">
        <f t="array" ref="AA371">_xlfn.IFS(Sales_Data_1[[#This Row],[Sales]]&gt;= 1000, "High Value", Sales_Data_1[[#This Row],[Sales]]&gt;= 300, "Mid Value", TRUE, "Low Value")</f>
        <v>High Value</v>
      </c>
    </row>
    <row r="372" spans="1:27" x14ac:dyDescent="0.3">
      <c r="A372" t="s">
        <v>2580</v>
      </c>
      <c r="B372" s="1">
        <v>45466</v>
      </c>
      <c r="C372" t="s">
        <v>55</v>
      </c>
      <c r="D372" t="s">
        <v>31</v>
      </c>
      <c r="E372" t="s">
        <v>42</v>
      </c>
      <c r="F372" t="s">
        <v>33</v>
      </c>
      <c r="G372" t="s">
        <v>24</v>
      </c>
      <c r="H372" t="s">
        <v>121</v>
      </c>
      <c r="I372" t="s">
        <v>1142</v>
      </c>
      <c r="J372">
        <v>6</v>
      </c>
      <c r="K372">
        <v>2638</v>
      </c>
      <c r="L372">
        <v>0.22</v>
      </c>
      <c r="M372">
        <v>2057.64</v>
      </c>
      <c r="N372">
        <v>12345.84</v>
      </c>
      <c r="O372">
        <v>0.25</v>
      </c>
      <c r="P372">
        <v>3086.46</v>
      </c>
      <c r="Q372" t="s">
        <v>51</v>
      </c>
      <c r="R372" t="s">
        <v>38</v>
      </c>
      <c r="S372">
        <v>9</v>
      </c>
      <c r="T372">
        <f>YEAR(Sales_Data_1[[#This Row],[Order_Date]])</f>
        <v>2024</v>
      </c>
      <c r="U372" t="str">
        <f>TEXT(Sales_Data_1[[#This Row],[Order_Date]], "mmm")</f>
        <v>Jun</v>
      </c>
      <c r="V372">
        <f>MONTH(Sales_Data_1[[#This Row],[Order_Date]])</f>
        <v>6</v>
      </c>
      <c r="W372" t="str">
        <f>TEXT(Sales_Data_1[[#This Row],[Order_Date]], "yyyy-mm")</f>
        <v>2024-06</v>
      </c>
      <c r="X372">
        <f>Sales_Data_1[[#This Row],[Sales]]-Sales_Data_1[[#This Row],[Profit_Amount]]</f>
        <v>9259.380000000001</v>
      </c>
      <c r="Y372" t="str" cm="1">
        <f t="array" ref="Y372">_xlfn.IFS(Sales_Data_1[[#This Row],[Delivery_Days]]&lt;=3, "Fast", Sales_Data_1[[#This Row],[Delivery_Days]]&lt;= 7, "Standard", TRUE, "Delayed")</f>
        <v>Delayed</v>
      </c>
      <c r="Z372" t="str" cm="1">
        <f t="array" ref="Z372">_xlfn.IFS(Sales_Data_1[[#This Row],[Profit_Amount]]&gt; 0, "Profitable", Sales_Data_1[[#This Row],[Profit_Amount]] = 0, "Break-Even", TRUE, "Loss")</f>
        <v>Profitable</v>
      </c>
      <c r="AA372" t="str" cm="1">
        <f t="array" ref="AA372">_xlfn.IFS(Sales_Data_1[[#This Row],[Sales]]&gt;= 1000, "High Value", Sales_Data_1[[#This Row],[Sales]]&gt;= 300, "Mid Value", TRUE, "Low Value")</f>
        <v>High Value</v>
      </c>
    </row>
    <row r="373" spans="1:27" x14ac:dyDescent="0.3">
      <c r="A373" t="s">
        <v>3027</v>
      </c>
      <c r="B373" s="1">
        <v>45913</v>
      </c>
      <c r="C373" t="s">
        <v>20</v>
      </c>
      <c r="D373" t="s">
        <v>56</v>
      </c>
      <c r="E373" t="s">
        <v>42</v>
      </c>
      <c r="F373" t="s">
        <v>97</v>
      </c>
      <c r="G373" t="s">
        <v>34</v>
      </c>
      <c r="H373" t="s">
        <v>35</v>
      </c>
      <c r="I373" t="s">
        <v>2013</v>
      </c>
      <c r="J373">
        <v>7</v>
      </c>
      <c r="K373">
        <v>1401</v>
      </c>
      <c r="L373">
        <v>0.21</v>
      </c>
      <c r="M373">
        <v>1106.79</v>
      </c>
      <c r="N373">
        <v>7747.53</v>
      </c>
      <c r="O373">
        <v>0.4</v>
      </c>
      <c r="P373">
        <v>3099.01</v>
      </c>
      <c r="Q373" t="s">
        <v>27</v>
      </c>
      <c r="R373" t="s">
        <v>48</v>
      </c>
      <c r="S373">
        <v>7</v>
      </c>
      <c r="T373">
        <f>YEAR(Sales_Data_1[[#This Row],[Order_Date]])</f>
        <v>2025</v>
      </c>
      <c r="U373" t="str">
        <f>TEXT(Sales_Data_1[[#This Row],[Order_Date]], "mmm")</f>
        <v>Sep</v>
      </c>
      <c r="V373">
        <f>MONTH(Sales_Data_1[[#This Row],[Order_Date]])</f>
        <v>9</v>
      </c>
      <c r="W373" t="str">
        <f>TEXT(Sales_Data_1[[#This Row],[Order_Date]], "yyyy-mm")</f>
        <v>2025-09</v>
      </c>
      <c r="X373">
        <f>Sales_Data_1[[#This Row],[Sales]]-Sales_Data_1[[#This Row],[Profit_Amount]]</f>
        <v>4648.5199999999995</v>
      </c>
      <c r="Y373" t="str" cm="1">
        <f t="array" ref="Y373">_xlfn.IFS(Sales_Data_1[[#This Row],[Delivery_Days]]&lt;=3, "Fast", Sales_Data_1[[#This Row],[Delivery_Days]]&lt;= 7, "Standard", TRUE, "Delayed")</f>
        <v>Standard</v>
      </c>
      <c r="Z373" t="str" cm="1">
        <f t="array" ref="Z373">_xlfn.IFS(Sales_Data_1[[#This Row],[Profit_Amount]]&gt; 0, "Profitable", Sales_Data_1[[#This Row],[Profit_Amount]] = 0, "Break-Even", TRUE, "Loss")</f>
        <v>Profitable</v>
      </c>
      <c r="AA373" t="str" cm="1">
        <f t="array" ref="AA373">_xlfn.IFS(Sales_Data_1[[#This Row],[Sales]]&gt;= 1000, "High Value", Sales_Data_1[[#This Row],[Sales]]&gt;= 300, "Mid Value", TRUE, "Low Value")</f>
        <v>High Value</v>
      </c>
    </row>
    <row r="374" spans="1:27" x14ac:dyDescent="0.3">
      <c r="A374" t="s">
        <v>2322</v>
      </c>
      <c r="B374" s="1">
        <v>45208</v>
      </c>
      <c r="C374" t="s">
        <v>63</v>
      </c>
      <c r="D374" t="s">
        <v>21</v>
      </c>
      <c r="E374" t="s">
        <v>42</v>
      </c>
      <c r="F374" t="s">
        <v>68</v>
      </c>
      <c r="G374" t="s">
        <v>34</v>
      </c>
      <c r="H374" t="s">
        <v>141</v>
      </c>
      <c r="I374" t="s">
        <v>634</v>
      </c>
      <c r="J374">
        <v>9</v>
      </c>
      <c r="K374">
        <v>992</v>
      </c>
      <c r="L374">
        <v>0.13</v>
      </c>
      <c r="M374">
        <v>863.04</v>
      </c>
      <c r="N374">
        <v>7767.36</v>
      </c>
      <c r="O374">
        <v>0.4</v>
      </c>
      <c r="P374">
        <v>3106.94</v>
      </c>
      <c r="Q374" t="s">
        <v>47</v>
      </c>
      <c r="R374" t="s">
        <v>48</v>
      </c>
      <c r="S374">
        <v>5</v>
      </c>
      <c r="T374">
        <f>YEAR(Sales_Data_1[[#This Row],[Order_Date]])</f>
        <v>2023</v>
      </c>
      <c r="U374" t="str">
        <f>TEXT(Sales_Data_1[[#This Row],[Order_Date]], "mmm")</f>
        <v>Oct</v>
      </c>
      <c r="V374">
        <f>MONTH(Sales_Data_1[[#This Row],[Order_Date]])</f>
        <v>10</v>
      </c>
      <c r="W374" t="str">
        <f>TEXT(Sales_Data_1[[#This Row],[Order_Date]], "yyyy-mm")</f>
        <v>2023-10</v>
      </c>
      <c r="X374">
        <f>Sales_Data_1[[#This Row],[Sales]]-Sales_Data_1[[#This Row],[Profit_Amount]]</f>
        <v>4660.42</v>
      </c>
      <c r="Y374" t="str" cm="1">
        <f t="array" ref="Y374">_xlfn.IFS(Sales_Data_1[[#This Row],[Delivery_Days]]&lt;=3, "Fast", Sales_Data_1[[#This Row],[Delivery_Days]]&lt;= 7, "Standard", TRUE, "Delayed")</f>
        <v>Standard</v>
      </c>
      <c r="Z374" t="str" cm="1">
        <f t="array" ref="Z374">_xlfn.IFS(Sales_Data_1[[#This Row],[Profit_Amount]]&gt; 0, "Profitable", Sales_Data_1[[#This Row],[Profit_Amount]] = 0, "Break-Even", TRUE, "Loss")</f>
        <v>Profitable</v>
      </c>
      <c r="AA374" t="str" cm="1">
        <f t="array" ref="AA374">_xlfn.IFS(Sales_Data_1[[#This Row],[Sales]]&gt;= 1000, "High Value", Sales_Data_1[[#This Row],[Sales]]&gt;= 300, "Mid Value", TRUE, "Low Value")</f>
        <v>High Value</v>
      </c>
    </row>
    <row r="375" spans="1:27" x14ac:dyDescent="0.3">
      <c r="A375" t="s">
        <v>2965</v>
      </c>
      <c r="B375" s="1">
        <v>45851</v>
      </c>
      <c r="C375" t="s">
        <v>20</v>
      </c>
      <c r="D375" t="s">
        <v>56</v>
      </c>
      <c r="E375" t="s">
        <v>2040</v>
      </c>
      <c r="F375" t="s">
        <v>23</v>
      </c>
      <c r="G375" t="s">
        <v>44</v>
      </c>
      <c r="H375" t="s">
        <v>138</v>
      </c>
      <c r="I375" t="s">
        <v>332</v>
      </c>
      <c r="J375">
        <v>9</v>
      </c>
      <c r="K375">
        <v>1097</v>
      </c>
      <c r="L375">
        <v>0.1</v>
      </c>
      <c r="M375">
        <v>987.3</v>
      </c>
      <c r="N375">
        <v>8885.7000000000007</v>
      </c>
      <c r="O375">
        <v>0.35</v>
      </c>
      <c r="P375">
        <v>3110</v>
      </c>
      <c r="Q375" t="s">
        <v>51</v>
      </c>
      <c r="R375" t="s">
        <v>48</v>
      </c>
      <c r="S375">
        <v>4</v>
      </c>
      <c r="T375">
        <f>YEAR(Sales_Data_1[[#This Row],[Order_Date]])</f>
        <v>2025</v>
      </c>
      <c r="U375" t="str">
        <f>TEXT(Sales_Data_1[[#This Row],[Order_Date]], "mmm")</f>
        <v>Jul</v>
      </c>
      <c r="V375">
        <f>MONTH(Sales_Data_1[[#This Row],[Order_Date]])</f>
        <v>7</v>
      </c>
      <c r="W375" t="str">
        <f>TEXT(Sales_Data_1[[#This Row],[Order_Date]], "yyyy-mm")</f>
        <v>2025-07</v>
      </c>
      <c r="X375">
        <f>Sales_Data_1[[#This Row],[Sales]]-Sales_Data_1[[#This Row],[Profit_Amount]]</f>
        <v>5775.7000000000007</v>
      </c>
      <c r="Y375" t="str" cm="1">
        <f t="array" ref="Y375">_xlfn.IFS(Sales_Data_1[[#This Row],[Delivery_Days]]&lt;=3, "Fast", Sales_Data_1[[#This Row],[Delivery_Days]]&lt;= 7, "Standard", TRUE, "Delayed")</f>
        <v>Standard</v>
      </c>
      <c r="Z375" t="str" cm="1">
        <f t="array" ref="Z375">_xlfn.IFS(Sales_Data_1[[#This Row],[Profit_Amount]]&gt; 0, "Profitable", Sales_Data_1[[#This Row],[Profit_Amount]] = 0, "Break-Even", TRUE, "Loss")</f>
        <v>Profitable</v>
      </c>
      <c r="AA375" t="str" cm="1">
        <f t="array" ref="AA375">_xlfn.IFS(Sales_Data_1[[#This Row],[Sales]]&gt;= 1000, "High Value", Sales_Data_1[[#This Row],[Sales]]&gt;= 300, "Mid Value", TRUE, "Low Value")</f>
        <v>High Value</v>
      </c>
    </row>
    <row r="376" spans="1:27" x14ac:dyDescent="0.3">
      <c r="A376" t="s">
        <v>2194</v>
      </c>
      <c r="B376" s="1">
        <v>45080</v>
      </c>
      <c r="C376" t="s">
        <v>30</v>
      </c>
      <c r="D376" t="s">
        <v>56</v>
      </c>
      <c r="E376" t="s">
        <v>67</v>
      </c>
      <c r="F376" t="s">
        <v>68</v>
      </c>
      <c r="G376" t="s">
        <v>92</v>
      </c>
      <c r="H376" t="s">
        <v>243</v>
      </c>
      <c r="I376" t="s">
        <v>378</v>
      </c>
      <c r="J376">
        <v>2</v>
      </c>
      <c r="K376">
        <v>11058</v>
      </c>
      <c r="L376">
        <v>0.06</v>
      </c>
      <c r="M376">
        <v>10394.52</v>
      </c>
      <c r="N376">
        <v>20789.04</v>
      </c>
      <c r="O376">
        <v>0.15</v>
      </c>
      <c r="P376">
        <v>3118.36</v>
      </c>
      <c r="Q376" t="s">
        <v>47</v>
      </c>
      <c r="R376" t="s">
        <v>38</v>
      </c>
      <c r="S376">
        <v>9</v>
      </c>
      <c r="T376">
        <f>YEAR(Sales_Data_1[[#This Row],[Order_Date]])</f>
        <v>2023</v>
      </c>
      <c r="U376" t="str">
        <f>TEXT(Sales_Data_1[[#This Row],[Order_Date]], "mmm")</f>
        <v>Jun</v>
      </c>
      <c r="V376">
        <f>MONTH(Sales_Data_1[[#This Row],[Order_Date]])</f>
        <v>6</v>
      </c>
      <c r="W376" t="str">
        <f>TEXT(Sales_Data_1[[#This Row],[Order_Date]], "yyyy-mm")</f>
        <v>2023-06</v>
      </c>
      <c r="X376">
        <f>Sales_Data_1[[#This Row],[Sales]]-Sales_Data_1[[#This Row],[Profit_Amount]]</f>
        <v>17670.68</v>
      </c>
      <c r="Y376" t="str" cm="1">
        <f t="array" ref="Y376">_xlfn.IFS(Sales_Data_1[[#This Row],[Delivery_Days]]&lt;=3, "Fast", Sales_Data_1[[#This Row],[Delivery_Days]]&lt;= 7, "Standard", TRUE, "Delayed")</f>
        <v>Delayed</v>
      </c>
      <c r="Z376" t="str" cm="1">
        <f t="array" ref="Z376">_xlfn.IFS(Sales_Data_1[[#This Row],[Profit_Amount]]&gt; 0, "Profitable", Sales_Data_1[[#This Row],[Profit_Amount]] = 0, "Break-Even", TRUE, "Loss")</f>
        <v>Profitable</v>
      </c>
      <c r="AA376" t="str" cm="1">
        <f t="array" ref="AA376">_xlfn.IFS(Sales_Data_1[[#This Row],[Sales]]&gt;= 1000, "High Value", Sales_Data_1[[#This Row],[Sales]]&gt;= 300, "Mid Value", TRUE, "Low Value")</f>
        <v>High Value</v>
      </c>
    </row>
    <row r="377" spans="1:27" x14ac:dyDescent="0.3">
      <c r="A377" t="s">
        <v>2613</v>
      </c>
      <c r="B377" s="1">
        <v>45499</v>
      </c>
      <c r="C377" t="s">
        <v>63</v>
      </c>
      <c r="D377" t="s">
        <v>56</v>
      </c>
      <c r="E377" t="s">
        <v>67</v>
      </c>
      <c r="F377" t="s">
        <v>97</v>
      </c>
      <c r="G377" t="s">
        <v>44</v>
      </c>
      <c r="H377" t="s">
        <v>116</v>
      </c>
      <c r="I377" t="s">
        <v>1208</v>
      </c>
      <c r="J377">
        <v>7</v>
      </c>
      <c r="K377">
        <v>1400</v>
      </c>
      <c r="L377">
        <v>0.09</v>
      </c>
      <c r="M377">
        <v>1274</v>
      </c>
      <c r="N377">
        <v>8918</v>
      </c>
      <c r="O377">
        <v>0.35</v>
      </c>
      <c r="P377">
        <v>3121.3</v>
      </c>
      <c r="Q377" t="s">
        <v>37</v>
      </c>
      <c r="R377" t="s">
        <v>48</v>
      </c>
      <c r="S377">
        <v>9</v>
      </c>
      <c r="T377">
        <f>YEAR(Sales_Data_1[[#This Row],[Order_Date]])</f>
        <v>2024</v>
      </c>
      <c r="U377" t="str">
        <f>TEXT(Sales_Data_1[[#This Row],[Order_Date]], "mmm")</f>
        <v>Jul</v>
      </c>
      <c r="V377">
        <f>MONTH(Sales_Data_1[[#This Row],[Order_Date]])</f>
        <v>7</v>
      </c>
      <c r="W377" t="str">
        <f>TEXT(Sales_Data_1[[#This Row],[Order_Date]], "yyyy-mm")</f>
        <v>2024-07</v>
      </c>
      <c r="X377">
        <f>Sales_Data_1[[#This Row],[Sales]]-Sales_Data_1[[#This Row],[Profit_Amount]]</f>
        <v>5796.7</v>
      </c>
      <c r="Y377" t="str" cm="1">
        <f t="array" ref="Y377">_xlfn.IFS(Sales_Data_1[[#This Row],[Delivery_Days]]&lt;=3, "Fast", Sales_Data_1[[#This Row],[Delivery_Days]]&lt;= 7, "Standard", TRUE, "Delayed")</f>
        <v>Delayed</v>
      </c>
      <c r="Z377" t="str" cm="1">
        <f t="array" ref="Z377">_xlfn.IFS(Sales_Data_1[[#This Row],[Profit_Amount]]&gt; 0, "Profitable", Sales_Data_1[[#This Row],[Profit_Amount]] = 0, "Break-Even", TRUE, "Loss")</f>
        <v>Profitable</v>
      </c>
      <c r="AA377" t="str" cm="1">
        <f t="array" ref="AA377">_xlfn.IFS(Sales_Data_1[[#This Row],[Sales]]&gt;= 1000, "High Value", Sales_Data_1[[#This Row],[Sales]]&gt;= 300, "Mid Value", TRUE, "Low Value")</f>
        <v>High Value</v>
      </c>
    </row>
    <row r="378" spans="1:27" x14ac:dyDescent="0.3">
      <c r="A378" t="s">
        <v>2387</v>
      </c>
      <c r="B378" s="1">
        <v>45273</v>
      </c>
      <c r="C378" t="s">
        <v>96</v>
      </c>
      <c r="D378" t="s">
        <v>31</v>
      </c>
      <c r="E378" t="s">
        <v>67</v>
      </c>
      <c r="F378" t="s">
        <v>68</v>
      </c>
      <c r="G378" t="s">
        <v>44</v>
      </c>
      <c r="H378" t="s">
        <v>116</v>
      </c>
      <c r="I378" t="s">
        <v>762</v>
      </c>
      <c r="J378">
        <v>3</v>
      </c>
      <c r="K378">
        <v>3540</v>
      </c>
      <c r="L378">
        <v>0.16</v>
      </c>
      <c r="M378">
        <v>2973.6</v>
      </c>
      <c r="N378">
        <v>8920.7999999999993</v>
      </c>
      <c r="O378">
        <v>0.35</v>
      </c>
      <c r="P378">
        <v>3122.28</v>
      </c>
      <c r="Q378" t="s">
        <v>37</v>
      </c>
      <c r="R378" t="s">
        <v>48</v>
      </c>
      <c r="S378">
        <v>7</v>
      </c>
      <c r="T378">
        <f>YEAR(Sales_Data_1[[#This Row],[Order_Date]])</f>
        <v>2023</v>
      </c>
      <c r="U378" t="str">
        <f>TEXT(Sales_Data_1[[#This Row],[Order_Date]], "mmm")</f>
        <v>Dec</v>
      </c>
      <c r="V378">
        <f>MONTH(Sales_Data_1[[#This Row],[Order_Date]])</f>
        <v>12</v>
      </c>
      <c r="W378" t="str">
        <f>TEXT(Sales_Data_1[[#This Row],[Order_Date]], "yyyy-mm")</f>
        <v>2023-12</v>
      </c>
      <c r="X378">
        <f>Sales_Data_1[[#This Row],[Sales]]-Sales_Data_1[[#This Row],[Profit_Amount]]</f>
        <v>5798.5199999999986</v>
      </c>
      <c r="Y378" t="str" cm="1">
        <f t="array" ref="Y378">_xlfn.IFS(Sales_Data_1[[#This Row],[Delivery_Days]]&lt;=3, "Fast", Sales_Data_1[[#This Row],[Delivery_Days]]&lt;= 7, "Standard", TRUE, "Delayed")</f>
        <v>Standard</v>
      </c>
      <c r="Z378" t="str" cm="1">
        <f t="array" ref="Z378">_xlfn.IFS(Sales_Data_1[[#This Row],[Profit_Amount]]&gt; 0, "Profitable", Sales_Data_1[[#This Row],[Profit_Amount]] = 0, "Break-Even", TRUE, "Loss")</f>
        <v>Profitable</v>
      </c>
      <c r="AA378" t="str" cm="1">
        <f t="array" ref="AA378">_xlfn.IFS(Sales_Data_1[[#This Row],[Sales]]&gt;= 1000, "High Value", Sales_Data_1[[#This Row],[Sales]]&gt;= 300, "Mid Value", TRUE, "Low Value")</f>
        <v>High Value</v>
      </c>
    </row>
    <row r="379" spans="1:27" x14ac:dyDescent="0.3">
      <c r="A379" t="s">
        <v>2944</v>
      </c>
      <c r="B379" s="1">
        <v>45830</v>
      </c>
      <c r="C379" t="s">
        <v>30</v>
      </c>
      <c r="D379" t="s">
        <v>31</v>
      </c>
      <c r="E379" t="s">
        <v>2040</v>
      </c>
      <c r="F379" t="s">
        <v>33</v>
      </c>
      <c r="G379" t="s">
        <v>24</v>
      </c>
      <c r="H379" t="s">
        <v>25</v>
      </c>
      <c r="I379" t="s">
        <v>1856</v>
      </c>
      <c r="J379">
        <v>3</v>
      </c>
      <c r="K379">
        <v>4959</v>
      </c>
      <c r="L379">
        <v>0.16</v>
      </c>
      <c r="M379">
        <v>4165.5600000000004</v>
      </c>
      <c r="N379">
        <v>12496.68</v>
      </c>
      <c r="O379">
        <v>0.25</v>
      </c>
      <c r="P379">
        <v>3124.17</v>
      </c>
      <c r="Q379" t="s">
        <v>47</v>
      </c>
      <c r="R379" t="s">
        <v>48</v>
      </c>
      <c r="S379">
        <v>6</v>
      </c>
      <c r="T379">
        <f>YEAR(Sales_Data_1[[#This Row],[Order_Date]])</f>
        <v>2025</v>
      </c>
      <c r="U379" t="str">
        <f>TEXT(Sales_Data_1[[#This Row],[Order_Date]], "mmm")</f>
        <v>Jun</v>
      </c>
      <c r="V379">
        <f>MONTH(Sales_Data_1[[#This Row],[Order_Date]])</f>
        <v>6</v>
      </c>
      <c r="W379" t="str">
        <f>TEXT(Sales_Data_1[[#This Row],[Order_Date]], "yyyy-mm")</f>
        <v>2025-06</v>
      </c>
      <c r="X379">
        <f>Sales_Data_1[[#This Row],[Sales]]-Sales_Data_1[[#This Row],[Profit_Amount]]</f>
        <v>9372.51</v>
      </c>
      <c r="Y379" t="str" cm="1">
        <f t="array" ref="Y379">_xlfn.IFS(Sales_Data_1[[#This Row],[Delivery_Days]]&lt;=3, "Fast", Sales_Data_1[[#This Row],[Delivery_Days]]&lt;= 7, "Standard", TRUE, "Delayed")</f>
        <v>Standard</v>
      </c>
      <c r="Z379" t="str" cm="1">
        <f t="array" ref="Z379">_xlfn.IFS(Sales_Data_1[[#This Row],[Profit_Amount]]&gt; 0, "Profitable", Sales_Data_1[[#This Row],[Profit_Amount]] = 0, "Break-Even", TRUE, "Loss")</f>
        <v>Profitable</v>
      </c>
      <c r="AA379" t="str" cm="1">
        <f t="array" ref="AA379">_xlfn.IFS(Sales_Data_1[[#This Row],[Sales]]&gt;= 1000, "High Value", Sales_Data_1[[#This Row],[Sales]]&gt;= 300, "Mid Value", TRUE, "Low Value")</f>
        <v>High Value</v>
      </c>
    </row>
    <row r="380" spans="1:27" x14ac:dyDescent="0.3">
      <c r="A380" t="s">
        <v>2493</v>
      </c>
      <c r="B380" s="1">
        <v>45379</v>
      </c>
      <c r="C380" t="s">
        <v>30</v>
      </c>
      <c r="D380" t="s">
        <v>56</v>
      </c>
      <c r="E380" t="s">
        <v>2040</v>
      </c>
      <c r="F380" t="s">
        <v>43</v>
      </c>
      <c r="G380" t="s">
        <v>34</v>
      </c>
      <c r="H380" t="s">
        <v>35</v>
      </c>
      <c r="I380" t="s">
        <v>971</v>
      </c>
      <c r="J380">
        <v>9</v>
      </c>
      <c r="K380">
        <v>1034</v>
      </c>
      <c r="L380">
        <v>0.16</v>
      </c>
      <c r="M380">
        <v>868.56</v>
      </c>
      <c r="N380">
        <v>7817.04</v>
      </c>
      <c r="O380">
        <v>0.4</v>
      </c>
      <c r="P380">
        <v>3126.82</v>
      </c>
      <c r="Q380" t="s">
        <v>27</v>
      </c>
      <c r="R380" t="s">
        <v>48</v>
      </c>
      <c r="S380">
        <v>5</v>
      </c>
      <c r="T380">
        <f>YEAR(Sales_Data_1[[#This Row],[Order_Date]])</f>
        <v>2024</v>
      </c>
      <c r="U380" t="str">
        <f>TEXT(Sales_Data_1[[#This Row],[Order_Date]], "mmm")</f>
        <v>Mar</v>
      </c>
      <c r="V380">
        <f>MONTH(Sales_Data_1[[#This Row],[Order_Date]])</f>
        <v>3</v>
      </c>
      <c r="W380" t="str">
        <f>TEXT(Sales_Data_1[[#This Row],[Order_Date]], "yyyy-mm")</f>
        <v>2024-03</v>
      </c>
      <c r="X380">
        <f>Sales_Data_1[[#This Row],[Sales]]-Sales_Data_1[[#This Row],[Profit_Amount]]</f>
        <v>4690.2199999999993</v>
      </c>
      <c r="Y380" t="str" cm="1">
        <f t="array" ref="Y380">_xlfn.IFS(Sales_Data_1[[#This Row],[Delivery_Days]]&lt;=3, "Fast", Sales_Data_1[[#This Row],[Delivery_Days]]&lt;= 7, "Standard", TRUE, "Delayed")</f>
        <v>Standard</v>
      </c>
      <c r="Z380" t="str" cm="1">
        <f t="array" ref="Z380">_xlfn.IFS(Sales_Data_1[[#This Row],[Profit_Amount]]&gt; 0, "Profitable", Sales_Data_1[[#This Row],[Profit_Amount]] = 0, "Break-Even", TRUE, "Loss")</f>
        <v>Profitable</v>
      </c>
      <c r="AA380" t="str" cm="1">
        <f t="array" ref="AA380">_xlfn.IFS(Sales_Data_1[[#This Row],[Sales]]&gt;= 1000, "High Value", Sales_Data_1[[#This Row],[Sales]]&gt;= 300, "Mid Value", TRUE, "Low Value")</f>
        <v>High Value</v>
      </c>
    </row>
    <row r="381" spans="1:27" x14ac:dyDescent="0.3">
      <c r="A381" t="s">
        <v>2516</v>
      </c>
      <c r="B381" s="1">
        <v>45402</v>
      </c>
      <c r="C381" t="s">
        <v>20</v>
      </c>
      <c r="D381" t="s">
        <v>21</v>
      </c>
      <c r="E381" t="s">
        <v>2042</v>
      </c>
      <c r="F381" t="s">
        <v>97</v>
      </c>
      <c r="G381" t="s">
        <v>34</v>
      </c>
      <c r="H381" t="s">
        <v>104</v>
      </c>
      <c r="I381" t="s">
        <v>1016</v>
      </c>
      <c r="J381">
        <v>7</v>
      </c>
      <c r="K381">
        <v>1230</v>
      </c>
      <c r="L381">
        <v>0.09</v>
      </c>
      <c r="M381">
        <v>1119.3</v>
      </c>
      <c r="N381">
        <v>7835.1</v>
      </c>
      <c r="O381">
        <v>0.4</v>
      </c>
      <c r="P381">
        <v>3134.04</v>
      </c>
      <c r="Q381" t="s">
        <v>27</v>
      </c>
      <c r="R381" t="s">
        <v>48</v>
      </c>
      <c r="S381">
        <v>4</v>
      </c>
      <c r="T381">
        <f>YEAR(Sales_Data_1[[#This Row],[Order_Date]])</f>
        <v>2024</v>
      </c>
      <c r="U381" t="str">
        <f>TEXT(Sales_Data_1[[#This Row],[Order_Date]], "mmm")</f>
        <v>Apr</v>
      </c>
      <c r="V381">
        <f>MONTH(Sales_Data_1[[#This Row],[Order_Date]])</f>
        <v>4</v>
      </c>
      <c r="W381" t="str">
        <f>TEXT(Sales_Data_1[[#This Row],[Order_Date]], "yyyy-mm")</f>
        <v>2024-04</v>
      </c>
      <c r="X381">
        <f>Sales_Data_1[[#This Row],[Sales]]-Sales_Data_1[[#This Row],[Profit_Amount]]</f>
        <v>4701.0600000000004</v>
      </c>
      <c r="Y381" t="str" cm="1">
        <f t="array" ref="Y381">_xlfn.IFS(Sales_Data_1[[#This Row],[Delivery_Days]]&lt;=3, "Fast", Sales_Data_1[[#This Row],[Delivery_Days]]&lt;= 7, "Standard", TRUE, "Delayed")</f>
        <v>Standard</v>
      </c>
      <c r="Z381" t="str" cm="1">
        <f t="array" ref="Z381">_xlfn.IFS(Sales_Data_1[[#This Row],[Profit_Amount]]&gt; 0, "Profitable", Sales_Data_1[[#This Row],[Profit_Amount]] = 0, "Break-Even", TRUE, "Loss")</f>
        <v>Profitable</v>
      </c>
      <c r="AA381" t="str" cm="1">
        <f t="array" ref="AA381">_xlfn.IFS(Sales_Data_1[[#This Row],[Sales]]&gt;= 1000, "High Value", Sales_Data_1[[#This Row],[Sales]]&gt;= 300, "Mid Value", TRUE, "Low Value")</f>
        <v>High Value</v>
      </c>
    </row>
    <row r="382" spans="1:27" x14ac:dyDescent="0.3">
      <c r="A382" t="s">
        <v>2797</v>
      </c>
      <c r="B382" s="1">
        <v>45683</v>
      </c>
      <c r="C382" t="s">
        <v>30</v>
      </c>
      <c r="D382" t="s">
        <v>31</v>
      </c>
      <c r="E382" t="s">
        <v>67</v>
      </c>
      <c r="F382" t="s">
        <v>33</v>
      </c>
      <c r="G382" t="s">
        <v>34</v>
      </c>
      <c r="H382" t="s">
        <v>35</v>
      </c>
      <c r="I382" t="s">
        <v>1567</v>
      </c>
      <c r="J382">
        <v>8</v>
      </c>
      <c r="K382">
        <v>1243</v>
      </c>
      <c r="L382">
        <v>0.21</v>
      </c>
      <c r="M382">
        <v>981.97</v>
      </c>
      <c r="N382">
        <v>7855.76</v>
      </c>
      <c r="O382">
        <v>0.4</v>
      </c>
      <c r="P382">
        <v>3142.3</v>
      </c>
      <c r="Q382" t="s">
        <v>27</v>
      </c>
      <c r="R382" t="s">
        <v>28</v>
      </c>
      <c r="S382">
        <v>8</v>
      </c>
      <c r="T382">
        <f>YEAR(Sales_Data_1[[#This Row],[Order_Date]])</f>
        <v>2025</v>
      </c>
      <c r="U382" t="str">
        <f>TEXT(Sales_Data_1[[#This Row],[Order_Date]], "mmm")</f>
        <v>Jan</v>
      </c>
      <c r="V382">
        <f>MONTH(Sales_Data_1[[#This Row],[Order_Date]])</f>
        <v>1</v>
      </c>
      <c r="W382" t="str">
        <f>TEXT(Sales_Data_1[[#This Row],[Order_Date]], "yyyy-mm")</f>
        <v>2025-01</v>
      </c>
      <c r="X382">
        <f>Sales_Data_1[[#This Row],[Sales]]-Sales_Data_1[[#This Row],[Profit_Amount]]</f>
        <v>4713.46</v>
      </c>
      <c r="Y382" t="str" cm="1">
        <f t="array" ref="Y382">_xlfn.IFS(Sales_Data_1[[#This Row],[Delivery_Days]]&lt;=3, "Fast", Sales_Data_1[[#This Row],[Delivery_Days]]&lt;= 7, "Standard", TRUE, "Delayed")</f>
        <v>Delayed</v>
      </c>
      <c r="Z382" t="str" cm="1">
        <f t="array" ref="Z382">_xlfn.IFS(Sales_Data_1[[#This Row],[Profit_Amount]]&gt; 0, "Profitable", Sales_Data_1[[#This Row],[Profit_Amount]] = 0, "Break-Even", TRUE, "Loss")</f>
        <v>Profitable</v>
      </c>
      <c r="AA382" t="str" cm="1">
        <f t="array" ref="AA382">_xlfn.IFS(Sales_Data_1[[#This Row],[Sales]]&gt;= 1000, "High Value", Sales_Data_1[[#This Row],[Sales]]&gt;= 300, "Mid Value", TRUE, "Low Value")</f>
        <v>High Value</v>
      </c>
    </row>
    <row r="383" spans="1:27" x14ac:dyDescent="0.3">
      <c r="A383" t="s">
        <v>2561</v>
      </c>
      <c r="B383" s="1">
        <v>45447</v>
      </c>
      <c r="C383" t="s">
        <v>40</v>
      </c>
      <c r="D383" t="s">
        <v>21</v>
      </c>
      <c r="E383" t="s">
        <v>67</v>
      </c>
      <c r="F383" t="s">
        <v>103</v>
      </c>
      <c r="G383" t="s">
        <v>24</v>
      </c>
      <c r="H383" t="s">
        <v>74</v>
      </c>
      <c r="I383" t="s">
        <v>1105</v>
      </c>
      <c r="J383">
        <v>2</v>
      </c>
      <c r="K383">
        <v>7488</v>
      </c>
      <c r="L383">
        <v>0.15</v>
      </c>
      <c r="M383">
        <v>6364.8</v>
      </c>
      <c r="N383">
        <v>12729.6</v>
      </c>
      <c r="O383">
        <v>0.25</v>
      </c>
      <c r="P383">
        <v>3182.4</v>
      </c>
      <c r="Q383" t="s">
        <v>37</v>
      </c>
      <c r="R383" t="s">
        <v>48</v>
      </c>
      <c r="S383">
        <v>6</v>
      </c>
      <c r="T383">
        <f>YEAR(Sales_Data_1[[#This Row],[Order_Date]])</f>
        <v>2024</v>
      </c>
      <c r="U383" t="str">
        <f>TEXT(Sales_Data_1[[#This Row],[Order_Date]], "mmm")</f>
        <v>Jun</v>
      </c>
      <c r="V383">
        <f>MONTH(Sales_Data_1[[#This Row],[Order_Date]])</f>
        <v>6</v>
      </c>
      <c r="W383" t="str">
        <f>TEXT(Sales_Data_1[[#This Row],[Order_Date]], "yyyy-mm")</f>
        <v>2024-06</v>
      </c>
      <c r="X383">
        <f>Sales_Data_1[[#This Row],[Sales]]-Sales_Data_1[[#This Row],[Profit_Amount]]</f>
        <v>9547.2000000000007</v>
      </c>
      <c r="Y383" t="str" cm="1">
        <f t="array" ref="Y383">_xlfn.IFS(Sales_Data_1[[#This Row],[Delivery_Days]]&lt;=3, "Fast", Sales_Data_1[[#This Row],[Delivery_Days]]&lt;= 7, "Standard", TRUE, "Delayed")</f>
        <v>Standard</v>
      </c>
      <c r="Z383" t="str" cm="1">
        <f t="array" ref="Z383">_xlfn.IFS(Sales_Data_1[[#This Row],[Profit_Amount]]&gt; 0, "Profitable", Sales_Data_1[[#This Row],[Profit_Amount]] = 0, "Break-Even", TRUE, "Loss")</f>
        <v>Profitable</v>
      </c>
      <c r="AA383" t="str" cm="1">
        <f t="array" ref="AA383">_xlfn.IFS(Sales_Data_1[[#This Row],[Sales]]&gt;= 1000, "High Value", Sales_Data_1[[#This Row],[Sales]]&gt;= 300, "Mid Value", TRUE, "Low Value")</f>
        <v>High Value</v>
      </c>
    </row>
    <row r="384" spans="1:27" x14ac:dyDescent="0.3">
      <c r="A384" t="s">
        <v>2576</v>
      </c>
      <c r="B384" s="1">
        <v>45462</v>
      </c>
      <c r="C384" t="s">
        <v>63</v>
      </c>
      <c r="D384" t="s">
        <v>31</v>
      </c>
      <c r="E384" t="s">
        <v>67</v>
      </c>
      <c r="F384" t="s">
        <v>97</v>
      </c>
      <c r="G384" t="s">
        <v>34</v>
      </c>
      <c r="H384" t="s">
        <v>71</v>
      </c>
      <c r="I384" t="s">
        <v>1135</v>
      </c>
      <c r="J384">
        <v>8</v>
      </c>
      <c r="K384">
        <v>1082</v>
      </c>
      <c r="L384">
        <v>7.0000000000000007E-2</v>
      </c>
      <c r="M384">
        <v>1006.26</v>
      </c>
      <c r="N384">
        <v>8050.08</v>
      </c>
      <c r="O384">
        <v>0.4</v>
      </c>
      <c r="P384">
        <v>3220.03</v>
      </c>
      <c r="Q384" t="s">
        <v>27</v>
      </c>
      <c r="R384" t="s">
        <v>48</v>
      </c>
      <c r="S384">
        <v>2</v>
      </c>
      <c r="T384">
        <f>YEAR(Sales_Data_1[[#This Row],[Order_Date]])</f>
        <v>2024</v>
      </c>
      <c r="U384" t="str">
        <f>TEXT(Sales_Data_1[[#This Row],[Order_Date]], "mmm")</f>
        <v>Jun</v>
      </c>
      <c r="V384">
        <f>MONTH(Sales_Data_1[[#This Row],[Order_Date]])</f>
        <v>6</v>
      </c>
      <c r="W384" t="str">
        <f>TEXT(Sales_Data_1[[#This Row],[Order_Date]], "yyyy-mm")</f>
        <v>2024-06</v>
      </c>
      <c r="X384">
        <f>Sales_Data_1[[#This Row],[Sales]]-Sales_Data_1[[#This Row],[Profit_Amount]]</f>
        <v>4830.0499999999993</v>
      </c>
      <c r="Y384" t="str" cm="1">
        <f t="array" ref="Y384">_xlfn.IFS(Sales_Data_1[[#This Row],[Delivery_Days]]&lt;=3, "Fast", Sales_Data_1[[#This Row],[Delivery_Days]]&lt;= 7, "Standard", TRUE, "Delayed")</f>
        <v>Fast</v>
      </c>
      <c r="Z384" t="str" cm="1">
        <f t="array" ref="Z384">_xlfn.IFS(Sales_Data_1[[#This Row],[Profit_Amount]]&gt; 0, "Profitable", Sales_Data_1[[#This Row],[Profit_Amount]] = 0, "Break-Even", TRUE, "Loss")</f>
        <v>Profitable</v>
      </c>
      <c r="AA384" t="str" cm="1">
        <f t="array" ref="AA384">_xlfn.IFS(Sales_Data_1[[#This Row],[Sales]]&gt;= 1000, "High Value", Sales_Data_1[[#This Row],[Sales]]&gt;= 300, "Mid Value", TRUE, "Low Value")</f>
        <v>High Value</v>
      </c>
    </row>
    <row r="385" spans="1:27" x14ac:dyDescent="0.3">
      <c r="A385" t="s">
        <v>2273</v>
      </c>
      <c r="B385" s="1">
        <v>45159</v>
      </c>
      <c r="C385" t="s">
        <v>20</v>
      </c>
      <c r="D385" t="s">
        <v>31</v>
      </c>
      <c r="E385" t="s">
        <v>2042</v>
      </c>
      <c r="F385" t="s">
        <v>97</v>
      </c>
      <c r="G385" t="s">
        <v>24</v>
      </c>
      <c r="H385" t="s">
        <v>121</v>
      </c>
      <c r="I385" t="s">
        <v>536</v>
      </c>
      <c r="J385">
        <v>7</v>
      </c>
      <c r="K385">
        <v>2367</v>
      </c>
      <c r="L385">
        <v>0.22</v>
      </c>
      <c r="M385">
        <v>1846.26</v>
      </c>
      <c r="N385">
        <v>12923.82</v>
      </c>
      <c r="O385">
        <v>0.25</v>
      </c>
      <c r="P385">
        <v>3230.96</v>
      </c>
      <c r="Q385" t="s">
        <v>47</v>
      </c>
      <c r="R385" t="s">
        <v>48</v>
      </c>
      <c r="S385">
        <v>6</v>
      </c>
      <c r="T385">
        <f>YEAR(Sales_Data_1[[#This Row],[Order_Date]])</f>
        <v>2023</v>
      </c>
      <c r="U385" t="str">
        <f>TEXT(Sales_Data_1[[#This Row],[Order_Date]], "mmm")</f>
        <v>Aug</v>
      </c>
      <c r="V385">
        <f>MONTH(Sales_Data_1[[#This Row],[Order_Date]])</f>
        <v>8</v>
      </c>
      <c r="W385" t="str">
        <f>TEXT(Sales_Data_1[[#This Row],[Order_Date]], "yyyy-mm")</f>
        <v>2023-08</v>
      </c>
      <c r="X385">
        <f>Sales_Data_1[[#This Row],[Sales]]-Sales_Data_1[[#This Row],[Profit_Amount]]</f>
        <v>9692.86</v>
      </c>
      <c r="Y385" t="str" cm="1">
        <f t="array" ref="Y385">_xlfn.IFS(Sales_Data_1[[#This Row],[Delivery_Days]]&lt;=3, "Fast", Sales_Data_1[[#This Row],[Delivery_Days]]&lt;= 7, "Standard", TRUE, "Delayed")</f>
        <v>Standard</v>
      </c>
      <c r="Z385" t="str" cm="1">
        <f t="array" ref="Z385">_xlfn.IFS(Sales_Data_1[[#This Row],[Profit_Amount]]&gt; 0, "Profitable", Sales_Data_1[[#This Row],[Profit_Amount]] = 0, "Break-Even", TRUE, "Loss")</f>
        <v>Profitable</v>
      </c>
      <c r="AA385" t="str" cm="1">
        <f t="array" ref="AA385">_xlfn.IFS(Sales_Data_1[[#This Row],[Sales]]&gt;= 1000, "High Value", Sales_Data_1[[#This Row],[Sales]]&gt;= 300, "Mid Value", TRUE, "Low Value")</f>
        <v>High Value</v>
      </c>
    </row>
    <row r="386" spans="1:27" x14ac:dyDescent="0.3">
      <c r="A386" t="s">
        <v>2198</v>
      </c>
      <c r="B386" s="1">
        <v>45084</v>
      </c>
      <c r="C386" t="s">
        <v>63</v>
      </c>
      <c r="D386" t="s">
        <v>31</v>
      </c>
      <c r="E386" t="s">
        <v>2042</v>
      </c>
      <c r="F386" t="s">
        <v>23</v>
      </c>
      <c r="G386" t="s">
        <v>34</v>
      </c>
      <c r="H386" t="s">
        <v>71</v>
      </c>
      <c r="I386" t="s">
        <v>386</v>
      </c>
      <c r="J386">
        <v>8</v>
      </c>
      <c r="K386">
        <v>1036</v>
      </c>
      <c r="L386">
        <v>0.02</v>
      </c>
      <c r="M386">
        <v>1015.28</v>
      </c>
      <c r="N386">
        <v>8122.24</v>
      </c>
      <c r="O386">
        <v>0.4</v>
      </c>
      <c r="P386">
        <v>3248.9</v>
      </c>
      <c r="Q386" t="s">
        <v>51</v>
      </c>
      <c r="R386" t="s">
        <v>48</v>
      </c>
      <c r="S386">
        <v>6</v>
      </c>
      <c r="T386">
        <f>YEAR(Sales_Data_1[[#This Row],[Order_Date]])</f>
        <v>2023</v>
      </c>
      <c r="U386" t="str">
        <f>TEXT(Sales_Data_1[[#This Row],[Order_Date]], "mmm")</f>
        <v>Jun</v>
      </c>
      <c r="V386">
        <f>MONTH(Sales_Data_1[[#This Row],[Order_Date]])</f>
        <v>6</v>
      </c>
      <c r="W386" t="str">
        <f>TEXT(Sales_Data_1[[#This Row],[Order_Date]], "yyyy-mm")</f>
        <v>2023-06</v>
      </c>
      <c r="X386">
        <f>Sales_Data_1[[#This Row],[Sales]]-Sales_Data_1[[#This Row],[Profit_Amount]]</f>
        <v>4873.34</v>
      </c>
      <c r="Y386" t="str" cm="1">
        <f t="array" ref="Y386">_xlfn.IFS(Sales_Data_1[[#This Row],[Delivery_Days]]&lt;=3, "Fast", Sales_Data_1[[#This Row],[Delivery_Days]]&lt;= 7, "Standard", TRUE, "Delayed")</f>
        <v>Standard</v>
      </c>
      <c r="Z386" t="str" cm="1">
        <f t="array" ref="Z386">_xlfn.IFS(Sales_Data_1[[#This Row],[Profit_Amount]]&gt; 0, "Profitable", Sales_Data_1[[#This Row],[Profit_Amount]] = 0, "Break-Even", TRUE, "Loss")</f>
        <v>Profitable</v>
      </c>
      <c r="AA386" t="str" cm="1">
        <f t="array" ref="AA386">_xlfn.IFS(Sales_Data_1[[#This Row],[Sales]]&gt;= 1000, "High Value", Sales_Data_1[[#This Row],[Sales]]&gt;= 300, "Mid Value", TRUE, "Low Value")</f>
        <v>High Value</v>
      </c>
    </row>
    <row r="387" spans="1:27" x14ac:dyDescent="0.3">
      <c r="A387" t="s">
        <v>2454</v>
      </c>
      <c r="B387" s="1">
        <v>45340</v>
      </c>
      <c r="C387" t="s">
        <v>63</v>
      </c>
      <c r="D387" t="s">
        <v>56</v>
      </c>
      <c r="E387" t="s">
        <v>67</v>
      </c>
      <c r="F387" t="s">
        <v>33</v>
      </c>
      <c r="G387" t="s">
        <v>24</v>
      </c>
      <c r="H387" t="s">
        <v>186</v>
      </c>
      <c r="I387" t="s">
        <v>894</v>
      </c>
      <c r="J387">
        <v>8</v>
      </c>
      <c r="K387">
        <v>1661</v>
      </c>
      <c r="L387">
        <v>0.02</v>
      </c>
      <c r="M387">
        <v>1627.78</v>
      </c>
      <c r="N387">
        <v>13022.24</v>
      </c>
      <c r="O387">
        <v>0.25</v>
      </c>
      <c r="P387">
        <v>3255.56</v>
      </c>
      <c r="Q387" t="s">
        <v>37</v>
      </c>
      <c r="R387" t="s">
        <v>48</v>
      </c>
      <c r="S387">
        <v>7</v>
      </c>
      <c r="T387">
        <f>YEAR(Sales_Data_1[[#This Row],[Order_Date]])</f>
        <v>2024</v>
      </c>
      <c r="U387" t="str">
        <f>TEXT(Sales_Data_1[[#This Row],[Order_Date]], "mmm")</f>
        <v>Feb</v>
      </c>
      <c r="V387">
        <f>MONTH(Sales_Data_1[[#This Row],[Order_Date]])</f>
        <v>2</v>
      </c>
      <c r="W387" t="str">
        <f>TEXT(Sales_Data_1[[#This Row],[Order_Date]], "yyyy-mm")</f>
        <v>2024-02</v>
      </c>
      <c r="X387">
        <f>Sales_Data_1[[#This Row],[Sales]]-Sales_Data_1[[#This Row],[Profit_Amount]]</f>
        <v>9766.68</v>
      </c>
      <c r="Y387" t="str" cm="1">
        <f t="array" ref="Y387">_xlfn.IFS(Sales_Data_1[[#This Row],[Delivery_Days]]&lt;=3, "Fast", Sales_Data_1[[#This Row],[Delivery_Days]]&lt;= 7, "Standard", TRUE, "Delayed")</f>
        <v>Standard</v>
      </c>
      <c r="Z387" t="str" cm="1">
        <f t="array" ref="Z387">_xlfn.IFS(Sales_Data_1[[#This Row],[Profit_Amount]]&gt; 0, "Profitable", Sales_Data_1[[#This Row],[Profit_Amount]] = 0, "Break-Even", TRUE, "Loss")</f>
        <v>Profitable</v>
      </c>
      <c r="AA387" t="str" cm="1">
        <f t="array" ref="AA387">_xlfn.IFS(Sales_Data_1[[#This Row],[Sales]]&gt;= 1000, "High Value", Sales_Data_1[[#This Row],[Sales]]&gt;= 300, "Mid Value", TRUE, "Low Value")</f>
        <v>High Value</v>
      </c>
    </row>
    <row r="388" spans="1:27" x14ac:dyDescent="0.3">
      <c r="A388" t="s">
        <v>2093</v>
      </c>
      <c r="B388" s="1">
        <v>44979</v>
      </c>
      <c r="C388" t="s">
        <v>55</v>
      </c>
      <c r="D388" t="s">
        <v>56</v>
      </c>
      <c r="E388" t="s">
        <v>67</v>
      </c>
      <c r="F388" t="s">
        <v>103</v>
      </c>
      <c r="G388" t="s">
        <v>24</v>
      </c>
      <c r="H388" t="s">
        <v>121</v>
      </c>
      <c r="I388" t="s">
        <v>172</v>
      </c>
      <c r="J388">
        <v>2</v>
      </c>
      <c r="K388">
        <v>7236</v>
      </c>
      <c r="L388">
        <v>0.1</v>
      </c>
      <c r="M388">
        <v>6512.4</v>
      </c>
      <c r="N388">
        <v>13024.8</v>
      </c>
      <c r="O388">
        <v>0.25</v>
      </c>
      <c r="P388">
        <v>3256.2</v>
      </c>
      <c r="Q388" t="s">
        <v>27</v>
      </c>
      <c r="R388" t="s">
        <v>48</v>
      </c>
      <c r="S388">
        <v>5</v>
      </c>
      <c r="T388">
        <f>YEAR(Sales_Data_1[[#This Row],[Order_Date]])</f>
        <v>2023</v>
      </c>
      <c r="U388" t="str">
        <f>TEXT(Sales_Data_1[[#This Row],[Order_Date]], "mmm")</f>
        <v>Feb</v>
      </c>
      <c r="V388">
        <f>MONTH(Sales_Data_1[[#This Row],[Order_Date]])</f>
        <v>2</v>
      </c>
      <c r="W388" t="str">
        <f>TEXT(Sales_Data_1[[#This Row],[Order_Date]], "yyyy-mm")</f>
        <v>2023-02</v>
      </c>
      <c r="X388">
        <f>Sales_Data_1[[#This Row],[Sales]]-Sales_Data_1[[#This Row],[Profit_Amount]]</f>
        <v>9768.5999999999985</v>
      </c>
      <c r="Y388" t="str" cm="1">
        <f t="array" ref="Y388">_xlfn.IFS(Sales_Data_1[[#This Row],[Delivery_Days]]&lt;=3, "Fast", Sales_Data_1[[#This Row],[Delivery_Days]]&lt;= 7, "Standard", TRUE, "Delayed")</f>
        <v>Standard</v>
      </c>
      <c r="Z388" t="str" cm="1">
        <f t="array" ref="Z388">_xlfn.IFS(Sales_Data_1[[#This Row],[Profit_Amount]]&gt; 0, "Profitable", Sales_Data_1[[#This Row],[Profit_Amount]] = 0, "Break-Even", TRUE, "Loss")</f>
        <v>Profitable</v>
      </c>
      <c r="AA388" t="str" cm="1">
        <f t="array" ref="AA388">_xlfn.IFS(Sales_Data_1[[#This Row],[Sales]]&gt;= 1000, "High Value", Sales_Data_1[[#This Row],[Sales]]&gt;= 300, "Mid Value", TRUE, "Low Value")</f>
        <v>High Value</v>
      </c>
    </row>
    <row r="389" spans="1:27" x14ac:dyDescent="0.3">
      <c r="A389" t="s">
        <v>2391</v>
      </c>
      <c r="B389" s="1">
        <v>45277</v>
      </c>
      <c r="C389" t="s">
        <v>55</v>
      </c>
      <c r="D389" t="s">
        <v>56</v>
      </c>
      <c r="E389" t="s">
        <v>2040</v>
      </c>
      <c r="F389" t="s">
        <v>97</v>
      </c>
      <c r="G389" t="s">
        <v>57</v>
      </c>
      <c r="H389" t="s">
        <v>183</v>
      </c>
      <c r="I389" t="s">
        <v>769</v>
      </c>
      <c r="J389">
        <v>1</v>
      </c>
      <c r="K389">
        <v>19633</v>
      </c>
      <c r="L389">
        <v>0.17</v>
      </c>
      <c r="M389">
        <v>16295.39</v>
      </c>
      <c r="N389">
        <v>16295.39</v>
      </c>
      <c r="O389">
        <v>0.2</v>
      </c>
      <c r="P389">
        <v>3259.08</v>
      </c>
      <c r="Q389" t="s">
        <v>47</v>
      </c>
      <c r="R389" t="s">
        <v>48</v>
      </c>
      <c r="S389">
        <v>5</v>
      </c>
      <c r="T389">
        <f>YEAR(Sales_Data_1[[#This Row],[Order_Date]])</f>
        <v>2023</v>
      </c>
      <c r="U389" t="str">
        <f>TEXT(Sales_Data_1[[#This Row],[Order_Date]], "mmm")</f>
        <v>Dec</v>
      </c>
      <c r="V389">
        <f>MONTH(Sales_Data_1[[#This Row],[Order_Date]])</f>
        <v>12</v>
      </c>
      <c r="W389" t="str">
        <f>TEXT(Sales_Data_1[[#This Row],[Order_Date]], "yyyy-mm")</f>
        <v>2023-12</v>
      </c>
      <c r="X389">
        <f>Sales_Data_1[[#This Row],[Sales]]-Sales_Data_1[[#This Row],[Profit_Amount]]</f>
        <v>13036.31</v>
      </c>
      <c r="Y389" t="str" cm="1">
        <f t="array" ref="Y389">_xlfn.IFS(Sales_Data_1[[#This Row],[Delivery_Days]]&lt;=3, "Fast", Sales_Data_1[[#This Row],[Delivery_Days]]&lt;= 7, "Standard", TRUE, "Delayed")</f>
        <v>Standard</v>
      </c>
      <c r="Z389" t="str" cm="1">
        <f t="array" ref="Z389">_xlfn.IFS(Sales_Data_1[[#This Row],[Profit_Amount]]&gt; 0, "Profitable", Sales_Data_1[[#This Row],[Profit_Amount]] = 0, "Break-Even", TRUE, "Loss")</f>
        <v>Profitable</v>
      </c>
      <c r="AA389" t="str" cm="1">
        <f t="array" ref="AA389">_xlfn.IFS(Sales_Data_1[[#This Row],[Sales]]&gt;= 1000, "High Value", Sales_Data_1[[#This Row],[Sales]]&gt;= 300, "Mid Value", TRUE, "Low Value")</f>
        <v>High Value</v>
      </c>
    </row>
    <row r="390" spans="1:27" x14ac:dyDescent="0.3">
      <c r="A390" t="s">
        <v>2833</v>
      </c>
      <c r="B390" s="1">
        <v>45719</v>
      </c>
      <c r="C390" t="s">
        <v>55</v>
      </c>
      <c r="D390" t="s">
        <v>56</v>
      </c>
      <c r="E390" t="s">
        <v>67</v>
      </c>
      <c r="F390" t="s">
        <v>97</v>
      </c>
      <c r="G390" t="s">
        <v>24</v>
      </c>
      <c r="H390" t="s">
        <v>121</v>
      </c>
      <c r="I390" t="s">
        <v>1637</v>
      </c>
      <c r="J390">
        <v>9</v>
      </c>
      <c r="K390">
        <v>1593</v>
      </c>
      <c r="L390">
        <v>0.09</v>
      </c>
      <c r="M390">
        <v>1449.63</v>
      </c>
      <c r="N390">
        <v>13046.67</v>
      </c>
      <c r="O390">
        <v>0.25</v>
      </c>
      <c r="P390">
        <v>3261.67</v>
      </c>
      <c r="Q390" t="s">
        <v>47</v>
      </c>
      <c r="R390" t="s">
        <v>48</v>
      </c>
      <c r="S390">
        <v>3</v>
      </c>
      <c r="T390">
        <f>YEAR(Sales_Data_1[[#This Row],[Order_Date]])</f>
        <v>2025</v>
      </c>
      <c r="U390" t="str">
        <f>TEXT(Sales_Data_1[[#This Row],[Order_Date]], "mmm")</f>
        <v>Mar</v>
      </c>
      <c r="V390">
        <f>MONTH(Sales_Data_1[[#This Row],[Order_Date]])</f>
        <v>3</v>
      </c>
      <c r="W390" t="str">
        <f>TEXT(Sales_Data_1[[#This Row],[Order_Date]], "yyyy-mm")</f>
        <v>2025-03</v>
      </c>
      <c r="X390">
        <f>Sales_Data_1[[#This Row],[Sales]]-Sales_Data_1[[#This Row],[Profit_Amount]]</f>
        <v>9785</v>
      </c>
      <c r="Y390" t="str" cm="1">
        <f t="array" ref="Y390">_xlfn.IFS(Sales_Data_1[[#This Row],[Delivery_Days]]&lt;=3, "Fast", Sales_Data_1[[#This Row],[Delivery_Days]]&lt;= 7, "Standard", TRUE, "Delayed")</f>
        <v>Fast</v>
      </c>
      <c r="Z390" t="str" cm="1">
        <f t="array" ref="Z390">_xlfn.IFS(Sales_Data_1[[#This Row],[Profit_Amount]]&gt; 0, "Profitable", Sales_Data_1[[#This Row],[Profit_Amount]] = 0, "Break-Even", TRUE, "Loss")</f>
        <v>Profitable</v>
      </c>
      <c r="AA390" t="str" cm="1">
        <f t="array" ref="AA390">_xlfn.IFS(Sales_Data_1[[#This Row],[Sales]]&gt;= 1000, "High Value", Sales_Data_1[[#This Row],[Sales]]&gt;= 300, "Mid Value", TRUE, "Low Value")</f>
        <v>High Value</v>
      </c>
    </row>
    <row r="391" spans="1:27" x14ac:dyDescent="0.3">
      <c r="A391" t="s">
        <v>2619</v>
      </c>
      <c r="B391" s="1">
        <v>45505</v>
      </c>
      <c r="C391" t="s">
        <v>40</v>
      </c>
      <c r="D391" t="s">
        <v>21</v>
      </c>
      <c r="E391" t="s">
        <v>2040</v>
      </c>
      <c r="F391" t="s">
        <v>97</v>
      </c>
      <c r="G391" t="s">
        <v>57</v>
      </c>
      <c r="H391" t="s">
        <v>81</v>
      </c>
      <c r="I391" t="s">
        <v>1220</v>
      </c>
      <c r="J391">
        <v>1</v>
      </c>
      <c r="K391">
        <v>18052</v>
      </c>
      <c r="L391">
        <v>0.09</v>
      </c>
      <c r="M391">
        <v>16427.32</v>
      </c>
      <c r="N391">
        <v>16427.32</v>
      </c>
      <c r="O391">
        <v>0.2</v>
      </c>
      <c r="P391">
        <v>3285.46</v>
      </c>
      <c r="Q391" t="s">
        <v>27</v>
      </c>
      <c r="R391" t="s">
        <v>48</v>
      </c>
      <c r="S391">
        <v>7</v>
      </c>
      <c r="T391">
        <f>YEAR(Sales_Data_1[[#This Row],[Order_Date]])</f>
        <v>2024</v>
      </c>
      <c r="U391" t="str">
        <f>TEXT(Sales_Data_1[[#This Row],[Order_Date]], "mmm")</f>
        <v>Aug</v>
      </c>
      <c r="V391">
        <f>MONTH(Sales_Data_1[[#This Row],[Order_Date]])</f>
        <v>8</v>
      </c>
      <c r="W391" t="str">
        <f>TEXT(Sales_Data_1[[#This Row],[Order_Date]], "yyyy-mm")</f>
        <v>2024-08</v>
      </c>
      <c r="X391">
        <f>Sales_Data_1[[#This Row],[Sales]]-Sales_Data_1[[#This Row],[Profit_Amount]]</f>
        <v>13141.86</v>
      </c>
      <c r="Y391" t="str" cm="1">
        <f t="array" ref="Y391">_xlfn.IFS(Sales_Data_1[[#This Row],[Delivery_Days]]&lt;=3, "Fast", Sales_Data_1[[#This Row],[Delivery_Days]]&lt;= 7, "Standard", TRUE, "Delayed")</f>
        <v>Standard</v>
      </c>
      <c r="Z391" t="str" cm="1">
        <f t="array" ref="Z391">_xlfn.IFS(Sales_Data_1[[#This Row],[Profit_Amount]]&gt; 0, "Profitable", Sales_Data_1[[#This Row],[Profit_Amount]] = 0, "Break-Even", TRUE, "Loss")</f>
        <v>Profitable</v>
      </c>
      <c r="AA391" t="str" cm="1">
        <f t="array" ref="AA391">_xlfn.IFS(Sales_Data_1[[#This Row],[Sales]]&gt;= 1000, "High Value", Sales_Data_1[[#This Row],[Sales]]&gt;= 300, "Mid Value", TRUE, "Low Value")</f>
        <v>High Value</v>
      </c>
    </row>
    <row r="392" spans="1:27" x14ac:dyDescent="0.3">
      <c r="A392" t="s">
        <v>2484</v>
      </c>
      <c r="B392" s="1">
        <v>45370</v>
      </c>
      <c r="C392" t="s">
        <v>63</v>
      </c>
      <c r="D392" t="s">
        <v>56</v>
      </c>
      <c r="E392" t="s">
        <v>2040</v>
      </c>
      <c r="F392" t="s">
        <v>97</v>
      </c>
      <c r="G392" t="s">
        <v>44</v>
      </c>
      <c r="H392" t="s">
        <v>116</v>
      </c>
      <c r="I392" t="s">
        <v>953</v>
      </c>
      <c r="J392">
        <v>3</v>
      </c>
      <c r="K392">
        <v>3331</v>
      </c>
      <c r="L392">
        <v>0.06</v>
      </c>
      <c r="M392">
        <v>3131.14</v>
      </c>
      <c r="N392">
        <v>9393.42</v>
      </c>
      <c r="O392">
        <v>0.35</v>
      </c>
      <c r="P392">
        <v>3287.7</v>
      </c>
      <c r="Q392" t="s">
        <v>51</v>
      </c>
      <c r="R392" t="s">
        <v>48</v>
      </c>
      <c r="S392">
        <v>9</v>
      </c>
      <c r="T392">
        <f>YEAR(Sales_Data_1[[#This Row],[Order_Date]])</f>
        <v>2024</v>
      </c>
      <c r="U392" t="str">
        <f>TEXT(Sales_Data_1[[#This Row],[Order_Date]], "mmm")</f>
        <v>Mar</v>
      </c>
      <c r="V392">
        <f>MONTH(Sales_Data_1[[#This Row],[Order_Date]])</f>
        <v>3</v>
      </c>
      <c r="W392" t="str">
        <f>TEXT(Sales_Data_1[[#This Row],[Order_Date]], "yyyy-mm")</f>
        <v>2024-03</v>
      </c>
      <c r="X392">
        <f>Sales_Data_1[[#This Row],[Sales]]-Sales_Data_1[[#This Row],[Profit_Amount]]</f>
        <v>6105.72</v>
      </c>
      <c r="Y392" t="str" cm="1">
        <f t="array" ref="Y392">_xlfn.IFS(Sales_Data_1[[#This Row],[Delivery_Days]]&lt;=3, "Fast", Sales_Data_1[[#This Row],[Delivery_Days]]&lt;= 7, "Standard", TRUE, "Delayed")</f>
        <v>Delayed</v>
      </c>
      <c r="Z392" t="str" cm="1">
        <f t="array" ref="Z392">_xlfn.IFS(Sales_Data_1[[#This Row],[Profit_Amount]]&gt; 0, "Profitable", Sales_Data_1[[#This Row],[Profit_Amount]] = 0, "Break-Even", TRUE, "Loss")</f>
        <v>Profitable</v>
      </c>
      <c r="AA392" t="str" cm="1">
        <f t="array" ref="AA392">_xlfn.IFS(Sales_Data_1[[#This Row],[Sales]]&gt;= 1000, "High Value", Sales_Data_1[[#This Row],[Sales]]&gt;= 300, "Mid Value", TRUE, "Low Value")</f>
        <v>High Value</v>
      </c>
    </row>
    <row r="393" spans="1:27" x14ac:dyDescent="0.3">
      <c r="A393" t="s">
        <v>2888</v>
      </c>
      <c r="B393" s="1">
        <v>45774</v>
      </c>
      <c r="C393" t="s">
        <v>30</v>
      </c>
      <c r="D393" t="s">
        <v>56</v>
      </c>
      <c r="E393" t="s">
        <v>42</v>
      </c>
      <c r="F393" t="s">
        <v>33</v>
      </c>
      <c r="G393" t="s">
        <v>44</v>
      </c>
      <c r="H393" t="s">
        <v>138</v>
      </c>
      <c r="I393" t="s">
        <v>1746</v>
      </c>
      <c r="J393">
        <v>4</v>
      </c>
      <c r="K393">
        <v>2503</v>
      </c>
      <c r="L393">
        <v>0.06</v>
      </c>
      <c r="M393">
        <v>2352.8200000000002</v>
      </c>
      <c r="N393">
        <v>9411.2800000000007</v>
      </c>
      <c r="O393">
        <v>0.35</v>
      </c>
      <c r="P393">
        <v>3293.95</v>
      </c>
      <c r="Q393" t="s">
        <v>51</v>
      </c>
      <c r="R393" t="s">
        <v>48</v>
      </c>
      <c r="S393">
        <v>5</v>
      </c>
      <c r="T393">
        <f>YEAR(Sales_Data_1[[#This Row],[Order_Date]])</f>
        <v>2025</v>
      </c>
      <c r="U393" t="str">
        <f>TEXT(Sales_Data_1[[#This Row],[Order_Date]], "mmm")</f>
        <v>Apr</v>
      </c>
      <c r="V393">
        <f>MONTH(Sales_Data_1[[#This Row],[Order_Date]])</f>
        <v>4</v>
      </c>
      <c r="W393" t="str">
        <f>TEXT(Sales_Data_1[[#This Row],[Order_Date]], "yyyy-mm")</f>
        <v>2025-04</v>
      </c>
      <c r="X393">
        <f>Sales_Data_1[[#This Row],[Sales]]-Sales_Data_1[[#This Row],[Profit_Amount]]</f>
        <v>6117.3300000000008</v>
      </c>
      <c r="Y393" t="str" cm="1">
        <f t="array" ref="Y393">_xlfn.IFS(Sales_Data_1[[#This Row],[Delivery_Days]]&lt;=3, "Fast", Sales_Data_1[[#This Row],[Delivery_Days]]&lt;= 7, "Standard", TRUE, "Delayed")</f>
        <v>Standard</v>
      </c>
      <c r="Z393" t="str" cm="1">
        <f t="array" ref="Z393">_xlfn.IFS(Sales_Data_1[[#This Row],[Profit_Amount]]&gt; 0, "Profitable", Sales_Data_1[[#This Row],[Profit_Amount]] = 0, "Break-Even", TRUE, "Loss")</f>
        <v>Profitable</v>
      </c>
      <c r="AA393" t="str" cm="1">
        <f t="array" ref="AA393">_xlfn.IFS(Sales_Data_1[[#This Row],[Sales]]&gt;= 1000, "High Value", Sales_Data_1[[#This Row],[Sales]]&gt;= 300, "Mid Value", TRUE, "Low Value")</f>
        <v>High Value</v>
      </c>
    </row>
    <row r="394" spans="1:27" x14ac:dyDescent="0.3">
      <c r="A394" t="s">
        <v>2264</v>
      </c>
      <c r="B394" s="1">
        <v>45150</v>
      </c>
      <c r="C394" t="s">
        <v>40</v>
      </c>
      <c r="D394" t="s">
        <v>31</v>
      </c>
      <c r="E394" t="s">
        <v>2042</v>
      </c>
      <c r="F394" t="s">
        <v>43</v>
      </c>
      <c r="G394" t="s">
        <v>24</v>
      </c>
      <c r="H394" t="s">
        <v>186</v>
      </c>
      <c r="I394" t="s">
        <v>518</v>
      </c>
      <c r="J394">
        <v>4</v>
      </c>
      <c r="K394">
        <v>4173</v>
      </c>
      <c r="L394">
        <v>0.21</v>
      </c>
      <c r="M394">
        <v>3296.67</v>
      </c>
      <c r="N394">
        <v>13186.68</v>
      </c>
      <c r="O394">
        <v>0.25</v>
      </c>
      <c r="P394">
        <v>3296.67</v>
      </c>
      <c r="Q394" t="s">
        <v>51</v>
      </c>
      <c r="R394" t="s">
        <v>48</v>
      </c>
      <c r="S394">
        <v>8</v>
      </c>
      <c r="T394">
        <f>YEAR(Sales_Data_1[[#This Row],[Order_Date]])</f>
        <v>2023</v>
      </c>
      <c r="U394" t="str">
        <f>TEXT(Sales_Data_1[[#This Row],[Order_Date]], "mmm")</f>
        <v>Aug</v>
      </c>
      <c r="V394">
        <f>MONTH(Sales_Data_1[[#This Row],[Order_Date]])</f>
        <v>8</v>
      </c>
      <c r="W394" t="str">
        <f>TEXT(Sales_Data_1[[#This Row],[Order_Date]], "yyyy-mm")</f>
        <v>2023-08</v>
      </c>
      <c r="X394">
        <f>Sales_Data_1[[#This Row],[Sales]]-Sales_Data_1[[#This Row],[Profit_Amount]]</f>
        <v>9890.01</v>
      </c>
      <c r="Y394" t="str" cm="1">
        <f t="array" ref="Y394">_xlfn.IFS(Sales_Data_1[[#This Row],[Delivery_Days]]&lt;=3, "Fast", Sales_Data_1[[#This Row],[Delivery_Days]]&lt;= 7, "Standard", TRUE, "Delayed")</f>
        <v>Delayed</v>
      </c>
      <c r="Z394" t="str" cm="1">
        <f t="array" ref="Z394">_xlfn.IFS(Sales_Data_1[[#This Row],[Profit_Amount]]&gt; 0, "Profitable", Sales_Data_1[[#This Row],[Profit_Amount]] = 0, "Break-Even", TRUE, "Loss")</f>
        <v>Profitable</v>
      </c>
      <c r="AA394" t="str" cm="1">
        <f t="array" ref="AA394">_xlfn.IFS(Sales_Data_1[[#This Row],[Sales]]&gt;= 1000, "High Value", Sales_Data_1[[#This Row],[Sales]]&gt;= 300, "Mid Value", TRUE, "Low Value")</f>
        <v>High Value</v>
      </c>
    </row>
    <row r="395" spans="1:27" x14ac:dyDescent="0.3">
      <c r="A395" t="s">
        <v>2184</v>
      </c>
      <c r="B395" s="1">
        <v>45070</v>
      </c>
      <c r="C395" t="s">
        <v>20</v>
      </c>
      <c r="D395" t="s">
        <v>56</v>
      </c>
      <c r="E395" t="s">
        <v>42</v>
      </c>
      <c r="F395" t="s">
        <v>23</v>
      </c>
      <c r="G395" t="s">
        <v>24</v>
      </c>
      <c r="H395" t="s">
        <v>25</v>
      </c>
      <c r="I395" t="s">
        <v>358</v>
      </c>
      <c r="J395">
        <v>8</v>
      </c>
      <c r="K395">
        <v>1956</v>
      </c>
      <c r="L395">
        <v>0.15</v>
      </c>
      <c r="M395">
        <v>1662.6</v>
      </c>
      <c r="N395">
        <v>13300.8</v>
      </c>
      <c r="O395">
        <v>0.25</v>
      </c>
      <c r="P395">
        <v>3325.2</v>
      </c>
      <c r="Q395" t="s">
        <v>51</v>
      </c>
      <c r="R395" t="s">
        <v>48</v>
      </c>
      <c r="S395">
        <v>5</v>
      </c>
      <c r="T395">
        <f>YEAR(Sales_Data_1[[#This Row],[Order_Date]])</f>
        <v>2023</v>
      </c>
      <c r="U395" t="str">
        <f>TEXT(Sales_Data_1[[#This Row],[Order_Date]], "mmm")</f>
        <v>May</v>
      </c>
      <c r="V395">
        <f>MONTH(Sales_Data_1[[#This Row],[Order_Date]])</f>
        <v>5</v>
      </c>
      <c r="W395" t="str">
        <f>TEXT(Sales_Data_1[[#This Row],[Order_Date]], "yyyy-mm")</f>
        <v>2023-05</v>
      </c>
      <c r="X395">
        <f>Sales_Data_1[[#This Row],[Sales]]-Sales_Data_1[[#This Row],[Profit_Amount]]</f>
        <v>9975.5999999999985</v>
      </c>
      <c r="Y395" t="str" cm="1">
        <f t="array" ref="Y395">_xlfn.IFS(Sales_Data_1[[#This Row],[Delivery_Days]]&lt;=3, "Fast", Sales_Data_1[[#This Row],[Delivery_Days]]&lt;= 7, "Standard", TRUE, "Delayed")</f>
        <v>Standard</v>
      </c>
      <c r="Z395" t="str" cm="1">
        <f t="array" ref="Z395">_xlfn.IFS(Sales_Data_1[[#This Row],[Profit_Amount]]&gt; 0, "Profitable", Sales_Data_1[[#This Row],[Profit_Amount]] = 0, "Break-Even", TRUE, "Loss")</f>
        <v>Profitable</v>
      </c>
      <c r="AA395" t="str" cm="1">
        <f t="array" ref="AA395">_xlfn.IFS(Sales_Data_1[[#This Row],[Sales]]&gt;= 1000, "High Value", Sales_Data_1[[#This Row],[Sales]]&gt;= 300, "Mid Value", TRUE, "Low Value")</f>
        <v>High Value</v>
      </c>
    </row>
    <row r="396" spans="1:27" x14ac:dyDescent="0.3">
      <c r="A396" t="s">
        <v>2724</v>
      </c>
      <c r="B396" s="1">
        <v>45610</v>
      </c>
      <c r="C396" t="s">
        <v>30</v>
      </c>
      <c r="D396" t="s">
        <v>56</v>
      </c>
      <c r="E396" t="s">
        <v>67</v>
      </c>
      <c r="F396" t="s">
        <v>97</v>
      </c>
      <c r="G396" t="s">
        <v>57</v>
      </c>
      <c r="H396" t="s">
        <v>58</v>
      </c>
      <c r="I396" t="s">
        <v>1424</v>
      </c>
      <c r="J396">
        <v>3</v>
      </c>
      <c r="K396">
        <v>6583</v>
      </c>
      <c r="L396">
        <v>0.15</v>
      </c>
      <c r="M396">
        <v>5595.55</v>
      </c>
      <c r="N396">
        <v>16786.650000000001</v>
      </c>
      <c r="O396">
        <v>0.2</v>
      </c>
      <c r="P396">
        <v>3357.33</v>
      </c>
      <c r="Q396" t="s">
        <v>27</v>
      </c>
      <c r="R396" t="s">
        <v>28</v>
      </c>
      <c r="S396">
        <v>1</v>
      </c>
      <c r="T396">
        <f>YEAR(Sales_Data_1[[#This Row],[Order_Date]])</f>
        <v>2024</v>
      </c>
      <c r="U396" t="str">
        <f>TEXT(Sales_Data_1[[#This Row],[Order_Date]], "mmm")</f>
        <v>Nov</v>
      </c>
      <c r="V396">
        <f>MONTH(Sales_Data_1[[#This Row],[Order_Date]])</f>
        <v>11</v>
      </c>
      <c r="W396" t="str">
        <f>TEXT(Sales_Data_1[[#This Row],[Order_Date]], "yyyy-mm")</f>
        <v>2024-11</v>
      </c>
      <c r="X396">
        <f>Sales_Data_1[[#This Row],[Sales]]-Sales_Data_1[[#This Row],[Profit_Amount]]</f>
        <v>13429.320000000002</v>
      </c>
      <c r="Y396" t="str" cm="1">
        <f t="array" ref="Y396">_xlfn.IFS(Sales_Data_1[[#This Row],[Delivery_Days]]&lt;=3, "Fast", Sales_Data_1[[#This Row],[Delivery_Days]]&lt;= 7, "Standard", TRUE, "Delayed")</f>
        <v>Fast</v>
      </c>
      <c r="Z396" t="str" cm="1">
        <f t="array" ref="Z396">_xlfn.IFS(Sales_Data_1[[#This Row],[Profit_Amount]]&gt; 0, "Profitable", Sales_Data_1[[#This Row],[Profit_Amount]] = 0, "Break-Even", TRUE, "Loss")</f>
        <v>Profitable</v>
      </c>
      <c r="AA396" t="str" cm="1">
        <f t="array" ref="AA396">_xlfn.IFS(Sales_Data_1[[#This Row],[Sales]]&gt;= 1000, "High Value", Sales_Data_1[[#This Row],[Sales]]&gt;= 300, "Mid Value", TRUE, "Low Value")</f>
        <v>High Value</v>
      </c>
    </row>
    <row r="397" spans="1:27" x14ac:dyDescent="0.3">
      <c r="A397" t="s">
        <v>2094</v>
      </c>
      <c r="B397" s="1">
        <v>44980</v>
      </c>
      <c r="C397" t="s">
        <v>20</v>
      </c>
      <c r="D397" t="s">
        <v>56</v>
      </c>
      <c r="E397" t="s">
        <v>2040</v>
      </c>
      <c r="F397" t="s">
        <v>33</v>
      </c>
      <c r="G397" t="s">
        <v>34</v>
      </c>
      <c r="H397" t="s">
        <v>71</v>
      </c>
      <c r="I397" t="s">
        <v>174</v>
      </c>
      <c r="J397">
        <v>6</v>
      </c>
      <c r="K397">
        <v>1430</v>
      </c>
      <c r="L397">
        <v>0.02</v>
      </c>
      <c r="M397">
        <v>1401.4</v>
      </c>
      <c r="N397">
        <v>8408.4</v>
      </c>
      <c r="O397">
        <v>0.4</v>
      </c>
      <c r="P397">
        <v>3363.36</v>
      </c>
      <c r="Q397" t="s">
        <v>37</v>
      </c>
      <c r="R397" t="s">
        <v>48</v>
      </c>
      <c r="S397">
        <v>6</v>
      </c>
      <c r="T397">
        <f>YEAR(Sales_Data_1[[#This Row],[Order_Date]])</f>
        <v>2023</v>
      </c>
      <c r="U397" t="str">
        <f>TEXT(Sales_Data_1[[#This Row],[Order_Date]], "mmm")</f>
        <v>Feb</v>
      </c>
      <c r="V397">
        <f>MONTH(Sales_Data_1[[#This Row],[Order_Date]])</f>
        <v>2</v>
      </c>
      <c r="W397" t="str">
        <f>TEXT(Sales_Data_1[[#This Row],[Order_Date]], "yyyy-mm")</f>
        <v>2023-02</v>
      </c>
      <c r="X397">
        <f>Sales_Data_1[[#This Row],[Sales]]-Sales_Data_1[[#This Row],[Profit_Amount]]</f>
        <v>5045.0399999999991</v>
      </c>
      <c r="Y397" t="str" cm="1">
        <f t="array" ref="Y397">_xlfn.IFS(Sales_Data_1[[#This Row],[Delivery_Days]]&lt;=3, "Fast", Sales_Data_1[[#This Row],[Delivery_Days]]&lt;= 7, "Standard", TRUE, "Delayed")</f>
        <v>Standard</v>
      </c>
      <c r="Z397" t="str" cm="1">
        <f t="array" ref="Z397">_xlfn.IFS(Sales_Data_1[[#This Row],[Profit_Amount]]&gt; 0, "Profitable", Sales_Data_1[[#This Row],[Profit_Amount]] = 0, "Break-Even", TRUE, "Loss")</f>
        <v>Profitable</v>
      </c>
      <c r="AA397" t="str" cm="1">
        <f t="array" ref="AA397">_xlfn.IFS(Sales_Data_1[[#This Row],[Sales]]&gt;= 1000, "High Value", Sales_Data_1[[#This Row],[Sales]]&gt;= 300, "Mid Value", TRUE, "Low Value")</f>
        <v>High Value</v>
      </c>
    </row>
    <row r="398" spans="1:27" x14ac:dyDescent="0.3">
      <c r="A398" t="s">
        <v>2908</v>
      </c>
      <c r="B398" s="1">
        <v>45794</v>
      </c>
      <c r="C398" t="s">
        <v>63</v>
      </c>
      <c r="D398" t="s">
        <v>21</v>
      </c>
      <c r="E398" t="s">
        <v>2042</v>
      </c>
      <c r="F398" t="s">
        <v>43</v>
      </c>
      <c r="G398" t="s">
        <v>34</v>
      </c>
      <c r="H398" t="s">
        <v>141</v>
      </c>
      <c r="I398" t="s">
        <v>1786</v>
      </c>
      <c r="J398">
        <v>9</v>
      </c>
      <c r="K398">
        <v>1184</v>
      </c>
      <c r="L398">
        <v>0.21</v>
      </c>
      <c r="M398">
        <v>935.36</v>
      </c>
      <c r="N398">
        <v>8418.24</v>
      </c>
      <c r="O398">
        <v>0.4</v>
      </c>
      <c r="P398">
        <v>3367.3</v>
      </c>
      <c r="Q398" t="s">
        <v>37</v>
      </c>
      <c r="R398" t="s">
        <v>38</v>
      </c>
      <c r="S398">
        <v>1</v>
      </c>
      <c r="T398">
        <f>YEAR(Sales_Data_1[[#This Row],[Order_Date]])</f>
        <v>2025</v>
      </c>
      <c r="U398" t="str">
        <f>TEXT(Sales_Data_1[[#This Row],[Order_Date]], "mmm")</f>
        <v>May</v>
      </c>
      <c r="V398">
        <f>MONTH(Sales_Data_1[[#This Row],[Order_Date]])</f>
        <v>5</v>
      </c>
      <c r="W398" t="str">
        <f>TEXT(Sales_Data_1[[#This Row],[Order_Date]], "yyyy-mm")</f>
        <v>2025-05</v>
      </c>
      <c r="X398">
        <f>Sales_Data_1[[#This Row],[Sales]]-Sales_Data_1[[#This Row],[Profit_Amount]]</f>
        <v>5050.9399999999996</v>
      </c>
      <c r="Y398" t="str" cm="1">
        <f t="array" ref="Y398">_xlfn.IFS(Sales_Data_1[[#This Row],[Delivery_Days]]&lt;=3, "Fast", Sales_Data_1[[#This Row],[Delivery_Days]]&lt;= 7, "Standard", TRUE, "Delayed")</f>
        <v>Fast</v>
      </c>
      <c r="Z398" t="str" cm="1">
        <f t="array" ref="Z398">_xlfn.IFS(Sales_Data_1[[#This Row],[Profit_Amount]]&gt; 0, "Profitable", Sales_Data_1[[#This Row],[Profit_Amount]] = 0, "Break-Even", TRUE, "Loss")</f>
        <v>Profitable</v>
      </c>
      <c r="AA398" t="str" cm="1">
        <f t="array" ref="AA398">_xlfn.IFS(Sales_Data_1[[#This Row],[Sales]]&gt;= 1000, "High Value", Sales_Data_1[[#This Row],[Sales]]&gt;= 300, "Mid Value", TRUE, "Low Value")</f>
        <v>High Value</v>
      </c>
    </row>
    <row r="399" spans="1:27" x14ac:dyDescent="0.3">
      <c r="A399" t="s">
        <v>2071</v>
      </c>
      <c r="B399" s="1">
        <v>44957</v>
      </c>
      <c r="C399" t="s">
        <v>20</v>
      </c>
      <c r="D399" t="s">
        <v>31</v>
      </c>
      <c r="E399" t="s">
        <v>67</v>
      </c>
      <c r="F399" t="s">
        <v>103</v>
      </c>
      <c r="G399" t="s">
        <v>44</v>
      </c>
      <c r="H399" t="s">
        <v>116</v>
      </c>
      <c r="I399" t="s">
        <v>126</v>
      </c>
      <c r="J399">
        <v>7</v>
      </c>
      <c r="K399">
        <v>1766</v>
      </c>
      <c r="L399">
        <v>0.22</v>
      </c>
      <c r="M399">
        <v>1377.48</v>
      </c>
      <c r="N399">
        <v>9642.36</v>
      </c>
      <c r="O399">
        <v>0.35</v>
      </c>
      <c r="P399">
        <v>3374.83</v>
      </c>
      <c r="Q399" t="s">
        <v>51</v>
      </c>
      <c r="R399" t="s">
        <v>48</v>
      </c>
      <c r="S399">
        <v>3</v>
      </c>
      <c r="T399">
        <f>YEAR(Sales_Data_1[[#This Row],[Order_Date]])</f>
        <v>2023</v>
      </c>
      <c r="U399" t="str">
        <f>TEXT(Sales_Data_1[[#This Row],[Order_Date]], "mmm")</f>
        <v>Jan</v>
      </c>
      <c r="V399">
        <f>MONTH(Sales_Data_1[[#This Row],[Order_Date]])</f>
        <v>1</v>
      </c>
      <c r="W399" t="str">
        <f>TEXT(Sales_Data_1[[#This Row],[Order_Date]], "yyyy-mm")</f>
        <v>2023-01</v>
      </c>
      <c r="X399">
        <f>Sales_Data_1[[#This Row],[Sales]]-Sales_Data_1[[#This Row],[Profit_Amount]]</f>
        <v>6267.5300000000007</v>
      </c>
      <c r="Y399" t="str" cm="1">
        <f t="array" ref="Y399">_xlfn.IFS(Sales_Data_1[[#This Row],[Delivery_Days]]&lt;=3, "Fast", Sales_Data_1[[#This Row],[Delivery_Days]]&lt;= 7, "Standard", TRUE, "Delayed")</f>
        <v>Fast</v>
      </c>
      <c r="Z399" t="str" cm="1">
        <f t="array" ref="Z399">_xlfn.IFS(Sales_Data_1[[#This Row],[Profit_Amount]]&gt; 0, "Profitable", Sales_Data_1[[#This Row],[Profit_Amount]] = 0, "Break-Even", TRUE, "Loss")</f>
        <v>Profitable</v>
      </c>
      <c r="AA399" t="str" cm="1">
        <f t="array" ref="AA399">_xlfn.IFS(Sales_Data_1[[#This Row],[Sales]]&gt;= 1000, "High Value", Sales_Data_1[[#This Row],[Sales]]&gt;= 300, "Mid Value", TRUE, "Low Value")</f>
        <v>High Value</v>
      </c>
    </row>
    <row r="400" spans="1:27" x14ac:dyDescent="0.3">
      <c r="A400" t="s">
        <v>2345</v>
      </c>
      <c r="B400" s="1">
        <v>45231</v>
      </c>
      <c r="C400" t="s">
        <v>30</v>
      </c>
      <c r="D400" t="s">
        <v>41</v>
      </c>
      <c r="E400" t="s">
        <v>67</v>
      </c>
      <c r="F400" t="s">
        <v>103</v>
      </c>
      <c r="G400" t="s">
        <v>44</v>
      </c>
      <c r="H400" t="s">
        <v>116</v>
      </c>
      <c r="I400" t="s">
        <v>679</v>
      </c>
      <c r="J400">
        <v>3</v>
      </c>
      <c r="K400">
        <v>3916</v>
      </c>
      <c r="L400">
        <v>0.17</v>
      </c>
      <c r="M400">
        <v>3250.28</v>
      </c>
      <c r="N400">
        <v>9750.84</v>
      </c>
      <c r="O400">
        <v>0.35</v>
      </c>
      <c r="P400">
        <v>3412.79</v>
      </c>
      <c r="Q400" t="s">
        <v>37</v>
      </c>
      <c r="R400" t="s">
        <v>48</v>
      </c>
      <c r="S400">
        <v>3</v>
      </c>
      <c r="T400">
        <f>YEAR(Sales_Data_1[[#This Row],[Order_Date]])</f>
        <v>2023</v>
      </c>
      <c r="U400" t="str">
        <f>TEXT(Sales_Data_1[[#This Row],[Order_Date]], "mmm")</f>
        <v>Nov</v>
      </c>
      <c r="V400">
        <f>MONTH(Sales_Data_1[[#This Row],[Order_Date]])</f>
        <v>11</v>
      </c>
      <c r="W400" t="str">
        <f>TEXT(Sales_Data_1[[#This Row],[Order_Date]], "yyyy-mm")</f>
        <v>2023-11</v>
      </c>
      <c r="X400">
        <f>Sales_Data_1[[#This Row],[Sales]]-Sales_Data_1[[#This Row],[Profit_Amount]]</f>
        <v>6338.05</v>
      </c>
      <c r="Y400" t="str" cm="1">
        <f t="array" ref="Y400">_xlfn.IFS(Sales_Data_1[[#This Row],[Delivery_Days]]&lt;=3, "Fast", Sales_Data_1[[#This Row],[Delivery_Days]]&lt;= 7, "Standard", TRUE, "Delayed")</f>
        <v>Fast</v>
      </c>
      <c r="Z400" t="str" cm="1">
        <f t="array" ref="Z400">_xlfn.IFS(Sales_Data_1[[#This Row],[Profit_Amount]]&gt; 0, "Profitable", Sales_Data_1[[#This Row],[Profit_Amount]] = 0, "Break-Even", TRUE, "Loss")</f>
        <v>Profitable</v>
      </c>
      <c r="AA400" t="str" cm="1">
        <f t="array" ref="AA400">_xlfn.IFS(Sales_Data_1[[#This Row],[Sales]]&gt;= 1000, "High Value", Sales_Data_1[[#This Row],[Sales]]&gt;= 300, "Mid Value", TRUE, "Low Value")</f>
        <v>High Value</v>
      </c>
    </row>
    <row r="401" spans="1:27" x14ac:dyDescent="0.3">
      <c r="A401" t="s">
        <v>2927</v>
      </c>
      <c r="B401" s="1">
        <v>45813</v>
      </c>
      <c r="C401" t="s">
        <v>96</v>
      </c>
      <c r="D401" t="s">
        <v>31</v>
      </c>
      <c r="E401" t="s">
        <v>67</v>
      </c>
      <c r="F401" t="s">
        <v>23</v>
      </c>
      <c r="G401" t="s">
        <v>57</v>
      </c>
      <c r="H401" t="s">
        <v>183</v>
      </c>
      <c r="I401" t="s">
        <v>1823</v>
      </c>
      <c r="J401">
        <v>8</v>
      </c>
      <c r="K401">
        <v>2204</v>
      </c>
      <c r="L401">
        <v>0.03</v>
      </c>
      <c r="M401">
        <v>2137.88</v>
      </c>
      <c r="N401">
        <v>17103.04</v>
      </c>
      <c r="O401">
        <v>0.2</v>
      </c>
      <c r="P401">
        <v>3420.61</v>
      </c>
      <c r="Q401" t="s">
        <v>47</v>
      </c>
      <c r="R401" t="s">
        <v>48</v>
      </c>
      <c r="S401">
        <v>1</v>
      </c>
      <c r="T401">
        <f>YEAR(Sales_Data_1[[#This Row],[Order_Date]])</f>
        <v>2025</v>
      </c>
      <c r="U401" t="str">
        <f>TEXT(Sales_Data_1[[#This Row],[Order_Date]], "mmm")</f>
        <v>Jun</v>
      </c>
      <c r="V401">
        <f>MONTH(Sales_Data_1[[#This Row],[Order_Date]])</f>
        <v>6</v>
      </c>
      <c r="W401" t="str">
        <f>TEXT(Sales_Data_1[[#This Row],[Order_Date]], "yyyy-mm")</f>
        <v>2025-06</v>
      </c>
      <c r="X401">
        <f>Sales_Data_1[[#This Row],[Sales]]-Sales_Data_1[[#This Row],[Profit_Amount]]</f>
        <v>13682.43</v>
      </c>
      <c r="Y401" t="str" cm="1">
        <f t="array" ref="Y401">_xlfn.IFS(Sales_Data_1[[#This Row],[Delivery_Days]]&lt;=3, "Fast", Sales_Data_1[[#This Row],[Delivery_Days]]&lt;= 7, "Standard", TRUE, "Delayed")</f>
        <v>Fast</v>
      </c>
      <c r="Z401" t="str" cm="1">
        <f t="array" ref="Z401">_xlfn.IFS(Sales_Data_1[[#This Row],[Profit_Amount]]&gt; 0, "Profitable", Sales_Data_1[[#This Row],[Profit_Amount]] = 0, "Break-Even", TRUE, "Loss")</f>
        <v>Profitable</v>
      </c>
      <c r="AA401" t="str" cm="1">
        <f t="array" ref="AA401">_xlfn.IFS(Sales_Data_1[[#This Row],[Sales]]&gt;= 1000, "High Value", Sales_Data_1[[#This Row],[Sales]]&gt;= 300, "Mid Value", TRUE, "Low Value")</f>
        <v>High Value</v>
      </c>
    </row>
    <row r="402" spans="1:27" x14ac:dyDescent="0.3">
      <c r="A402" t="s">
        <v>2808</v>
      </c>
      <c r="B402" s="1">
        <v>45694</v>
      </c>
      <c r="C402" t="s">
        <v>96</v>
      </c>
      <c r="D402" t="s">
        <v>21</v>
      </c>
      <c r="E402" t="s">
        <v>2040</v>
      </c>
      <c r="F402" t="s">
        <v>103</v>
      </c>
      <c r="G402" t="s">
        <v>34</v>
      </c>
      <c r="H402" t="s">
        <v>104</v>
      </c>
      <c r="I402" t="s">
        <v>1588</v>
      </c>
      <c r="J402">
        <v>8</v>
      </c>
      <c r="K402">
        <v>1213</v>
      </c>
      <c r="L402">
        <v>0.11</v>
      </c>
      <c r="M402">
        <v>1079.57</v>
      </c>
      <c r="N402">
        <v>8636.56</v>
      </c>
      <c r="O402">
        <v>0.4</v>
      </c>
      <c r="P402">
        <v>3454.62</v>
      </c>
      <c r="Q402" t="s">
        <v>47</v>
      </c>
      <c r="R402" t="s">
        <v>48</v>
      </c>
      <c r="S402">
        <v>7</v>
      </c>
      <c r="T402">
        <f>YEAR(Sales_Data_1[[#This Row],[Order_Date]])</f>
        <v>2025</v>
      </c>
      <c r="U402" t="str">
        <f>TEXT(Sales_Data_1[[#This Row],[Order_Date]], "mmm")</f>
        <v>Feb</v>
      </c>
      <c r="V402">
        <f>MONTH(Sales_Data_1[[#This Row],[Order_Date]])</f>
        <v>2</v>
      </c>
      <c r="W402" t="str">
        <f>TEXT(Sales_Data_1[[#This Row],[Order_Date]], "yyyy-mm")</f>
        <v>2025-02</v>
      </c>
      <c r="X402">
        <f>Sales_Data_1[[#This Row],[Sales]]-Sales_Data_1[[#This Row],[Profit_Amount]]</f>
        <v>5181.9399999999996</v>
      </c>
      <c r="Y402" t="str" cm="1">
        <f t="array" ref="Y402">_xlfn.IFS(Sales_Data_1[[#This Row],[Delivery_Days]]&lt;=3, "Fast", Sales_Data_1[[#This Row],[Delivery_Days]]&lt;= 7, "Standard", TRUE, "Delayed")</f>
        <v>Standard</v>
      </c>
      <c r="Z402" t="str" cm="1">
        <f t="array" ref="Z402">_xlfn.IFS(Sales_Data_1[[#This Row],[Profit_Amount]]&gt; 0, "Profitable", Sales_Data_1[[#This Row],[Profit_Amount]] = 0, "Break-Even", TRUE, "Loss")</f>
        <v>Profitable</v>
      </c>
      <c r="AA402" t="str" cm="1">
        <f t="array" ref="AA402">_xlfn.IFS(Sales_Data_1[[#This Row],[Sales]]&gt;= 1000, "High Value", Sales_Data_1[[#This Row],[Sales]]&gt;= 300, "Mid Value", TRUE, "Low Value")</f>
        <v>High Value</v>
      </c>
    </row>
    <row r="403" spans="1:27" x14ac:dyDescent="0.3">
      <c r="A403" t="s">
        <v>2653</v>
      </c>
      <c r="B403" s="1">
        <v>45539</v>
      </c>
      <c r="C403" t="s">
        <v>40</v>
      </c>
      <c r="D403" t="s">
        <v>56</v>
      </c>
      <c r="E403" t="s">
        <v>42</v>
      </c>
      <c r="F403" t="s">
        <v>68</v>
      </c>
      <c r="G403" t="s">
        <v>34</v>
      </c>
      <c r="H403" t="s">
        <v>104</v>
      </c>
      <c r="I403" t="s">
        <v>1286</v>
      </c>
      <c r="J403">
        <v>8</v>
      </c>
      <c r="K403">
        <v>1233</v>
      </c>
      <c r="L403">
        <v>0.12</v>
      </c>
      <c r="M403">
        <v>1085.04</v>
      </c>
      <c r="N403">
        <v>8680.32</v>
      </c>
      <c r="O403">
        <v>0.4</v>
      </c>
      <c r="P403">
        <v>3472.13</v>
      </c>
      <c r="Q403" t="s">
        <v>37</v>
      </c>
      <c r="R403" t="s">
        <v>48</v>
      </c>
      <c r="S403">
        <v>1</v>
      </c>
      <c r="T403">
        <f>YEAR(Sales_Data_1[[#This Row],[Order_Date]])</f>
        <v>2024</v>
      </c>
      <c r="U403" t="str">
        <f>TEXT(Sales_Data_1[[#This Row],[Order_Date]], "mmm")</f>
        <v>Sep</v>
      </c>
      <c r="V403">
        <f>MONTH(Sales_Data_1[[#This Row],[Order_Date]])</f>
        <v>9</v>
      </c>
      <c r="W403" t="str">
        <f>TEXT(Sales_Data_1[[#This Row],[Order_Date]], "yyyy-mm")</f>
        <v>2024-09</v>
      </c>
      <c r="X403">
        <f>Sales_Data_1[[#This Row],[Sales]]-Sales_Data_1[[#This Row],[Profit_Amount]]</f>
        <v>5208.1899999999996</v>
      </c>
      <c r="Y403" t="str" cm="1">
        <f t="array" ref="Y403">_xlfn.IFS(Sales_Data_1[[#This Row],[Delivery_Days]]&lt;=3, "Fast", Sales_Data_1[[#This Row],[Delivery_Days]]&lt;= 7, "Standard", TRUE, "Delayed")</f>
        <v>Fast</v>
      </c>
      <c r="Z403" t="str" cm="1">
        <f t="array" ref="Z403">_xlfn.IFS(Sales_Data_1[[#This Row],[Profit_Amount]]&gt; 0, "Profitable", Sales_Data_1[[#This Row],[Profit_Amount]] = 0, "Break-Even", TRUE, "Loss")</f>
        <v>Profitable</v>
      </c>
      <c r="AA403" t="str" cm="1">
        <f t="array" ref="AA403">_xlfn.IFS(Sales_Data_1[[#This Row],[Sales]]&gt;= 1000, "High Value", Sales_Data_1[[#This Row],[Sales]]&gt;= 300, "Mid Value", TRUE, "Low Value")</f>
        <v>High Value</v>
      </c>
    </row>
    <row r="404" spans="1:27" x14ac:dyDescent="0.3">
      <c r="A404" t="s">
        <v>2405</v>
      </c>
      <c r="B404" s="1">
        <v>45291</v>
      </c>
      <c r="C404" t="s">
        <v>20</v>
      </c>
      <c r="D404" t="s">
        <v>31</v>
      </c>
      <c r="E404" t="s">
        <v>42</v>
      </c>
      <c r="F404" t="s">
        <v>68</v>
      </c>
      <c r="G404" t="s">
        <v>24</v>
      </c>
      <c r="H404" t="s">
        <v>74</v>
      </c>
      <c r="I404" t="s">
        <v>796</v>
      </c>
      <c r="J404">
        <v>8</v>
      </c>
      <c r="K404">
        <v>2100</v>
      </c>
      <c r="L404">
        <v>0.17</v>
      </c>
      <c r="M404">
        <v>1743</v>
      </c>
      <c r="N404">
        <v>13944</v>
      </c>
      <c r="O404">
        <v>0.25</v>
      </c>
      <c r="P404">
        <v>3486</v>
      </c>
      <c r="Q404" t="s">
        <v>51</v>
      </c>
      <c r="R404" t="s">
        <v>48</v>
      </c>
      <c r="S404">
        <v>1</v>
      </c>
      <c r="T404">
        <f>YEAR(Sales_Data_1[[#This Row],[Order_Date]])</f>
        <v>2023</v>
      </c>
      <c r="U404" t="str">
        <f>TEXT(Sales_Data_1[[#This Row],[Order_Date]], "mmm")</f>
        <v>Dec</v>
      </c>
      <c r="V404">
        <f>MONTH(Sales_Data_1[[#This Row],[Order_Date]])</f>
        <v>12</v>
      </c>
      <c r="W404" t="str">
        <f>TEXT(Sales_Data_1[[#This Row],[Order_Date]], "yyyy-mm")</f>
        <v>2023-12</v>
      </c>
      <c r="X404">
        <f>Sales_Data_1[[#This Row],[Sales]]-Sales_Data_1[[#This Row],[Profit_Amount]]</f>
        <v>10458</v>
      </c>
      <c r="Y404" t="str" cm="1">
        <f t="array" ref="Y404">_xlfn.IFS(Sales_Data_1[[#This Row],[Delivery_Days]]&lt;=3, "Fast", Sales_Data_1[[#This Row],[Delivery_Days]]&lt;= 7, "Standard", TRUE, "Delayed")</f>
        <v>Fast</v>
      </c>
      <c r="Z404" t="str" cm="1">
        <f t="array" ref="Z404">_xlfn.IFS(Sales_Data_1[[#This Row],[Profit_Amount]]&gt; 0, "Profitable", Sales_Data_1[[#This Row],[Profit_Amount]] = 0, "Break-Even", TRUE, "Loss")</f>
        <v>Profitable</v>
      </c>
      <c r="AA404" t="str" cm="1">
        <f t="array" ref="AA404">_xlfn.IFS(Sales_Data_1[[#This Row],[Sales]]&gt;= 1000, "High Value", Sales_Data_1[[#This Row],[Sales]]&gt;= 300, "Mid Value", TRUE, "Low Value")</f>
        <v>High Value</v>
      </c>
    </row>
    <row r="405" spans="1:27" x14ac:dyDescent="0.3">
      <c r="A405" t="s">
        <v>2575</v>
      </c>
      <c r="B405" s="1">
        <v>45461</v>
      </c>
      <c r="C405" t="s">
        <v>63</v>
      </c>
      <c r="D405" t="s">
        <v>56</v>
      </c>
      <c r="E405" t="s">
        <v>2042</v>
      </c>
      <c r="F405" t="s">
        <v>97</v>
      </c>
      <c r="G405" t="s">
        <v>44</v>
      </c>
      <c r="H405" t="s">
        <v>64</v>
      </c>
      <c r="I405" t="s">
        <v>1133</v>
      </c>
      <c r="J405">
        <v>3</v>
      </c>
      <c r="K405">
        <v>4065</v>
      </c>
      <c r="L405">
        <v>0.18</v>
      </c>
      <c r="M405">
        <v>3333.3</v>
      </c>
      <c r="N405">
        <v>9999.9</v>
      </c>
      <c r="O405">
        <v>0.35</v>
      </c>
      <c r="P405">
        <v>3499.96</v>
      </c>
      <c r="Q405" t="s">
        <v>37</v>
      </c>
      <c r="R405" t="s">
        <v>48</v>
      </c>
      <c r="S405">
        <v>4</v>
      </c>
      <c r="T405">
        <f>YEAR(Sales_Data_1[[#This Row],[Order_Date]])</f>
        <v>2024</v>
      </c>
      <c r="U405" t="str">
        <f>TEXT(Sales_Data_1[[#This Row],[Order_Date]], "mmm")</f>
        <v>Jun</v>
      </c>
      <c r="V405">
        <f>MONTH(Sales_Data_1[[#This Row],[Order_Date]])</f>
        <v>6</v>
      </c>
      <c r="W405" t="str">
        <f>TEXT(Sales_Data_1[[#This Row],[Order_Date]], "yyyy-mm")</f>
        <v>2024-06</v>
      </c>
      <c r="X405">
        <f>Sales_Data_1[[#This Row],[Sales]]-Sales_Data_1[[#This Row],[Profit_Amount]]</f>
        <v>6499.94</v>
      </c>
      <c r="Y405" t="str" cm="1">
        <f t="array" ref="Y405">_xlfn.IFS(Sales_Data_1[[#This Row],[Delivery_Days]]&lt;=3, "Fast", Sales_Data_1[[#This Row],[Delivery_Days]]&lt;= 7, "Standard", TRUE, "Delayed")</f>
        <v>Standard</v>
      </c>
      <c r="Z405" t="str" cm="1">
        <f t="array" ref="Z405">_xlfn.IFS(Sales_Data_1[[#This Row],[Profit_Amount]]&gt; 0, "Profitable", Sales_Data_1[[#This Row],[Profit_Amount]] = 0, "Break-Even", TRUE, "Loss")</f>
        <v>Profitable</v>
      </c>
      <c r="AA405" t="str" cm="1">
        <f t="array" ref="AA405">_xlfn.IFS(Sales_Data_1[[#This Row],[Sales]]&gt;= 1000, "High Value", Sales_Data_1[[#This Row],[Sales]]&gt;= 300, "Mid Value", TRUE, "Low Value")</f>
        <v>High Value</v>
      </c>
    </row>
    <row r="406" spans="1:27" x14ac:dyDescent="0.3">
      <c r="A406" t="s">
        <v>2845</v>
      </c>
      <c r="B406" s="1">
        <v>45731</v>
      </c>
      <c r="C406" t="s">
        <v>20</v>
      </c>
      <c r="D406" t="s">
        <v>31</v>
      </c>
      <c r="E406" t="s">
        <v>2040</v>
      </c>
      <c r="F406" t="s">
        <v>97</v>
      </c>
      <c r="G406" t="s">
        <v>57</v>
      </c>
      <c r="H406" t="s">
        <v>100</v>
      </c>
      <c r="I406" t="s">
        <v>1661</v>
      </c>
      <c r="J406">
        <v>1</v>
      </c>
      <c r="K406">
        <v>18044</v>
      </c>
      <c r="L406">
        <v>0.03</v>
      </c>
      <c r="M406">
        <v>17502.68</v>
      </c>
      <c r="N406">
        <v>17502.68</v>
      </c>
      <c r="O406">
        <v>0.2</v>
      </c>
      <c r="P406">
        <v>3500.54</v>
      </c>
      <c r="Q406" t="s">
        <v>37</v>
      </c>
      <c r="R406" t="s">
        <v>28</v>
      </c>
      <c r="S406">
        <v>8</v>
      </c>
      <c r="T406">
        <f>YEAR(Sales_Data_1[[#This Row],[Order_Date]])</f>
        <v>2025</v>
      </c>
      <c r="U406" t="str">
        <f>TEXT(Sales_Data_1[[#This Row],[Order_Date]], "mmm")</f>
        <v>Mar</v>
      </c>
      <c r="V406">
        <f>MONTH(Sales_Data_1[[#This Row],[Order_Date]])</f>
        <v>3</v>
      </c>
      <c r="W406" t="str">
        <f>TEXT(Sales_Data_1[[#This Row],[Order_Date]], "yyyy-mm")</f>
        <v>2025-03</v>
      </c>
      <c r="X406">
        <f>Sales_Data_1[[#This Row],[Sales]]-Sales_Data_1[[#This Row],[Profit_Amount]]</f>
        <v>14002.14</v>
      </c>
      <c r="Y406" t="str" cm="1">
        <f t="array" ref="Y406">_xlfn.IFS(Sales_Data_1[[#This Row],[Delivery_Days]]&lt;=3, "Fast", Sales_Data_1[[#This Row],[Delivery_Days]]&lt;= 7, "Standard", TRUE, "Delayed")</f>
        <v>Delayed</v>
      </c>
      <c r="Z406" t="str" cm="1">
        <f t="array" ref="Z406">_xlfn.IFS(Sales_Data_1[[#This Row],[Profit_Amount]]&gt; 0, "Profitable", Sales_Data_1[[#This Row],[Profit_Amount]] = 0, "Break-Even", TRUE, "Loss")</f>
        <v>Profitable</v>
      </c>
      <c r="AA406" t="str" cm="1">
        <f t="array" ref="AA406">_xlfn.IFS(Sales_Data_1[[#This Row],[Sales]]&gt;= 1000, "High Value", Sales_Data_1[[#This Row],[Sales]]&gt;= 300, "Mid Value", TRUE, "Low Value")</f>
        <v>High Value</v>
      </c>
    </row>
    <row r="407" spans="1:27" x14ac:dyDescent="0.3">
      <c r="A407" t="s">
        <v>2465</v>
      </c>
      <c r="B407" s="1">
        <v>45351</v>
      </c>
      <c r="C407" t="s">
        <v>40</v>
      </c>
      <c r="D407" t="s">
        <v>41</v>
      </c>
      <c r="E407" t="s">
        <v>2042</v>
      </c>
      <c r="F407" t="s">
        <v>103</v>
      </c>
      <c r="G407" t="s">
        <v>44</v>
      </c>
      <c r="H407" t="s">
        <v>64</v>
      </c>
      <c r="I407" t="s">
        <v>916</v>
      </c>
      <c r="J407">
        <v>5</v>
      </c>
      <c r="K407">
        <v>2431</v>
      </c>
      <c r="L407">
        <v>0.17</v>
      </c>
      <c r="M407">
        <v>2017.73</v>
      </c>
      <c r="N407">
        <v>10088.65</v>
      </c>
      <c r="O407">
        <v>0.35</v>
      </c>
      <c r="P407">
        <v>3531.03</v>
      </c>
      <c r="Q407" t="s">
        <v>27</v>
      </c>
      <c r="R407" t="s">
        <v>48</v>
      </c>
      <c r="S407">
        <v>4</v>
      </c>
      <c r="T407">
        <f>YEAR(Sales_Data_1[[#This Row],[Order_Date]])</f>
        <v>2024</v>
      </c>
      <c r="U407" t="str">
        <f>TEXT(Sales_Data_1[[#This Row],[Order_Date]], "mmm")</f>
        <v>Feb</v>
      </c>
      <c r="V407">
        <f>MONTH(Sales_Data_1[[#This Row],[Order_Date]])</f>
        <v>2</v>
      </c>
      <c r="W407" t="str">
        <f>TEXT(Sales_Data_1[[#This Row],[Order_Date]], "yyyy-mm")</f>
        <v>2024-02</v>
      </c>
      <c r="X407">
        <f>Sales_Data_1[[#This Row],[Sales]]-Sales_Data_1[[#This Row],[Profit_Amount]]</f>
        <v>6557.619999999999</v>
      </c>
      <c r="Y407" t="str" cm="1">
        <f t="array" ref="Y407">_xlfn.IFS(Sales_Data_1[[#This Row],[Delivery_Days]]&lt;=3, "Fast", Sales_Data_1[[#This Row],[Delivery_Days]]&lt;= 7, "Standard", TRUE, "Delayed")</f>
        <v>Standard</v>
      </c>
      <c r="Z407" t="str" cm="1">
        <f t="array" ref="Z407">_xlfn.IFS(Sales_Data_1[[#This Row],[Profit_Amount]]&gt; 0, "Profitable", Sales_Data_1[[#This Row],[Profit_Amount]] = 0, "Break-Even", TRUE, "Loss")</f>
        <v>Profitable</v>
      </c>
      <c r="AA407" t="str" cm="1">
        <f t="array" ref="AA407">_xlfn.IFS(Sales_Data_1[[#This Row],[Sales]]&gt;= 1000, "High Value", Sales_Data_1[[#This Row],[Sales]]&gt;= 300, "Mid Value", TRUE, "Low Value")</f>
        <v>High Value</v>
      </c>
    </row>
    <row r="408" spans="1:27" x14ac:dyDescent="0.3">
      <c r="A408" t="s">
        <v>2899</v>
      </c>
      <c r="B408" s="1">
        <v>45785</v>
      </c>
      <c r="C408" t="s">
        <v>20</v>
      </c>
      <c r="D408" t="s">
        <v>41</v>
      </c>
      <c r="E408" t="s">
        <v>2042</v>
      </c>
      <c r="F408" t="s">
        <v>97</v>
      </c>
      <c r="G408" t="s">
        <v>92</v>
      </c>
      <c r="H408" t="s">
        <v>109</v>
      </c>
      <c r="I408" t="s">
        <v>1768</v>
      </c>
      <c r="J408">
        <v>2</v>
      </c>
      <c r="K408">
        <v>12839</v>
      </c>
      <c r="L408">
        <v>0.08</v>
      </c>
      <c r="M408">
        <v>11811.88</v>
      </c>
      <c r="N408">
        <v>23623.759999999998</v>
      </c>
      <c r="O408">
        <v>0.15</v>
      </c>
      <c r="P408">
        <v>3543.56</v>
      </c>
      <c r="Q408" t="s">
        <v>47</v>
      </c>
      <c r="R408" t="s">
        <v>48</v>
      </c>
      <c r="S408">
        <v>8</v>
      </c>
      <c r="T408">
        <f>YEAR(Sales_Data_1[[#This Row],[Order_Date]])</f>
        <v>2025</v>
      </c>
      <c r="U408" t="str">
        <f>TEXT(Sales_Data_1[[#This Row],[Order_Date]], "mmm")</f>
        <v>May</v>
      </c>
      <c r="V408">
        <f>MONTH(Sales_Data_1[[#This Row],[Order_Date]])</f>
        <v>5</v>
      </c>
      <c r="W408" t="str">
        <f>TEXT(Sales_Data_1[[#This Row],[Order_Date]], "yyyy-mm")</f>
        <v>2025-05</v>
      </c>
      <c r="X408">
        <f>Sales_Data_1[[#This Row],[Sales]]-Sales_Data_1[[#This Row],[Profit_Amount]]</f>
        <v>20080.199999999997</v>
      </c>
      <c r="Y408" t="str" cm="1">
        <f t="array" ref="Y408">_xlfn.IFS(Sales_Data_1[[#This Row],[Delivery_Days]]&lt;=3, "Fast", Sales_Data_1[[#This Row],[Delivery_Days]]&lt;= 7, "Standard", TRUE, "Delayed")</f>
        <v>Delayed</v>
      </c>
      <c r="Z408" t="str" cm="1">
        <f t="array" ref="Z408">_xlfn.IFS(Sales_Data_1[[#This Row],[Profit_Amount]]&gt; 0, "Profitable", Sales_Data_1[[#This Row],[Profit_Amount]] = 0, "Break-Even", TRUE, "Loss")</f>
        <v>Profitable</v>
      </c>
      <c r="AA408" t="str" cm="1">
        <f t="array" ref="AA408">_xlfn.IFS(Sales_Data_1[[#This Row],[Sales]]&gt;= 1000, "High Value", Sales_Data_1[[#This Row],[Sales]]&gt;= 300, "Mid Value", TRUE, "Low Value")</f>
        <v>High Value</v>
      </c>
    </row>
    <row r="409" spans="1:27" x14ac:dyDescent="0.3">
      <c r="A409" t="s">
        <v>2923</v>
      </c>
      <c r="B409" s="1">
        <v>45809</v>
      </c>
      <c r="C409" t="s">
        <v>55</v>
      </c>
      <c r="D409" t="s">
        <v>31</v>
      </c>
      <c r="E409" t="s">
        <v>2042</v>
      </c>
      <c r="F409" t="s">
        <v>103</v>
      </c>
      <c r="G409" t="s">
        <v>44</v>
      </c>
      <c r="H409" t="s">
        <v>45</v>
      </c>
      <c r="I409" t="s">
        <v>1815</v>
      </c>
      <c r="J409">
        <v>3</v>
      </c>
      <c r="K409">
        <v>3971</v>
      </c>
      <c r="L409">
        <v>0.14000000000000001</v>
      </c>
      <c r="M409">
        <v>3415.06</v>
      </c>
      <c r="N409">
        <v>10245.18</v>
      </c>
      <c r="O409">
        <v>0.35</v>
      </c>
      <c r="P409">
        <v>3585.81</v>
      </c>
      <c r="Q409" t="s">
        <v>37</v>
      </c>
      <c r="R409" t="s">
        <v>48</v>
      </c>
      <c r="S409">
        <v>1</v>
      </c>
      <c r="T409">
        <f>YEAR(Sales_Data_1[[#This Row],[Order_Date]])</f>
        <v>2025</v>
      </c>
      <c r="U409" t="str">
        <f>TEXT(Sales_Data_1[[#This Row],[Order_Date]], "mmm")</f>
        <v>Jun</v>
      </c>
      <c r="V409">
        <f>MONTH(Sales_Data_1[[#This Row],[Order_Date]])</f>
        <v>6</v>
      </c>
      <c r="W409" t="str">
        <f>TEXT(Sales_Data_1[[#This Row],[Order_Date]], "yyyy-mm")</f>
        <v>2025-06</v>
      </c>
      <c r="X409">
        <f>Sales_Data_1[[#This Row],[Sales]]-Sales_Data_1[[#This Row],[Profit_Amount]]</f>
        <v>6659.3700000000008</v>
      </c>
      <c r="Y409" t="str" cm="1">
        <f t="array" ref="Y409">_xlfn.IFS(Sales_Data_1[[#This Row],[Delivery_Days]]&lt;=3, "Fast", Sales_Data_1[[#This Row],[Delivery_Days]]&lt;= 7, "Standard", TRUE, "Delayed")</f>
        <v>Fast</v>
      </c>
      <c r="Z409" t="str" cm="1">
        <f t="array" ref="Z409">_xlfn.IFS(Sales_Data_1[[#This Row],[Profit_Amount]]&gt; 0, "Profitable", Sales_Data_1[[#This Row],[Profit_Amount]] = 0, "Break-Even", TRUE, "Loss")</f>
        <v>Profitable</v>
      </c>
      <c r="AA409" t="str" cm="1">
        <f t="array" ref="AA409">_xlfn.IFS(Sales_Data_1[[#This Row],[Sales]]&gt;= 1000, "High Value", Sales_Data_1[[#This Row],[Sales]]&gt;= 300, "Mid Value", TRUE, "Low Value")</f>
        <v>High Value</v>
      </c>
    </row>
    <row r="410" spans="1:27" x14ac:dyDescent="0.3">
      <c r="A410" t="s">
        <v>2795</v>
      </c>
      <c r="B410" s="1">
        <v>45681</v>
      </c>
      <c r="C410" t="s">
        <v>63</v>
      </c>
      <c r="D410" t="s">
        <v>41</v>
      </c>
      <c r="E410" t="s">
        <v>2040</v>
      </c>
      <c r="F410" t="s">
        <v>68</v>
      </c>
      <c r="G410" t="s">
        <v>44</v>
      </c>
      <c r="H410" t="s">
        <v>138</v>
      </c>
      <c r="I410" t="s">
        <v>1563</v>
      </c>
      <c r="J410">
        <v>4</v>
      </c>
      <c r="K410">
        <v>2756</v>
      </c>
      <c r="L410">
        <v>7.0000000000000007E-2</v>
      </c>
      <c r="M410">
        <v>2563.08</v>
      </c>
      <c r="N410">
        <v>10252.32</v>
      </c>
      <c r="O410">
        <v>0.35</v>
      </c>
      <c r="P410">
        <v>3588.31</v>
      </c>
      <c r="Q410" t="s">
        <v>51</v>
      </c>
      <c r="R410" t="s">
        <v>48</v>
      </c>
      <c r="S410">
        <v>4</v>
      </c>
      <c r="T410">
        <f>YEAR(Sales_Data_1[[#This Row],[Order_Date]])</f>
        <v>2025</v>
      </c>
      <c r="U410" t="str">
        <f>TEXT(Sales_Data_1[[#This Row],[Order_Date]], "mmm")</f>
        <v>Jan</v>
      </c>
      <c r="V410">
        <f>MONTH(Sales_Data_1[[#This Row],[Order_Date]])</f>
        <v>1</v>
      </c>
      <c r="W410" t="str">
        <f>TEXT(Sales_Data_1[[#This Row],[Order_Date]], "yyyy-mm")</f>
        <v>2025-01</v>
      </c>
      <c r="X410">
        <f>Sales_Data_1[[#This Row],[Sales]]-Sales_Data_1[[#This Row],[Profit_Amount]]</f>
        <v>6664.01</v>
      </c>
      <c r="Y410" t="str" cm="1">
        <f t="array" ref="Y410">_xlfn.IFS(Sales_Data_1[[#This Row],[Delivery_Days]]&lt;=3, "Fast", Sales_Data_1[[#This Row],[Delivery_Days]]&lt;= 7, "Standard", TRUE, "Delayed")</f>
        <v>Standard</v>
      </c>
      <c r="Z410" t="str" cm="1">
        <f t="array" ref="Z410">_xlfn.IFS(Sales_Data_1[[#This Row],[Profit_Amount]]&gt; 0, "Profitable", Sales_Data_1[[#This Row],[Profit_Amount]] = 0, "Break-Even", TRUE, "Loss")</f>
        <v>Profitable</v>
      </c>
      <c r="AA410" t="str" cm="1">
        <f t="array" ref="AA410">_xlfn.IFS(Sales_Data_1[[#This Row],[Sales]]&gt;= 1000, "High Value", Sales_Data_1[[#This Row],[Sales]]&gt;= 300, "Mid Value", TRUE, "Low Value")</f>
        <v>High Value</v>
      </c>
    </row>
    <row r="411" spans="1:27" x14ac:dyDescent="0.3">
      <c r="A411" t="s">
        <v>2530</v>
      </c>
      <c r="B411" s="1">
        <v>45416</v>
      </c>
      <c r="C411" t="s">
        <v>96</v>
      </c>
      <c r="D411" t="s">
        <v>31</v>
      </c>
      <c r="E411" t="s">
        <v>2042</v>
      </c>
      <c r="F411" t="s">
        <v>103</v>
      </c>
      <c r="G411" t="s">
        <v>57</v>
      </c>
      <c r="H411" t="s">
        <v>100</v>
      </c>
      <c r="I411" t="s">
        <v>1044</v>
      </c>
      <c r="J411">
        <v>3</v>
      </c>
      <c r="K411">
        <v>7901</v>
      </c>
      <c r="L411">
        <v>0.24</v>
      </c>
      <c r="M411">
        <v>6004.76</v>
      </c>
      <c r="N411">
        <v>18014.28</v>
      </c>
      <c r="O411">
        <v>0.2</v>
      </c>
      <c r="P411">
        <v>3602.86</v>
      </c>
      <c r="Q411" t="s">
        <v>37</v>
      </c>
      <c r="R411" t="s">
        <v>48</v>
      </c>
      <c r="S411">
        <v>8</v>
      </c>
      <c r="T411">
        <f>YEAR(Sales_Data_1[[#This Row],[Order_Date]])</f>
        <v>2024</v>
      </c>
      <c r="U411" t="str">
        <f>TEXT(Sales_Data_1[[#This Row],[Order_Date]], "mmm")</f>
        <v>May</v>
      </c>
      <c r="V411">
        <f>MONTH(Sales_Data_1[[#This Row],[Order_Date]])</f>
        <v>5</v>
      </c>
      <c r="W411" t="str">
        <f>TEXT(Sales_Data_1[[#This Row],[Order_Date]], "yyyy-mm")</f>
        <v>2024-05</v>
      </c>
      <c r="X411">
        <f>Sales_Data_1[[#This Row],[Sales]]-Sales_Data_1[[#This Row],[Profit_Amount]]</f>
        <v>14411.419999999998</v>
      </c>
      <c r="Y411" t="str" cm="1">
        <f t="array" ref="Y411">_xlfn.IFS(Sales_Data_1[[#This Row],[Delivery_Days]]&lt;=3, "Fast", Sales_Data_1[[#This Row],[Delivery_Days]]&lt;= 7, "Standard", TRUE, "Delayed")</f>
        <v>Delayed</v>
      </c>
      <c r="Z411" t="str" cm="1">
        <f t="array" ref="Z411">_xlfn.IFS(Sales_Data_1[[#This Row],[Profit_Amount]]&gt; 0, "Profitable", Sales_Data_1[[#This Row],[Profit_Amount]] = 0, "Break-Even", TRUE, "Loss")</f>
        <v>Profitable</v>
      </c>
      <c r="AA411" t="str" cm="1">
        <f t="array" ref="AA411">_xlfn.IFS(Sales_Data_1[[#This Row],[Sales]]&gt;= 1000, "High Value", Sales_Data_1[[#This Row],[Sales]]&gt;= 300, "Mid Value", TRUE, "Low Value")</f>
        <v>High Value</v>
      </c>
    </row>
    <row r="412" spans="1:27" x14ac:dyDescent="0.3">
      <c r="A412" t="s">
        <v>3039</v>
      </c>
      <c r="B412" s="1">
        <v>45925</v>
      </c>
      <c r="C412" t="s">
        <v>30</v>
      </c>
      <c r="D412" t="s">
        <v>41</v>
      </c>
      <c r="E412" t="s">
        <v>2040</v>
      </c>
      <c r="F412" t="s">
        <v>103</v>
      </c>
      <c r="G412" t="s">
        <v>24</v>
      </c>
      <c r="H412" t="s">
        <v>74</v>
      </c>
      <c r="I412" t="s">
        <v>2036</v>
      </c>
      <c r="J412">
        <v>3</v>
      </c>
      <c r="K412">
        <v>5654</v>
      </c>
      <c r="L412">
        <v>0.15</v>
      </c>
      <c r="M412">
        <v>4805.8999999999996</v>
      </c>
      <c r="N412">
        <v>14417.7</v>
      </c>
      <c r="O412">
        <v>0.25</v>
      </c>
      <c r="P412">
        <v>3604.42</v>
      </c>
      <c r="Q412" t="s">
        <v>37</v>
      </c>
      <c r="R412" t="s">
        <v>48</v>
      </c>
      <c r="S412">
        <v>5</v>
      </c>
      <c r="T412">
        <f>YEAR(Sales_Data_1[[#This Row],[Order_Date]])</f>
        <v>2025</v>
      </c>
      <c r="U412" t="str">
        <f>TEXT(Sales_Data_1[[#This Row],[Order_Date]], "mmm")</f>
        <v>Sep</v>
      </c>
      <c r="V412">
        <f>MONTH(Sales_Data_1[[#This Row],[Order_Date]])</f>
        <v>9</v>
      </c>
      <c r="W412" t="str">
        <f>TEXT(Sales_Data_1[[#This Row],[Order_Date]], "yyyy-mm")</f>
        <v>2025-09</v>
      </c>
      <c r="X412">
        <f>Sales_Data_1[[#This Row],[Sales]]-Sales_Data_1[[#This Row],[Profit_Amount]]</f>
        <v>10813.28</v>
      </c>
      <c r="Y412" t="str" cm="1">
        <f t="array" ref="Y412">_xlfn.IFS(Sales_Data_1[[#This Row],[Delivery_Days]]&lt;=3, "Fast", Sales_Data_1[[#This Row],[Delivery_Days]]&lt;= 7, "Standard", TRUE, "Delayed")</f>
        <v>Standard</v>
      </c>
      <c r="Z412" t="str" cm="1">
        <f t="array" ref="Z412">_xlfn.IFS(Sales_Data_1[[#This Row],[Profit_Amount]]&gt; 0, "Profitable", Sales_Data_1[[#This Row],[Profit_Amount]] = 0, "Break-Even", TRUE, "Loss")</f>
        <v>Profitable</v>
      </c>
      <c r="AA412" t="str" cm="1">
        <f t="array" ref="AA412">_xlfn.IFS(Sales_Data_1[[#This Row],[Sales]]&gt;= 1000, "High Value", Sales_Data_1[[#This Row],[Sales]]&gt;= 300, "Mid Value", TRUE, "Low Value")</f>
        <v>High Value</v>
      </c>
    </row>
    <row r="413" spans="1:27" x14ac:dyDescent="0.3">
      <c r="A413" t="s">
        <v>2541</v>
      </c>
      <c r="B413" s="1">
        <v>45427</v>
      </c>
      <c r="C413" t="s">
        <v>63</v>
      </c>
      <c r="D413" t="s">
        <v>21</v>
      </c>
      <c r="E413" t="s">
        <v>67</v>
      </c>
      <c r="F413" t="s">
        <v>97</v>
      </c>
      <c r="G413" t="s">
        <v>24</v>
      </c>
      <c r="H413" t="s">
        <v>74</v>
      </c>
      <c r="I413" t="s">
        <v>1065</v>
      </c>
      <c r="J413">
        <v>5</v>
      </c>
      <c r="K413">
        <v>3529</v>
      </c>
      <c r="L413">
        <v>0.18</v>
      </c>
      <c r="M413">
        <v>2893.78</v>
      </c>
      <c r="N413">
        <v>14468.9</v>
      </c>
      <c r="O413">
        <v>0.25</v>
      </c>
      <c r="P413">
        <v>3617.22</v>
      </c>
      <c r="Q413" t="s">
        <v>47</v>
      </c>
      <c r="R413" t="s">
        <v>48</v>
      </c>
      <c r="S413">
        <v>4</v>
      </c>
      <c r="T413">
        <f>YEAR(Sales_Data_1[[#This Row],[Order_Date]])</f>
        <v>2024</v>
      </c>
      <c r="U413" t="str">
        <f>TEXT(Sales_Data_1[[#This Row],[Order_Date]], "mmm")</f>
        <v>May</v>
      </c>
      <c r="V413">
        <f>MONTH(Sales_Data_1[[#This Row],[Order_Date]])</f>
        <v>5</v>
      </c>
      <c r="W413" t="str">
        <f>TEXT(Sales_Data_1[[#This Row],[Order_Date]], "yyyy-mm")</f>
        <v>2024-05</v>
      </c>
      <c r="X413">
        <f>Sales_Data_1[[#This Row],[Sales]]-Sales_Data_1[[#This Row],[Profit_Amount]]</f>
        <v>10851.68</v>
      </c>
      <c r="Y413" t="str" cm="1">
        <f t="array" ref="Y413">_xlfn.IFS(Sales_Data_1[[#This Row],[Delivery_Days]]&lt;=3, "Fast", Sales_Data_1[[#This Row],[Delivery_Days]]&lt;= 7, "Standard", TRUE, "Delayed")</f>
        <v>Standard</v>
      </c>
      <c r="Z413" t="str" cm="1">
        <f t="array" ref="Z413">_xlfn.IFS(Sales_Data_1[[#This Row],[Profit_Amount]]&gt; 0, "Profitable", Sales_Data_1[[#This Row],[Profit_Amount]] = 0, "Break-Even", TRUE, "Loss")</f>
        <v>Profitable</v>
      </c>
      <c r="AA413" t="str" cm="1">
        <f t="array" ref="AA413">_xlfn.IFS(Sales_Data_1[[#This Row],[Sales]]&gt;= 1000, "High Value", Sales_Data_1[[#This Row],[Sales]]&gt;= 300, "Mid Value", TRUE, "Low Value")</f>
        <v>High Value</v>
      </c>
    </row>
    <row r="414" spans="1:27" x14ac:dyDescent="0.3">
      <c r="A414" t="s">
        <v>2430</v>
      </c>
      <c r="B414" s="1">
        <v>45316</v>
      </c>
      <c r="C414" t="s">
        <v>63</v>
      </c>
      <c r="D414" t="s">
        <v>31</v>
      </c>
      <c r="E414" t="s">
        <v>2042</v>
      </c>
      <c r="F414" t="s">
        <v>33</v>
      </c>
      <c r="G414" t="s">
        <v>57</v>
      </c>
      <c r="H414" t="s">
        <v>100</v>
      </c>
      <c r="I414" t="s">
        <v>846</v>
      </c>
      <c r="J414">
        <v>1</v>
      </c>
      <c r="K414">
        <v>19091</v>
      </c>
      <c r="L414">
        <v>0.05</v>
      </c>
      <c r="M414">
        <v>18136.45</v>
      </c>
      <c r="N414">
        <v>18136.45</v>
      </c>
      <c r="O414">
        <v>0.2</v>
      </c>
      <c r="P414">
        <v>3627.29</v>
      </c>
      <c r="Q414" t="s">
        <v>51</v>
      </c>
      <c r="R414" t="s">
        <v>48</v>
      </c>
      <c r="S414">
        <v>3</v>
      </c>
      <c r="T414">
        <f>YEAR(Sales_Data_1[[#This Row],[Order_Date]])</f>
        <v>2024</v>
      </c>
      <c r="U414" t="str">
        <f>TEXT(Sales_Data_1[[#This Row],[Order_Date]], "mmm")</f>
        <v>Jan</v>
      </c>
      <c r="V414">
        <f>MONTH(Sales_Data_1[[#This Row],[Order_Date]])</f>
        <v>1</v>
      </c>
      <c r="W414" t="str">
        <f>TEXT(Sales_Data_1[[#This Row],[Order_Date]], "yyyy-mm")</f>
        <v>2024-01</v>
      </c>
      <c r="X414">
        <f>Sales_Data_1[[#This Row],[Sales]]-Sales_Data_1[[#This Row],[Profit_Amount]]</f>
        <v>14509.16</v>
      </c>
      <c r="Y414" t="str" cm="1">
        <f t="array" ref="Y414">_xlfn.IFS(Sales_Data_1[[#This Row],[Delivery_Days]]&lt;=3, "Fast", Sales_Data_1[[#This Row],[Delivery_Days]]&lt;= 7, "Standard", TRUE, "Delayed")</f>
        <v>Fast</v>
      </c>
      <c r="Z414" t="str" cm="1">
        <f t="array" ref="Z414">_xlfn.IFS(Sales_Data_1[[#This Row],[Profit_Amount]]&gt; 0, "Profitable", Sales_Data_1[[#This Row],[Profit_Amount]] = 0, "Break-Even", TRUE, "Loss")</f>
        <v>Profitable</v>
      </c>
      <c r="AA414" t="str" cm="1">
        <f t="array" ref="AA414">_xlfn.IFS(Sales_Data_1[[#This Row],[Sales]]&gt;= 1000, "High Value", Sales_Data_1[[#This Row],[Sales]]&gt;= 300, "Mid Value", TRUE, "Low Value")</f>
        <v>High Value</v>
      </c>
    </row>
    <row r="415" spans="1:27" x14ac:dyDescent="0.3">
      <c r="A415" t="s">
        <v>2102</v>
      </c>
      <c r="B415" s="1">
        <v>44988</v>
      </c>
      <c r="C415" t="s">
        <v>63</v>
      </c>
      <c r="D415" t="s">
        <v>56</v>
      </c>
      <c r="E415" t="s">
        <v>2042</v>
      </c>
      <c r="F415" t="s">
        <v>33</v>
      </c>
      <c r="G415" t="s">
        <v>24</v>
      </c>
      <c r="H415" t="s">
        <v>186</v>
      </c>
      <c r="I415" t="s">
        <v>193</v>
      </c>
      <c r="J415">
        <v>2</v>
      </c>
      <c r="K415">
        <v>9595</v>
      </c>
      <c r="L415">
        <v>0.24</v>
      </c>
      <c r="M415">
        <v>7292.2</v>
      </c>
      <c r="N415">
        <v>14584.4</v>
      </c>
      <c r="O415">
        <v>0.25</v>
      </c>
      <c r="P415">
        <v>3646.1</v>
      </c>
      <c r="Q415" t="s">
        <v>37</v>
      </c>
      <c r="R415" t="s">
        <v>48</v>
      </c>
      <c r="S415">
        <v>2</v>
      </c>
      <c r="T415">
        <f>YEAR(Sales_Data_1[[#This Row],[Order_Date]])</f>
        <v>2023</v>
      </c>
      <c r="U415" t="str">
        <f>TEXT(Sales_Data_1[[#This Row],[Order_Date]], "mmm")</f>
        <v>Mar</v>
      </c>
      <c r="V415">
        <f>MONTH(Sales_Data_1[[#This Row],[Order_Date]])</f>
        <v>3</v>
      </c>
      <c r="W415" t="str">
        <f>TEXT(Sales_Data_1[[#This Row],[Order_Date]], "yyyy-mm")</f>
        <v>2023-03</v>
      </c>
      <c r="X415">
        <f>Sales_Data_1[[#This Row],[Sales]]-Sales_Data_1[[#This Row],[Profit_Amount]]</f>
        <v>10938.3</v>
      </c>
      <c r="Y415" t="str" cm="1">
        <f t="array" ref="Y415">_xlfn.IFS(Sales_Data_1[[#This Row],[Delivery_Days]]&lt;=3, "Fast", Sales_Data_1[[#This Row],[Delivery_Days]]&lt;= 7, "Standard", TRUE, "Delayed")</f>
        <v>Fast</v>
      </c>
      <c r="Z415" t="str" cm="1">
        <f t="array" ref="Z415">_xlfn.IFS(Sales_Data_1[[#This Row],[Profit_Amount]]&gt; 0, "Profitable", Sales_Data_1[[#This Row],[Profit_Amount]] = 0, "Break-Even", TRUE, "Loss")</f>
        <v>Profitable</v>
      </c>
      <c r="AA415" t="str" cm="1">
        <f t="array" ref="AA415">_xlfn.IFS(Sales_Data_1[[#This Row],[Sales]]&gt;= 1000, "High Value", Sales_Data_1[[#This Row],[Sales]]&gt;= 300, "Mid Value", TRUE, "Low Value")</f>
        <v>High Value</v>
      </c>
    </row>
    <row r="416" spans="1:27" x14ac:dyDescent="0.3">
      <c r="A416" t="s">
        <v>2542</v>
      </c>
      <c r="B416" s="1">
        <v>45428</v>
      </c>
      <c r="C416" t="s">
        <v>96</v>
      </c>
      <c r="D416" t="s">
        <v>41</v>
      </c>
      <c r="E416" t="s">
        <v>2040</v>
      </c>
      <c r="F416" t="s">
        <v>33</v>
      </c>
      <c r="G416" t="s">
        <v>92</v>
      </c>
      <c r="H416" t="s">
        <v>243</v>
      </c>
      <c r="I416" t="s">
        <v>1067</v>
      </c>
      <c r="J416">
        <v>1</v>
      </c>
      <c r="K416">
        <v>27347</v>
      </c>
      <c r="L416">
        <v>0.11</v>
      </c>
      <c r="M416">
        <v>24338.83</v>
      </c>
      <c r="N416">
        <v>24338.83</v>
      </c>
      <c r="O416">
        <v>0.15</v>
      </c>
      <c r="P416">
        <v>3650.82</v>
      </c>
      <c r="Q416" t="s">
        <v>51</v>
      </c>
      <c r="R416" t="s">
        <v>48</v>
      </c>
      <c r="S416">
        <v>5</v>
      </c>
      <c r="T416">
        <f>YEAR(Sales_Data_1[[#This Row],[Order_Date]])</f>
        <v>2024</v>
      </c>
      <c r="U416" t="str">
        <f>TEXT(Sales_Data_1[[#This Row],[Order_Date]], "mmm")</f>
        <v>May</v>
      </c>
      <c r="V416">
        <f>MONTH(Sales_Data_1[[#This Row],[Order_Date]])</f>
        <v>5</v>
      </c>
      <c r="W416" t="str">
        <f>TEXT(Sales_Data_1[[#This Row],[Order_Date]], "yyyy-mm")</f>
        <v>2024-05</v>
      </c>
      <c r="X416">
        <f>Sales_Data_1[[#This Row],[Sales]]-Sales_Data_1[[#This Row],[Profit_Amount]]</f>
        <v>20688.010000000002</v>
      </c>
      <c r="Y416" t="str" cm="1">
        <f t="array" ref="Y416">_xlfn.IFS(Sales_Data_1[[#This Row],[Delivery_Days]]&lt;=3, "Fast", Sales_Data_1[[#This Row],[Delivery_Days]]&lt;= 7, "Standard", TRUE, "Delayed")</f>
        <v>Standard</v>
      </c>
      <c r="Z416" t="str" cm="1">
        <f t="array" ref="Z416">_xlfn.IFS(Sales_Data_1[[#This Row],[Profit_Amount]]&gt; 0, "Profitable", Sales_Data_1[[#This Row],[Profit_Amount]] = 0, "Break-Even", TRUE, "Loss")</f>
        <v>Profitable</v>
      </c>
      <c r="AA416" t="str" cm="1">
        <f t="array" ref="AA416">_xlfn.IFS(Sales_Data_1[[#This Row],[Sales]]&gt;= 1000, "High Value", Sales_Data_1[[#This Row],[Sales]]&gt;= 300, "Mid Value", TRUE, "Low Value")</f>
        <v>High Value</v>
      </c>
    </row>
    <row r="417" spans="1:27" x14ac:dyDescent="0.3">
      <c r="A417" t="s">
        <v>2227</v>
      </c>
      <c r="B417" s="1">
        <v>45113</v>
      </c>
      <c r="C417" t="s">
        <v>96</v>
      </c>
      <c r="D417" t="s">
        <v>56</v>
      </c>
      <c r="E417" t="s">
        <v>42</v>
      </c>
      <c r="F417" t="s">
        <v>97</v>
      </c>
      <c r="G417" t="s">
        <v>34</v>
      </c>
      <c r="H417" t="s">
        <v>35</v>
      </c>
      <c r="I417" t="s">
        <v>444</v>
      </c>
      <c r="J417">
        <v>8</v>
      </c>
      <c r="K417">
        <v>1214</v>
      </c>
      <c r="L417">
        <v>0.06</v>
      </c>
      <c r="M417">
        <v>1141.1600000000001</v>
      </c>
      <c r="N417">
        <v>9129.2800000000007</v>
      </c>
      <c r="O417">
        <v>0.4</v>
      </c>
      <c r="P417">
        <v>3651.71</v>
      </c>
      <c r="Q417" t="s">
        <v>37</v>
      </c>
      <c r="R417" t="s">
        <v>48</v>
      </c>
      <c r="S417">
        <v>5</v>
      </c>
      <c r="T417">
        <f>YEAR(Sales_Data_1[[#This Row],[Order_Date]])</f>
        <v>2023</v>
      </c>
      <c r="U417" t="str">
        <f>TEXT(Sales_Data_1[[#This Row],[Order_Date]], "mmm")</f>
        <v>Jul</v>
      </c>
      <c r="V417">
        <f>MONTH(Sales_Data_1[[#This Row],[Order_Date]])</f>
        <v>7</v>
      </c>
      <c r="W417" t="str">
        <f>TEXT(Sales_Data_1[[#This Row],[Order_Date]], "yyyy-mm")</f>
        <v>2023-07</v>
      </c>
      <c r="X417">
        <f>Sales_Data_1[[#This Row],[Sales]]-Sales_Data_1[[#This Row],[Profit_Amount]]</f>
        <v>5477.5700000000006</v>
      </c>
      <c r="Y417" t="str" cm="1">
        <f t="array" ref="Y417">_xlfn.IFS(Sales_Data_1[[#This Row],[Delivery_Days]]&lt;=3, "Fast", Sales_Data_1[[#This Row],[Delivery_Days]]&lt;= 7, "Standard", TRUE, "Delayed")</f>
        <v>Standard</v>
      </c>
      <c r="Z417" t="str" cm="1">
        <f t="array" ref="Z417">_xlfn.IFS(Sales_Data_1[[#This Row],[Profit_Amount]]&gt; 0, "Profitable", Sales_Data_1[[#This Row],[Profit_Amount]] = 0, "Break-Even", TRUE, "Loss")</f>
        <v>Profitable</v>
      </c>
      <c r="AA417" t="str" cm="1">
        <f t="array" ref="AA417">_xlfn.IFS(Sales_Data_1[[#This Row],[Sales]]&gt;= 1000, "High Value", Sales_Data_1[[#This Row],[Sales]]&gt;= 300, "Mid Value", TRUE, "Low Value")</f>
        <v>High Value</v>
      </c>
    </row>
    <row r="418" spans="1:27" x14ac:dyDescent="0.3">
      <c r="A418" t="s">
        <v>2477</v>
      </c>
      <c r="B418" s="1">
        <v>45363</v>
      </c>
      <c r="C418" t="s">
        <v>63</v>
      </c>
      <c r="D418" t="s">
        <v>56</v>
      </c>
      <c r="E418" t="s">
        <v>42</v>
      </c>
      <c r="F418" t="s">
        <v>23</v>
      </c>
      <c r="G418" t="s">
        <v>57</v>
      </c>
      <c r="H418" t="s">
        <v>183</v>
      </c>
      <c r="I418" t="s">
        <v>940</v>
      </c>
      <c r="J418">
        <v>1</v>
      </c>
      <c r="K418">
        <v>18669</v>
      </c>
      <c r="L418">
        <v>0.02</v>
      </c>
      <c r="M418">
        <v>18295.62</v>
      </c>
      <c r="N418">
        <v>18295.62</v>
      </c>
      <c r="O418">
        <v>0.2</v>
      </c>
      <c r="P418">
        <v>3659.12</v>
      </c>
      <c r="Q418" t="s">
        <v>47</v>
      </c>
      <c r="R418" t="s">
        <v>48</v>
      </c>
      <c r="S418">
        <v>4</v>
      </c>
      <c r="T418">
        <f>YEAR(Sales_Data_1[[#This Row],[Order_Date]])</f>
        <v>2024</v>
      </c>
      <c r="U418" t="str">
        <f>TEXT(Sales_Data_1[[#This Row],[Order_Date]], "mmm")</f>
        <v>Mar</v>
      </c>
      <c r="V418">
        <f>MONTH(Sales_Data_1[[#This Row],[Order_Date]])</f>
        <v>3</v>
      </c>
      <c r="W418" t="str">
        <f>TEXT(Sales_Data_1[[#This Row],[Order_Date]], "yyyy-mm")</f>
        <v>2024-03</v>
      </c>
      <c r="X418">
        <f>Sales_Data_1[[#This Row],[Sales]]-Sales_Data_1[[#This Row],[Profit_Amount]]</f>
        <v>14636.5</v>
      </c>
      <c r="Y418" t="str" cm="1">
        <f t="array" ref="Y418">_xlfn.IFS(Sales_Data_1[[#This Row],[Delivery_Days]]&lt;=3, "Fast", Sales_Data_1[[#This Row],[Delivery_Days]]&lt;= 7, "Standard", TRUE, "Delayed")</f>
        <v>Standard</v>
      </c>
      <c r="Z418" t="str" cm="1">
        <f t="array" ref="Z418">_xlfn.IFS(Sales_Data_1[[#This Row],[Profit_Amount]]&gt; 0, "Profitable", Sales_Data_1[[#This Row],[Profit_Amount]] = 0, "Break-Even", TRUE, "Loss")</f>
        <v>Profitable</v>
      </c>
      <c r="AA418" t="str" cm="1">
        <f t="array" ref="AA418">_xlfn.IFS(Sales_Data_1[[#This Row],[Sales]]&gt;= 1000, "High Value", Sales_Data_1[[#This Row],[Sales]]&gt;= 300, "Mid Value", TRUE, "Low Value")</f>
        <v>High Value</v>
      </c>
    </row>
    <row r="419" spans="1:27" x14ac:dyDescent="0.3">
      <c r="A419" t="s">
        <v>2358</v>
      </c>
      <c r="B419" s="1">
        <v>45244</v>
      </c>
      <c r="C419" t="s">
        <v>40</v>
      </c>
      <c r="D419" t="s">
        <v>21</v>
      </c>
      <c r="E419" t="s">
        <v>67</v>
      </c>
      <c r="F419" t="s">
        <v>97</v>
      </c>
      <c r="G419" t="s">
        <v>57</v>
      </c>
      <c r="H419" t="s">
        <v>58</v>
      </c>
      <c r="I419" t="s">
        <v>704</v>
      </c>
      <c r="J419">
        <v>2</v>
      </c>
      <c r="K419">
        <v>11600</v>
      </c>
      <c r="L419">
        <v>0.21</v>
      </c>
      <c r="M419">
        <v>9164</v>
      </c>
      <c r="N419">
        <v>18328</v>
      </c>
      <c r="O419">
        <v>0.2</v>
      </c>
      <c r="P419">
        <v>3665.6</v>
      </c>
      <c r="Q419" t="s">
        <v>27</v>
      </c>
      <c r="R419" t="s">
        <v>48</v>
      </c>
      <c r="S419">
        <v>1</v>
      </c>
      <c r="T419">
        <f>YEAR(Sales_Data_1[[#This Row],[Order_Date]])</f>
        <v>2023</v>
      </c>
      <c r="U419" t="str">
        <f>TEXT(Sales_Data_1[[#This Row],[Order_Date]], "mmm")</f>
        <v>Nov</v>
      </c>
      <c r="V419">
        <f>MONTH(Sales_Data_1[[#This Row],[Order_Date]])</f>
        <v>11</v>
      </c>
      <c r="W419" t="str">
        <f>TEXT(Sales_Data_1[[#This Row],[Order_Date]], "yyyy-mm")</f>
        <v>2023-11</v>
      </c>
      <c r="X419">
        <f>Sales_Data_1[[#This Row],[Sales]]-Sales_Data_1[[#This Row],[Profit_Amount]]</f>
        <v>14662.4</v>
      </c>
      <c r="Y419" t="str" cm="1">
        <f t="array" ref="Y419">_xlfn.IFS(Sales_Data_1[[#This Row],[Delivery_Days]]&lt;=3, "Fast", Sales_Data_1[[#This Row],[Delivery_Days]]&lt;= 7, "Standard", TRUE, "Delayed")</f>
        <v>Fast</v>
      </c>
      <c r="Z419" t="str" cm="1">
        <f t="array" ref="Z419">_xlfn.IFS(Sales_Data_1[[#This Row],[Profit_Amount]]&gt; 0, "Profitable", Sales_Data_1[[#This Row],[Profit_Amount]] = 0, "Break-Even", TRUE, "Loss")</f>
        <v>Profitable</v>
      </c>
      <c r="AA419" t="str" cm="1">
        <f t="array" ref="AA419">_xlfn.IFS(Sales_Data_1[[#This Row],[Sales]]&gt;= 1000, "High Value", Sales_Data_1[[#This Row],[Sales]]&gt;= 300, "Mid Value", TRUE, "Low Value")</f>
        <v>High Value</v>
      </c>
    </row>
    <row r="420" spans="1:27" x14ac:dyDescent="0.3">
      <c r="A420" t="s">
        <v>2963</v>
      </c>
      <c r="B420" s="1">
        <v>45849</v>
      </c>
      <c r="C420" t="s">
        <v>40</v>
      </c>
      <c r="D420" t="s">
        <v>21</v>
      </c>
      <c r="E420" t="s">
        <v>67</v>
      </c>
      <c r="F420" t="s">
        <v>97</v>
      </c>
      <c r="G420" t="s">
        <v>34</v>
      </c>
      <c r="H420" t="s">
        <v>104</v>
      </c>
      <c r="I420" t="s">
        <v>1891</v>
      </c>
      <c r="J420">
        <v>9</v>
      </c>
      <c r="K420">
        <v>1216</v>
      </c>
      <c r="L420">
        <v>0.16</v>
      </c>
      <c r="M420">
        <v>1021.44</v>
      </c>
      <c r="N420">
        <v>9192.9599999999991</v>
      </c>
      <c r="O420">
        <v>0.4</v>
      </c>
      <c r="P420">
        <v>3677.18</v>
      </c>
      <c r="Q420" t="s">
        <v>47</v>
      </c>
      <c r="R420" t="s">
        <v>48</v>
      </c>
      <c r="S420">
        <v>1</v>
      </c>
      <c r="T420">
        <f>YEAR(Sales_Data_1[[#This Row],[Order_Date]])</f>
        <v>2025</v>
      </c>
      <c r="U420" t="str">
        <f>TEXT(Sales_Data_1[[#This Row],[Order_Date]], "mmm")</f>
        <v>Jul</v>
      </c>
      <c r="V420">
        <f>MONTH(Sales_Data_1[[#This Row],[Order_Date]])</f>
        <v>7</v>
      </c>
      <c r="W420" t="str">
        <f>TEXT(Sales_Data_1[[#This Row],[Order_Date]], "yyyy-mm")</f>
        <v>2025-07</v>
      </c>
      <c r="X420">
        <f>Sales_Data_1[[#This Row],[Sales]]-Sales_Data_1[[#This Row],[Profit_Amount]]</f>
        <v>5515.7799999999988</v>
      </c>
      <c r="Y420" t="str" cm="1">
        <f t="array" ref="Y420">_xlfn.IFS(Sales_Data_1[[#This Row],[Delivery_Days]]&lt;=3, "Fast", Sales_Data_1[[#This Row],[Delivery_Days]]&lt;= 7, "Standard", TRUE, "Delayed")</f>
        <v>Fast</v>
      </c>
      <c r="Z420" t="str" cm="1">
        <f t="array" ref="Z420">_xlfn.IFS(Sales_Data_1[[#This Row],[Profit_Amount]]&gt; 0, "Profitable", Sales_Data_1[[#This Row],[Profit_Amount]] = 0, "Break-Even", TRUE, "Loss")</f>
        <v>Profitable</v>
      </c>
      <c r="AA420" t="str" cm="1">
        <f t="array" ref="AA420">_xlfn.IFS(Sales_Data_1[[#This Row],[Sales]]&gt;= 1000, "High Value", Sales_Data_1[[#This Row],[Sales]]&gt;= 300, "Mid Value", TRUE, "Low Value")</f>
        <v>High Value</v>
      </c>
    </row>
    <row r="421" spans="1:27" x14ac:dyDescent="0.3">
      <c r="A421" t="s">
        <v>2067</v>
      </c>
      <c r="B421" s="1">
        <v>44953</v>
      </c>
      <c r="C421" t="s">
        <v>20</v>
      </c>
      <c r="D421" t="s">
        <v>56</v>
      </c>
      <c r="E421" t="s">
        <v>42</v>
      </c>
      <c r="F421" t="s">
        <v>43</v>
      </c>
      <c r="G421" t="s">
        <v>44</v>
      </c>
      <c r="H421" t="s">
        <v>116</v>
      </c>
      <c r="I421" t="s">
        <v>117</v>
      </c>
      <c r="J421">
        <v>5</v>
      </c>
      <c r="K421">
        <v>2634</v>
      </c>
      <c r="L421">
        <v>0.2</v>
      </c>
      <c r="M421">
        <v>2107.1999999999998</v>
      </c>
      <c r="N421">
        <v>10536</v>
      </c>
      <c r="O421">
        <v>0.35</v>
      </c>
      <c r="P421">
        <v>3687.6</v>
      </c>
      <c r="Q421" t="s">
        <v>37</v>
      </c>
      <c r="R421" t="s">
        <v>28</v>
      </c>
      <c r="S421">
        <v>8</v>
      </c>
      <c r="T421">
        <f>YEAR(Sales_Data_1[[#This Row],[Order_Date]])</f>
        <v>2023</v>
      </c>
      <c r="U421" t="str">
        <f>TEXT(Sales_Data_1[[#This Row],[Order_Date]], "mmm")</f>
        <v>Jan</v>
      </c>
      <c r="V421">
        <f>MONTH(Sales_Data_1[[#This Row],[Order_Date]])</f>
        <v>1</v>
      </c>
      <c r="W421" t="str">
        <f>TEXT(Sales_Data_1[[#This Row],[Order_Date]], "yyyy-mm")</f>
        <v>2023-01</v>
      </c>
      <c r="X421">
        <f>Sales_Data_1[[#This Row],[Sales]]-Sales_Data_1[[#This Row],[Profit_Amount]]</f>
        <v>6848.4</v>
      </c>
      <c r="Y421" t="str" cm="1">
        <f t="array" ref="Y421">_xlfn.IFS(Sales_Data_1[[#This Row],[Delivery_Days]]&lt;=3, "Fast", Sales_Data_1[[#This Row],[Delivery_Days]]&lt;= 7, "Standard", TRUE, "Delayed")</f>
        <v>Delayed</v>
      </c>
      <c r="Z421" t="str" cm="1">
        <f t="array" ref="Z421">_xlfn.IFS(Sales_Data_1[[#This Row],[Profit_Amount]]&gt; 0, "Profitable", Sales_Data_1[[#This Row],[Profit_Amount]] = 0, "Break-Even", TRUE, "Loss")</f>
        <v>Profitable</v>
      </c>
      <c r="AA421" t="str" cm="1">
        <f t="array" ref="AA421">_xlfn.IFS(Sales_Data_1[[#This Row],[Sales]]&gt;= 1000, "High Value", Sales_Data_1[[#This Row],[Sales]]&gt;= 300, "Mid Value", TRUE, "Low Value")</f>
        <v>High Value</v>
      </c>
    </row>
    <row r="422" spans="1:27" x14ac:dyDescent="0.3">
      <c r="A422" t="s">
        <v>2532</v>
      </c>
      <c r="B422" s="1">
        <v>45418</v>
      </c>
      <c r="C422" t="s">
        <v>30</v>
      </c>
      <c r="D422" t="s">
        <v>31</v>
      </c>
      <c r="E422" t="s">
        <v>2042</v>
      </c>
      <c r="F422" t="s">
        <v>97</v>
      </c>
      <c r="G422" t="s">
        <v>34</v>
      </c>
      <c r="H422" t="s">
        <v>141</v>
      </c>
      <c r="I422" t="s">
        <v>1048</v>
      </c>
      <c r="J422">
        <v>8</v>
      </c>
      <c r="K422">
        <v>1333</v>
      </c>
      <c r="L422">
        <v>0.13</v>
      </c>
      <c r="M422">
        <v>1159.71</v>
      </c>
      <c r="N422">
        <v>9277.68</v>
      </c>
      <c r="O422">
        <v>0.4</v>
      </c>
      <c r="P422">
        <v>3711.07</v>
      </c>
      <c r="Q422" t="s">
        <v>47</v>
      </c>
      <c r="R422" t="s">
        <v>48</v>
      </c>
      <c r="S422">
        <v>6</v>
      </c>
      <c r="T422">
        <f>YEAR(Sales_Data_1[[#This Row],[Order_Date]])</f>
        <v>2024</v>
      </c>
      <c r="U422" t="str">
        <f>TEXT(Sales_Data_1[[#This Row],[Order_Date]], "mmm")</f>
        <v>May</v>
      </c>
      <c r="V422">
        <f>MONTH(Sales_Data_1[[#This Row],[Order_Date]])</f>
        <v>5</v>
      </c>
      <c r="W422" t="str">
        <f>TEXT(Sales_Data_1[[#This Row],[Order_Date]], "yyyy-mm")</f>
        <v>2024-05</v>
      </c>
      <c r="X422">
        <f>Sales_Data_1[[#This Row],[Sales]]-Sales_Data_1[[#This Row],[Profit_Amount]]</f>
        <v>5566.6100000000006</v>
      </c>
      <c r="Y422" t="str" cm="1">
        <f t="array" ref="Y422">_xlfn.IFS(Sales_Data_1[[#This Row],[Delivery_Days]]&lt;=3, "Fast", Sales_Data_1[[#This Row],[Delivery_Days]]&lt;= 7, "Standard", TRUE, "Delayed")</f>
        <v>Standard</v>
      </c>
      <c r="Z422" t="str" cm="1">
        <f t="array" ref="Z422">_xlfn.IFS(Sales_Data_1[[#This Row],[Profit_Amount]]&gt; 0, "Profitable", Sales_Data_1[[#This Row],[Profit_Amount]] = 0, "Break-Even", TRUE, "Loss")</f>
        <v>Profitable</v>
      </c>
      <c r="AA422" t="str" cm="1">
        <f t="array" ref="AA422">_xlfn.IFS(Sales_Data_1[[#This Row],[Sales]]&gt;= 1000, "High Value", Sales_Data_1[[#This Row],[Sales]]&gt;= 300, "Mid Value", TRUE, "Low Value")</f>
        <v>High Value</v>
      </c>
    </row>
    <row r="423" spans="1:27" x14ac:dyDescent="0.3">
      <c r="A423" t="s">
        <v>2088</v>
      </c>
      <c r="B423" s="1">
        <v>44974</v>
      </c>
      <c r="C423" t="s">
        <v>40</v>
      </c>
      <c r="D423" t="s">
        <v>41</v>
      </c>
      <c r="E423" t="s">
        <v>2042</v>
      </c>
      <c r="F423" t="s">
        <v>33</v>
      </c>
      <c r="G423" t="s">
        <v>34</v>
      </c>
      <c r="H423" t="s">
        <v>141</v>
      </c>
      <c r="I423" t="s">
        <v>162</v>
      </c>
      <c r="J423">
        <v>9</v>
      </c>
      <c r="K423">
        <v>1123</v>
      </c>
      <c r="L423">
        <v>0.08</v>
      </c>
      <c r="M423">
        <v>1033.1600000000001</v>
      </c>
      <c r="N423">
        <v>9298.44</v>
      </c>
      <c r="O423">
        <v>0.4</v>
      </c>
      <c r="P423">
        <v>3719.38</v>
      </c>
      <c r="Q423" t="s">
        <v>51</v>
      </c>
      <c r="R423" t="s">
        <v>48</v>
      </c>
      <c r="S423">
        <v>4</v>
      </c>
      <c r="T423">
        <f>YEAR(Sales_Data_1[[#This Row],[Order_Date]])</f>
        <v>2023</v>
      </c>
      <c r="U423" t="str">
        <f>TEXT(Sales_Data_1[[#This Row],[Order_Date]], "mmm")</f>
        <v>Feb</v>
      </c>
      <c r="V423">
        <f>MONTH(Sales_Data_1[[#This Row],[Order_Date]])</f>
        <v>2</v>
      </c>
      <c r="W423" t="str">
        <f>TEXT(Sales_Data_1[[#This Row],[Order_Date]], "yyyy-mm")</f>
        <v>2023-02</v>
      </c>
      <c r="X423">
        <f>Sales_Data_1[[#This Row],[Sales]]-Sales_Data_1[[#This Row],[Profit_Amount]]</f>
        <v>5579.06</v>
      </c>
      <c r="Y423" t="str" cm="1">
        <f t="array" ref="Y423">_xlfn.IFS(Sales_Data_1[[#This Row],[Delivery_Days]]&lt;=3, "Fast", Sales_Data_1[[#This Row],[Delivery_Days]]&lt;= 7, "Standard", TRUE, "Delayed")</f>
        <v>Standard</v>
      </c>
      <c r="Z423" t="str" cm="1">
        <f t="array" ref="Z423">_xlfn.IFS(Sales_Data_1[[#This Row],[Profit_Amount]]&gt; 0, "Profitable", Sales_Data_1[[#This Row],[Profit_Amount]] = 0, "Break-Even", TRUE, "Loss")</f>
        <v>Profitable</v>
      </c>
      <c r="AA423" t="str" cm="1">
        <f t="array" ref="AA423">_xlfn.IFS(Sales_Data_1[[#This Row],[Sales]]&gt;= 1000, "High Value", Sales_Data_1[[#This Row],[Sales]]&gt;= 300, "Mid Value", TRUE, "Low Value")</f>
        <v>High Value</v>
      </c>
    </row>
    <row r="424" spans="1:27" x14ac:dyDescent="0.3">
      <c r="A424" t="s">
        <v>2895</v>
      </c>
      <c r="B424" s="1">
        <v>45781</v>
      </c>
      <c r="C424" t="s">
        <v>40</v>
      </c>
      <c r="D424" t="s">
        <v>56</v>
      </c>
      <c r="E424" t="s">
        <v>67</v>
      </c>
      <c r="F424" t="s">
        <v>103</v>
      </c>
      <c r="G424" t="s">
        <v>24</v>
      </c>
      <c r="H424" t="s">
        <v>121</v>
      </c>
      <c r="I424" t="s">
        <v>1760</v>
      </c>
      <c r="J424">
        <v>2</v>
      </c>
      <c r="K424">
        <v>8462</v>
      </c>
      <c r="L424">
        <v>0.12</v>
      </c>
      <c r="M424">
        <v>7446.56</v>
      </c>
      <c r="N424">
        <v>14893.12</v>
      </c>
      <c r="O424">
        <v>0.25</v>
      </c>
      <c r="P424">
        <v>3723.28</v>
      </c>
      <c r="Q424" t="s">
        <v>51</v>
      </c>
      <c r="R424" t="s">
        <v>48</v>
      </c>
      <c r="S424">
        <v>8</v>
      </c>
      <c r="T424">
        <f>YEAR(Sales_Data_1[[#This Row],[Order_Date]])</f>
        <v>2025</v>
      </c>
      <c r="U424" t="str">
        <f>TEXT(Sales_Data_1[[#This Row],[Order_Date]], "mmm")</f>
        <v>May</v>
      </c>
      <c r="V424">
        <f>MONTH(Sales_Data_1[[#This Row],[Order_Date]])</f>
        <v>5</v>
      </c>
      <c r="W424" t="str">
        <f>TEXT(Sales_Data_1[[#This Row],[Order_Date]], "yyyy-mm")</f>
        <v>2025-05</v>
      </c>
      <c r="X424">
        <f>Sales_Data_1[[#This Row],[Sales]]-Sales_Data_1[[#This Row],[Profit_Amount]]</f>
        <v>11169.84</v>
      </c>
      <c r="Y424" t="str" cm="1">
        <f t="array" ref="Y424">_xlfn.IFS(Sales_Data_1[[#This Row],[Delivery_Days]]&lt;=3, "Fast", Sales_Data_1[[#This Row],[Delivery_Days]]&lt;= 7, "Standard", TRUE, "Delayed")</f>
        <v>Delayed</v>
      </c>
      <c r="Z424" t="str" cm="1">
        <f t="array" ref="Z424">_xlfn.IFS(Sales_Data_1[[#This Row],[Profit_Amount]]&gt; 0, "Profitable", Sales_Data_1[[#This Row],[Profit_Amount]] = 0, "Break-Even", TRUE, "Loss")</f>
        <v>Profitable</v>
      </c>
      <c r="AA424" t="str" cm="1">
        <f t="array" ref="AA424">_xlfn.IFS(Sales_Data_1[[#This Row],[Sales]]&gt;= 1000, "High Value", Sales_Data_1[[#This Row],[Sales]]&gt;= 300, "Mid Value", TRUE, "Low Value")</f>
        <v>High Value</v>
      </c>
    </row>
    <row r="425" spans="1:27" x14ac:dyDescent="0.3">
      <c r="A425" t="s">
        <v>2107</v>
      </c>
      <c r="B425" s="1">
        <v>44993</v>
      </c>
      <c r="C425" t="s">
        <v>40</v>
      </c>
      <c r="D425" t="s">
        <v>31</v>
      </c>
      <c r="E425" t="s">
        <v>67</v>
      </c>
      <c r="F425" t="s">
        <v>68</v>
      </c>
      <c r="G425" t="s">
        <v>57</v>
      </c>
      <c r="H425" t="s">
        <v>58</v>
      </c>
      <c r="I425" t="s">
        <v>203</v>
      </c>
      <c r="J425">
        <v>7</v>
      </c>
      <c r="K425">
        <v>2955</v>
      </c>
      <c r="L425">
        <v>0.1</v>
      </c>
      <c r="M425">
        <v>2659.5</v>
      </c>
      <c r="N425">
        <v>18616.5</v>
      </c>
      <c r="O425">
        <v>0.2</v>
      </c>
      <c r="P425">
        <v>3723.3</v>
      </c>
      <c r="Q425" t="s">
        <v>47</v>
      </c>
      <c r="R425" t="s">
        <v>48</v>
      </c>
      <c r="S425">
        <v>3</v>
      </c>
      <c r="T425">
        <f>YEAR(Sales_Data_1[[#This Row],[Order_Date]])</f>
        <v>2023</v>
      </c>
      <c r="U425" t="str">
        <f>TEXT(Sales_Data_1[[#This Row],[Order_Date]], "mmm")</f>
        <v>Mar</v>
      </c>
      <c r="V425">
        <f>MONTH(Sales_Data_1[[#This Row],[Order_Date]])</f>
        <v>3</v>
      </c>
      <c r="W425" t="str">
        <f>TEXT(Sales_Data_1[[#This Row],[Order_Date]], "yyyy-mm")</f>
        <v>2023-03</v>
      </c>
      <c r="X425">
        <f>Sales_Data_1[[#This Row],[Sales]]-Sales_Data_1[[#This Row],[Profit_Amount]]</f>
        <v>14893.2</v>
      </c>
      <c r="Y425" t="str" cm="1">
        <f t="array" ref="Y425">_xlfn.IFS(Sales_Data_1[[#This Row],[Delivery_Days]]&lt;=3, "Fast", Sales_Data_1[[#This Row],[Delivery_Days]]&lt;= 7, "Standard", TRUE, "Delayed")</f>
        <v>Fast</v>
      </c>
      <c r="Z425" t="str" cm="1">
        <f t="array" ref="Z425">_xlfn.IFS(Sales_Data_1[[#This Row],[Profit_Amount]]&gt; 0, "Profitable", Sales_Data_1[[#This Row],[Profit_Amount]] = 0, "Break-Even", TRUE, "Loss")</f>
        <v>Profitable</v>
      </c>
      <c r="AA425" t="str" cm="1">
        <f t="array" ref="AA425">_xlfn.IFS(Sales_Data_1[[#This Row],[Sales]]&gt;= 1000, "High Value", Sales_Data_1[[#This Row],[Sales]]&gt;= 300, "Mid Value", TRUE, "Low Value")</f>
        <v>High Value</v>
      </c>
    </row>
    <row r="426" spans="1:27" x14ac:dyDescent="0.3">
      <c r="A426" t="s">
        <v>2070</v>
      </c>
      <c r="B426" s="1">
        <v>44956</v>
      </c>
      <c r="C426" t="s">
        <v>55</v>
      </c>
      <c r="D426" t="s">
        <v>31</v>
      </c>
      <c r="E426" t="s">
        <v>67</v>
      </c>
      <c r="F426" t="s">
        <v>23</v>
      </c>
      <c r="G426" t="s">
        <v>24</v>
      </c>
      <c r="H426" t="s">
        <v>74</v>
      </c>
      <c r="I426" t="s">
        <v>124</v>
      </c>
      <c r="J426">
        <v>6</v>
      </c>
      <c r="K426">
        <v>2560</v>
      </c>
      <c r="L426">
        <v>0.03</v>
      </c>
      <c r="M426">
        <v>2483.1999999999998</v>
      </c>
      <c r="N426">
        <v>14899.2</v>
      </c>
      <c r="O426">
        <v>0.25</v>
      </c>
      <c r="P426">
        <v>3724.8</v>
      </c>
      <c r="Q426" t="s">
        <v>51</v>
      </c>
      <c r="R426" t="s">
        <v>48</v>
      </c>
      <c r="S426">
        <v>8</v>
      </c>
      <c r="T426">
        <f>YEAR(Sales_Data_1[[#This Row],[Order_Date]])</f>
        <v>2023</v>
      </c>
      <c r="U426" t="str">
        <f>TEXT(Sales_Data_1[[#This Row],[Order_Date]], "mmm")</f>
        <v>Jan</v>
      </c>
      <c r="V426">
        <f>MONTH(Sales_Data_1[[#This Row],[Order_Date]])</f>
        <v>1</v>
      </c>
      <c r="W426" t="str">
        <f>TEXT(Sales_Data_1[[#This Row],[Order_Date]], "yyyy-mm")</f>
        <v>2023-01</v>
      </c>
      <c r="X426">
        <f>Sales_Data_1[[#This Row],[Sales]]-Sales_Data_1[[#This Row],[Profit_Amount]]</f>
        <v>11174.400000000001</v>
      </c>
      <c r="Y426" t="str" cm="1">
        <f t="array" ref="Y426">_xlfn.IFS(Sales_Data_1[[#This Row],[Delivery_Days]]&lt;=3, "Fast", Sales_Data_1[[#This Row],[Delivery_Days]]&lt;= 7, "Standard", TRUE, "Delayed")</f>
        <v>Delayed</v>
      </c>
      <c r="Z426" t="str" cm="1">
        <f t="array" ref="Z426">_xlfn.IFS(Sales_Data_1[[#This Row],[Profit_Amount]]&gt; 0, "Profitable", Sales_Data_1[[#This Row],[Profit_Amount]] = 0, "Break-Even", TRUE, "Loss")</f>
        <v>Profitable</v>
      </c>
      <c r="AA426" t="str" cm="1">
        <f t="array" ref="AA426">_xlfn.IFS(Sales_Data_1[[#This Row],[Sales]]&gt;= 1000, "High Value", Sales_Data_1[[#This Row],[Sales]]&gt;= 300, "Mid Value", TRUE, "Low Value")</f>
        <v>High Value</v>
      </c>
    </row>
    <row r="427" spans="1:27" x14ac:dyDescent="0.3">
      <c r="A427" t="s">
        <v>2152</v>
      </c>
      <c r="B427" s="1">
        <v>45038</v>
      </c>
      <c r="C427" t="s">
        <v>55</v>
      </c>
      <c r="D427" t="s">
        <v>31</v>
      </c>
      <c r="E427" t="s">
        <v>2040</v>
      </c>
      <c r="F427" t="s">
        <v>97</v>
      </c>
      <c r="G427" t="s">
        <v>44</v>
      </c>
      <c r="H427" t="s">
        <v>138</v>
      </c>
      <c r="I427" t="s">
        <v>294</v>
      </c>
      <c r="J427">
        <v>8</v>
      </c>
      <c r="K427">
        <v>1752</v>
      </c>
      <c r="L427">
        <v>0.24</v>
      </c>
      <c r="M427">
        <v>1331.52</v>
      </c>
      <c r="N427">
        <v>10652.16</v>
      </c>
      <c r="O427">
        <v>0.35</v>
      </c>
      <c r="P427">
        <v>3728.26</v>
      </c>
      <c r="Q427" t="s">
        <v>37</v>
      </c>
      <c r="R427" t="s">
        <v>48</v>
      </c>
      <c r="S427">
        <v>8</v>
      </c>
      <c r="T427">
        <f>YEAR(Sales_Data_1[[#This Row],[Order_Date]])</f>
        <v>2023</v>
      </c>
      <c r="U427" t="str">
        <f>TEXT(Sales_Data_1[[#This Row],[Order_Date]], "mmm")</f>
        <v>Apr</v>
      </c>
      <c r="V427">
        <f>MONTH(Sales_Data_1[[#This Row],[Order_Date]])</f>
        <v>4</v>
      </c>
      <c r="W427" t="str">
        <f>TEXT(Sales_Data_1[[#This Row],[Order_Date]], "yyyy-mm")</f>
        <v>2023-04</v>
      </c>
      <c r="X427">
        <f>Sales_Data_1[[#This Row],[Sales]]-Sales_Data_1[[#This Row],[Profit_Amount]]</f>
        <v>6923.9</v>
      </c>
      <c r="Y427" t="str" cm="1">
        <f t="array" ref="Y427">_xlfn.IFS(Sales_Data_1[[#This Row],[Delivery_Days]]&lt;=3, "Fast", Sales_Data_1[[#This Row],[Delivery_Days]]&lt;= 7, "Standard", TRUE, "Delayed")</f>
        <v>Delayed</v>
      </c>
      <c r="Z427" t="str" cm="1">
        <f t="array" ref="Z427">_xlfn.IFS(Sales_Data_1[[#This Row],[Profit_Amount]]&gt; 0, "Profitable", Sales_Data_1[[#This Row],[Profit_Amount]] = 0, "Break-Even", TRUE, "Loss")</f>
        <v>Profitable</v>
      </c>
      <c r="AA427" t="str" cm="1">
        <f t="array" ref="AA427">_xlfn.IFS(Sales_Data_1[[#This Row],[Sales]]&gt;= 1000, "High Value", Sales_Data_1[[#This Row],[Sales]]&gt;= 300, "Mid Value", TRUE, "Low Value")</f>
        <v>High Value</v>
      </c>
    </row>
    <row r="428" spans="1:27" x14ac:dyDescent="0.3">
      <c r="A428" t="s">
        <v>2230</v>
      </c>
      <c r="B428" s="1">
        <v>45116</v>
      </c>
      <c r="C428" t="s">
        <v>96</v>
      </c>
      <c r="D428" t="s">
        <v>41</v>
      </c>
      <c r="E428" t="s">
        <v>42</v>
      </c>
      <c r="F428" t="s">
        <v>43</v>
      </c>
      <c r="G428" t="s">
        <v>44</v>
      </c>
      <c r="H428" t="s">
        <v>45</v>
      </c>
      <c r="I428" t="s">
        <v>450</v>
      </c>
      <c r="J428">
        <v>6</v>
      </c>
      <c r="K428">
        <v>2018</v>
      </c>
      <c r="L428">
        <v>0.11</v>
      </c>
      <c r="M428">
        <v>1796.02</v>
      </c>
      <c r="N428">
        <v>10776.12</v>
      </c>
      <c r="O428">
        <v>0.35</v>
      </c>
      <c r="P428">
        <v>3771.64</v>
      </c>
      <c r="Q428" t="s">
        <v>51</v>
      </c>
      <c r="R428" t="s">
        <v>48</v>
      </c>
      <c r="S428">
        <v>9</v>
      </c>
      <c r="T428">
        <f>YEAR(Sales_Data_1[[#This Row],[Order_Date]])</f>
        <v>2023</v>
      </c>
      <c r="U428" t="str">
        <f>TEXT(Sales_Data_1[[#This Row],[Order_Date]], "mmm")</f>
        <v>Jul</v>
      </c>
      <c r="V428">
        <f>MONTH(Sales_Data_1[[#This Row],[Order_Date]])</f>
        <v>7</v>
      </c>
      <c r="W428" t="str">
        <f>TEXT(Sales_Data_1[[#This Row],[Order_Date]], "yyyy-mm")</f>
        <v>2023-07</v>
      </c>
      <c r="X428">
        <f>Sales_Data_1[[#This Row],[Sales]]-Sales_Data_1[[#This Row],[Profit_Amount]]</f>
        <v>7004.4800000000014</v>
      </c>
      <c r="Y428" t="str" cm="1">
        <f t="array" ref="Y428">_xlfn.IFS(Sales_Data_1[[#This Row],[Delivery_Days]]&lt;=3, "Fast", Sales_Data_1[[#This Row],[Delivery_Days]]&lt;= 7, "Standard", TRUE, "Delayed")</f>
        <v>Delayed</v>
      </c>
      <c r="Z428" t="str" cm="1">
        <f t="array" ref="Z428">_xlfn.IFS(Sales_Data_1[[#This Row],[Profit_Amount]]&gt; 0, "Profitable", Sales_Data_1[[#This Row],[Profit_Amount]] = 0, "Break-Even", TRUE, "Loss")</f>
        <v>Profitable</v>
      </c>
      <c r="AA428" t="str" cm="1">
        <f t="array" ref="AA428">_xlfn.IFS(Sales_Data_1[[#This Row],[Sales]]&gt;= 1000, "High Value", Sales_Data_1[[#This Row],[Sales]]&gt;= 300, "Mid Value", TRUE, "Low Value")</f>
        <v>High Value</v>
      </c>
    </row>
    <row r="429" spans="1:27" x14ac:dyDescent="0.3">
      <c r="A429" t="s">
        <v>2866</v>
      </c>
      <c r="B429" s="1">
        <v>45752</v>
      </c>
      <c r="C429" t="s">
        <v>30</v>
      </c>
      <c r="D429" t="s">
        <v>41</v>
      </c>
      <c r="E429" t="s">
        <v>42</v>
      </c>
      <c r="F429" t="s">
        <v>68</v>
      </c>
      <c r="G429" t="s">
        <v>34</v>
      </c>
      <c r="H429" t="s">
        <v>141</v>
      </c>
      <c r="I429" t="s">
        <v>1703</v>
      </c>
      <c r="J429">
        <v>8</v>
      </c>
      <c r="K429">
        <v>1270</v>
      </c>
      <c r="L429">
        <v>0.05</v>
      </c>
      <c r="M429">
        <v>1206.5</v>
      </c>
      <c r="N429">
        <v>9652</v>
      </c>
      <c r="O429">
        <v>0.4</v>
      </c>
      <c r="P429">
        <v>3860.8</v>
      </c>
      <c r="Q429" t="s">
        <v>37</v>
      </c>
      <c r="R429" t="s">
        <v>48</v>
      </c>
      <c r="S429">
        <v>5</v>
      </c>
      <c r="T429">
        <f>YEAR(Sales_Data_1[[#This Row],[Order_Date]])</f>
        <v>2025</v>
      </c>
      <c r="U429" t="str">
        <f>TEXT(Sales_Data_1[[#This Row],[Order_Date]], "mmm")</f>
        <v>Apr</v>
      </c>
      <c r="V429">
        <f>MONTH(Sales_Data_1[[#This Row],[Order_Date]])</f>
        <v>4</v>
      </c>
      <c r="W429" t="str">
        <f>TEXT(Sales_Data_1[[#This Row],[Order_Date]], "yyyy-mm")</f>
        <v>2025-04</v>
      </c>
      <c r="X429">
        <f>Sales_Data_1[[#This Row],[Sales]]-Sales_Data_1[[#This Row],[Profit_Amount]]</f>
        <v>5791.2</v>
      </c>
      <c r="Y429" t="str" cm="1">
        <f t="array" ref="Y429">_xlfn.IFS(Sales_Data_1[[#This Row],[Delivery_Days]]&lt;=3, "Fast", Sales_Data_1[[#This Row],[Delivery_Days]]&lt;= 7, "Standard", TRUE, "Delayed")</f>
        <v>Standard</v>
      </c>
      <c r="Z429" t="str" cm="1">
        <f t="array" ref="Z429">_xlfn.IFS(Sales_Data_1[[#This Row],[Profit_Amount]]&gt; 0, "Profitable", Sales_Data_1[[#This Row],[Profit_Amount]] = 0, "Break-Even", TRUE, "Loss")</f>
        <v>Profitable</v>
      </c>
      <c r="AA429" t="str" cm="1">
        <f t="array" ref="AA429">_xlfn.IFS(Sales_Data_1[[#This Row],[Sales]]&gt;= 1000, "High Value", Sales_Data_1[[#This Row],[Sales]]&gt;= 300, "Mid Value", TRUE, "Low Value")</f>
        <v>High Value</v>
      </c>
    </row>
    <row r="430" spans="1:27" x14ac:dyDescent="0.3">
      <c r="A430" t="s">
        <v>2232</v>
      </c>
      <c r="B430" s="1">
        <v>45118</v>
      </c>
      <c r="C430" t="s">
        <v>20</v>
      </c>
      <c r="D430" t="s">
        <v>21</v>
      </c>
      <c r="E430" t="s">
        <v>2040</v>
      </c>
      <c r="F430" t="s">
        <v>23</v>
      </c>
      <c r="G430" t="s">
        <v>34</v>
      </c>
      <c r="H430" t="s">
        <v>141</v>
      </c>
      <c r="I430" t="s">
        <v>454</v>
      </c>
      <c r="J430">
        <v>9</v>
      </c>
      <c r="K430">
        <v>1398</v>
      </c>
      <c r="L430">
        <v>0.23</v>
      </c>
      <c r="M430">
        <v>1076.46</v>
      </c>
      <c r="N430">
        <v>9688.14</v>
      </c>
      <c r="O430">
        <v>0.4</v>
      </c>
      <c r="P430">
        <v>3875.26</v>
      </c>
      <c r="Q430" t="s">
        <v>27</v>
      </c>
      <c r="R430" t="s">
        <v>48</v>
      </c>
      <c r="S430">
        <v>5</v>
      </c>
      <c r="T430">
        <f>YEAR(Sales_Data_1[[#This Row],[Order_Date]])</f>
        <v>2023</v>
      </c>
      <c r="U430" t="str">
        <f>TEXT(Sales_Data_1[[#This Row],[Order_Date]], "mmm")</f>
        <v>Jul</v>
      </c>
      <c r="V430">
        <f>MONTH(Sales_Data_1[[#This Row],[Order_Date]])</f>
        <v>7</v>
      </c>
      <c r="W430" t="str">
        <f>TEXT(Sales_Data_1[[#This Row],[Order_Date]], "yyyy-mm")</f>
        <v>2023-07</v>
      </c>
      <c r="X430">
        <f>Sales_Data_1[[#This Row],[Sales]]-Sales_Data_1[[#This Row],[Profit_Amount]]</f>
        <v>5812.8799999999992</v>
      </c>
      <c r="Y430" t="str" cm="1">
        <f t="array" ref="Y430">_xlfn.IFS(Sales_Data_1[[#This Row],[Delivery_Days]]&lt;=3, "Fast", Sales_Data_1[[#This Row],[Delivery_Days]]&lt;= 7, "Standard", TRUE, "Delayed")</f>
        <v>Standard</v>
      </c>
      <c r="Z430" t="str" cm="1">
        <f t="array" ref="Z430">_xlfn.IFS(Sales_Data_1[[#This Row],[Profit_Amount]]&gt; 0, "Profitable", Sales_Data_1[[#This Row],[Profit_Amount]] = 0, "Break-Even", TRUE, "Loss")</f>
        <v>Profitable</v>
      </c>
      <c r="AA430" t="str" cm="1">
        <f t="array" ref="AA430">_xlfn.IFS(Sales_Data_1[[#This Row],[Sales]]&gt;= 1000, "High Value", Sales_Data_1[[#This Row],[Sales]]&gt;= 300, "Mid Value", TRUE, "Low Value")</f>
        <v>High Value</v>
      </c>
    </row>
    <row r="431" spans="1:27" x14ac:dyDescent="0.3">
      <c r="A431" t="s">
        <v>2402</v>
      </c>
      <c r="B431" s="1">
        <v>45288</v>
      </c>
      <c r="C431" t="s">
        <v>55</v>
      </c>
      <c r="D431" t="s">
        <v>21</v>
      </c>
      <c r="E431" t="s">
        <v>42</v>
      </c>
      <c r="F431" t="s">
        <v>23</v>
      </c>
      <c r="G431" t="s">
        <v>24</v>
      </c>
      <c r="H431" t="s">
        <v>25</v>
      </c>
      <c r="I431" t="s">
        <v>790</v>
      </c>
      <c r="J431">
        <v>2</v>
      </c>
      <c r="K431">
        <v>9841</v>
      </c>
      <c r="L431">
        <v>0.2</v>
      </c>
      <c r="M431">
        <v>7872.8</v>
      </c>
      <c r="N431">
        <v>15745.6</v>
      </c>
      <c r="O431">
        <v>0.25</v>
      </c>
      <c r="P431">
        <v>3936.4</v>
      </c>
      <c r="Q431" t="s">
        <v>47</v>
      </c>
      <c r="R431" t="s">
        <v>38</v>
      </c>
      <c r="S431">
        <v>5</v>
      </c>
      <c r="T431">
        <f>YEAR(Sales_Data_1[[#This Row],[Order_Date]])</f>
        <v>2023</v>
      </c>
      <c r="U431" t="str">
        <f>TEXT(Sales_Data_1[[#This Row],[Order_Date]], "mmm")</f>
        <v>Dec</v>
      </c>
      <c r="V431">
        <f>MONTH(Sales_Data_1[[#This Row],[Order_Date]])</f>
        <v>12</v>
      </c>
      <c r="W431" t="str">
        <f>TEXT(Sales_Data_1[[#This Row],[Order_Date]], "yyyy-mm")</f>
        <v>2023-12</v>
      </c>
      <c r="X431">
        <f>Sales_Data_1[[#This Row],[Sales]]-Sales_Data_1[[#This Row],[Profit_Amount]]</f>
        <v>11809.2</v>
      </c>
      <c r="Y431" t="str" cm="1">
        <f t="array" ref="Y431">_xlfn.IFS(Sales_Data_1[[#This Row],[Delivery_Days]]&lt;=3, "Fast", Sales_Data_1[[#This Row],[Delivery_Days]]&lt;= 7, "Standard", TRUE, "Delayed")</f>
        <v>Standard</v>
      </c>
      <c r="Z431" t="str" cm="1">
        <f t="array" ref="Z431">_xlfn.IFS(Sales_Data_1[[#This Row],[Profit_Amount]]&gt; 0, "Profitable", Sales_Data_1[[#This Row],[Profit_Amount]] = 0, "Break-Even", TRUE, "Loss")</f>
        <v>Profitable</v>
      </c>
      <c r="AA431" t="str" cm="1">
        <f t="array" ref="AA431">_xlfn.IFS(Sales_Data_1[[#This Row],[Sales]]&gt;= 1000, "High Value", Sales_Data_1[[#This Row],[Sales]]&gt;= 300, "Mid Value", TRUE, "Low Value")</f>
        <v>High Value</v>
      </c>
    </row>
    <row r="432" spans="1:27" x14ac:dyDescent="0.3">
      <c r="A432" t="s">
        <v>2056</v>
      </c>
      <c r="B432" s="1">
        <v>44942</v>
      </c>
      <c r="C432" t="s">
        <v>20</v>
      </c>
      <c r="D432" t="s">
        <v>41</v>
      </c>
      <c r="E432" t="s">
        <v>2042</v>
      </c>
      <c r="F432" t="s">
        <v>68</v>
      </c>
      <c r="G432" t="s">
        <v>57</v>
      </c>
      <c r="H432" t="s">
        <v>58</v>
      </c>
      <c r="I432" t="s">
        <v>86</v>
      </c>
      <c r="J432">
        <v>5</v>
      </c>
      <c r="K432">
        <v>4430</v>
      </c>
      <c r="L432">
        <v>0.11</v>
      </c>
      <c r="M432">
        <v>3942.7</v>
      </c>
      <c r="N432">
        <v>19713.5</v>
      </c>
      <c r="O432">
        <v>0.2</v>
      </c>
      <c r="P432">
        <v>3942.7</v>
      </c>
      <c r="Q432" t="s">
        <v>47</v>
      </c>
      <c r="R432" t="s">
        <v>48</v>
      </c>
      <c r="S432">
        <v>1</v>
      </c>
      <c r="T432">
        <f>YEAR(Sales_Data_1[[#This Row],[Order_Date]])</f>
        <v>2023</v>
      </c>
      <c r="U432" t="str">
        <f>TEXT(Sales_Data_1[[#This Row],[Order_Date]], "mmm")</f>
        <v>Jan</v>
      </c>
      <c r="V432">
        <f>MONTH(Sales_Data_1[[#This Row],[Order_Date]])</f>
        <v>1</v>
      </c>
      <c r="W432" t="str">
        <f>TEXT(Sales_Data_1[[#This Row],[Order_Date]], "yyyy-mm")</f>
        <v>2023-01</v>
      </c>
      <c r="X432">
        <f>Sales_Data_1[[#This Row],[Sales]]-Sales_Data_1[[#This Row],[Profit_Amount]]</f>
        <v>15770.8</v>
      </c>
      <c r="Y432" t="str" cm="1">
        <f t="array" ref="Y432">_xlfn.IFS(Sales_Data_1[[#This Row],[Delivery_Days]]&lt;=3, "Fast", Sales_Data_1[[#This Row],[Delivery_Days]]&lt;= 7, "Standard", TRUE, "Delayed")</f>
        <v>Fast</v>
      </c>
      <c r="Z432" t="str" cm="1">
        <f t="array" ref="Z432">_xlfn.IFS(Sales_Data_1[[#This Row],[Profit_Amount]]&gt; 0, "Profitable", Sales_Data_1[[#This Row],[Profit_Amount]] = 0, "Break-Even", TRUE, "Loss")</f>
        <v>Profitable</v>
      </c>
      <c r="AA432" t="str" cm="1">
        <f t="array" ref="AA432">_xlfn.IFS(Sales_Data_1[[#This Row],[Sales]]&gt;= 1000, "High Value", Sales_Data_1[[#This Row],[Sales]]&gt;= 300, "Mid Value", TRUE, "Low Value")</f>
        <v>High Value</v>
      </c>
    </row>
    <row r="433" spans="1:27" x14ac:dyDescent="0.3">
      <c r="A433" t="s">
        <v>2179</v>
      </c>
      <c r="B433" s="1">
        <v>45065</v>
      </c>
      <c r="C433" t="s">
        <v>55</v>
      </c>
      <c r="D433" t="s">
        <v>21</v>
      </c>
      <c r="E433" t="s">
        <v>42</v>
      </c>
      <c r="F433" t="s">
        <v>97</v>
      </c>
      <c r="G433" t="s">
        <v>57</v>
      </c>
      <c r="H433" t="s">
        <v>183</v>
      </c>
      <c r="I433" t="s">
        <v>348</v>
      </c>
      <c r="J433">
        <v>4</v>
      </c>
      <c r="K433">
        <v>5568</v>
      </c>
      <c r="L433">
        <v>0.11</v>
      </c>
      <c r="M433">
        <v>4955.5200000000004</v>
      </c>
      <c r="N433">
        <v>19822.080000000002</v>
      </c>
      <c r="O433">
        <v>0.2</v>
      </c>
      <c r="P433">
        <v>3964.42</v>
      </c>
      <c r="Q433" t="s">
        <v>51</v>
      </c>
      <c r="R433" t="s">
        <v>38</v>
      </c>
      <c r="S433">
        <v>4</v>
      </c>
      <c r="T433">
        <f>YEAR(Sales_Data_1[[#This Row],[Order_Date]])</f>
        <v>2023</v>
      </c>
      <c r="U433" t="str">
        <f>TEXT(Sales_Data_1[[#This Row],[Order_Date]], "mmm")</f>
        <v>May</v>
      </c>
      <c r="V433">
        <f>MONTH(Sales_Data_1[[#This Row],[Order_Date]])</f>
        <v>5</v>
      </c>
      <c r="W433" t="str">
        <f>TEXT(Sales_Data_1[[#This Row],[Order_Date]], "yyyy-mm")</f>
        <v>2023-05</v>
      </c>
      <c r="X433">
        <f>Sales_Data_1[[#This Row],[Sales]]-Sales_Data_1[[#This Row],[Profit_Amount]]</f>
        <v>15857.660000000002</v>
      </c>
      <c r="Y433" t="str" cm="1">
        <f t="array" ref="Y433">_xlfn.IFS(Sales_Data_1[[#This Row],[Delivery_Days]]&lt;=3, "Fast", Sales_Data_1[[#This Row],[Delivery_Days]]&lt;= 7, "Standard", TRUE, "Delayed")</f>
        <v>Standard</v>
      </c>
      <c r="Z433" t="str" cm="1">
        <f t="array" ref="Z433">_xlfn.IFS(Sales_Data_1[[#This Row],[Profit_Amount]]&gt; 0, "Profitable", Sales_Data_1[[#This Row],[Profit_Amount]] = 0, "Break-Even", TRUE, "Loss")</f>
        <v>Profitable</v>
      </c>
      <c r="AA433" t="str" cm="1">
        <f t="array" ref="AA433">_xlfn.IFS(Sales_Data_1[[#This Row],[Sales]]&gt;= 1000, "High Value", Sales_Data_1[[#This Row],[Sales]]&gt;= 300, "Mid Value", TRUE, "Low Value")</f>
        <v>High Value</v>
      </c>
    </row>
    <row r="434" spans="1:27" x14ac:dyDescent="0.3">
      <c r="A434" t="s">
        <v>2263</v>
      </c>
      <c r="B434" s="1">
        <v>45149</v>
      </c>
      <c r="C434" t="s">
        <v>55</v>
      </c>
      <c r="D434" t="s">
        <v>31</v>
      </c>
      <c r="E434" t="s">
        <v>2040</v>
      </c>
      <c r="F434" t="s">
        <v>23</v>
      </c>
      <c r="G434" t="s">
        <v>44</v>
      </c>
      <c r="H434" t="s">
        <v>45</v>
      </c>
      <c r="I434" t="s">
        <v>516</v>
      </c>
      <c r="J434">
        <v>3</v>
      </c>
      <c r="K434">
        <v>4181</v>
      </c>
      <c r="L434">
        <v>0.09</v>
      </c>
      <c r="M434">
        <v>3804.71</v>
      </c>
      <c r="N434">
        <v>11414.13</v>
      </c>
      <c r="O434">
        <v>0.35</v>
      </c>
      <c r="P434">
        <v>3994.95</v>
      </c>
      <c r="Q434" t="s">
        <v>51</v>
      </c>
      <c r="R434" t="s">
        <v>38</v>
      </c>
      <c r="S434">
        <v>9</v>
      </c>
      <c r="T434">
        <f>YEAR(Sales_Data_1[[#This Row],[Order_Date]])</f>
        <v>2023</v>
      </c>
      <c r="U434" t="str">
        <f>TEXT(Sales_Data_1[[#This Row],[Order_Date]], "mmm")</f>
        <v>Aug</v>
      </c>
      <c r="V434">
        <f>MONTH(Sales_Data_1[[#This Row],[Order_Date]])</f>
        <v>8</v>
      </c>
      <c r="W434" t="str">
        <f>TEXT(Sales_Data_1[[#This Row],[Order_Date]], "yyyy-mm")</f>
        <v>2023-08</v>
      </c>
      <c r="X434">
        <f>Sales_Data_1[[#This Row],[Sales]]-Sales_Data_1[[#This Row],[Profit_Amount]]</f>
        <v>7419.1799999999994</v>
      </c>
      <c r="Y434" t="str" cm="1">
        <f t="array" ref="Y434">_xlfn.IFS(Sales_Data_1[[#This Row],[Delivery_Days]]&lt;=3, "Fast", Sales_Data_1[[#This Row],[Delivery_Days]]&lt;= 7, "Standard", TRUE, "Delayed")</f>
        <v>Delayed</v>
      </c>
      <c r="Z434" t="str" cm="1">
        <f t="array" ref="Z434">_xlfn.IFS(Sales_Data_1[[#This Row],[Profit_Amount]]&gt; 0, "Profitable", Sales_Data_1[[#This Row],[Profit_Amount]] = 0, "Break-Even", TRUE, "Loss")</f>
        <v>Profitable</v>
      </c>
      <c r="AA434" t="str" cm="1">
        <f t="array" ref="AA434">_xlfn.IFS(Sales_Data_1[[#This Row],[Sales]]&gt;= 1000, "High Value", Sales_Data_1[[#This Row],[Sales]]&gt;= 300, "Mid Value", TRUE, "Low Value")</f>
        <v>High Value</v>
      </c>
    </row>
    <row r="435" spans="1:27" x14ac:dyDescent="0.3">
      <c r="A435" t="s">
        <v>2396</v>
      </c>
      <c r="B435" s="1">
        <v>45282</v>
      </c>
      <c r="C435" t="s">
        <v>20</v>
      </c>
      <c r="D435" t="s">
        <v>56</v>
      </c>
      <c r="E435" t="s">
        <v>67</v>
      </c>
      <c r="F435" t="s">
        <v>103</v>
      </c>
      <c r="G435" t="s">
        <v>44</v>
      </c>
      <c r="H435" t="s">
        <v>116</v>
      </c>
      <c r="I435" t="s">
        <v>779</v>
      </c>
      <c r="J435">
        <v>4</v>
      </c>
      <c r="K435">
        <v>3352</v>
      </c>
      <c r="L435">
        <v>0.14000000000000001</v>
      </c>
      <c r="M435">
        <v>2882.72</v>
      </c>
      <c r="N435">
        <v>11530.88</v>
      </c>
      <c r="O435">
        <v>0.35</v>
      </c>
      <c r="P435">
        <v>4035.81</v>
      </c>
      <c r="Q435" t="s">
        <v>51</v>
      </c>
      <c r="R435" t="s">
        <v>48</v>
      </c>
      <c r="S435">
        <v>2</v>
      </c>
      <c r="T435">
        <f>YEAR(Sales_Data_1[[#This Row],[Order_Date]])</f>
        <v>2023</v>
      </c>
      <c r="U435" t="str">
        <f>TEXT(Sales_Data_1[[#This Row],[Order_Date]], "mmm")</f>
        <v>Dec</v>
      </c>
      <c r="V435">
        <f>MONTH(Sales_Data_1[[#This Row],[Order_Date]])</f>
        <v>12</v>
      </c>
      <c r="W435" t="str">
        <f>TEXT(Sales_Data_1[[#This Row],[Order_Date]], "yyyy-mm")</f>
        <v>2023-12</v>
      </c>
      <c r="X435">
        <f>Sales_Data_1[[#This Row],[Sales]]-Sales_Data_1[[#This Row],[Profit_Amount]]</f>
        <v>7495.07</v>
      </c>
      <c r="Y435" t="str" cm="1">
        <f t="array" ref="Y435">_xlfn.IFS(Sales_Data_1[[#This Row],[Delivery_Days]]&lt;=3, "Fast", Sales_Data_1[[#This Row],[Delivery_Days]]&lt;= 7, "Standard", TRUE, "Delayed")</f>
        <v>Fast</v>
      </c>
      <c r="Z435" t="str" cm="1">
        <f t="array" ref="Z435">_xlfn.IFS(Sales_Data_1[[#This Row],[Profit_Amount]]&gt; 0, "Profitable", Sales_Data_1[[#This Row],[Profit_Amount]] = 0, "Break-Even", TRUE, "Loss")</f>
        <v>Profitable</v>
      </c>
      <c r="AA435" t="str" cm="1">
        <f t="array" ref="AA435">_xlfn.IFS(Sales_Data_1[[#This Row],[Sales]]&gt;= 1000, "High Value", Sales_Data_1[[#This Row],[Sales]]&gt;= 300, "Mid Value", TRUE, "Low Value")</f>
        <v>High Value</v>
      </c>
    </row>
    <row r="436" spans="1:27" x14ac:dyDescent="0.3">
      <c r="A436" t="s">
        <v>2216</v>
      </c>
      <c r="B436" s="1">
        <v>45102</v>
      </c>
      <c r="C436" t="s">
        <v>63</v>
      </c>
      <c r="D436" t="s">
        <v>56</v>
      </c>
      <c r="E436" t="s">
        <v>42</v>
      </c>
      <c r="F436" t="s">
        <v>97</v>
      </c>
      <c r="G436" t="s">
        <v>57</v>
      </c>
      <c r="H436" t="s">
        <v>58</v>
      </c>
      <c r="I436" t="s">
        <v>422</v>
      </c>
      <c r="J436">
        <v>2</v>
      </c>
      <c r="K436">
        <v>11110</v>
      </c>
      <c r="L436">
        <v>0.09</v>
      </c>
      <c r="M436">
        <v>10110.1</v>
      </c>
      <c r="N436">
        <v>20220.2</v>
      </c>
      <c r="O436">
        <v>0.2</v>
      </c>
      <c r="P436">
        <v>4044.04</v>
      </c>
      <c r="Q436" t="s">
        <v>27</v>
      </c>
      <c r="R436" t="s">
        <v>48</v>
      </c>
      <c r="S436">
        <v>4</v>
      </c>
      <c r="T436">
        <f>YEAR(Sales_Data_1[[#This Row],[Order_Date]])</f>
        <v>2023</v>
      </c>
      <c r="U436" t="str">
        <f>TEXT(Sales_Data_1[[#This Row],[Order_Date]], "mmm")</f>
        <v>Jun</v>
      </c>
      <c r="V436">
        <f>MONTH(Sales_Data_1[[#This Row],[Order_Date]])</f>
        <v>6</v>
      </c>
      <c r="W436" t="str">
        <f>TEXT(Sales_Data_1[[#This Row],[Order_Date]], "yyyy-mm")</f>
        <v>2023-06</v>
      </c>
      <c r="X436">
        <f>Sales_Data_1[[#This Row],[Sales]]-Sales_Data_1[[#This Row],[Profit_Amount]]</f>
        <v>16176.16</v>
      </c>
      <c r="Y436" t="str" cm="1">
        <f t="array" ref="Y436">_xlfn.IFS(Sales_Data_1[[#This Row],[Delivery_Days]]&lt;=3, "Fast", Sales_Data_1[[#This Row],[Delivery_Days]]&lt;= 7, "Standard", TRUE, "Delayed")</f>
        <v>Standard</v>
      </c>
      <c r="Z436" t="str" cm="1">
        <f t="array" ref="Z436">_xlfn.IFS(Sales_Data_1[[#This Row],[Profit_Amount]]&gt; 0, "Profitable", Sales_Data_1[[#This Row],[Profit_Amount]] = 0, "Break-Even", TRUE, "Loss")</f>
        <v>Profitable</v>
      </c>
      <c r="AA436" t="str" cm="1">
        <f t="array" ref="AA436">_xlfn.IFS(Sales_Data_1[[#This Row],[Sales]]&gt;= 1000, "High Value", Sales_Data_1[[#This Row],[Sales]]&gt;= 300, "Mid Value", TRUE, "Low Value")</f>
        <v>High Value</v>
      </c>
    </row>
    <row r="437" spans="1:27" x14ac:dyDescent="0.3">
      <c r="A437" t="s">
        <v>2368</v>
      </c>
      <c r="B437" s="1">
        <v>45254</v>
      </c>
      <c r="C437" t="s">
        <v>55</v>
      </c>
      <c r="D437" t="s">
        <v>21</v>
      </c>
      <c r="E437" t="s">
        <v>2040</v>
      </c>
      <c r="F437" t="s">
        <v>103</v>
      </c>
      <c r="G437" t="s">
        <v>34</v>
      </c>
      <c r="H437" t="s">
        <v>104</v>
      </c>
      <c r="I437" t="s">
        <v>724</v>
      </c>
      <c r="J437">
        <v>9</v>
      </c>
      <c r="K437">
        <v>1249</v>
      </c>
      <c r="L437">
        <v>0.1</v>
      </c>
      <c r="M437">
        <v>1124.0999999999999</v>
      </c>
      <c r="N437">
        <v>10116.9</v>
      </c>
      <c r="O437">
        <v>0.4</v>
      </c>
      <c r="P437">
        <v>4046.76</v>
      </c>
      <c r="Q437" t="s">
        <v>51</v>
      </c>
      <c r="R437" t="s">
        <v>48</v>
      </c>
      <c r="S437">
        <v>3</v>
      </c>
      <c r="T437">
        <f>YEAR(Sales_Data_1[[#This Row],[Order_Date]])</f>
        <v>2023</v>
      </c>
      <c r="U437" t="str">
        <f>TEXT(Sales_Data_1[[#This Row],[Order_Date]], "mmm")</f>
        <v>Nov</v>
      </c>
      <c r="V437">
        <f>MONTH(Sales_Data_1[[#This Row],[Order_Date]])</f>
        <v>11</v>
      </c>
      <c r="W437" t="str">
        <f>TEXT(Sales_Data_1[[#This Row],[Order_Date]], "yyyy-mm")</f>
        <v>2023-11</v>
      </c>
      <c r="X437">
        <f>Sales_Data_1[[#This Row],[Sales]]-Sales_Data_1[[#This Row],[Profit_Amount]]</f>
        <v>6070.1399999999994</v>
      </c>
      <c r="Y437" t="str" cm="1">
        <f t="array" ref="Y437">_xlfn.IFS(Sales_Data_1[[#This Row],[Delivery_Days]]&lt;=3, "Fast", Sales_Data_1[[#This Row],[Delivery_Days]]&lt;= 7, "Standard", TRUE, "Delayed")</f>
        <v>Fast</v>
      </c>
      <c r="Z437" t="str" cm="1">
        <f t="array" ref="Z437">_xlfn.IFS(Sales_Data_1[[#This Row],[Profit_Amount]]&gt; 0, "Profitable", Sales_Data_1[[#This Row],[Profit_Amount]] = 0, "Break-Even", TRUE, "Loss")</f>
        <v>Profitable</v>
      </c>
      <c r="AA437" t="str" cm="1">
        <f t="array" ref="AA437">_xlfn.IFS(Sales_Data_1[[#This Row],[Sales]]&gt;= 1000, "High Value", Sales_Data_1[[#This Row],[Sales]]&gt;= 300, "Mid Value", TRUE, "Low Value")</f>
        <v>High Value</v>
      </c>
    </row>
    <row r="438" spans="1:27" x14ac:dyDescent="0.3">
      <c r="A438" t="s">
        <v>2247</v>
      </c>
      <c r="B438" s="1">
        <v>45133</v>
      </c>
      <c r="C438" t="s">
        <v>63</v>
      </c>
      <c r="D438" t="s">
        <v>56</v>
      </c>
      <c r="E438" t="s">
        <v>2042</v>
      </c>
      <c r="F438" t="s">
        <v>68</v>
      </c>
      <c r="G438" t="s">
        <v>34</v>
      </c>
      <c r="H438" t="s">
        <v>71</v>
      </c>
      <c r="I438" t="s">
        <v>484</v>
      </c>
      <c r="J438">
        <v>8</v>
      </c>
      <c r="K438">
        <v>1370</v>
      </c>
      <c r="L438">
        <v>7.0000000000000007E-2</v>
      </c>
      <c r="M438">
        <v>1274.0999999999999</v>
      </c>
      <c r="N438">
        <v>10192.799999999999</v>
      </c>
      <c r="O438">
        <v>0.4</v>
      </c>
      <c r="P438">
        <v>4077.12</v>
      </c>
      <c r="Q438" t="s">
        <v>27</v>
      </c>
      <c r="R438" t="s">
        <v>48</v>
      </c>
      <c r="S438">
        <v>8</v>
      </c>
      <c r="T438">
        <f>YEAR(Sales_Data_1[[#This Row],[Order_Date]])</f>
        <v>2023</v>
      </c>
      <c r="U438" t="str">
        <f>TEXT(Sales_Data_1[[#This Row],[Order_Date]], "mmm")</f>
        <v>Jul</v>
      </c>
      <c r="V438">
        <f>MONTH(Sales_Data_1[[#This Row],[Order_Date]])</f>
        <v>7</v>
      </c>
      <c r="W438" t="str">
        <f>TEXT(Sales_Data_1[[#This Row],[Order_Date]], "yyyy-mm")</f>
        <v>2023-07</v>
      </c>
      <c r="X438">
        <f>Sales_Data_1[[#This Row],[Sales]]-Sales_Data_1[[#This Row],[Profit_Amount]]</f>
        <v>6115.6799999999994</v>
      </c>
      <c r="Y438" t="str" cm="1">
        <f t="array" ref="Y438">_xlfn.IFS(Sales_Data_1[[#This Row],[Delivery_Days]]&lt;=3, "Fast", Sales_Data_1[[#This Row],[Delivery_Days]]&lt;= 7, "Standard", TRUE, "Delayed")</f>
        <v>Delayed</v>
      </c>
      <c r="Z438" t="str" cm="1">
        <f t="array" ref="Z438">_xlfn.IFS(Sales_Data_1[[#This Row],[Profit_Amount]]&gt; 0, "Profitable", Sales_Data_1[[#This Row],[Profit_Amount]] = 0, "Break-Even", TRUE, "Loss")</f>
        <v>Profitable</v>
      </c>
      <c r="AA438" t="str" cm="1">
        <f t="array" ref="AA438">_xlfn.IFS(Sales_Data_1[[#This Row],[Sales]]&gt;= 1000, "High Value", Sales_Data_1[[#This Row],[Sales]]&gt;= 300, "Mid Value", TRUE, "Low Value")</f>
        <v>High Value</v>
      </c>
    </row>
    <row r="439" spans="1:27" x14ac:dyDescent="0.3">
      <c r="A439" t="s">
        <v>2851</v>
      </c>
      <c r="B439" s="1">
        <v>45737</v>
      </c>
      <c r="C439" t="s">
        <v>40</v>
      </c>
      <c r="D439" t="s">
        <v>21</v>
      </c>
      <c r="E439" t="s">
        <v>2042</v>
      </c>
      <c r="F439" t="s">
        <v>43</v>
      </c>
      <c r="G439" t="s">
        <v>24</v>
      </c>
      <c r="H439" t="s">
        <v>186</v>
      </c>
      <c r="I439" t="s">
        <v>1673</v>
      </c>
      <c r="J439">
        <v>8</v>
      </c>
      <c r="K439">
        <v>2651</v>
      </c>
      <c r="L439">
        <v>0.23</v>
      </c>
      <c r="M439">
        <v>2041.27</v>
      </c>
      <c r="N439">
        <v>16330.16</v>
      </c>
      <c r="O439">
        <v>0.25</v>
      </c>
      <c r="P439">
        <v>4082.54</v>
      </c>
      <c r="Q439" t="s">
        <v>47</v>
      </c>
      <c r="R439" t="s">
        <v>48</v>
      </c>
      <c r="S439">
        <v>7</v>
      </c>
      <c r="T439">
        <f>YEAR(Sales_Data_1[[#This Row],[Order_Date]])</f>
        <v>2025</v>
      </c>
      <c r="U439" t="str">
        <f>TEXT(Sales_Data_1[[#This Row],[Order_Date]], "mmm")</f>
        <v>Mar</v>
      </c>
      <c r="V439">
        <f>MONTH(Sales_Data_1[[#This Row],[Order_Date]])</f>
        <v>3</v>
      </c>
      <c r="W439" t="str">
        <f>TEXT(Sales_Data_1[[#This Row],[Order_Date]], "yyyy-mm")</f>
        <v>2025-03</v>
      </c>
      <c r="X439">
        <f>Sales_Data_1[[#This Row],[Sales]]-Sales_Data_1[[#This Row],[Profit_Amount]]</f>
        <v>12247.619999999999</v>
      </c>
      <c r="Y439" t="str" cm="1">
        <f t="array" ref="Y439">_xlfn.IFS(Sales_Data_1[[#This Row],[Delivery_Days]]&lt;=3, "Fast", Sales_Data_1[[#This Row],[Delivery_Days]]&lt;= 7, "Standard", TRUE, "Delayed")</f>
        <v>Standard</v>
      </c>
      <c r="Z439" t="str" cm="1">
        <f t="array" ref="Z439">_xlfn.IFS(Sales_Data_1[[#This Row],[Profit_Amount]]&gt; 0, "Profitable", Sales_Data_1[[#This Row],[Profit_Amount]] = 0, "Break-Even", TRUE, "Loss")</f>
        <v>Profitable</v>
      </c>
      <c r="AA439" t="str" cm="1">
        <f t="array" ref="AA439">_xlfn.IFS(Sales_Data_1[[#This Row],[Sales]]&gt;= 1000, "High Value", Sales_Data_1[[#This Row],[Sales]]&gt;= 300, "Mid Value", TRUE, "Low Value")</f>
        <v>High Value</v>
      </c>
    </row>
    <row r="440" spans="1:27" x14ac:dyDescent="0.3">
      <c r="A440" t="s">
        <v>2446</v>
      </c>
      <c r="B440" s="1">
        <v>45332</v>
      </c>
      <c r="C440" t="s">
        <v>96</v>
      </c>
      <c r="D440" t="s">
        <v>41</v>
      </c>
      <c r="E440" t="s">
        <v>42</v>
      </c>
      <c r="F440" t="s">
        <v>97</v>
      </c>
      <c r="G440" t="s">
        <v>34</v>
      </c>
      <c r="H440" t="s">
        <v>104</v>
      </c>
      <c r="I440" t="s">
        <v>878</v>
      </c>
      <c r="J440">
        <v>8</v>
      </c>
      <c r="K440">
        <v>1353</v>
      </c>
      <c r="L440">
        <v>0.05</v>
      </c>
      <c r="M440">
        <v>1285.3499999999999</v>
      </c>
      <c r="N440">
        <v>10282.799999999999</v>
      </c>
      <c r="O440">
        <v>0.4</v>
      </c>
      <c r="P440">
        <v>4113.12</v>
      </c>
      <c r="Q440" t="s">
        <v>47</v>
      </c>
      <c r="R440" t="s">
        <v>48</v>
      </c>
      <c r="S440">
        <v>4</v>
      </c>
      <c r="T440">
        <f>YEAR(Sales_Data_1[[#This Row],[Order_Date]])</f>
        <v>2024</v>
      </c>
      <c r="U440" t="str">
        <f>TEXT(Sales_Data_1[[#This Row],[Order_Date]], "mmm")</f>
        <v>Feb</v>
      </c>
      <c r="V440">
        <f>MONTH(Sales_Data_1[[#This Row],[Order_Date]])</f>
        <v>2</v>
      </c>
      <c r="W440" t="str">
        <f>TEXT(Sales_Data_1[[#This Row],[Order_Date]], "yyyy-mm")</f>
        <v>2024-02</v>
      </c>
      <c r="X440">
        <f>Sales_Data_1[[#This Row],[Sales]]-Sales_Data_1[[#This Row],[Profit_Amount]]</f>
        <v>6169.6799999999994</v>
      </c>
      <c r="Y440" t="str" cm="1">
        <f t="array" ref="Y440">_xlfn.IFS(Sales_Data_1[[#This Row],[Delivery_Days]]&lt;=3, "Fast", Sales_Data_1[[#This Row],[Delivery_Days]]&lt;= 7, "Standard", TRUE, "Delayed")</f>
        <v>Standard</v>
      </c>
      <c r="Z440" t="str" cm="1">
        <f t="array" ref="Z440">_xlfn.IFS(Sales_Data_1[[#This Row],[Profit_Amount]]&gt; 0, "Profitable", Sales_Data_1[[#This Row],[Profit_Amount]] = 0, "Break-Even", TRUE, "Loss")</f>
        <v>Profitable</v>
      </c>
      <c r="AA440" t="str" cm="1">
        <f t="array" ref="AA440">_xlfn.IFS(Sales_Data_1[[#This Row],[Sales]]&gt;= 1000, "High Value", Sales_Data_1[[#This Row],[Sales]]&gt;= 300, "Mid Value", TRUE, "Low Value")</f>
        <v>High Value</v>
      </c>
    </row>
    <row r="441" spans="1:27" x14ac:dyDescent="0.3">
      <c r="A441" t="s">
        <v>2842</v>
      </c>
      <c r="B441" s="1">
        <v>45728</v>
      </c>
      <c r="C441" t="s">
        <v>55</v>
      </c>
      <c r="D441" t="s">
        <v>56</v>
      </c>
      <c r="E441" t="s">
        <v>2042</v>
      </c>
      <c r="F441" t="s">
        <v>68</v>
      </c>
      <c r="G441" t="s">
        <v>44</v>
      </c>
      <c r="H441" t="s">
        <v>138</v>
      </c>
      <c r="I441" t="s">
        <v>1655</v>
      </c>
      <c r="J441">
        <v>4</v>
      </c>
      <c r="K441">
        <v>3474</v>
      </c>
      <c r="L441">
        <v>0.15</v>
      </c>
      <c r="M441">
        <v>2952.9</v>
      </c>
      <c r="N441">
        <v>11811.6</v>
      </c>
      <c r="O441">
        <v>0.35</v>
      </c>
      <c r="P441">
        <v>4134.0600000000004</v>
      </c>
      <c r="Q441" t="s">
        <v>37</v>
      </c>
      <c r="R441" t="s">
        <v>48</v>
      </c>
      <c r="S441">
        <v>2</v>
      </c>
      <c r="T441">
        <f>YEAR(Sales_Data_1[[#This Row],[Order_Date]])</f>
        <v>2025</v>
      </c>
      <c r="U441" t="str">
        <f>TEXT(Sales_Data_1[[#This Row],[Order_Date]], "mmm")</f>
        <v>Mar</v>
      </c>
      <c r="V441">
        <f>MONTH(Sales_Data_1[[#This Row],[Order_Date]])</f>
        <v>3</v>
      </c>
      <c r="W441" t="str">
        <f>TEXT(Sales_Data_1[[#This Row],[Order_Date]], "yyyy-mm")</f>
        <v>2025-03</v>
      </c>
      <c r="X441">
        <f>Sales_Data_1[[#This Row],[Sales]]-Sales_Data_1[[#This Row],[Profit_Amount]]</f>
        <v>7677.54</v>
      </c>
      <c r="Y441" t="str" cm="1">
        <f t="array" ref="Y441">_xlfn.IFS(Sales_Data_1[[#This Row],[Delivery_Days]]&lt;=3, "Fast", Sales_Data_1[[#This Row],[Delivery_Days]]&lt;= 7, "Standard", TRUE, "Delayed")</f>
        <v>Fast</v>
      </c>
      <c r="Z441" t="str" cm="1">
        <f t="array" ref="Z441">_xlfn.IFS(Sales_Data_1[[#This Row],[Profit_Amount]]&gt; 0, "Profitable", Sales_Data_1[[#This Row],[Profit_Amount]] = 0, "Break-Even", TRUE, "Loss")</f>
        <v>Profitable</v>
      </c>
      <c r="AA441" t="str" cm="1">
        <f t="array" ref="AA441">_xlfn.IFS(Sales_Data_1[[#This Row],[Sales]]&gt;= 1000, "High Value", Sales_Data_1[[#This Row],[Sales]]&gt;= 300, "Mid Value", TRUE, "Low Value")</f>
        <v>High Value</v>
      </c>
    </row>
    <row r="442" spans="1:27" x14ac:dyDescent="0.3">
      <c r="A442" t="s">
        <v>2799</v>
      </c>
      <c r="B442" s="1">
        <v>45685</v>
      </c>
      <c r="C442" t="s">
        <v>55</v>
      </c>
      <c r="D442" t="s">
        <v>21</v>
      </c>
      <c r="E442" t="s">
        <v>2042</v>
      </c>
      <c r="F442" t="s">
        <v>43</v>
      </c>
      <c r="G442" t="s">
        <v>34</v>
      </c>
      <c r="H442" t="s">
        <v>35</v>
      </c>
      <c r="I442" t="s">
        <v>1571</v>
      </c>
      <c r="J442">
        <v>9</v>
      </c>
      <c r="K442">
        <v>1214</v>
      </c>
      <c r="L442">
        <v>0.05</v>
      </c>
      <c r="M442">
        <v>1153.3</v>
      </c>
      <c r="N442">
        <v>10379.700000000001</v>
      </c>
      <c r="O442">
        <v>0.4</v>
      </c>
      <c r="P442">
        <v>4151.88</v>
      </c>
      <c r="Q442" t="s">
        <v>37</v>
      </c>
      <c r="R442" t="s">
        <v>48</v>
      </c>
      <c r="S442">
        <v>2</v>
      </c>
      <c r="T442">
        <f>YEAR(Sales_Data_1[[#This Row],[Order_Date]])</f>
        <v>2025</v>
      </c>
      <c r="U442" t="str">
        <f>TEXT(Sales_Data_1[[#This Row],[Order_Date]], "mmm")</f>
        <v>Jan</v>
      </c>
      <c r="V442">
        <f>MONTH(Sales_Data_1[[#This Row],[Order_Date]])</f>
        <v>1</v>
      </c>
      <c r="W442" t="str">
        <f>TEXT(Sales_Data_1[[#This Row],[Order_Date]], "yyyy-mm")</f>
        <v>2025-01</v>
      </c>
      <c r="X442">
        <f>Sales_Data_1[[#This Row],[Sales]]-Sales_Data_1[[#This Row],[Profit_Amount]]</f>
        <v>6227.8200000000006</v>
      </c>
      <c r="Y442" t="str" cm="1">
        <f t="array" ref="Y442">_xlfn.IFS(Sales_Data_1[[#This Row],[Delivery_Days]]&lt;=3, "Fast", Sales_Data_1[[#This Row],[Delivery_Days]]&lt;= 7, "Standard", TRUE, "Delayed")</f>
        <v>Fast</v>
      </c>
      <c r="Z442" t="str" cm="1">
        <f t="array" ref="Z442">_xlfn.IFS(Sales_Data_1[[#This Row],[Profit_Amount]]&gt; 0, "Profitable", Sales_Data_1[[#This Row],[Profit_Amount]] = 0, "Break-Even", TRUE, "Loss")</f>
        <v>Profitable</v>
      </c>
      <c r="AA442" t="str" cm="1">
        <f t="array" ref="AA442">_xlfn.IFS(Sales_Data_1[[#This Row],[Sales]]&gt;= 1000, "High Value", Sales_Data_1[[#This Row],[Sales]]&gt;= 300, "Mid Value", TRUE, "Low Value")</f>
        <v>High Value</v>
      </c>
    </row>
    <row r="443" spans="1:27" x14ac:dyDescent="0.3">
      <c r="A443" t="s">
        <v>2310</v>
      </c>
      <c r="B443" s="1">
        <v>45196</v>
      </c>
      <c r="C443" t="s">
        <v>30</v>
      </c>
      <c r="D443" t="s">
        <v>56</v>
      </c>
      <c r="E443" t="s">
        <v>67</v>
      </c>
      <c r="F443" t="s">
        <v>97</v>
      </c>
      <c r="G443" t="s">
        <v>24</v>
      </c>
      <c r="H443" t="s">
        <v>74</v>
      </c>
      <c r="I443" t="s">
        <v>610</v>
      </c>
      <c r="J443">
        <v>2</v>
      </c>
      <c r="K443">
        <v>9234</v>
      </c>
      <c r="L443">
        <v>0.1</v>
      </c>
      <c r="M443">
        <v>8310.6</v>
      </c>
      <c r="N443">
        <v>16621.2</v>
      </c>
      <c r="O443">
        <v>0.25</v>
      </c>
      <c r="P443">
        <v>4155.3</v>
      </c>
      <c r="Q443" t="s">
        <v>51</v>
      </c>
      <c r="R443" t="s">
        <v>48</v>
      </c>
      <c r="S443">
        <v>3</v>
      </c>
      <c r="T443">
        <f>YEAR(Sales_Data_1[[#This Row],[Order_Date]])</f>
        <v>2023</v>
      </c>
      <c r="U443" t="str">
        <f>TEXT(Sales_Data_1[[#This Row],[Order_Date]], "mmm")</f>
        <v>Sep</v>
      </c>
      <c r="V443">
        <f>MONTH(Sales_Data_1[[#This Row],[Order_Date]])</f>
        <v>9</v>
      </c>
      <c r="W443" t="str">
        <f>TEXT(Sales_Data_1[[#This Row],[Order_Date]], "yyyy-mm")</f>
        <v>2023-09</v>
      </c>
      <c r="X443">
        <f>Sales_Data_1[[#This Row],[Sales]]-Sales_Data_1[[#This Row],[Profit_Amount]]</f>
        <v>12465.900000000001</v>
      </c>
      <c r="Y443" t="str" cm="1">
        <f t="array" ref="Y443">_xlfn.IFS(Sales_Data_1[[#This Row],[Delivery_Days]]&lt;=3, "Fast", Sales_Data_1[[#This Row],[Delivery_Days]]&lt;= 7, "Standard", TRUE, "Delayed")</f>
        <v>Fast</v>
      </c>
      <c r="Z443" t="str" cm="1">
        <f t="array" ref="Z443">_xlfn.IFS(Sales_Data_1[[#This Row],[Profit_Amount]]&gt; 0, "Profitable", Sales_Data_1[[#This Row],[Profit_Amount]] = 0, "Break-Even", TRUE, "Loss")</f>
        <v>Profitable</v>
      </c>
      <c r="AA443" t="str" cm="1">
        <f t="array" ref="AA443">_xlfn.IFS(Sales_Data_1[[#This Row],[Sales]]&gt;= 1000, "High Value", Sales_Data_1[[#This Row],[Sales]]&gt;= 300, "Mid Value", TRUE, "Low Value")</f>
        <v>High Value</v>
      </c>
    </row>
    <row r="444" spans="1:27" x14ac:dyDescent="0.3">
      <c r="A444" t="s">
        <v>2583</v>
      </c>
      <c r="B444" s="1">
        <v>45469</v>
      </c>
      <c r="C444" t="s">
        <v>55</v>
      </c>
      <c r="D444" t="s">
        <v>21</v>
      </c>
      <c r="E444" t="s">
        <v>2042</v>
      </c>
      <c r="F444" t="s">
        <v>97</v>
      </c>
      <c r="G444" t="s">
        <v>57</v>
      </c>
      <c r="H444" t="s">
        <v>81</v>
      </c>
      <c r="I444" t="s">
        <v>1148</v>
      </c>
      <c r="J444">
        <v>7</v>
      </c>
      <c r="K444">
        <v>3382</v>
      </c>
      <c r="L444">
        <v>0.12</v>
      </c>
      <c r="M444">
        <v>2976.16</v>
      </c>
      <c r="N444">
        <v>20833.12</v>
      </c>
      <c r="O444">
        <v>0.2</v>
      </c>
      <c r="P444">
        <v>4166.62</v>
      </c>
      <c r="Q444" t="s">
        <v>51</v>
      </c>
      <c r="R444" t="s">
        <v>48</v>
      </c>
      <c r="S444">
        <v>1</v>
      </c>
      <c r="T444">
        <f>YEAR(Sales_Data_1[[#This Row],[Order_Date]])</f>
        <v>2024</v>
      </c>
      <c r="U444" t="str">
        <f>TEXT(Sales_Data_1[[#This Row],[Order_Date]], "mmm")</f>
        <v>Jun</v>
      </c>
      <c r="V444">
        <f>MONTH(Sales_Data_1[[#This Row],[Order_Date]])</f>
        <v>6</v>
      </c>
      <c r="W444" t="str">
        <f>TEXT(Sales_Data_1[[#This Row],[Order_Date]], "yyyy-mm")</f>
        <v>2024-06</v>
      </c>
      <c r="X444">
        <f>Sales_Data_1[[#This Row],[Sales]]-Sales_Data_1[[#This Row],[Profit_Amount]]</f>
        <v>16666.5</v>
      </c>
      <c r="Y444" t="str" cm="1">
        <f t="array" ref="Y444">_xlfn.IFS(Sales_Data_1[[#This Row],[Delivery_Days]]&lt;=3, "Fast", Sales_Data_1[[#This Row],[Delivery_Days]]&lt;= 7, "Standard", TRUE, "Delayed")</f>
        <v>Fast</v>
      </c>
      <c r="Z444" t="str" cm="1">
        <f t="array" ref="Z444">_xlfn.IFS(Sales_Data_1[[#This Row],[Profit_Amount]]&gt; 0, "Profitable", Sales_Data_1[[#This Row],[Profit_Amount]] = 0, "Break-Even", TRUE, "Loss")</f>
        <v>Profitable</v>
      </c>
      <c r="AA444" t="str" cm="1">
        <f t="array" ref="AA444">_xlfn.IFS(Sales_Data_1[[#This Row],[Sales]]&gt;= 1000, "High Value", Sales_Data_1[[#This Row],[Sales]]&gt;= 300, "Mid Value", TRUE, "Low Value")</f>
        <v>High Value</v>
      </c>
    </row>
    <row r="445" spans="1:27" x14ac:dyDescent="0.3">
      <c r="A445" t="s">
        <v>2762</v>
      </c>
      <c r="B445" s="1">
        <v>45648</v>
      </c>
      <c r="C445" t="s">
        <v>55</v>
      </c>
      <c r="D445" t="s">
        <v>41</v>
      </c>
      <c r="E445" t="s">
        <v>2040</v>
      </c>
      <c r="F445" t="s">
        <v>103</v>
      </c>
      <c r="G445" t="s">
        <v>44</v>
      </c>
      <c r="H445" t="s">
        <v>64</v>
      </c>
      <c r="I445" t="s">
        <v>1499</v>
      </c>
      <c r="J445">
        <v>7</v>
      </c>
      <c r="K445">
        <v>2224</v>
      </c>
      <c r="L445">
        <v>0.23</v>
      </c>
      <c r="M445">
        <v>1712.48</v>
      </c>
      <c r="N445">
        <v>11987.36</v>
      </c>
      <c r="O445">
        <v>0.35</v>
      </c>
      <c r="P445">
        <v>4195.58</v>
      </c>
      <c r="Q445" t="s">
        <v>51</v>
      </c>
      <c r="R445" t="s">
        <v>48</v>
      </c>
      <c r="S445">
        <v>3</v>
      </c>
      <c r="T445">
        <f>YEAR(Sales_Data_1[[#This Row],[Order_Date]])</f>
        <v>2024</v>
      </c>
      <c r="U445" t="str">
        <f>TEXT(Sales_Data_1[[#This Row],[Order_Date]], "mmm")</f>
        <v>Dec</v>
      </c>
      <c r="V445">
        <f>MONTH(Sales_Data_1[[#This Row],[Order_Date]])</f>
        <v>12</v>
      </c>
      <c r="W445" t="str">
        <f>TEXT(Sales_Data_1[[#This Row],[Order_Date]], "yyyy-mm")</f>
        <v>2024-12</v>
      </c>
      <c r="X445">
        <f>Sales_Data_1[[#This Row],[Sales]]-Sales_Data_1[[#This Row],[Profit_Amount]]</f>
        <v>7791.7800000000007</v>
      </c>
      <c r="Y445" t="str" cm="1">
        <f t="array" ref="Y445">_xlfn.IFS(Sales_Data_1[[#This Row],[Delivery_Days]]&lt;=3, "Fast", Sales_Data_1[[#This Row],[Delivery_Days]]&lt;= 7, "Standard", TRUE, "Delayed")</f>
        <v>Fast</v>
      </c>
      <c r="Z445" t="str" cm="1">
        <f t="array" ref="Z445">_xlfn.IFS(Sales_Data_1[[#This Row],[Profit_Amount]]&gt; 0, "Profitable", Sales_Data_1[[#This Row],[Profit_Amount]] = 0, "Break-Even", TRUE, "Loss")</f>
        <v>Profitable</v>
      </c>
      <c r="AA445" t="str" cm="1">
        <f t="array" ref="AA445">_xlfn.IFS(Sales_Data_1[[#This Row],[Sales]]&gt;= 1000, "High Value", Sales_Data_1[[#This Row],[Sales]]&gt;= 300, "Mid Value", TRUE, "Low Value")</f>
        <v>High Value</v>
      </c>
    </row>
    <row r="446" spans="1:27" x14ac:dyDescent="0.3">
      <c r="A446" t="s">
        <v>2565</v>
      </c>
      <c r="B446" s="1">
        <v>45451</v>
      </c>
      <c r="C446" t="s">
        <v>20</v>
      </c>
      <c r="D446" t="s">
        <v>41</v>
      </c>
      <c r="E446" t="s">
        <v>2040</v>
      </c>
      <c r="F446" t="s">
        <v>43</v>
      </c>
      <c r="G446" t="s">
        <v>34</v>
      </c>
      <c r="H446" t="s">
        <v>104</v>
      </c>
      <c r="I446" t="s">
        <v>1113</v>
      </c>
      <c r="J446">
        <v>8</v>
      </c>
      <c r="K446">
        <v>1476</v>
      </c>
      <c r="L446">
        <v>0.11</v>
      </c>
      <c r="M446">
        <v>1313.64</v>
      </c>
      <c r="N446">
        <v>10509.12</v>
      </c>
      <c r="O446">
        <v>0.4</v>
      </c>
      <c r="P446">
        <v>4203.6499999999996</v>
      </c>
      <c r="Q446" t="s">
        <v>47</v>
      </c>
      <c r="R446" t="s">
        <v>48</v>
      </c>
      <c r="S446">
        <v>5</v>
      </c>
      <c r="T446">
        <f>YEAR(Sales_Data_1[[#This Row],[Order_Date]])</f>
        <v>2024</v>
      </c>
      <c r="U446" t="str">
        <f>TEXT(Sales_Data_1[[#This Row],[Order_Date]], "mmm")</f>
        <v>Jun</v>
      </c>
      <c r="V446">
        <f>MONTH(Sales_Data_1[[#This Row],[Order_Date]])</f>
        <v>6</v>
      </c>
      <c r="W446" t="str">
        <f>TEXT(Sales_Data_1[[#This Row],[Order_Date]], "yyyy-mm")</f>
        <v>2024-06</v>
      </c>
      <c r="X446">
        <f>Sales_Data_1[[#This Row],[Sales]]-Sales_Data_1[[#This Row],[Profit_Amount]]</f>
        <v>6305.4700000000012</v>
      </c>
      <c r="Y446" t="str" cm="1">
        <f t="array" ref="Y446">_xlfn.IFS(Sales_Data_1[[#This Row],[Delivery_Days]]&lt;=3, "Fast", Sales_Data_1[[#This Row],[Delivery_Days]]&lt;= 7, "Standard", TRUE, "Delayed")</f>
        <v>Standard</v>
      </c>
      <c r="Z446" t="str" cm="1">
        <f t="array" ref="Z446">_xlfn.IFS(Sales_Data_1[[#This Row],[Profit_Amount]]&gt; 0, "Profitable", Sales_Data_1[[#This Row],[Profit_Amount]] = 0, "Break-Even", TRUE, "Loss")</f>
        <v>Profitable</v>
      </c>
      <c r="AA446" t="str" cm="1">
        <f t="array" ref="AA446">_xlfn.IFS(Sales_Data_1[[#This Row],[Sales]]&gt;= 1000, "High Value", Sales_Data_1[[#This Row],[Sales]]&gt;= 300, "Mid Value", TRUE, "Low Value")</f>
        <v>High Value</v>
      </c>
    </row>
    <row r="447" spans="1:27" x14ac:dyDescent="0.3">
      <c r="A447" t="s">
        <v>2538</v>
      </c>
      <c r="B447" s="1">
        <v>45424</v>
      </c>
      <c r="C447" t="s">
        <v>30</v>
      </c>
      <c r="D447" t="s">
        <v>31</v>
      </c>
      <c r="E447" t="s">
        <v>67</v>
      </c>
      <c r="F447" t="s">
        <v>68</v>
      </c>
      <c r="G447" t="s">
        <v>92</v>
      </c>
      <c r="H447" t="s">
        <v>93</v>
      </c>
      <c r="I447" t="s">
        <v>602</v>
      </c>
      <c r="J447">
        <v>1</v>
      </c>
      <c r="K447">
        <v>33429</v>
      </c>
      <c r="L447">
        <v>0.16</v>
      </c>
      <c r="M447">
        <v>28080.36</v>
      </c>
      <c r="N447">
        <v>28080.36</v>
      </c>
      <c r="O447">
        <v>0.15</v>
      </c>
      <c r="P447">
        <v>4212.05</v>
      </c>
      <c r="Q447" t="s">
        <v>27</v>
      </c>
      <c r="R447" t="s">
        <v>48</v>
      </c>
      <c r="S447">
        <v>7</v>
      </c>
      <c r="T447">
        <f>YEAR(Sales_Data_1[[#This Row],[Order_Date]])</f>
        <v>2024</v>
      </c>
      <c r="U447" t="str">
        <f>TEXT(Sales_Data_1[[#This Row],[Order_Date]], "mmm")</f>
        <v>May</v>
      </c>
      <c r="V447">
        <f>MONTH(Sales_Data_1[[#This Row],[Order_Date]])</f>
        <v>5</v>
      </c>
      <c r="W447" t="str">
        <f>TEXT(Sales_Data_1[[#This Row],[Order_Date]], "yyyy-mm")</f>
        <v>2024-05</v>
      </c>
      <c r="X447">
        <f>Sales_Data_1[[#This Row],[Sales]]-Sales_Data_1[[#This Row],[Profit_Amount]]</f>
        <v>23868.31</v>
      </c>
      <c r="Y447" t="str" cm="1">
        <f t="array" ref="Y447">_xlfn.IFS(Sales_Data_1[[#This Row],[Delivery_Days]]&lt;=3, "Fast", Sales_Data_1[[#This Row],[Delivery_Days]]&lt;= 7, "Standard", TRUE, "Delayed")</f>
        <v>Standard</v>
      </c>
      <c r="Z447" t="str" cm="1">
        <f t="array" ref="Z447">_xlfn.IFS(Sales_Data_1[[#This Row],[Profit_Amount]]&gt; 0, "Profitable", Sales_Data_1[[#This Row],[Profit_Amount]] = 0, "Break-Even", TRUE, "Loss")</f>
        <v>Profitable</v>
      </c>
      <c r="AA447" t="str" cm="1">
        <f t="array" ref="AA447">_xlfn.IFS(Sales_Data_1[[#This Row],[Sales]]&gt;= 1000, "High Value", Sales_Data_1[[#This Row],[Sales]]&gt;= 300, "Mid Value", TRUE, "Low Value")</f>
        <v>High Value</v>
      </c>
    </row>
    <row r="448" spans="1:27" x14ac:dyDescent="0.3">
      <c r="A448" t="s">
        <v>3021</v>
      </c>
      <c r="B448" s="1">
        <v>45907</v>
      </c>
      <c r="C448" t="s">
        <v>96</v>
      </c>
      <c r="D448" t="s">
        <v>31</v>
      </c>
      <c r="E448" t="s">
        <v>2042</v>
      </c>
      <c r="F448" t="s">
        <v>33</v>
      </c>
      <c r="G448" t="s">
        <v>44</v>
      </c>
      <c r="H448" t="s">
        <v>64</v>
      </c>
      <c r="I448" t="s">
        <v>2001</v>
      </c>
      <c r="J448">
        <v>8</v>
      </c>
      <c r="K448">
        <v>1511</v>
      </c>
      <c r="L448">
        <v>0</v>
      </c>
      <c r="M448">
        <v>1511</v>
      </c>
      <c r="N448">
        <v>12088</v>
      </c>
      <c r="O448">
        <v>0.35</v>
      </c>
      <c r="P448">
        <v>4230.8</v>
      </c>
      <c r="Q448" t="s">
        <v>51</v>
      </c>
      <c r="R448" t="s">
        <v>38</v>
      </c>
      <c r="S448">
        <v>6</v>
      </c>
      <c r="T448">
        <f>YEAR(Sales_Data_1[[#This Row],[Order_Date]])</f>
        <v>2025</v>
      </c>
      <c r="U448" t="str">
        <f>TEXT(Sales_Data_1[[#This Row],[Order_Date]], "mmm")</f>
        <v>Sep</v>
      </c>
      <c r="V448">
        <f>MONTH(Sales_Data_1[[#This Row],[Order_Date]])</f>
        <v>9</v>
      </c>
      <c r="W448" t="str">
        <f>TEXT(Sales_Data_1[[#This Row],[Order_Date]], "yyyy-mm")</f>
        <v>2025-09</v>
      </c>
      <c r="X448">
        <f>Sales_Data_1[[#This Row],[Sales]]-Sales_Data_1[[#This Row],[Profit_Amount]]</f>
        <v>7857.2</v>
      </c>
      <c r="Y448" t="str" cm="1">
        <f t="array" ref="Y448">_xlfn.IFS(Sales_Data_1[[#This Row],[Delivery_Days]]&lt;=3, "Fast", Sales_Data_1[[#This Row],[Delivery_Days]]&lt;= 7, "Standard", TRUE, "Delayed")</f>
        <v>Standard</v>
      </c>
      <c r="Z448" t="str" cm="1">
        <f t="array" ref="Z448">_xlfn.IFS(Sales_Data_1[[#This Row],[Profit_Amount]]&gt; 0, "Profitable", Sales_Data_1[[#This Row],[Profit_Amount]] = 0, "Break-Even", TRUE, "Loss")</f>
        <v>Profitable</v>
      </c>
      <c r="AA448" t="str" cm="1">
        <f t="array" ref="AA448">_xlfn.IFS(Sales_Data_1[[#This Row],[Sales]]&gt;= 1000, "High Value", Sales_Data_1[[#This Row],[Sales]]&gt;= 300, "Mid Value", TRUE, "Low Value")</f>
        <v>High Value</v>
      </c>
    </row>
    <row r="449" spans="1:27" x14ac:dyDescent="0.3">
      <c r="A449" t="s">
        <v>2902</v>
      </c>
      <c r="B449" s="1">
        <v>45788</v>
      </c>
      <c r="C449" t="s">
        <v>96</v>
      </c>
      <c r="D449" t="s">
        <v>41</v>
      </c>
      <c r="E449" t="s">
        <v>2040</v>
      </c>
      <c r="F449" t="s">
        <v>68</v>
      </c>
      <c r="G449" t="s">
        <v>57</v>
      </c>
      <c r="H449" t="s">
        <v>81</v>
      </c>
      <c r="I449" t="s">
        <v>1774</v>
      </c>
      <c r="J449">
        <v>2</v>
      </c>
      <c r="K449">
        <v>12053</v>
      </c>
      <c r="L449">
        <v>0.12</v>
      </c>
      <c r="M449">
        <v>10606.64</v>
      </c>
      <c r="N449">
        <v>21213.279999999999</v>
      </c>
      <c r="O449">
        <v>0.2</v>
      </c>
      <c r="P449">
        <v>4242.66</v>
      </c>
      <c r="Q449" t="s">
        <v>37</v>
      </c>
      <c r="R449" t="s">
        <v>48</v>
      </c>
      <c r="S449">
        <v>8</v>
      </c>
      <c r="T449">
        <f>YEAR(Sales_Data_1[[#This Row],[Order_Date]])</f>
        <v>2025</v>
      </c>
      <c r="U449" t="str">
        <f>TEXT(Sales_Data_1[[#This Row],[Order_Date]], "mmm")</f>
        <v>May</v>
      </c>
      <c r="V449">
        <f>MONTH(Sales_Data_1[[#This Row],[Order_Date]])</f>
        <v>5</v>
      </c>
      <c r="W449" t="str">
        <f>TEXT(Sales_Data_1[[#This Row],[Order_Date]], "yyyy-mm")</f>
        <v>2025-05</v>
      </c>
      <c r="X449">
        <f>Sales_Data_1[[#This Row],[Sales]]-Sales_Data_1[[#This Row],[Profit_Amount]]</f>
        <v>16970.62</v>
      </c>
      <c r="Y449" t="str" cm="1">
        <f t="array" ref="Y449">_xlfn.IFS(Sales_Data_1[[#This Row],[Delivery_Days]]&lt;=3, "Fast", Sales_Data_1[[#This Row],[Delivery_Days]]&lt;= 7, "Standard", TRUE, "Delayed")</f>
        <v>Delayed</v>
      </c>
      <c r="Z449" t="str" cm="1">
        <f t="array" ref="Z449">_xlfn.IFS(Sales_Data_1[[#This Row],[Profit_Amount]]&gt; 0, "Profitable", Sales_Data_1[[#This Row],[Profit_Amount]] = 0, "Break-Even", TRUE, "Loss")</f>
        <v>Profitable</v>
      </c>
      <c r="AA449" t="str" cm="1">
        <f t="array" ref="AA449">_xlfn.IFS(Sales_Data_1[[#This Row],[Sales]]&gt;= 1000, "High Value", Sales_Data_1[[#This Row],[Sales]]&gt;= 300, "Mid Value", TRUE, "Low Value")</f>
        <v>High Value</v>
      </c>
    </row>
    <row r="450" spans="1:27" x14ac:dyDescent="0.3">
      <c r="A450" t="s">
        <v>2300</v>
      </c>
      <c r="B450" s="1">
        <v>45186</v>
      </c>
      <c r="C450" t="s">
        <v>55</v>
      </c>
      <c r="D450" t="s">
        <v>21</v>
      </c>
      <c r="E450" t="s">
        <v>2040</v>
      </c>
      <c r="F450" t="s">
        <v>23</v>
      </c>
      <c r="G450" t="s">
        <v>57</v>
      </c>
      <c r="H450" t="s">
        <v>58</v>
      </c>
      <c r="I450" t="s">
        <v>590</v>
      </c>
      <c r="J450">
        <v>7</v>
      </c>
      <c r="K450">
        <v>3177</v>
      </c>
      <c r="L450">
        <v>0.04</v>
      </c>
      <c r="M450">
        <v>3049.92</v>
      </c>
      <c r="N450">
        <v>21349.439999999999</v>
      </c>
      <c r="O450">
        <v>0.2</v>
      </c>
      <c r="P450">
        <v>4269.8900000000003</v>
      </c>
      <c r="Q450" t="s">
        <v>51</v>
      </c>
      <c r="R450" t="s">
        <v>48</v>
      </c>
      <c r="S450">
        <v>3</v>
      </c>
      <c r="T450">
        <f>YEAR(Sales_Data_1[[#This Row],[Order_Date]])</f>
        <v>2023</v>
      </c>
      <c r="U450" t="str">
        <f>TEXT(Sales_Data_1[[#This Row],[Order_Date]], "mmm")</f>
        <v>Sep</v>
      </c>
      <c r="V450">
        <f>MONTH(Sales_Data_1[[#This Row],[Order_Date]])</f>
        <v>9</v>
      </c>
      <c r="W450" t="str">
        <f>TEXT(Sales_Data_1[[#This Row],[Order_Date]], "yyyy-mm")</f>
        <v>2023-09</v>
      </c>
      <c r="X450">
        <f>Sales_Data_1[[#This Row],[Sales]]-Sales_Data_1[[#This Row],[Profit_Amount]]</f>
        <v>17079.55</v>
      </c>
      <c r="Y450" t="str" cm="1">
        <f t="array" ref="Y450">_xlfn.IFS(Sales_Data_1[[#This Row],[Delivery_Days]]&lt;=3, "Fast", Sales_Data_1[[#This Row],[Delivery_Days]]&lt;= 7, "Standard", TRUE, "Delayed")</f>
        <v>Fast</v>
      </c>
      <c r="Z450" t="str" cm="1">
        <f t="array" ref="Z450">_xlfn.IFS(Sales_Data_1[[#This Row],[Profit_Amount]]&gt; 0, "Profitable", Sales_Data_1[[#This Row],[Profit_Amount]] = 0, "Break-Even", TRUE, "Loss")</f>
        <v>Profitable</v>
      </c>
      <c r="AA450" t="str" cm="1">
        <f t="array" ref="AA450">_xlfn.IFS(Sales_Data_1[[#This Row],[Sales]]&gt;= 1000, "High Value", Sales_Data_1[[#This Row],[Sales]]&gt;= 300, "Mid Value", TRUE, "Low Value")</f>
        <v>High Value</v>
      </c>
    </row>
    <row r="451" spans="1:27" x14ac:dyDescent="0.3">
      <c r="A451" t="s">
        <v>2343</v>
      </c>
      <c r="B451" s="1">
        <v>45229</v>
      </c>
      <c r="C451" t="s">
        <v>30</v>
      </c>
      <c r="D451" t="s">
        <v>41</v>
      </c>
      <c r="E451" t="s">
        <v>67</v>
      </c>
      <c r="F451" t="s">
        <v>97</v>
      </c>
      <c r="G451" t="s">
        <v>92</v>
      </c>
      <c r="H451" t="s">
        <v>93</v>
      </c>
      <c r="I451" t="s">
        <v>675</v>
      </c>
      <c r="J451">
        <v>1</v>
      </c>
      <c r="K451">
        <v>33171</v>
      </c>
      <c r="L451">
        <v>0.14000000000000001</v>
      </c>
      <c r="M451">
        <v>28527.06</v>
      </c>
      <c r="N451">
        <v>28527.06</v>
      </c>
      <c r="O451">
        <v>0.15</v>
      </c>
      <c r="P451">
        <v>4279.0600000000004</v>
      </c>
      <c r="Q451" t="s">
        <v>51</v>
      </c>
      <c r="R451" t="s">
        <v>48</v>
      </c>
      <c r="S451">
        <v>1</v>
      </c>
      <c r="T451">
        <f>YEAR(Sales_Data_1[[#This Row],[Order_Date]])</f>
        <v>2023</v>
      </c>
      <c r="U451" t="str">
        <f>TEXT(Sales_Data_1[[#This Row],[Order_Date]], "mmm")</f>
        <v>Oct</v>
      </c>
      <c r="V451">
        <f>MONTH(Sales_Data_1[[#This Row],[Order_Date]])</f>
        <v>10</v>
      </c>
      <c r="W451" t="str">
        <f>TEXT(Sales_Data_1[[#This Row],[Order_Date]], "yyyy-mm")</f>
        <v>2023-10</v>
      </c>
      <c r="X451">
        <f>Sales_Data_1[[#This Row],[Sales]]-Sales_Data_1[[#This Row],[Profit_Amount]]</f>
        <v>24248</v>
      </c>
      <c r="Y451" t="str" cm="1">
        <f t="array" ref="Y451">_xlfn.IFS(Sales_Data_1[[#This Row],[Delivery_Days]]&lt;=3, "Fast", Sales_Data_1[[#This Row],[Delivery_Days]]&lt;= 7, "Standard", TRUE, "Delayed")</f>
        <v>Fast</v>
      </c>
      <c r="Z451" t="str" cm="1">
        <f t="array" ref="Z451">_xlfn.IFS(Sales_Data_1[[#This Row],[Profit_Amount]]&gt; 0, "Profitable", Sales_Data_1[[#This Row],[Profit_Amount]] = 0, "Break-Even", TRUE, "Loss")</f>
        <v>Profitable</v>
      </c>
      <c r="AA451" t="str" cm="1">
        <f t="array" ref="AA451">_xlfn.IFS(Sales_Data_1[[#This Row],[Sales]]&gt;= 1000, "High Value", Sales_Data_1[[#This Row],[Sales]]&gt;= 300, "Mid Value", TRUE, "Low Value")</f>
        <v>High Value</v>
      </c>
    </row>
    <row r="452" spans="1:27" x14ac:dyDescent="0.3">
      <c r="A452" t="s">
        <v>2781</v>
      </c>
      <c r="B452" s="1">
        <v>45667</v>
      </c>
      <c r="C452" t="s">
        <v>20</v>
      </c>
      <c r="D452" t="s">
        <v>41</v>
      </c>
      <c r="E452" t="s">
        <v>42</v>
      </c>
      <c r="F452" t="s">
        <v>68</v>
      </c>
      <c r="G452" t="s">
        <v>57</v>
      </c>
      <c r="H452" t="s">
        <v>183</v>
      </c>
      <c r="I452" t="s">
        <v>1536</v>
      </c>
      <c r="J452">
        <v>2</v>
      </c>
      <c r="K452">
        <v>13754</v>
      </c>
      <c r="L452">
        <v>0.22</v>
      </c>
      <c r="M452">
        <v>10728.12</v>
      </c>
      <c r="N452">
        <v>21456.240000000002</v>
      </c>
      <c r="O452">
        <v>0.2</v>
      </c>
      <c r="P452">
        <v>4291.25</v>
      </c>
      <c r="Q452" t="s">
        <v>51</v>
      </c>
      <c r="R452" t="s">
        <v>48</v>
      </c>
      <c r="S452">
        <v>2</v>
      </c>
      <c r="T452">
        <f>YEAR(Sales_Data_1[[#This Row],[Order_Date]])</f>
        <v>2025</v>
      </c>
      <c r="U452" t="str">
        <f>TEXT(Sales_Data_1[[#This Row],[Order_Date]], "mmm")</f>
        <v>Jan</v>
      </c>
      <c r="V452">
        <f>MONTH(Sales_Data_1[[#This Row],[Order_Date]])</f>
        <v>1</v>
      </c>
      <c r="W452" t="str">
        <f>TEXT(Sales_Data_1[[#This Row],[Order_Date]], "yyyy-mm")</f>
        <v>2025-01</v>
      </c>
      <c r="X452">
        <f>Sales_Data_1[[#This Row],[Sales]]-Sales_Data_1[[#This Row],[Profit_Amount]]</f>
        <v>17164.990000000002</v>
      </c>
      <c r="Y452" t="str" cm="1">
        <f t="array" ref="Y452">_xlfn.IFS(Sales_Data_1[[#This Row],[Delivery_Days]]&lt;=3, "Fast", Sales_Data_1[[#This Row],[Delivery_Days]]&lt;= 7, "Standard", TRUE, "Delayed")</f>
        <v>Fast</v>
      </c>
      <c r="Z452" t="str" cm="1">
        <f t="array" ref="Z452">_xlfn.IFS(Sales_Data_1[[#This Row],[Profit_Amount]]&gt; 0, "Profitable", Sales_Data_1[[#This Row],[Profit_Amount]] = 0, "Break-Even", TRUE, "Loss")</f>
        <v>Profitable</v>
      </c>
      <c r="AA452" t="str" cm="1">
        <f t="array" ref="AA452">_xlfn.IFS(Sales_Data_1[[#This Row],[Sales]]&gt;= 1000, "High Value", Sales_Data_1[[#This Row],[Sales]]&gt;= 300, "Mid Value", TRUE, "Low Value")</f>
        <v>High Value</v>
      </c>
    </row>
    <row r="453" spans="1:27" x14ac:dyDescent="0.3">
      <c r="A453" t="s">
        <v>2124</v>
      </c>
      <c r="B453" s="1">
        <v>45010</v>
      </c>
      <c r="C453" t="s">
        <v>96</v>
      </c>
      <c r="D453" t="s">
        <v>31</v>
      </c>
      <c r="E453" t="s">
        <v>2040</v>
      </c>
      <c r="F453" t="s">
        <v>68</v>
      </c>
      <c r="G453" t="s">
        <v>34</v>
      </c>
      <c r="H453" t="s">
        <v>104</v>
      </c>
      <c r="I453" t="s">
        <v>237</v>
      </c>
      <c r="J453">
        <v>8</v>
      </c>
      <c r="K453">
        <v>1491</v>
      </c>
      <c r="L453">
        <v>0.1</v>
      </c>
      <c r="M453">
        <v>1341.9</v>
      </c>
      <c r="N453">
        <v>10735.2</v>
      </c>
      <c r="O453">
        <v>0.4</v>
      </c>
      <c r="P453">
        <v>4294.08</v>
      </c>
      <c r="Q453" t="s">
        <v>47</v>
      </c>
      <c r="R453" t="s">
        <v>48</v>
      </c>
      <c r="S453">
        <v>8</v>
      </c>
      <c r="T453">
        <f>YEAR(Sales_Data_1[[#This Row],[Order_Date]])</f>
        <v>2023</v>
      </c>
      <c r="U453" t="str">
        <f>TEXT(Sales_Data_1[[#This Row],[Order_Date]], "mmm")</f>
        <v>Mar</v>
      </c>
      <c r="V453">
        <f>MONTH(Sales_Data_1[[#This Row],[Order_Date]])</f>
        <v>3</v>
      </c>
      <c r="W453" t="str">
        <f>TEXT(Sales_Data_1[[#This Row],[Order_Date]], "yyyy-mm")</f>
        <v>2023-03</v>
      </c>
      <c r="X453">
        <f>Sales_Data_1[[#This Row],[Sales]]-Sales_Data_1[[#This Row],[Profit_Amount]]</f>
        <v>6441.1200000000008</v>
      </c>
      <c r="Y453" t="str" cm="1">
        <f t="array" ref="Y453">_xlfn.IFS(Sales_Data_1[[#This Row],[Delivery_Days]]&lt;=3, "Fast", Sales_Data_1[[#This Row],[Delivery_Days]]&lt;= 7, "Standard", TRUE, "Delayed")</f>
        <v>Delayed</v>
      </c>
      <c r="Z453" t="str" cm="1">
        <f t="array" ref="Z453">_xlfn.IFS(Sales_Data_1[[#This Row],[Profit_Amount]]&gt; 0, "Profitable", Sales_Data_1[[#This Row],[Profit_Amount]] = 0, "Break-Even", TRUE, "Loss")</f>
        <v>Profitable</v>
      </c>
      <c r="AA453" t="str" cm="1">
        <f t="array" ref="AA453">_xlfn.IFS(Sales_Data_1[[#This Row],[Sales]]&gt;= 1000, "High Value", Sales_Data_1[[#This Row],[Sales]]&gt;= 300, "Mid Value", TRUE, "Low Value")</f>
        <v>High Value</v>
      </c>
    </row>
    <row r="454" spans="1:27" x14ac:dyDescent="0.3">
      <c r="A454" t="s">
        <v>2999</v>
      </c>
      <c r="B454" s="1">
        <v>45885</v>
      </c>
      <c r="C454" t="s">
        <v>63</v>
      </c>
      <c r="D454" t="s">
        <v>21</v>
      </c>
      <c r="E454" t="s">
        <v>67</v>
      </c>
      <c r="F454" t="s">
        <v>68</v>
      </c>
      <c r="G454" t="s">
        <v>44</v>
      </c>
      <c r="H454" t="s">
        <v>45</v>
      </c>
      <c r="I454" t="s">
        <v>1958</v>
      </c>
      <c r="J454">
        <v>8</v>
      </c>
      <c r="K454">
        <v>1677</v>
      </c>
      <c r="L454">
        <v>7.0000000000000007E-2</v>
      </c>
      <c r="M454">
        <v>1559.61</v>
      </c>
      <c r="N454">
        <v>12476.88</v>
      </c>
      <c r="O454">
        <v>0.35</v>
      </c>
      <c r="P454">
        <v>4366.91</v>
      </c>
      <c r="Q454" t="s">
        <v>47</v>
      </c>
      <c r="R454" t="s">
        <v>48</v>
      </c>
      <c r="S454">
        <v>3</v>
      </c>
      <c r="T454">
        <f>YEAR(Sales_Data_1[[#This Row],[Order_Date]])</f>
        <v>2025</v>
      </c>
      <c r="U454" t="str">
        <f>TEXT(Sales_Data_1[[#This Row],[Order_Date]], "mmm")</f>
        <v>Aug</v>
      </c>
      <c r="V454">
        <f>MONTH(Sales_Data_1[[#This Row],[Order_Date]])</f>
        <v>8</v>
      </c>
      <c r="W454" t="str">
        <f>TEXT(Sales_Data_1[[#This Row],[Order_Date]], "yyyy-mm")</f>
        <v>2025-08</v>
      </c>
      <c r="X454">
        <f>Sales_Data_1[[#This Row],[Sales]]-Sales_Data_1[[#This Row],[Profit_Amount]]</f>
        <v>8109.9699999999993</v>
      </c>
      <c r="Y454" t="str" cm="1">
        <f t="array" ref="Y454">_xlfn.IFS(Sales_Data_1[[#This Row],[Delivery_Days]]&lt;=3, "Fast", Sales_Data_1[[#This Row],[Delivery_Days]]&lt;= 7, "Standard", TRUE, "Delayed")</f>
        <v>Fast</v>
      </c>
      <c r="Z454" t="str" cm="1">
        <f t="array" ref="Z454">_xlfn.IFS(Sales_Data_1[[#This Row],[Profit_Amount]]&gt; 0, "Profitable", Sales_Data_1[[#This Row],[Profit_Amount]] = 0, "Break-Even", TRUE, "Loss")</f>
        <v>Profitable</v>
      </c>
      <c r="AA454" t="str" cm="1">
        <f t="array" ref="AA454">_xlfn.IFS(Sales_Data_1[[#This Row],[Sales]]&gt;= 1000, "High Value", Sales_Data_1[[#This Row],[Sales]]&gt;= 300, "Mid Value", TRUE, "Low Value")</f>
        <v>High Value</v>
      </c>
    </row>
    <row r="455" spans="1:27" x14ac:dyDescent="0.3">
      <c r="A455" t="s">
        <v>2897</v>
      </c>
      <c r="B455" s="1">
        <v>45783</v>
      </c>
      <c r="C455" t="s">
        <v>96</v>
      </c>
      <c r="D455" t="s">
        <v>21</v>
      </c>
      <c r="E455" t="s">
        <v>67</v>
      </c>
      <c r="F455" t="s">
        <v>33</v>
      </c>
      <c r="G455" t="s">
        <v>44</v>
      </c>
      <c r="H455" t="s">
        <v>45</v>
      </c>
      <c r="I455" t="s">
        <v>1764</v>
      </c>
      <c r="J455">
        <v>4</v>
      </c>
      <c r="K455">
        <v>3478</v>
      </c>
      <c r="L455">
        <v>0.09</v>
      </c>
      <c r="M455">
        <v>3164.98</v>
      </c>
      <c r="N455">
        <v>12659.92</v>
      </c>
      <c r="O455">
        <v>0.35</v>
      </c>
      <c r="P455">
        <v>4430.97</v>
      </c>
      <c r="Q455" t="s">
        <v>27</v>
      </c>
      <c r="R455" t="s">
        <v>48</v>
      </c>
      <c r="S455">
        <v>2</v>
      </c>
      <c r="T455">
        <f>YEAR(Sales_Data_1[[#This Row],[Order_Date]])</f>
        <v>2025</v>
      </c>
      <c r="U455" t="str">
        <f>TEXT(Sales_Data_1[[#This Row],[Order_Date]], "mmm")</f>
        <v>May</v>
      </c>
      <c r="V455">
        <f>MONTH(Sales_Data_1[[#This Row],[Order_Date]])</f>
        <v>5</v>
      </c>
      <c r="W455" t="str">
        <f>TEXT(Sales_Data_1[[#This Row],[Order_Date]], "yyyy-mm")</f>
        <v>2025-05</v>
      </c>
      <c r="X455">
        <f>Sales_Data_1[[#This Row],[Sales]]-Sales_Data_1[[#This Row],[Profit_Amount]]</f>
        <v>8228.9500000000007</v>
      </c>
      <c r="Y455" t="str" cm="1">
        <f t="array" ref="Y455">_xlfn.IFS(Sales_Data_1[[#This Row],[Delivery_Days]]&lt;=3, "Fast", Sales_Data_1[[#This Row],[Delivery_Days]]&lt;= 7, "Standard", TRUE, "Delayed")</f>
        <v>Fast</v>
      </c>
      <c r="Z455" t="str" cm="1">
        <f t="array" ref="Z455">_xlfn.IFS(Sales_Data_1[[#This Row],[Profit_Amount]]&gt; 0, "Profitable", Sales_Data_1[[#This Row],[Profit_Amount]] = 0, "Break-Even", TRUE, "Loss")</f>
        <v>Profitable</v>
      </c>
      <c r="AA455" t="str" cm="1">
        <f t="array" ref="AA455">_xlfn.IFS(Sales_Data_1[[#This Row],[Sales]]&gt;= 1000, "High Value", Sales_Data_1[[#This Row],[Sales]]&gt;= 300, "Mid Value", TRUE, "Low Value")</f>
        <v>High Value</v>
      </c>
    </row>
    <row r="456" spans="1:27" x14ac:dyDescent="0.3">
      <c r="A456" t="s">
        <v>2395</v>
      </c>
      <c r="B456" s="1">
        <v>45281</v>
      </c>
      <c r="C456" t="s">
        <v>30</v>
      </c>
      <c r="D456" t="s">
        <v>41</v>
      </c>
      <c r="E456" t="s">
        <v>2040</v>
      </c>
      <c r="F456" t="s">
        <v>97</v>
      </c>
      <c r="G456" t="s">
        <v>57</v>
      </c>
      <c r="H456" t="s">
        <v>58</v>
      </c>
      <c r="I456" t="s">
        <v>777</v>
      </c>
      <c r="J456">
        <v>2</v>
      </c>
      <c r="K456">
        <v>13695</v>
      </c>
      <c r="L456">
        <v>0.19</v>
      </c>
      <c r="M456">
        <v>11092.95</v>
      </c>
      <c r="N456">
        <v>22185.9</v>
      </c>
      <c r="O456">
        <v>0.2</v>
      </c>
      <c r="P456">
        <v>4437.18</v>
      </c>
      <c r="Q456" t="s">
        <v>51</v>
      </c>
      <c r="R456" t="s">
        <v>48</v>
      </c>
      <c r="S456">
        <v>6</v>
      </c>
      <c r="T456">
        <f>YEAR(Sales_Data_1[[#This Row],[Order_Date]])</f>
        <v>2023</v>
      </c>
      <c r="U456" t="str">
        <f>TEXT(Sales_Data_1[[#This Row],[Order_Date]], "mmm")</f>
        <v>Dec</v>
      </c>
      <c r="V456">
        <f>MONTH(Sales_Data_1[[#This Row],[Order_Date]])</f>
        <v>12</v>
      </c>
      <c r="W456" t="str">
        <f>TEXT(Sales_Data_1[[#This Row],[Order_Date]], "yyyy-mm")</f>
        <v>2023-12</v>
      </c>
      <c r="X456">
        <f>Sales_Data_1[[#This Row],[Sales]]-Sales_Data_1[[#This Row],[Profit_Amount]]</f>
        <v>17748.72</v>
      </c>
      <c r="Y456" t="str" cm="1">
        <f t="array" ref="Y456">_xlfn.IFS(Sales_Data_1[[#This Row],[Delivery_Days]]&lt;=3, "Fast", Sales_Data_1[[#This Row],[Delivery_Days]]&lt;= 7, "Standard", TRUE, "Delayed")</f>
        <v>Standard</v>
      </c>
      <c r="Z456" t="str" cm="1">
        <f t="array" ref="Z456">_xlfn.IFS(Sales_Data_1[[#This Row],[Profit_Amount]]&gt; 0, "Profitable", Sales_Data_1[[#This Row],[Profit_Amount]] = 0, "Break-Even", TRUE, "Loss")</f>
        <v>Profitable</v>
      </c>
      <c r="AA456" t="str" cm="1">
        <f t="array" ref="AA456">_xlfn.IFS(Sales_Data_1[[#This Row],[Sales]]&gt;= 1000, "High Value", Sales_Data_1[[#This Row],[Sales]]&gt;= 300, "Mid Value", TRUE, "Low Value")</f>
        <v>High Value</v>
      </c>
    </row>
    <row r="457" spans="1:27" x14ac:dyDescent="0.3">
      <c r="A457" t="s">
        <v>2303</v>
      </c>
      <c r="B457" s="1">
        <v>45189</v>
      </c>
      <c r="C457" t="s">
        <v>96</v>
      </c>
      <c r="D457" t="s">
        <v>31</v>
      </c>
      <c r="E457" t="s">
        <v>67</v>
      </c>
      <c r="F457" t="s">
        <v>68</v>
      </c>
      <c r="G457" t="s">
        <v>34</v>
      </c>
      <c r="H457" t="s">
        <v>35</v>
      </c>
      <c r="I457" t="s">
        <v>596</v>
      </c>
      <c r="J457">
        <v>9</v>
      </c>
      <c r="K457">
        <v>1356</v>
      </c>
      <c r="L457">
        <v>0.09</v>
      </c>
      <c r="M457">
        <v>1233.96</v>
      </c>
      <c r="N457">
        <v>11105.64</v>
      </c>
      <c r="O457">
        <v>0.4</v>
      </c>
      <c r="P457">
        <v>4442.26</v>
      </c>
      <c r="Q457" t="s">
        <v>51</v>
      </c>
      <c r="R457" t="s">
        <v>28</v>
      </c>
      <c r="S457">
        <v>8</v>
      </c>
      <c r="T457">
        <f>YEAR(Sales_Data_1[[#This Row],[Order_Date]])</f>
        <v>2023</v>
      </c>
      <c r="U457" t="str">
        <f>TEXT(Sales_Data_1[[#This Row],[Order_Date]], "mmm")</f>
        <v>Sep</v>
      </c>
      <c r="V457">
        <f>MONTH(Sales_Data_1[[#This Row],[Order_Date]])</f>
        <v>9</v>
      </c>
      <c r="W457" t="str">
        <f>TEXT(Sales_Data_1[[#This Row],[Order_Date]], "yyyy-mm")</f>
        <v>2023-09</v>
      </c>
      <c r="X457">
        <f>Sales_Data_1[[#This Row],[Sales]]-Sales_Data_1[[#This Row],[Profit_Amount]]</f>
        <v>6663.3799999999992</v>
      </c>
      <c r="Y457" t="str" cm="1">
        <f t="array" ref="Y457">_xlfn.IFS(Sales_Data_1[[#This Row],[Delivery_Days]]&lt;=3, "Fast", Sales_Data_1[[#This Row],[Delivery_Days]]&lt;= 7, "Standard", TRUE, "Delayed")</f>
        <v>Delayed</v>
      </c>
      <c r="Z457" t="str" cm="1">
        <f t="array" ref="Z457">_xlfn.IFS(Sales_Data_1[[#This Row],[Profit_Amount]]&gt; 0, "Profitable", Sales_Data_1[[#This Row],[Profit_Amount]] = 0, "Break-Even", TRUE, "Loss")</f>
        <v>Profitable</v>
      </c>
      <c r="AA457" t="str" cm="1">
        <f t="array" ref="AA457">_xlfn.IFS(Sales_Data_1[[#This Row],[Sales]]&gt;= 1000, "High Value", Sales_Data_1[[#This Row],[Sales]]&gt;= 300, "Mid Value", TRUE, "Low Value")</f>
        <v>High Value</v>
      </c>
    </row>
    <row r="458" spans="1:27" x14ac:dyDescent="0.3">
      <c r="A458" t="s">
        <v>2205</v>
      </c>
      <c r="B458" s="1">
        <v>45091</v>
      </c>
      <c r="C458" t="s">
        <v>20</v>
      </c>
      <c r="D458" t="s">
        <v>21</v>
      </c>
      <c r="E458" t="s">
        <v>67</v>
      </c>
      <c r="F458" t="s">
        <v>68</v>
      </c>
      <c r="G458" t="s">
        <v>44</v>
      </c>
      <c r="H458" t="s">
        <v>64</v>
      </c>
      <c r="I458" t="s">
        <v>400</v>
      </c>
      <c r="J458">
        <v>5</v>
      </c>
      <c r="K458">
        <v>3240</v>
      </c>
      <c r="L458">
        <v>0.21</v>
      </c>
      <c r="M458">
        <v>2559.6</v>
      </c>
      <c r="N458">
        <v>12798</v>
      </c>
      <c r="O458">
        <v>0.35</v>
      </c>
      <c r="P458">
        <v>4479.3</v>
      </c>
      <c r="Q458" t="s">
        <v>47</v>
      </c>
      <c r="R458" t="s">
        <v>48</v>
      </c>
      <c r="S458">
        <v>5</v>
      </c>
      <c r="T458">
        <f>YEAR(Sales_Data_1[[#This Row],[Order_Date]])</f>
        <v>2023</v>
      </c>
      <c r="U458" t="str">
        <f>TEXT(Sales_Data_1[[#This Row],[Order_Date]], "mmm")</f>
        <v>Jun</v>
      </c>
      <c r="V458">
        <f>MONTH(Sales_Data_1[[#This Row],[Order_Date]])</f>
        <v>6</v>
      </c>
      <c r="W458" t="str">
        <f>TEXT(Sales_Data_1[[#This Row],[Order_Date]], "yyyy-mm")</f>
        <v>2023-06</v>
      </c>
      <c r="X458">
        <f>Sales_Data_1[[#This Row],[Sales]]-Sales_Data_1[[#This Row],[Profit_Amount]]</f>
        <v>8318.7000000000007</v>
      </c>
      <c r="Y458" t="str" cm="1">
        <f t="array" ref="Y458">_xlfn.IFS(Sales_Data_1[[#This Row],[Delivery_Days]]&lt;=3, "Fast", Sales_Data_1[[#This Row],[Delivery_Days]]&lt;= 7, "Standard", TRUE, "Delayed")</f>
        <v>Standard</v>
      </c>
      <c r="Z458" t="str" cm="1">
        <f t="array" ref="Z458">_xlfn.IFS(Sales_Data_1[[#This Row],[Profit_Amount]]&gt; 0, "Profitable", Sales_Data_1[[#This Row],[Profit_Amount]] = 0, "Break-Even", TRUE, "Loss")</f>
        <v>Profitable</v>
      </c>
      <c r="AA458" t="str" cm="1">
        <f t="array" ref="AA458">_xlfn.IFS(Sales_Data_1[[#This Row],[Sales]]&gt;= 1000, "High Value", Sales_Data_1[[#This Row],[Sales]]&gt;= 300, "Mid Value", TRUE, "Low Value")</f>
        <v>High Value</v>
      </c>
    </row>
    <row r="459" spans="1:27" x14ac:dyDescent="0.3">
      <c r="A459" t="s">
        <v>2853</v>
      </c>
      <c r="B459" s="1">
        <v>45739</v>
      </c>
      <c r="C459" t="s">
        <v>96</v>
      </c>
      <c r="D459" t="s">
        <v>31</v>
      </c>
      <c r="E459" t="s">
        <v>42</v>
      </c>
      <c r="F459" t="s">
        <v>23</v>
      </c>
      <c r="G459" t="s">
        <v>92</v>
      </c>
      <c r="H459" t="s">
        <v>109</v>
      </c>
      <c r="I459" t="s">
        <v>1677</v>
      </c>
      <c r="J459">
        <v>1</v>
      </c>
      <c r="K459">
        <v>35051</v>
      </c>
      <c r="L459">
        <v>0.14000000000000001</v>
      </c>
      <c r="M459">
        <v>30143.86</v>
      </c>
      <c r="N459">
        <v>30143.86</v>
      </c>
      <c r="O459">
        <v>0.15</v>
      </c>
      <c r="P459">
        <v>4521.58</v>
      </c>
      <c r="Q459" t="s">
        <v>47</v>
      </c>
      <c r="R459" t="s">
        <v>48</v>
      </c>
      <c r="S459">
        <v>4</v>
      </c>
      <c r="T459">
        <f>YEAR(Sales_Data_1[[#This Row],[Order_Date]])</f>
        <v>2025</v>
      </c>
      <c r="U459" t="str">
        <f>TEXT(Sales_Data_1[[#This Row],[Order_Date]], "mmm")</f>
        <v>Mar</v>
      </c>
      <c r="V459">
        <f>MONTH(Sales_Data_1[[#This Row],[Order_Date]])</f>
        <v>3</v>
      </c>
      <c r="W459" t="str">
        <f>TEXT(Sales_Data_1[[#This Row],[Order_Date]], "yyyy-mm")</f>
        <v>2025-03</v>
      </c>
      <c r="X459">
        <f>Sales_Data_1[[#This Row],[Sales]]-Sales_Data_1[[#This Row],[Profit_Amount]]</f>
        <v>25622.28</v>
      </c>
      <c r="Y459" t="str" cm="1">
        <f t="array" ref="Y459">_xlfn.IFS(Sales_Data_1[[#This Row],[Delivery_Days]]&lt;=3, "Fast", Sales_Data_1[[#This Row],[Delivery_Days]]&lt;= 7, "Standard", TRUE, "Delayed")</f>
        <v>Standard</v>
      </c>
      <c r="Z459" t="str" cm="1">
        <f t="array" ref="Z459">_xlfn.IFS(Sales_Data_1[[#This Row],[Profit_Amount]]&gt; 0, "Profitable", Sales_Data_1[[#This Row],[Profit_Amount]] = 0, "Break-Even", TRUE, "Loss")</f>
        <v>Profitable</v>
      </c>
      <c r="AA459" t="str" cm="1">
        <f t="array" ref="AA459">_xlfn.IFS(Sales_Data_1[[#This Row],[Sales]]&gt;= 1000, "High Value", Sales_Data_1[[#This Row],[Sales]]&gt;= 300, "Mid Value", TRUE, "Low Value")</f>
        <v>High Value</v>
      </c>
    </row>
    <row r="460" spans="1:27" x14ac:dyDescent="0.3">
      <c r="A460" t="s">
        <v>2967</v>
      </c>
      <c r="B460" s="1">
        <v>45853</v>
      </c>
      <c r="C460" t="s">
        <v>55</v>
      </c>
      <c r="D460" t="s">
        <v>31</v>
      </c>
      <c r="E460" t="s">
        <v>67</v>
      </c>
      <c r="F460" t="s">
        <v>103</v>
      </c>
      <c r="G460" t="s">
        <v>57</v>
      </c>
      <c r="H460" t="s">
        <v>183</v>
      </c>
      <c r="I460" t="s">
        <v>1897</v>
      </c>
      <c r="J460">
        <v>6</v>
      </c>
      <c r="K460">
        <v>4336</v>
      </c>
      <c r="L460">
        <v>0.13</v>
      </c>
      <c r="M460">
        <v>3772.32</v>
      </c>
      <c r="N460">
        <v>22633.919999999998</v>
      </c>
      <c r="O460">
        <v>0.2</v>
      </c>
      <c r="P460">
        <v>4526.78</v>
      </c>
      <c r="Q460" t="s">
        <v>37</v>
      </c>
      <c r="R460" t="s">
        <v>38</v>
      </c>
      <c r="S460">
        <v>3</v>
      </c>
      <c r="T460">
        <f>YEAR(Sales_Data_1[[#This Row],[Order_Date]])</f>
        <v>2025</v>
      </c>
      <c r="U460" t="str">
        <f>TEXT(Sales_Data_1[[#This Row],[Order_Date]], "mmm")</f>
        <v>Jul</v>
      </c>
      <c r="V460">
        <f>MONTH(Sales_Data_1[[#This Row],[Order_Date]])</f>
        <v>7</v>
      </c>
      <c r="W460" t="str">
        <f>TEXT(Sales_Data_1[[#This Row],[Order_Date]], "yyyy-mm")</f>
        <v>2025-07</v>
      </c>
      <c r="X460">
        <f>Sales_Data_1[[#This Row],[Sales]]-Sales_Data_1[[#This Row],[Profit_Amount]]</f>
        <v>18107.14</v>
      </c>
      <c r="Y460" t="str" cm="1">
        <f t="array" ref="Y460">_xlfn.IFS(Sales_Data_1[[#This Row],[Delivery_Days]]&lt;=3, "Fast", Sales_Data_1[[#This Row],[Delivery_Days]]&lt;= 7, "Standard", TRUE, "Delayed")</f>
        <v>Fast</v>
      </c>
      <c r="Z460" t="str" cm="1">
        <f t="array" ref="Z460">_xlfn.IFS(Sales_Data_1[[#This Row],[Profit_Amount]]&gt; 0, "Profitable", Sales_Data_1[[#This Row],[Profit_Amount]] = 0, "Break-Even", TRUE, "Loss")</f>
        <v>Profitable</v>
      </c>
      <c r="AA460" t="str" cm="1">
        <f t="array" ref="AA460">_xlfn.IFS(Sales_Data_1[[#This Row],[Sales]]&gt;= 1000, "High Value", Sales_Data_1[[#This Row],[Sales]]&gt;= 300, "Mid Value", TRUE, "Low Value")</f>
        <v>High Value</v>
      </c>
    </row>
    <row r="461" spans="1:27" x14ac:dyDescent="0.3">
      <c r="A461" t="s">
        <v>2726</v>
      </c>
      <c r="B461" s="1">
        <v>45612</v>
      </c>
      <c r="C461" t="s">
        <v>96</v>
      </c>
      <c r="D461" t="s">
        <v>21</v>
      </c>
      <c r="E461" t="s">
        <v>2040</v>
      </c>
      <c r="F461" t="s">
        <v>33</v>
      </c>
      <c r="G461" t="s">
        <v>92</v>
      </c>
      <c r="H461" t="s">
        <v>243</v>
      </c>
      <c r="I461" t="s">
        <v>1428</v>
      </c>
      <c r="J461">
        <v>3</v>
      </c>
      <c r="K461">
        <v>12461</v>
      </c>
      <c r="L461">
        <v>0.19</v>
      </c>
      <c r="M461">
        <v>10093.41</v>
      </c>
      <c r="N461">
        <v>30280.23</v>
      </c>
      <c r="O461">
        <v>0.15</v>
      </c>
      <c r="P461">
        <v>4542.03</v>
      </c>
      <c r="Q461" t="s">
        <v>47</v>
      </c>
      <c r="R461" t="s">
        <v>48</v>
      </c>
      <c r="S461">
        <v>1</v>
      </c>
      <c r="T461">
        <f>YEAR(Sales_Data_1[[#This Row],[Order_Date]])</f>
        <v>2024</v>
      </c>
      <c r="U461" t="str">
        <f>TEXT(Sales_Data_1[[#This Row],[Order_Date]], "mmm")</f>
        <v>Nov</v>
      </c>
      <c r="V461">
        <f>MONTH(Sales_Data_1[[#This Row],[Order_Date]])</f>
        <v>11</v>
      </c>
      <c r="W461" t="str">
        <f>TEXT(Sales_Data_1[[#This Row],[Order_Date]], "yyyy-mm")</f>
        <v>2024-11</v>
      </c>
      <c r="X461">
        <f>Sales_Data_1[[#This Row],[Sales]]-Sales_Data_1[[#This Row],[Profit_Amount]]</f>
        <v>25738.2</v>
      </c>
      <c r="Y461" t="str" cm="1">
        <f t="array" ref="Y461">_xlfn.IFS(Sales_Data_1[[#This Row],[Delivery_Days]]&lt;=3, "Fast", Sales_Data_1[[#This Row],[Delivery_Days]]&lt;= 7, "Standard", TRUE, "Delayed")</f>
        <v>Fast</v>
      </c>
      <c r="Z461" t="str" cm="1">
        <f t="array" ref="Z461">_xlfn.IFS(Sales_Data_1[[#This Row],[Profit_Amount]]&gt; 0, "Profitable", Sales_Data_1[[#This Row],[Profit_Amount]] = 0, "Break-Even", TRUE, "Loss")</f>
        <v>Profitable</v>
      </c>
      <c r="AA461" t="str" cm="1">
        <f t="array" ref="AA461">_xlfn.IFS(Sales_Data_1[[#This Row],[Sales]]&gt;= 1000, "High Value", Sales_Data_1[[#This Row],[Sales]]&gt;= 300, "Mid Value", TRUE, "Low Value")</f>
        <v>High Value</v>
      </c>
    </row>
    <row r="462" spans="1:27" x14ac:dyDescent="0.3">
      <c r="A462" t="s">
        <v>3025</v>
      </c>
      <c r="B462" s="1">
        <v>45911</v>
      </c>
      <c r="C462" t="s">
        <v>40</v>
      </c>
      <c r="D462" t="s">
        <v>31</v>
      </c>
      <c r="E462" t="s">
        <v>42</v>
      </c>
      <c r="F462" t="s">
        <v>43</v>
      </c>
      <c r="G462" t="s">
        <v>44</v>
      </c>
      <c r="H462" t="s">
        <v>64</v>
      </c>
      <c r="I462" t="s">
        <v>2009</v>
      </c>
      <c r="J462">
        <v>6</v>
      </c>
      <c r="K462">
        <v>2314</v>
      </c>
      <c r="L462">
        <v>0.06</v>
      </c>
      <c r="M462">
        <v>2175.16</v>
      </c>
      <c r="N462">
        <v>13050.96</v>
      </c>
      <c r="O462">
        <v>0.35</v>
      </c>
      <c r="P462">
        <v>4567.84</v>
      </c>
      <c r="Q462" t="s">
        <v>27</v>
      </c>
      <c r="R462" t="s">
        <v>38</v>
      </c>
      <c r="S462">
        <v>6</v>
      </c>
      <c r="T462">
        <f>YEAR(Sales_Data_1[[#This Row],[Order_Date]])</f>
        <v>2025</v>
      </c>
      <c r="U462" t="str">
        <f>TEXT(Sales_Data_1[[#This Row],[Order_Date]], "mmm")</f>
        <v>Sep</v>
      </c>
      <c r="V462">
        <f>MONTH(Sales_Data_1[[#This Row],[Order_Date]])</f>
        <v>9</v>
      </c>
      <c r="W462" t="str">
        <f>TEXT(Sales_Data_1[[#This Row],[Order_Date]], "yyyy-mm")</f>
        <v>2025-09</v>
      </c>
      <c r="X462">
        <f>Sales_Data_1[[#This Row],[Sales]]-Sales_Data_1[[#This Row],[Profit_Amount]]</f>
        <v>8483.119999999999</v>
      </c>
      <c r="Y462" t="str" cm="1">
        <f t="array" ref="Y462">_xlfn.IFS(Sales_Data_1[[#This Row],[Delivery_Days]]&lt;=3, "Fast", Sales_Data_1[[#This Row],[Delivery_Days]]&lt;= 7, "Standard", TRUE, "Delayed")</f>
        <v>Standard</v>
      </c>
      <c r="Z462" t="str" cm="1">
        <f t="array" ref="Z462">_xlfn.IFS(Sales_Data_1[[#This Row],[Profit_Amount]]&gt; 0, "Profitable", Sales_Data_1[[#This Row],[Profit_Amount]] = 0, "Break-Even", TRUE, "Loss")</f>
        <v>Profitable</v>
      </c>
      <c r="AA462" t="str" cm="1">
        <f t="array" ref="AA462">_xlfn.IFS(Sales_Data_1[[#This Row],[Sales]]&gt;= 1000, "High Value", Sales_Data_1[[#This Row],[Sales]]&gt;= 300, "Mid Value", TRUE, "Low Value")</f>
        <v>High Value</v>
      </c>
    </row>
    <row r="463" spans="1:27" x14ac:dyDescent="0.3">
      <c r="A463" t="s">
        <v>2175</v>
      </c>
      <c r="B463" s="1">
        <v>45061</v>
      </c>
      <c r="C463" t="s">
        <v>30</v>
      </c>
      <c r="D463" t="s">
        <v>21</v>
      </c>
      <c r="E463" t="s">
        <v>2042</v>
      </c>
      <c r="F463" t="s">
        <v>103</v>
      </c>
      <c r="G463" t="s">
        <v>44</v>
      </c>
      <c r="H463" t="s">
        <v>45</v>
      </c>
      <c r="I463" t="s">
        <v>340</v>
      </c>
      <c r="J463">
        <v>4</v>
      </c>
      <c r="K463">
        <v>3678</v>
      </c>
      <c r="L463">
        <v>0.11</v>
      </c>
      <c r="M463">
        <v>3273.42</v>
      </c>
      <c r="N463">
        <v>13093.68</v>
      </c>
      <c r="O463">
        <v>0.35</v>
      </c>
      <c r="P463">
        <v>4582.79</v>
      </c>
      <c r="Q463" t="s">
        <v>37</v>
      </c>
      <c r="R463" t="s">
        <v>48</v>
      </c>
      <c r="S463">
        <v>7</v>
      </c>
      <c r="T463">
        <f>YEAR(Sales_Data_1[[#This Row],[Order_Date]])</f>
        <v>2023</v>
      </c>
      <c r="U463" t="str">
        <f>TEXT(Sales_Data_1[[#This Row],[Order_Date]], "mmm")</f>
        <v>May</v>
      </c>
      <c r="V463">
        <f>MONTH(Sales_Data_1[[#This Row],[Order_Date]])</f>
        <v>5</v>
      </c>
      <c r="W463" t="str">
        <f>TEXT(Sales_Data_1[[#This Row],[Order_Date]], "yyyy-mm")</f>
        <v>2023-05</v>
      </c>
      <c r="X463">
        <f>Sales_Data_1[[#This Row],[Sales]]-Sales_Data_1[[#This Row],[Profit_Amount]]</f>
        <v>8510.89</v>
      </c>
      <c r="Y463" t="str" cm="1">
        <f t="array" ref="Y463">_xlfn.IFS(Sales_Data_1[[#This Row],[Delivery_Days]]&lt;=3, "Fast", Sales_Data_1[[#This Row],[Delivery_Days]]&lt;= 7, "Standard", TRUE, "Delayed")</f>
        <v>Standard</v>
      </c>
      <c r="Z463" t="str" cm="1">
        <f t="array" ref="Z463">_xlfn.IFS(Sales_Data_1[[#This Row],[Profit_Amount]]&gt; 0, "Profitable", Sales_Data_1[[#This Row],[Profit_Amount]] = 0, "Break-Even", TRUE, "Loss")</f>
        <v>Profitable</v>
      </c>
      <c r="AA463" t="str" cm="1">
        <f t="array" ref="AA463">_xlfn.IFS(Sales_Data_1[[#This Row],[Sales]]&gt;= 1000, "High Value", Sales_Data_1[[#This Row],[Sales]]&gt;= 300, "Mid Value", TRUE, "Low Value")</f>
        <v>High Value</v>
      </c>
    </row>
    <row r="464" spans="1:27" x14ac:dyDescent="0.3">
      <c r="A464" t="s">
        <v>2357</v>
      </c>
      <c r="B464" s="1">
        <v>45243</v>
      </c>
      <c r="C464" t="s">
        <v>96</v>
      </c>
      <c r="D464" t="s">
        <v>56</v>
      </c>
      <c r="E464" t="s">
        <v>42</v>
      </c>
      <c r="F464" t="s">
        <v>33</v>
      </c>
      <c r="G464" t="s">
        <v>44</v>
      </c>
      <c r="H464" t="s">
        <v>116</v>
      </c>
      <c r="I464" t="s">
        <v>702</v>
      </c>
      <c r="J464">
        <v>6</v>
      </c>
      <c r="K464">
        <v>2298</v>
      </c>
      <c r="L464">
        <v>0.05</v>
      </c>
      <c r="M464">
        <v>2183.1</v>
      </c>
      <c r="N464">
        <v>13098.6</v>
      </c>
      <c r="O464">
        <v>0.35</v>
      </c>
      <c r="P464">
        <v>4584.51</v>
      </c>
      <c r="Q464" t="s">
        <v>27</v>
      </c>
      <c r="R464" t="s">
        <v>38</v>
      </c>
      <c r="S464">
        <v>7</v>
      </c>
      <c r="T464">
        <f>YEAR(Sales_Data_1[[#This Row],[Order_Date]])</f>
        <v>2023</v>
      </c>
      <c r="U464" t="str">
        <f>TEXT(Sales_Data_1[[#This Row],[Order_Date]], "mmm")</f>
        <v>Nov</v>
      </c>
      <c r="V464">
        <f>MONTH(Sales_Data_1[[#This Row],[Order_Date]])</f>
        <v>11</v>
      </c>
      <c r="W464" t="str">
        <f>TEXT(Sales_Data_1[[#This Row],[Order_Date]], "yyyy-mm")</f>
        <v>2023-11</v>
      </c>
      <c r="X464">
        <f>Sales_Data_1[[#This Row],[Sales]]-Sales_Data_1[[#This Row],[Profit_Amount]]</f>
        <v>8514.09</v>
      </c>
      <c r="Y464" t="str" cm="1">
        <f t="array" ref="Y464">_xlfn.IFS(Sales_Data_1[[#This Row],[Delivery_Days]]&lt;=3, "Fast", Sales_Data_1[[#This Row],[Delivery_Days]]&lt;= 7, "Standard", TRUE, "Delayed")</f>
        <v>Standard</v>
      </c>
      <c r="Z464" t="str" cm="1">
        <f t="array" ref="Z464">_xlfn.IFS(Sales_Data_1[[#This Row],[Profit_Amount]]&gt; 0, "Profitable", Sales_Data_1[[#This Row],[Profit_Amount]] = 0, "Break-Even", TRUE, "Loss")</f>
        <v>Profitable</v>
      </c>
      <c r="AA464" t="str" cm="1">
        <f t="array" ref="AA464">_xlfn.IFS(Sales_Data_1[[#This Row],[Sales]]&gt;= 1000, "High Value", Sales_Data_1[[#This Row],[Sales]]&gt;= 300, "Mid Value", TRUE, "Low Value")</f>
        <v>High Value</v>
      </c>
    </row>
    <row r="465" spans="1:27" x14ac:dyDescent="0.3">
      <c r="A465" t="s">
        <v>2386</v>
      </c>
      <c r="B465" s="1">
        <v>45272</v>
      </c>
      <c r="C465" t="s">
        <v>20</v>
      </c>
      <c r="D465" t="s">
        <v>56</v>
      </c>
      <c r="E465" t="s">
        <v>2040</v>
      </c>
      <c r="F465" t="s">
        <v>68</v>
      </c>
      <c r="G465" t="s">
        <v>57</v>
      </c>
      <c r="H465" t="s">
        <v>183</v>
      </c>
      <c r="I465" t="s">
        <v>760</v>
      </c>
      <c r="J465">
        <v>4</v>
      </c>
      <c r="K465">
        <v>7010</v>
      </c>
      <c r="L465">
        <v>0.18</v>
      </c>
      <c r="M465">
        <v>5748.2</v>
      </c>
      <c r="N465">
        <v>22992.799999999999</v>
      </c>
      <c r="O465">
        <v>0.2</v>
      </c>
      <c r="P465">
        <v>4598.5600000000004</v>
      </c>
      <c r="Q465" t="s">
        <v>37</v>
      </c>
      <c r="R465" t="s">
        <v>48</v>
      </c>
      <c r="S465">
        <v>7</v>
      </c>
      <c r="T465">
        <f>YEAR(Sales_Data_1[[#This Row],[Order_Date]])</f>
        <v>2023</v>
      </c>
      <c r="U465" t="str">
        <f>TEXT(Sales_Data_1[[#This Row],[Order_Date]], "mmm")</f>
        <v>Dec</v>
      </c>
      <c r="V465">
        <f>MONTH(Sales_Data_1[[#This Row],[Order_Date]])</f>
        <v>12</v>
      </c>
      <c r="W465" t="str">
        <f>TEXT(Sales_Data_1[[#This Row],[Order_Date]], "yyyy-mm")</f>
        <v>2023-12</v>
      </c>
      <c r="X465">
        <f>Sales_Data_1[[#This Row],[Sales]]-Sales_Data_1[[#This Row],[Profit_Amount]]</f>
        <v>18394.239999999998</v>
      </c>
      <c r="Y465" t="str" cm="1">
        <f t="array" ref="Y465">_xlfn.IFS(Sales_Data_1[[#This Row],[Delivery_Days]]&lt;=3, "Fast", Sales_Data_1[[#This Row],[Delivery_Days]]&lt;= 7, "Standard", TRUE, "Delayed")</f>
        <v>Standard</v>
      </c>
      <c r="Z465" t="str" cm="1">
        <f t="array" ref="Z465">_xlfn.IFS(Sales_Data_1[[#This Row],[Profit_Amount]]&gt; 0, "Profitable", Sales_Data_1[[#This Row],[Profit_Amount]] = 0, "Break-Even", TRUE, "Loss")</f>
        <v>Profitable</v>
      </c>
      <c r="AA465" t="str" cm="1">
        <f t="array" ref="AA465">_xlfn.IFS(Sales_Data_1[[#This Row],[Sales]]&gt;= 1000, "High Value", Sales_Data_1[[#This Row],[Sales]]&gt;= 300, "Mid Value", TRUE, "Low Value")</f>
        <v>High Value</v>
      </c>
    </row>
    <row r="466" spans="1:27" x14ac:dyDescent="0.3">
      <c r="A466" t="s">
        <v>2257</v>
      </c>
      <c r="B466" s="1">
        <v>45143</v>
      </c>
      <c r="C466" t="s">
        <v>20</v>
      </c>
      <c r="D466" t="s">
        <v>31</v>
      </c>
      <c r="E466" t="s">
        <v>2042</v>
      </c>
      <c r="F466" t="s">
        <v>103</v>
      </c>
      <c r="G466" t="s">
        <v>24</v>
      </c>
      <c r="H466" t="s">
        <v>25</v>
      </c>
      <c r="I466" t="s">
        <v>504</v>
      </c>
      <c r="J466">
        <v>3</v>
      </c>
      <c r="K466">
        <v>6704</v>
      </c>
      <c r="L466">
        <v>7.0000000000000007E-2</v>
      </c>
      <c r="M466">
        <v>6234.72</v>
      </c>
      <c r="N466">
        <v>18704.16</v>
      </c>
      <c r="O466">
        <v>0.25</v>
      </c>
      <c r="P466">
        <v>4676.04</v>
      </c>
      <c r="Q466" t="s">
        <v>27</v>
      </c>
      <c r="R466" t="s">
        <v>48</v>
      </c>
      <c r="S466">
        <v>7</v>
      </c>
      <c r="T466">
        <f>YEAR(Sales_Data_1[[#This Row],[Order_Date]])</f>
        <v>2023</v>
      </c>
      <c r="U466" t="str">
        <f>TEXT(Sales_Data_1[[#This Row],[Order_Date]], "mmm")</f>
        <v>Aug</v>
      </c>
      <c r="V466">
        <f>MONTH(Sales_Data_1[[#This Row],[Order_Date]])</f>
        <v>8</v>
      </c>
      <c r="W466" t="str">
        <f>TEXT(Sales_Data_1[[#This Row],[Order_Date]], "yyyy-mm")</f>
        <v>2023-08</v>
      </c>
      <c r="X466">
        <f>Sales_Data_1[[#This Row],[Sales]]-Sales_Data_1[[#This Row],[Profit_Amount]]</f>
        <v>14028.119999999999</v>
      </c>
      <c r="Y466" t="str" cm="1">
        <f t="array" ref="Y466">_xlfn.IFS(Sales_Data_1[[#This Row],[Delivery_Days]]&lt;=3, "Fast", Sales_Data_1[[#This Row],[Delivery_Days]]&lt;= 7, "Standard", TRUE, "Delayed")</f>
        <v>Standard</v>
      </c>
      <c r="Z466" t="str" cm="1">
        <f t="array" ref="Z466">_xlfn.IFS(Sales_Data_1[[#This Row],[Profit_Amount]]&gt; 0, "Profitable", Sales_Data_1[[#This Row],[Profit_Amount]] = 0, "Break-Even", TRUE, "Loss")</f>
        <v>Profitable</v>
      </c>
      <c r="AA466" t="str" cm="1">
        <f t="array" ref="AA466">_xlfn.IFS(Sales_Data_1[[#This Row],[Sales]]&gt;= 1000, "High Value", Sales_Data_1[[#This Row],[Sales]]&gt;= 300, "Mid Value", TRUE, "Low Value")</f>
        <v>High Value</v>
      </c>
    </row>
    <row r="467" spans="1:27" x14ac:dyDescent="0.3">
      <c r="A467" t="s">
        <v>2359</v>
      </c>
      <c r="B467" s="1">
        <v>45245</v>
      </c>
      <c r="C467" t="s">
        <v>55</v>
      </c>
      <c r="D467" t="s">
        <v>21</v>
      </c>
      <c r="E467" t="s">
        <v>2042</v>
      </c>
      <c r="F467" t="s">
        <v>43</v>
      </c>
      <c r="G467" t="s">
        <v>57</v>
      </c>
      <c r="H467" t="s">
        <v>100</v>
      </c>
      <c r="I467" t="s">
        <v>706</v>
      </c>
      <c r="J467">
        <v>4</v>
      </c>
      <c r="K467">
        <v>7495</v>
      </c>
      <c r="L467">
        <v>0.22</v>
      </c>
      <c r="M467">
        <v>5846.1</v>
      </c>
      <c r="N467">
        <v>23384.400000000001</v>
      </c>
      <c r="O467">
        <v>0.2</v>
      </c>
      <c r="P467">
        <v>4676.88</v>
      </c>
      <c r="Q467" t="s">
        <v>51</v>
      </c>
      <c r="R467" t="s">
        <v>48</v>
      </c>
      <c r="S467">
        <v>5</v>
      </c>
      <c r="T467">
        <f>YEAR(Sales_Data_1[[#This Row],[Order_Date]])</f>
        <v>2023</v>
      </c>
      <c r="U467" t="str">
        <f>TEXT(Sales_Data_1[[#This Row],[Order_Date]], "mmm")</f>
        <v>Nov</v>
      </c>
      <c r="V467">
        <f>MONTH(Sales_Data_1[[#This Row],[Order_Date]])</f>
        <v>11</v>
      </c>
      <c r="W467" t="str">
        <f>TEXT(Sales_Data_1[[#This Row],[Order_Date]], "yyyy-mm")</f>
        <v>2023-11</v>
      </c>
      <c r="X467">
        <f>Sales_Data_1[[#This Row],[Sales]]-Sales_Data_1[[#This Row],[Profit_Amount]]</f>
        <v>18707.52</v>
      </c>
      <c r="Y467" t="str" cm="1">
        <f t="array" ref="Y467">_xlfn.IFS(Sales_Data_1[[#This Row],[Delivery_Days]]&lt;=3, "Fast", Sales_Data_1[[#This Row],[Delivery_Days]]&lt;= 7, "Standard", TRUE, "Delayed")</f>
        <v>Standard</v>
      </c>
      <c r="Z467" t="str" cm="1">
        <f t="array" ref="Z467">_xlfn.IFS(Sales_Data_1[[#This Row],[Profit_Amount]]&gt; 0, "Profitable", Sales_Data_1[[#This Row],[Profit_Amount]] = 0, "Break-Even", TRUE, "Loss")</f>
        <v>Profitable</v>
      </c>
      <c r="AA467" t="str" cm="1">
        <f t="array" ref="AA467">_xlfn.IFS(Sales_Data_1[[#This Row],[Sales]]&gt;= 1000, "High Value", Sales_Data_1[[#This Row],[Sales]]&gt;= 300, "Mid Value", TRUE, "Low Value")</f>
        <v>High Value</v>
      </c>
    </row>
    <row r="468" spans="1:27" x14ac:dyDescent="0.3">
      <c r="A468" t="s">
        <v>2509</v>
      </c>
      <c r="B468" s="1">
        <v>45395</v>
      </c>
      <c r="C468" t="s">
        <v>55</v>
      </c>
      <c r="D468" t="s">
        <v>31</v>
      </c>
      <c r="E468" t="s">
        <v>67</v>
      </c>
      <c r="F468" t="s">
        <v>68</v>
      </c>
      <c r="G468" t="s">
        <v>92</v>
      </c>
      <c r="H468" t="s">
        <v>93</v>
      </c>
      <c r="I468" t="s">
        <v>1003</v>
      </c>
      <c r="J468">
        <v>1</v>
      </c>
      <c r="K468">
        <v>35169</v>
      </c>
      <c r="L468">
        <v>0.11</v>
      </c>
      <c r="M468">
        <v>31300.41</v>
      </c>
      <c r="N468">
        <v>31300.41</v>
      </c>
      <c r="O468">
        <v>0.15</v>
      </c>
      <c r="P468">
        <v>4695.0600000000004</v>
      </c>
      <c r="Q468" t="s">
        <v>37</v>
      </c>
      <c r="R468" t="s">
        <v>48</v>
      </c>
      <c r="S468">
        <v>5</v>
      </c>
      <c r="T468">
        <f>YEAR(Sales_Data_1[[#This Row],[Order_Date]])</f>
        <v>2024</v>
      </c>
      <c r="U468" t="str">
        <f>TEXT(Sales_Data_1[[#This Row],[Order_Date]], "mmm")</f>
        <v>Apr</v>
      </c>
      <c r="V468">
        <f>MONTH(Sales_Data_1[[#This Row],[Order_Date]])</f>
        <v>4</v>
      </c>
      <c r="W468" t="str">
        <f>TEXT(Sales_Data_1[[#This Row],[Order_Date]], "yyyy-mm")</f>
        <v>2024-04</v>
      </c>
      <c r="X468">
        <f>Sales_Data_1[[#This Row],[Sales]]-Sales_Data_1[[#This Row],[Profit_Amount]]</f>
        <v>26605.35</v>
      </c>
      <c r="Y468" t="str" cm="1">
        <f t="array" ref="Y468">_xlfn.IFS(Sales_Data_1[[#This Row],[Delivery_Days]]&lt;=3, "Fast", Sales_Data_1[[#This Row],[Delivery_Days]]&lt;= 7, "Standard", TRUE, "Delayed")</f>
        <v>Standard</v>
      </c>
      <c r="Z468" t="str" cm="1">
        <f t="array" ref="Z468">_xlfn.IFS(Sales_Data_1[[#This Row],[Profit_Amount]]&gt; 0, "Profitable", Sales_Data_1[[#This Row],[Profit_Amount]] = 0, "Break-Even", TRUE, "Loss")</f>
        <v>Profitable</v>
      </c>
      <c r="AA468" t="str" cm="1">
        <f t="array" ref="AA468">_xlfn.IFS(Sales_Data_1[[#This Row],[Sales]]&gt;= 1000, "High Value", Sales_Data_1[[#This Row],[Sales]]&gt;= 300, "Mid Value", TRUE, "Low Value")</f>
        <v>High Value</v>
      </c>
    </row>
    <row r="469" spans="1:27" x14ac:dyDescent="0.3">
      <c r="A469" t="s">
        <v>2757</v>
      </c>
      <c r="B469" s="1">
        <v>45643</v>
      </c>
      <c r="C469" t="s">
        <v>55</v>
      </c>
      <c r="D469" t="s">
        <v>21</v>
      </c>
      <c r="E469" t="s">
        <v>42</v>
      </c>
      <c r="F469" t="s">
        <v>68</v>
      </c>
      <c r="G469" t="s">
        <v>57</v>
      </c>
      <c r="H469" t="s">
        <v>81</v>
      </c>
      <c r="I469" t="s">
        <v>1489</v>
      </c>
      <c r="J469">
        <v>4</v>
      </c>
      <c r="K469">
        <v>6082</v>
      </c>
      <c r="L469">
        <v>0.03</v>
      </c>
      <c r="M469">
        <v>5899.54</v>
      </c>
      <c r="N469">
        <v>23598.16</v>
      </c>
      <c r="O469">
        <v>0.2</v>
      </c>
      <c r="P469">
        <v>4719.63</v>
      </c>
      <c r="Q469" t="s">
        <v>47</v>
      </c>
      <c r="R469" t="s">
        <v>48</v>
      </c>
      <c r="S469">
        <v>6</v>
      </c>
      <c r="T469">
        <f>YEAR(Sales_Data_1[[#This Row],[Order_Date]])</f>
        <v>2024</v>
      </c>
      <c r="U469" t="str">
        <f>TEXT(Sales_Data_1[[#This Row],[Order_Date]], "mmm")</f>
        <v>Dec</v>
      </c>
      <c r="V469">
        <f>MONTH(Sales_Data_1[[#This Row],[Order_Date]])</f>
        <v>12</v>
      </c>
      <c r="W469" t="str">
        <f>TEXT(Sales_Data_1[[#This Row],[Order_Date]], "yyyy-mm")</f>
        <v>2024-12</v>
      </c>
      <c r="X469">
        <f>Sales_Data_1[[#This Row],[Sales]]-Sales_Data_1[[#This Row],[Profit_Amount]]</f>
        <v>18878.53</v>
      </c>
      <c r="Y469" t="str" cm="1">
        <f t="array" ref="Y469">_xlfn.IFS(Sales_Data_1[[#This Row],[Delivery_Days]]&lt;=3, "Fast", Sales_Data_1[[#This Row],[Delivery_Days]]&lt;= 7, "Standard", TRUE, "Delayed")</f>
        <v>Standard</v>
      </c>
      <c r="Z469" t="str" cm="1">
        <f t="array" ref="Z469">_xlfn.IFS(Sales_Data_1[[#This Row],[Profit_Amount]]&gt; 0, "Profitable", Sales_Data_1[[#This Row],[Profit_Amount]] = 0, "Break-Even", TRUE, "Loss")</f>
        <v>Profitable</v>
      </c>
      <c r="AA469" t="str" cm="1">
        <f t="array" ref="AA469">_xlfn.IFS(Sales_Data_1[[#This Row],[Sales]]&gt;= 1000, "High Value", Sales_Data_1[[#This Row],[Sales]]&gt;= 300, "Mid Value", TRUE, "Low Value")</f>
        <v>High Value</v>
      </c>
    </row>
    <row r="470" spans="1:27" x14ac:dyDescent="0.3">
      <c r="A470" t="s">
        <v>2732</v>
      </c>
      <c r="B470" s="1">
        <v>45618</v>
      </c>
      <c r="C470" t="s">
        <v>96</v>
      </c>
      <c r="D470" t="s">
        <v>56</v>
      </c>
      <c r="E470" t="s">
        <v>42</v>
      </c>
      <c r="F470" t="s">
        <v>97</v>
      </c>
      <c r="G470" t="s">
        <v>34</v>
      </c>
      <c r="H470" t="s">
        <v>35</v>
      </c>
      <c r="I470" t="s">
        <v>1440</v>
      </c>
      <c r="J470">
        <v>9</v>
      </c>
      <c r="K470">
        <v>1445</v>
      </c>
      <c r="L470">
        <v>0.09</v>
      </c>
      <c r="M470">
        <v>1314.95</v>
      </c>
      <c r="N470">
        <v>11834.55</v>
      </c>
      <c r="O470">
        <v>0.4</v>
      </c>
      <c r="P470">
        <v>4733.82</v>
      </c>
      <c r="Q470" t="s">
        <v>27</v>
      </c>
      <c r="R470" t="s">
        <v>48</v>
      </c>
      <c r="S470">
        <v>1</v>
      </c>
      <c r="T470">
        <f>YEAR(Sales_Data_1[[#This Row],[Order_Date]])</f>
        <v>2024</v>
      </c>
      <c r="U470" t="str">
        <f>TEXT(Sales_Data_1[[#This Row],[Order_Date]], "mmm")</f>
        <v>Nov</v>
      </c>
      <c r="V470">
        <f>MONTH(Sales_Data_1[[#This Row],[Order_Date]])</f>
        <v>11</v>
      </c>
      <c r="W470" t="str">
        <f>TEXT(Sales_Data_1[[#This Row],[Order_Date]], "yyyy-mm")</f>
        <v>2024-11</v>
      </c>
      <c r="X470">
        <f>Sales_Data_1[[#This Row],[Sales]]-Sales_Data_1[[#This Row],[Profit_Amount]]</f>
        <v>7100.73</v>
      </c>
      <c r="Y470" t="str" cm="1">
        <f t="array" ref="Y470">_xlfn.IFS(Sales_Data_1[[#This Row],[Delivery_Days]]&lt;=3, "Fast", Sales_Data_1[[#This Row],[Delivery_Days]]&lt;= 7, "Standard", TRUE, "Delayed")</f>
        <v>Fast</v>
      </c>
      <c r="Z470" t="str" cm="1">
        <f t="array" ref="Z470">_xlfn.IFS(Sales_Data_1[[#This Row],[Profit_Amount]]&gt; 0, "Profitable", Sales_Data_1[[#This Row],[Profit_Amount]] = 0, "Break-Even", TRUE, "Loss")</f>
        <v>Profitable</v>
      </c>
      <c r="AA470" t="str" cm="1">
        <f t="array" ref="AA470">_xlfn.IFS(Sales_Data_1[[#This Row],[Sales]]&gt;= 1000, "High Value", Sales_Data_1[[#This Row],[Sales]]&gt;= 300, "Mid Value", TRUE, "Low Value")</f>
        <v>High Value</v>
      </c>
    </row>
    <row r="471" spans="1:27" x14ac:dyDescent="0.3">
      <c r="A471" t="s">
        <v>2068</v>
      </c>
      <c r="B471" s="1">
        <v>44954</v>
      </c>
      <c r="C471" t="s">
        <v>20</v>
      </c>
      <c r="D471" t="s">
        <v>56</v>
      </c>
      <c r="E471" t="s">
        <v>2042</v>
      </c>
      <c r="F471" t="s">
        <v>43</v>
      </c>
      <c r="G471" t="s">
        <v>57</v>
      </c>
      <c r="H471" t="s">
        <v>58</v>
      </c>
      <c r="I471" t="s">
        <v>119</v>
      </c>
      <c r="J471">
        <v>2</v>
      </c>
      <c r="K471">
        <v>13787</v>
      </c>
      <c r="L471">
        <v>0.14000000000000001</v>
      </c>
      <c r="M471">
        <v>11856.82</v>
      </c>
      <c r="N471">
        <v>23713.64</v>
      </c>
      <c r="O471">
        <v>0.2</v>
      </c>
      <c r="P471">
        <v>4742.7299999999996</v>
      </c>
      <c r="Q471" t="s">
        <v>51</v>
      </c>
      <c r="R471" t="s">
        <v>48</v>
      </c>
      <c r="S471">
        <v>3</v>
      </c>
      <c r="T471">
        <f>YEAR(Sales_Data_1[[#This Row],[Order_Date]])</f>
        <v>2023</v>
      </c>
      <c r="U471" t="str">
        <f>TEXT(Sales_Data_1[[#This Row],[Order_Date]], "mmm")</f>
        <v>Jan</v>
      </c>
      <c r="V471">
        <f>MONTH(Sales_Data_1[[#This Row],[Order_Date]])</f>
        <v>1</v>
      </c>
      <c r="W471" t="str">
        <f>TEXT(Sales_Data_1[[#This Row],[Order_Date]], "yyyy-mm")</f>
        <v>2023-01</v>
      </c>
      <c r="X471">
        <f>Sales_Data_1[[#This Row],[Sales]]-Sales_Data_1[[#This Row],[Profit_Amount]]</f>
        <v>18970.91</v>
      </c>
      <c r="Y471" t="str" cm="1">
        <f t="array" ref="Y471">_xlfn.IFS(Sales_Data_1[[#This Row],[Delivery_Days]]&lt;=3, "Fast", Sales_Data_1[[#This Row],[Delivery_Days]]&lt;= 7, "Standard", TRUE, "Delayed")</f>
        <v>Fast</v>
      </c>
      <c r="Z471" t="str" cm="1">
        <f t="array" ref="Z471">_xlfn.IFS(Sales_Data_1[[#This Row],[Profit_Amount]]&gt; 0, "Profitable", Sales_Data_1[[#This Row],[Profit_Amount]] = 0, "Break-Even", TRUE, "Loss")</f>
        <v>Profitable</v>
      </c>
      <c r="AA471" t="str" cm="1">
        <f t="array" ref="AA471">_xlfn.IFS(Sales_Data_1[[#This Row],[Sales]]&gt;= 1000, "High Value", Sales_Data_1[[#This Row],[Sales]]&gt;= 300, "Mid Value", TRUE, "Low Value")</f>
        <v>High Value</v>
      </c>
    </row>
    <row r="472" spans="1:27" x14ac:dyDescent="0.3">
      <c r="A472" t="s">
        <v>2810</v>
      </c>
      <c r="B472" s="1">
        <v>45696</v>
      </c>
      <c r="C472" t="s">
        <v>30</v>
      </c>
      <c r="D472" t="s">
        <v>21</v>
      </c>
      <c r="E472" t="s">
        <v>2040</v>
      </c>
      <c r="F472" t="s">
        <v>43</v>
      </c>
      <c r="G472" t="s">
        <v>92</v>
      </c>
      <c r="H472" t="s">
        <v>243</v>
      </c>
      <c r="I472" t="s">
        <v>1592</v>
      </c>
      <c r="J472">
        <v>1</v>
      </c>
      <c r="K472">
        <v>33705</v>
      </c>
      <c r="L472">
        <v>0.06</v>
      </c>
      <c r="M472">
        <v>31682.7</v>
      </c>
      <c r="N472">
        <v>31682.7</v>
      </c>
      <c r="O472">
        <v>0.15</v>
      </c>
      <c r="P472">
        <v>4752.3999999999996</v>
      </c>
      <c r="Q472" t="s">
        <v>47</v>
      </c>
      <c r="R472" t="s">
        <v>48</v>
      </c>
      <c r="S472">
        <v>7</v>
      </c>
      <c r="T472">
        <f>YEAR(Sales_Data_1[[#This Row],[Order_Date]])</f>
        <v>2025</v>
      </c>
      <c r="U472" t="str">
        <f>TEXT(Sales_Data_1[[#This Row],[Order_Date]], "mmm")</f>
        <v>Feb</v>
      </c>
      <c r="V472">
        <f>MONTH(Sales_Data_1[[#This Row],[Order_Date]])</f>
        <v>2</v>
      </c>
      <c r="W472" t="str">
        <f>TEXT(Sales_Data_1[[#This Row],[Order_Date]], "yyyy-mm")</f>
        <v>2025-02</v>
      </c>
      <c r="X472">
        <f>Sales_Data_1[[#This Row],[Sales]]-Sales_Data_1[[#This Row],[Profit_Amount]]</f>
        <v>26930.300000000003</v>
      </c>
      <c r="Y472" t="str" cm="1">
        <f t="array" ref="Y472">_xlfn.IFS(Sales_Data_1[[#This Row],[Delivery_Days]]&lt;=3, "Fast", Sales_Data_1[[#This Row],[Delivery_Days]]&lt;= 7, "Standard", TRUE, "Delayed")</f>
        <v>Standard</v>
      </c>
      <c r="Z472" t="str" cm="1">
        <f t="array" ref="Z472">_xlfn.IFS(Sales_Data_1[[#This Row],[Profit_Amount]]&gt; 0, "Profitable", Sales_Data_1[[#This Row],[Profit_Amount]] = 0, "Break-Even", TRUE, "Loss")</f>
        <v>Profitable</v>
      </c>
      <c r="AA472" t="str" cm="1">
        <f t="array" ref="AA472">_xlfn.IFS(Sales_Data_1[[#This Row],[Sales]]&gt;= 1000, "High Value", Sales_Data_1[[#This Row],[Sales]]&gt;= 300, "Mid Value", TRUE, "Low Value")</f>
        <v>High Value</v>
      </c>
    </row>
    <row r="473" spans="1:27" x14ac:dyDescent="0.3">
      <c r="A473" t="s">
        <v>2261</v>
      </c>
      <c r="B473" s="1">
        <v>45147</v>
      </c>
      <c r="C473" t="s">
        <v>63</v>
      </c>
      <c r="D473" t="s">
        <v>56</v>
      </c>
      <c r="E473" t="s">
        <v>2042</v>
      </c>
      <c r="F473" t="s">
        <v>103</v>
      </c>
      <c r="G473" t="s">
        <v>57</v>
      </c>
      <c r="H473" t="s">
        <v>81</v>
      </c>
      <c r="I473" t="s">
        <v>512</v>
      </c>
      <c r="J473">
        <v>3</v>
      </c>
      <c r="K473">
        <v>9114</v>
      </c>
      <c r="L473">
        <v>0.13</v>
      </c>
      <c r="M473">
        <v>7929.18</v>
      </c>
      <c r="N473">
        <v>23787.54</v>
      </c>
      <c r="O473">
        <v>0.2</v>
      </c>
      <c r="P473">
        <v>4757.51</v>
      </c>
      <c r="Q473" t="s">
        <v>47</v>
      </c>
      <c r="R473" t="s">
        <v>48</v>
      </c>
      <c r="S473">
        <v>9</v>
      </c>
      <c r="T473">
        <f>YEAR(Sales_Data_1[[#This Row],[Order_Date]])</f>
        <v>2023</v>
      </c>
      <c r="U473" t="str">
        <f>TEXT(Sales_Data_1[[#This Row],[Order_Date]], "mmm")</f>
        <v>Aug</v>
      </c>
      <c r="V473">
        <f>MONTH(Sales_Data_1[[#This Row],[Order_Date]])</f>
        <v>8</v>
      </c>
      <c r="W473" t="str">
        <f>TEXT(Sales_Data_1[[#This Row],[Order_Date]], "yyyy-mm")</f>
        <v>2023-08</v>
      </c>
      <c r="X473">
        <f>Sales_Data_1[[#This Row],[Sales]]-Sales_Data_1[[#This Row],[Profit_Amount]]</f>
        <v>19030.03</v>
      </c>
      <c r="Y473" t="str" cm="1">
        <f t="array" ref="Y473">_xlfn.IFS(Sales_Data_1[[#This Row],[Delivery_Days]]&lt;=3, "Fast", Sales_Data_1[[#This Row],[Delivery_Days]]&lt;= 7, "Standard", TRUE, "Delayed")</f>
        <v>Delayed</v>
      </c>
      <c r="Z473" t="str" cm="1">
        <f t="array" ref="Z473">_xlfn.IFS(Sales_Data_1[[#This Row],[Profit_Amount]]&gt; 0, "Profitable", Sales_Data_1[[#This Row],[Profit_Amount]] = 0, "Break-Even", TRUE, "Loss")</f>
        <v>Profitable</v>
      </c>
      <c r="AA473" t="str" cm="1">
        <f t="array" ref="AA473">_xlfn.IFS(Sales_Data_1[[#This Row],[Sales]]&gt;= 1000, "High Value", Sales_Data_1[[#This Row],[Sales]]&gt;= 300, "Mid Value", TRUE, "Low Value")</f>
        <v>High Value</v>
      </c>
    </row>
    <row r="474" spans="1:27" x14ac:dyDescent="0.3">
      <c r="A474" t="s">
        <v>2081</v>
      </c>
      <c r="B474" s="1">
        <v>44967</v>
      </c>
      <c r="C474" t="s">
        <v>55</v>
      </c>
      <c r="D474" t="s">
        <v>41</v>
      </c>
      <c r="E474" t="s">
        <v>2040</v>
      </c>
      <c r="F474" t="s">
        <v>23</v>
      </c>
      <c r="G474" t="s">
        <v>24</v>
      </c>
      <c r="H474" t="s">
        <v>25</v>
      </c>
      <c r="I474" t="s">
        <v>148</v>
      </c>
      <c r="J474">
        <v>3</v>
      </c>
      <c r="K474">
        <v>8057</v>
      </c>
      <c r="L474">
        <v>0.21</v>
      </c>
      <c r="M474">
        <v>6365.03</v>
      </c>
      <c r="N474">
        <v>19095.09</v>
      </c>
      <c r="O474">
        <v>0.25</v>
      </c>
      <c r="P474">
        <v>4773.7700000000004</v>
      </c>
      <c r="Q474" t="s">
        <v>47</v>
      </c>
      <c r="R474" t="s">
        <v>48</v>
      </c>
      <c r="S474">
        <v>6</v>
      </c>
      <c r="T474">
        <f>YEAR(Sales_Data_1[[#This Row],[Order_Date]])</f>
        <v>2023</v>
      </c>
      <c r="U474" t="str">
        <f>TEXT(Sales_Data_1[[#This Row],[Order_Date]], "mmm")</f>
        <v>Feb</v>
      </c>
      <c r="V474">
        <f>MONTH(Sales_Data_1[[#This Row],[Order_Date]])</f>
        <v>2</v>
      </c>
      <c r="W474" t="str">
        <f>TEXT(Sales_Data_1[[#This Row],[Order_Date]], "yyyy-mm")</f>
        <v>2023-02</v>
      </c>
      <c r="X474">
        <f>Sales_Data_1[[#This Row],[Sales]]-Sales_Data_1[[#This Row],[Profit_Amount]]</f>
        <v>14321.32</v>
      </c>
      <c r="Y474" t="str" cm="1">
        <f t="array" ref="Y474">_xlfn.IFS(Sales_Data_1[[#This Row],[Delivery_Days]]&lt;=3, "Fast", Sales_Data_1[[#This Row],[Delivery_Days]]&lt;= 7, "Standard", TRUE, "Delayed")</f>
        <v>Standard</v>
      </c>
      <c r="Z474" t="str" cm="1">
        <f t="array" ref="Z474">_xlfn.IFS(Sales_Data_1[[#This Row],[Profit_Amount]]&gt; 0, "Profitable", Sales_Data_1[[#This Row],[Profit_Amount]] = 0, "Break-Even", TRUE, "Loss")</f>
        <v>Profitable</v>
      </c>
      <c r="AA474" t="str" cm="1">
        <f t="array" ref="AA474">_xlfn.IFS(Sales_Data_1[[#This Row],[Sales]]&gt;= 1000, "High Value", Sales_Data_1[[#This Row],[Sales]]&gt;= 300, "Mid Value", TRUE, "Low Value")</f>
        <v>High Value</v>
      </c>
    </row>
    <row r="475" spans="1:27" x14ac:dyDescent="0.3">
      <c r="A475" t="s">
        <v>2586</v>
      </c>
      <c r="B475" s="1">
        <v>45472</v>
      </c>
      <c r="C475" t="s">
        <v>40</v>
      </c>
      <c r="D475" t="s">
        <v>31</v>
      </c>
      <c r="E475" t="s">
        <v>2040</v>
      </c>
      <c r="F475" t="s">
        <v>97</v>
      </c>
      <c r="G475" t="s">
        <v>34</v>
      </c>
      <c r="H475" t="s">
        <v>35</v>
      </c>
      <c r="I475" t="s">
        <v>1154</v>
      </c>
      <c r="J475">
        <v>9</v>
      </c>
      <c r="K475">
        <v>1444</v>
      </c>
      <c r="L475">
        <v>0.08</v>
      </c>
      <c r="M475">
        <v>1328.48</v>
      </c>
      <c r="N475">
        <v>11956.32</v>
      </c>
      <c r="O475">
        <v>0.4</v>
      </c>
      <c r="P475">
        <v>4782.53</v>
      </c>
      <c r="Q475" t="s">
        <v>47</v>
      </c>
      <c r="R475" t="s">
        <v>48</v>
      </c>
      <c r="S475">
        <v>1</v>
      </c>
      <c r="T475">
        <f>YEAR(Sales_Data_1[[#This Row],[Order_Date]])</f>
        <v>2024</v>
      </c>
      <c r="U475" t="str">
        <f>TEXT(Sales_Data_1[[#This Row],[Order_Date]], "mmm")</f>
        <v>Jun</v>
      </c>
      <c r="V475">
        <f>MONTH(Sales_Data_1[[#This Row],[Order_Date]])</f>
        <v>6</v>
      </c>
      <c r="W475" t="str">
        <f>TEXT(Sales_Data_1[[#This Row],[Order_Date]], "yyyy-mm")</f>
        <v>2024-06</v>
      </c>
      <c r="X475">
        <f>Sales_Data_1[[#This Row],[Sales]]-Sales_Data_1[[#This Row],[Profit_Amount]]</f>
        <v>7173.79</v>
      </c>
      <c r="Y475" t="str" cm="1">
        <f t="array" ref="Y475">_xlfn.IFS(Sales_Data_1[[#This Row],[Delivery_Days]]&lt;=3, "Fast", Sales_Data_1[[#This Row],[Delivery_Days]]&lt;= 7, "Standard", TRUE, "Delayed")</f>
        <v>Fast</v>
      </c>
      <c r="Z475" t="str" cm="1">
        <f t="array" ref="Z475">_xlfn.IFS(Sales_Data_1[[#This Row],[Profit_Amount]]&gt; 0, "Profitable", Sales_Data_1[[#This Row],[Profit_Amount]] = 0, "Break-Even", TRUE, "Loss")</f>
        <v>Profitable</v>
      </c>
      <c r="AA475" t="str" cm="1">
        <f t="array" ref="AA475">_xlfn.IFS(Sales_Data_1[[#This Row],[Sales]]&gt;= 1000, "High Value", Sales_Data_1[[#This Row],[Sales]]&gt;= 300, "Mid Value", TRUE, "Low Value")</f>
        <v>High Value</v>
      </c>
    </row>
    <row r="476" spans="1:27" x14ac:dyDescent="0.3">
      <c r="A476" t="s">
        <v>2191</v>
      </c>
      <c r="B476" s="1">
        <v>45077</v>
      </c>
      <c r="C476" t="s">
        <v>55</v>
      </c>
      <c r="D476" t="s">
        <v>56</v>
      </c>
      <c r="E476" t="s">
        <v>42</v>
      </c>
      <c r="F476" t="s">
        <v>23</v>
      </c>
      <c r="G476" t="s">
        <v>92</v>
      </c>
      <c r="H476" t="s">
        <v>243</v>
      </c>
      <c r="I476" t="s">
        <v>372</v>
      </c>
      <c r="J476">
        <v>4</v>
      </c>
      <c r="K476">
        <v>10281</v>
      </c>
      <c r="L476">
        <v>0.22</v>
      </c>
      <c r="M476">
        <v>8019.18</v>
      </c>
      <c r="N476">
        <v>32076.720000000001</v>
      </c>
      <c r="O476">
        <v>0.15</v>
      </c>
      <c r="P476">
        <v>4811.51</v>
      </c>
      <c r="Q476" t="s">
        <v>51</v>
      </c>
      <c r="R476" t="s">
        <v>48</v>
      </c>
      <c r="S476">
        <v>1</v>
      </c>
      <c r="T476">
        <f>YEAR(Sales_Data_1[[#This Row],[Order_Date]])</f>
        <v>2023</v>
      </c>
      <c r="U476" t="str">
        <f>TEXT(Sales_Data_1[[#This Row],[Order_Date]], "mmm")</f>
        <v>May</v>
      </c>
      <c r="V476">
        <f>MONTH(Sales_Data_1[[#This Row],[Order_Date]])</f>
        <v>5</v>
      </c>
      <c r="W476" t="str">
        <f>TEXT(Sales_Data_1[[#This Row],[Order_Date]], "yyyy-mm")</f>
        <v>2023-05</v>
      </c>
      <c r="X476">
        <f>Sales_Data_1[[#This Row],[Sales]]-Sales_Data_1[[#This Row],[Profit_Amount]]</f>
        <v>27265.21</v>
      </c>
      <c r="Y476" t="str" cm="1">
        <f t="array" ref="Y476">_xlfn.IFS(Sales_Data_1[[#This Row],[Delivery_Days]]&lt;=3, "Fast", Sales_Data_1[[#This Row],[Delivery_Days]]&lt;= 7, "Standard", TRUE, "Delayed")</f>
        <v>Fast</v>
      </c>
      <c r="Z476" t="str" cm="1">
        <f t="array" ref="Z476">_xlfn.IFS(Sales_Data_1[[#This Row],[Profit_Amount]]&gt; 0, "Profitable", Sales_Data_1[[#This Row],[Profit_Amount]] = 0, "Break-Even", TRUE, "Loss")</f>
        <v>Profitable</v>
      </c>
      <c r="AA476" t="str" cm="1">
        <f t="array" ref="AA476">_xlfn.IFS(Sales_Data_1[[#This Row],[Sales]]&gt;= 1000, "High Value", Sales_Data_1[[#This Row],[Sales]]&gt;= 300, "Mid Value", TRUE, "Low Value")</f>
        <v>High Value</v>
      </c>
    </row>
    <row r="477" spans="1:27" x14ac:dyDescent="0.3">
      <c r="A477" t="s">
        <v>2748</v>
      </c>
      <c r="B477" s="1">
        <v>45634</v>
      </c>
      <c r="C477" t="s">
        <v>55</v>
      </c>
      <c r="D477" t="s">
        <v>21</v>
      </c>
      <c r="E477" t="s">
        <v>2042</v>
      </c>
      <c r="F477" t="s">
        <v>33</v>
      </c>
      <c r="G477" t="s">
        <v>44</v>
      </c>
      <c r="H477" t="s">
        <v>45</v>
      </c>
      <c r="I477" t="s">
        <v>1471</v>
      </c>
      <c r="J477">
        <v>9</v>
      </c>
      <c r="K477">
        <v>1868</v>
      </c>
      <c r="L477">
        <v>0.18</v>
      </c>
      <c r="M477">
        <v>1531.76</v>
      </c>
      <c r="N477">
        <v>13785.84</v>
      </c>
      <c r="O477">
        <v>0.35</v>
      </c>
      <c r="P477">
        <v>4825.04</v>
      </c>
      <c r="Q477" t="s">
        <v>27</v>
      </c>
      <c r="R477" t="s">
        <v>48</v>
      </c>
      <c r="S477">
        <v>1</v>
      </c>
      <c r="T477">
        <f>YEAR(Sales_Data_1[[#This Row],[Order_Date]])</f>
        <v>2024</v>
      </c>
      <c r="U477" t="str">
        <f>TEXT(Sales_Data_1[[#This Row],[Order_Date]], "mmm")</f>
        <v>Dec</v>
      </c>
      <c r="V477">
        <f>MONTH(Sales_Data_1[[#This Row],[Order_Date]])</f>
        <v>12</v>
      </c>
      <c r="W477" t="str">
        <f>TEXT(Sales_Data_1[[#This Row],[Order_Date]], "yyyy-mm")</f>
        <v>2024-12</v>
      </c>
      <c r="X477">
        <f>Sales_Data_1[[#This Row],[Sales]]-Sales_Data_1[[#This Row],[Profit_Amount]]</f>
        <v>8960.7999999999993</v>
      </c>
      <c r="Y477" t="str" cm="1">
        <f t="array" ref="Y477">_xlfn.IFS(Sales_Data_1[[#This Row],[Delivery_Days]]&lt;=3, "Fast", Sales_Data_1[[#This Row],[Delivery_Days]]&lt;= 7, "Standard", TRUE, "Delayed")</f>
        <v>Fast</v>
      </c>
      <c r="Z477" t="str" cm="1">
        <f t="array" ref="Z477">_xlfn.IFS(Sales_Data_1[[#This Row],[Profit_Amount]]&gt; 0, "Profitable", Sales_Data_1[[#This Row],[Profit_Amount]] = 0, "Break-Even", TRUE, "Loss")</f>
        <v>Profitable</v>
      </c>
      <c r="AA477" t="str" cm="1">
        <f t="array" ref="AA477">_xlfn.IFS(Sales_Data_1[[#This Row],[Sales]]&gt;= 1000, "High Value", Sales_Data_1[[#This Row],[Sales]]&gt;= 300, "Mid Value", TRUE, "Low Value")</f>
        <v>High Value</v>
      </c>
    </row>
    <row r="478" spans="1:27" x14ac:dyDescent="0.3">
      <c r="A478" t="s">
        <v>2515</v>
      </c>
      <c r="B478" s="1">
        <v>45401</v>
      </c>
      <c r="C478" t="s">
        <v>96</v>
      </c>
      <c r="D478" t="s">
        <v>21</v>
      </c>
      <c r="E478" t="s">
        <v>42</v>
      </c>
      <c r="F478" t="s">
        <v>43</v>
      </c>
      <c r="G478" t="s">
        <v>44</v>
      </c>
      <c r="H478" t="s">
        <v>45</v>
      </c>
      <c r="I478" t="s">
        <v>1014</v>
      </c>
      <c r="J478">
        <v>5</v>
      </c>
      <c r="K478">
        <v>3638</v>
      </c>
      <c r="L478">
        <v>0.23</v>
      </c>
      <c r="M478">
        <v>2801.26</v>
      </c>
      <c r="N478">
        <v>14006.3</v>
      </c>
      <c r="O478">
        <v>0.35</v>
      </c>
      <c r="P478">
        <v>4902.2</v>
      </c>
      <c r="Q478" t="s">
        <v>51</v>
      </c>
      <c r="R478" t="s">
        <v>48</v>
      </c>
      <c r="S478">
        <v>6</v>
      </c>
      <c r="T478">
        <f>YEAR(Sales_Data_1[[#This Row],[Order_Date]])</f>
        <v>2024</v>
      </c>
      <c r="U478" t="str">
        <f>TEXT(Sales_Data_1[[#This Row],[Order_Date]], "mmm")</f>
        <v>Apr</v>
      </c>
      <c r="V478">
        <f>MONTH(Sales_Data_1[[#This Row],[Order_Date]])</f>
        <v>4</v>
      </c>
      <c r="W478" t="str">
        <f>TEXT(Sales_Data_1[[#This Row],[Order_Date]], "yyyy-mm")</f>
        <v>2024-04</v>
      </c>
      <c r="X478">
        <f>Sales_Data_1[[#This Row],[Sales]]-Sales_Data_1[[#This Row],[Profit_Amount]]</f>
        <v>9104.0999999999985</v>
      </c>
      <c r="Y478" t="str" cm="1">
        <f t="array" ref="Y478">_xlfn.IFS(Sales_Data_1[[#This Row],[Delivery_Days]]&lt;=3, "Fast", Sales_Data_1[[#This Row],[Delivery_Days]]&lt;= 7, "Standard", TRUE, "Delayed")</f>
        <v>Standard</v>
      </c>
      <c r="Z478" t="str" cm="1">
        <f t="array" ref="Z478">_xlfn.IFS(Sales_Data_1[[#This Row],[Profit_Amount]]&gt; 0, "Profitable", Sales_Data_1[[#This Row],[Profit_Amount]] = 0, "Break-Even", TRUE, "Loss")</f>
        <v>Profitable</v>
      </c>
      <c r="AA478" t="str" cm="1">
        <f t="array" ref="AA478">_xlfn.IFS(Sales_Data_1[[#This Row],[Sales]]&gt;= 1000, "High Value", Sales_Data_1[[#This Row],[Sales]]&gt;= 300, "Mid Value", TRUE, "Low Value")</f>
        <v>High Value</v>
      </c>
    </row>
    <row r="479" spans="1:27" x14ac:dyDescent="0.3">
      <c r="A479" t="s">
        <v>2306</v>
      </c>
      <c r="B479" s="1">
        <v>45192</v>
      </c>
      <c r="C479" t="s">
        <v>20</v>
      </c>
      <c r="D479" t="s">
        <v>21</v>
      </c>
      <c r="E479" t="s">
        <v>2042</v>
      </c>
      <c r="F479" t="s">
        <v>33</v>
      </c>
      <c r="G479" t="s">
        <v>92</v>
      </c>
      <c r="H479" t="s">
        <v>93</v>
      </c>
      <c r="I479" t="s">
        <v>602</v>
      </c>
      <c r="J479">
        <v>1</v>
      </c>
      <c r="K479">
        <v>37598</v>
      </c>
      <c r="L479">
        <v>0.13</v>
      </c>
      <c r="M479">
        <v>32710.26</v>
      </c>
      <c r="N479">
        <v>32710.26</v>
      </c>
      <c r="O479">
        <v>0.15</v>
      </c>
      <c r="P479">
        <v>4906.54</v>
      </c>
      <c r="Q479" t="s">
        <v>47</v>
      </c>
      <c r="R479" t="s">
        <v>48</v>
      </c>
      <c r="S479">
        <v>9</v>
      </c>
      <c r="T479">
        <f>YEAR(Sales_Data_1[[#This Row],[Order_Date]])</f>
        <v>2023</v>
      </c>
      <c r="U479" t="str">
        <f>TEXT(Sales_Data_1[[#This Row],[Order_Date]], "mmm")</f>
        <v>Sep</v>
      </c>
      <c r="V479">
        <f>MONTH(Sales_Data_1[[#This Row],[Order_Date]])</f>
        <v>9</v>
      </c>
      <c r="W479" t="str">
        <f>TEXT(Sales_Data_1[[#This Row],[Order_Date]], "yyyy-mm")</f>
        <v>2023-09</v>
      </c>
      <c r="X479">
        <f>Sales_Data_1[[#This Row],[Sales]]-Sales_Data_1[[#This Row],[Profit_Amount]]</f>
        <v>27803.719999999998</v>
      </c>
      <c r="Y479" t="str" cm="1">
        <f t="array" ref="Y479">_xlfn.IFS(Sales_Data_1[[#This Row],[Delivery_Days]]&lt;=3, "Fast", Sales_Data_1[[#This Row],[Delivery_Days]]&lt;= 7, "Standard", TRUE, "Delayed")</f>
        <v>Delayed</v>
      </c>
      <c r="Z479" t="str" cm="1">
        <f t="array" ref="Z479">_xlfn.IFS(Sales_Data_1[[#This Row],[Profit_Amount]]&gt; 0, "Profitable", Sales_Data_1[[#This Row],[Profit_Amount]] = 0, "Break-Even", TRUE, "Loss")</f>
        <v>Profitable</v>
      </c>
      <c r="AA479" t="str" cm="1">
        <f t="array" ref="AA479">_xlfn.IFS(Sales_Data_1[[#This Row],[Sales]]&gt;= 1000, "High Value", Sales_Data_1[[#This Row],[Sales]]&gt;= 300, "Mid Value", TRUE, "Low Value")</f>
        <v>High Value</v>
      </c>
    </row>
    <row r="480" spans="1:27" x14ac:dyDescent="0.3">
      <c r="A480" t="s">
        <v>2321</v>
      </c>
      <c r="B480" s="1">
        <v>45207</v>
      </c>
      <c r="C480" t="s">
        <v>63</v>
      </c>
      <c r="D480" t="s">
        <v>31</v>
      </c>
      <c r="E480" t="s">
        <v>2040</v>
      </c>
      <c r="F480" t="s">
        <v>43</v>
      </c>
      <c r="G480" t="s">
        <v>57</v>
      </c>
      <c r="H480" t="s">
        <v>81</v>
      </c>
      <c r="I480" t="s">
        <v>632</v>
      </c>
      <c r="J480">
        <v>3</v>
      </c>
      <c r="K480">
        <v>8542</v>
      </c>
      <c r="L480">
        <v>0.04</v>
      </c>
      <c r="M480">
        <v>8200.32</v>
      </c>
      <c r="N480">
        <v>24600.959999999999</v>
      </c>
      <c r="O480">
        <v>0.2</v>
      </c>
      <c r="P480">
        <v>4920.1899999999996</v>
      </c>
      <c r="Q480" t="s">
        <v>51</v>
      </c>
      <c r="R480" t="s">
        <v>48</v>
      </c>
      <c r="S480">
        <v>7</v>
      </c>
      <c r="T480">
        <f>YEAR(Sales_Data_1[[#This Row],[Order_Date]])</f>
        <v>2023</v>
      </c>
      <c r="U480" t="str">
        <f>TEXT(Sales_Data_1[[#This Row],[Order_Date]], "mmm")</f>
        <v>Oct</v>
      </c>
      <c r="V480">
        <f>MONTH(Sales_Data_1[[#This Row],[Order_Date]])</f>
        <v>10</v>
      </c>
      <c r="W480" t="str">
        <f>TEXT(Sales_Data_1[[#This Row],[Order_Date]], "yyyy-mm")</f>
        <v>2023-10</v>
      </c>
      <c r="X480">
        <f>Sales_Data_1[[#This Row],[Sales]]-Sales_Data_1[[#This Row],[Profit_Amount]]</f>
        <v>19680.77</v>
      </c>
      <c r="Y480" t="str" cm="1">
        <f t="array" ref="Y480">_xlfn.IFS(Sales_Data_1[[#This Row],[Delivery_Days]]&lt;=3, "Fast", Sales_Data_1[[#This Row],[Delivery_Days]]&lt;= 7, "Standard", TRUE, "Delayed")</f>
        <v>Standard</v>
      </c>
      <c r="Z480" t="str" cm="1">
        <f t="array" ref="Z480">_xlfn.IFS(Sales_Data_1[[#This Row],[Profit_Amount]]&gt; 0, "Profitable", Sales_Data_1[[#This Row],[Profit_Amount]] = 0, "Break-Even", TRUE, "Loss")</f>
        <v>Profitable</v>
      </c>
      <c r="AA480" t="str" cm="1">
        <f t="array" ref="AA480">_xlfn.IFS(Sales_Data_1[[#This Row],[Sales]]&gt;= 1000, "High Value", Sales_Data_1[[#This Row],[Sales]]&gt;= 300, "Mid Value", TRUE, "Low Value")</f>
        <v>High Value</v>
      </c>
    </row>
    <row r="481" spans="1:27" x14ac:dyDescent="0.3">
      <c r="A481" t="s">
        <v>2314</v>
      </c>
      <c r="B481" s="1">
        <v>45200</v>
      </c>
      <c r="C481" t="s">
        <v>30</v>
      </c>
      <c r="D481" t="s">
        <v>56</v>
      </c>
      <c r="E481" t="s">
        <v>67</v>
      </c>
      <c r="F481" t="s">
        <v>33</v>
      </c>
      <c r="G481" t="s">
        <v>24</v>
      </c>
      <c r="H481" t="s">
        <v>74</v>
      </c>
      <c r="I481" t="s">
        <v>618</v>
      </c>
      <c r="J481">
        <v>2</v>
      </c>
      <c r="K481">
        <v>11603</v>
      </c>
      <c r="L481">
        <v>0.15</v>
      </c>
      <c r="M481">
        <v>9862.5499999999993</v>
      </c>
      <c r="N481">
        <v>19725.099999999999</v>
      </c>
      <c r="O481">
        <v>0.25</v>
      </c>
      <c r="P481">
        <v>4931.2700000000004</v>
      </c>
      <c r="Q481" t="s">
        <v>27</v>
      </c>
      <c r="R481" t="s">
        <v>48</v>
      </c>
      <c r="S481">
        <v>9</v>
      </c>
      <c r="T481">
        <f>YEAR(Sales_Data_1[[#This Row],[Order_Date]])</f>
        <v>2023</v>
      </c>
      <c r="U481" t="str">
        <f>TEXT(Sales_Data_1[[#This Row],[Order_Date]], "mmm")</f>
        <v>Oct</v>
      </c>
      <c r="V481">
        <f>MONTH(Sales_Data_1[[#This Row],[Order_Date]])</f>
        <v>10</v>
      </c>
      <c r="W481" t="str">
        <f>TEXT(Sales_Data_1[[#This Row],[Order_Date]], "yyyy-mm")</f>
        <v>2023-10</v>
      </c>
      <c r="X481">
        <f>Sales_Data_1[[#This Row],[Sales]]-Sales_Data_1[[#This Row],[Profit_Amount]]</f>
        <v>14793.829999999998</v>
      </c>
      <c r="Y481" t="str" cm="1">
        <f t="array" ref="Y481">_xlfn.IFS(Sales_Data_1[[#This Row],[Delivery_Days]]&lt;=3, "Fast", Sales_Data_1[[#This Row],[Delivery_Days]]&lt;= 7, "Standard", TRUE, "Delayed")</f>
        <v>Delayed</v>
      </c>
      <c r="Z481" t="str" cm="1">
        <f t="array" ref="Z481">_xlfn.IFS(Sales_Data_1[[#This Row],[Profit_Amount]]&gt; 0, "Profitable", Sales_Data_1[[#This Row],[Profit_Amount]] = 0, "Break-Even", TRUE, "Loss")</f>
        <v>Profitable</v>
      </c>
      <c r="AA481" t="str" cm="1">
        <f t="array" ref="AA481">_xlfn.IFS(Sales_Data_1[[#This Row],[Sales]]&gt;= 1000, "High Value", Sales_Data_1[[#This Row],[Sales]]&gt;= 300, "Mid Value", TRUE, "Low Value")</f>
        <v>High Value</v>
      </c>
    </row>
    <row r="482" spans="1:27" x14ac:dyDescent="0.3">
      <c r="A482" t="s">
        <v>2214</v>
      </c>
      <c r="B482" s="1">
        <v>45100</v>
      </c>
      <c r="C482" t="s">
        <v>55</v>
      </c>
      <c r="D482" t="s">
        <v>56</v>
      </c>
      <c r="E482" t="s">
        <v>42</v>
      </c>
      <c r="F482" t="s">
        <v>33</v>
      </c>
      <c r="G482" t="s">
        <v>24</v>
      </c>
      <c r="H482" t="s">
        <v>25</v>
      </c>
      <c r="I482" t="s">
        <v>418</v>
      </c>
      <c r="J482">
        <v>3</v>
      </c>
      <c r="K482">
        <v>7570</v>
      </c>
      <c r="L482">
        <v>0.13</v>
      </c>
      <c r="M482">
        <v>6585.9</v>
      </c>
      <c r="N482">
        <v>19757.7</v>
      </c>
      <c r="O482">
        <v>0.25</v>
      </c>
      <c r="P482">
        <v>4939.42</v>
      </c>
      <c r="Q482" t="s">
        <v>37</v>
      </c>
      <c r="R482" t="s">
        <v>48</v>
      </c>
      <c r="S482">
        <v>2</v>
      </c>
      <c r="T482">
        <f>YEAR(Sales_Data_1[[#This Row],[Order_Date]])</f>
        <v>2023</v>
      </c>
      <c r="U482" t="str">
        <f>TEXT(Sales_Data_1[[#This Row],[Order_Date]], "mmm")</f>
        <v>Jun</v>
      </c>
      <c r="V482">
        <f>MONTH(Sales_Data_1[[#This Row],[Order_Date]])</f>
        <v>6</v>
      </c>
      <c r="W482" t="str">
        <f>TEXT(Sales_Data_1[[#This Row],[Order_Date]], "yyyy-mm")</f>
        <v>2023-06</v>
      </c>
      <c r="X482">
        <f>Sales_Data_1[[#This Row],[Sales]]-Sales_Data_1[[#This Row],[Profit_Amount]]</f>
        <v>14818.28</v>
      </c>
      <c r="Y482" t="str" cm="1">
        <f t="array" ref="Y482">_xlfn.IFS(Sales_Data_1[[#This Row],[Delivery_Days]]&lt;=3, "Fast", Sales_Data_1[[#This Row],[Delivery_Days]]&lt;= 7, "Standard", TRUE, "Delayed")</f>
        <v>Fast</v>
      </c>
      <c r="Z482" t="str" cm="1">
        <f t="array" ref="Z482">_xlfn.IFS(Sales_Data_1[[#This Row],[Profit_Amount]]&gt; 0, "Profitable", Sales_Data_1[[#This Row],[Profit_Amount]] = 0, "Break-Even", TRUE, "Loss")</f>
        <v>Profitable</v>
      </c>
      <c r="AA482" t="str" cm="1">
        <f t="array" ref="AA482">_xlfn.IFS(Sales_Data_1[[#This Row],[Sales]]&gt;= 1000, "High Value", Sales_Data_1[[#This Row],[Sales]]&gt;= 300, "Mid Value", TRUE, "Low Value")</f>
        <v>High Value</v>
      </c>
    </row>
    <row r="483" spans="1:27" x14ac:dyDescent="0.3">
      <c r="A483" t="s">
        <v>2046</v>
      </c>
      <c r="B483" s="1">
        <v>44932</v>
      </c>
      <c r="C483" t="s">
        <v>55</v>
      </c>
      <c r="D483" t="s">
        <v>56</v>
      </c>
      <c r="E483" t="s">
        <v>42</v>
      </c>
      <c r="F483" t="s">
        <v>33</v>
      </c>
      <c r="G483" t="s">
        <v>57</v>
      </c>
      <c r="H483" t="s">
        <v>58</v>
      </c>
      <c r="I483" t="s">
        <v>59</v>
      </c>
      <c r="J483">
        <v>7</v>
      </c>
      <c r="K483">
        <v>3925</v>
      </c>
      <c r="L483">
        <v>0.1</v>
      </c>
      <c r="M483">
        <v>3532.5</v>
      </c>
      <c r="N483">
        <v>24727.5</v>
      </c>
      <c r="O483">
        <v>0.2</v>
      </c>
      <c r="P483">
        <v>4945.5</v>
      </c>
      <c r="Q483" t="s">
        <v>27</v>
      </c>
      <c r="R483" t="s">
        <v>48</v>
      </c>
      <c r="S483">
        <v>8</v>
      </c>
      <c r="T483">
        <f>YEAR(Sales_Data_1[[#This Row],[Order_Date]])</f>
        <v>2023</v>
      </c>
      <c r="U483" t="str">
        <f>TEXT(Sales_Data_1[[#This Row],[Order_Date]], "mmm")</f>
        <v>Jan</v>
      </c>
      <c r="V483">
        <f>MONTH(Sales_Data_1[[#This Row],[Order_Date]])</f>
        <v>1</v>
      </c>
      <c r="W483" t="str">
        <f>TEXT(Sales_Data_1[[#This Row],[Order_Date]], "yyyy-mm")</f>
        <v>2023-01</v>
      </c>
      <c r="X483">
        <f>Sales_Data_1[[#This Row],[Sales]]-Sales_Data_1[[#This Row],[Profit_Amount]]</f>
        <v>19782</v>
      </c>
      <c r="Y483" t="str" cm="1">
        <f t="array" ref="Y483">_xlfn.IFS(Sales_Data_1[[#This Row],[Delivery_Days]]&lt;=3, "Fast", Sales_Data_1[[#This Row],[Delivery_Days]]&lt;= 7, "Standard", TRUE, "Delayed")</f>
        <v>Delayed</v>
      </c>
      <c r="Z483" t="str" cm="1">
        <f t="array" ref="Z483">_xlfn.IFS(Sales_Data_1[[#This Row],[Profit_Amount]]&gt; 0, "Profitable", Sales_Data_1[[#This Row],[Profit_Amount]] = 0, "Break-Even", TRUE, "Loss")</f>
        <v>Profitable</v>
      </c>
      <c r="AA483" t="str" cm="1">
        <f t="array" ref="AA483">_xlfn.IFS(Sales_Data_1[[#This Row],[Sales]]&gt;= 1000, "High Value", Sales_Data_1[[#This Row],[Sales]]&gt;= 300, "Mid Value", TRUE, "Low Value")</f>
        <v>High Value</v>
      </c>
    </row>
    <row r="484" spans="1:27" x14ac:dyDescent="0.3">
      <c r="A484" t="s">
        <v>2556</v>
      </c>
      <c r="B484" s="1">
        <v>45442</v>
      </c>
      <c r="C484" t="s">
        <v>20</v>
      </c>
      <c r="D484" t="s">
        <v>31</v>
      </c>
      <c r="E484" t="s">
        <v>42</v>
      </c>
      <c r="F484" t="s">
        <v>43</v>
      </c>
      <c r="G484" t="s">
        <v>44</v>
      </c>
      <c r="H484" t="s">
        <v>138</v>
      </c>
      <c r="I484" t="s">
        <v>1095</v>
      </c>
      <c r="J484">
        <v>4</v>
      </c>
      <c r="K484">
        <v>3701</v>
      </c>
      <c r="L484">
        <v>0.04</v>
      </c>
      <c r="M484">
        <v>3552.96</v>
      </c>
      <c r="N484">
        <v>14211.84</v>
      </c>
      <c r="O484">
        <v>0.35</v>
      </c>
      <c r="P484">
        <v>4974.1400000000003</v>
      </c>
      <c r="Q484" t="s">
        <v>51</v>
      </c>
      <c r="R484" t="s">
        <v>48</v>
      </c>
      <c r="S484">
        <v>8</v>
      </c>
      <c r="T484">
        <f>YEAR(Sales_Data_1[[#This Row],[Order_Date]])</f>
        <v>2024</v>
      </c>
      <c r="U484" t="str">
        <f>TEXT(Sales_Data_1[[#This Row],[Order_Date]], "mmm")</f>
        <v>May</v>
      </c>
      <c r="V484">
        <f>MONTH(Sales_Data_1[[#This Row],[Order_Date]])</f>
        <v>5</v>
      </c>
      <c r="W484" t="str">
        <f>TEXT(Sales_Data_1[[#This Row],[Order_Date]], "yyyy-mm")</f>
        <v>2024-05</v>
      </c>
      <c r="X484">
        <f>Sales_Data_1[[#This Row],[Sales]]-Sales_Data_1[[#This Row],[Profit_Amount]]</f>
        <v>9237.7000000000007</v>
      </c>
      <c r="Y484" t="str" cm="1">
        <f t="array" ref="Y484">_xlfn.IFS(Sales_Data_1[[#This Row],[Delivery_Days]]&lt;=3, "Fast", Sales_Data_1[[#This Row],[Delivery_Days]]&lt;= 7, "Standard", TRUE, "Delayed")</f>
        <v>Delayed</v>
      </c>
      <c r="Z484" t="str" cm="1">
        <f t="array" ref="Z484">_xlfn.IFS(Sales_Data_1[[#This Row],[Profit_Amount]]&gt; 0, "Profitable", Sales_Data_1[[#This Row],[Profit_Amount]] = 0, "Break-Even", TRUE, "Loss")</f>
        <v>Profitable</v>
      </c>
      <c r="AA484" t="str" cm="1">
        <f t="array" ref="AA484">_xlfn.IFS(Sales_Data_1[[#This Row],[Sales]]&gt;= 1000, "High Value", Sales_Data_1[[#This Row],[Sales]]&gt;= 300, "Mid Value", TRUE, "Low Value")</f>
        <v>High Value</v>
      </c>
    </row>
    <row r="485" spans="1:27" x14ac:dyDescent="0.3">
      <c r="A485" t="s">
        <v>2687</v>
      </c>
      <c r="B485" s="1">
        <v>45573</v>
      </c>
      <c r="C485" t="s">
        <v>63</v>
      </c>
      <c r="D485" t="s">
        <v>21</v>
      </c>
      <c r="E485" t="s">
        <v>2040</v>
      </c>
      <c r="F485" t="s">
        <v>103</v>
      </c>
      <c r="G485" t="s">
        <v>44</v>
      </c>
      <c r="H485" t="s">
        <v>45</v>
      </c>
      <c r="I485" t="s">
        <v>1354</v>
      </c>
      <c r="J485">
        <v>6</v>
      </c>
      <c r="K485">
        <v>2537</v>
      </c>
      <c r="L485">
        <v>0.04</v>
      </c>
      <c r="M485">
        <v>2435.52</v>
      </c>
      <c r="N485">
        <v>14613.12</v>
      </c>
      <c r="O485">
        <v>0.35</v>
      </c>
      <c r="P485">
        <v>5114.59</v>
      </c>
      <c r="Q485" t="s">
        <v>47</v>
      </c>
      <c r="R485" t="s">
        <v>48</v>
      </c>
      <c r="S485">
        <v>6</v>
      </c>
      <c r="T485">
        <f>YEAR(Sales_Data_1[[#This Row],[Order_Date]])</f>
        <v>2024</v>
      </c>
      <c r="U485" t="str">
        <f>TEXT(Sales_Data_1[[#This Row],[Order_Date]], "mmm")</f>
        <v>Oct</v>
      </c>
      <c r="V485">
        <f>MONTH(Sales_Data_1[[#This Row],[Order_Date]])</f>
        <v>10</v>
      </c>
      <c r="W485" t="str">
        <f>TEXT(Sales_Data_1[[#This Row],[Order_Date]], "yyyy-mm")</f>
        <v>2024-10</v>
      </c>
      <c r="X485">
        <f>Sales_Data_1[[#This Row],[Sales]]-Sales_Data_1[[#This Row],[Profit_Amount]]</f>
        <v>9498.5300000000007</v>
      </c>
      <c r="Y485" t="str" cm="1">
        <f t="array" ref="Y485">_xlfn.IFS(Sales_Data_1[[#This Row],[Delivery_Days]]&lt;=3, "Fast", Sales_Data_1[[#This Row],[Delivery_Days]]&lt;= 7, "Standard", TRUE, "Delayed")</f>
        <v>Standard</v>
      </c>
      <c r="Z485" t="str" cm="1">
        <f t="array" ref="Z485">_xlfn.IFS(Sales_Data_1[[#This Row],[Profit_Amount]]&gt; 0, "Profitable", Sales_Data_1[[#This Row],[Profit_Amount]] = 0, "Break-Even", TRUE, "Loss")</f>
        <v>Profitable</v>
      </c>
      <c r="AA485" t="str" cm="1">
        <f t="array" ref="AA485">_xlfn.IFS(Sales_Data_1[[#This Row],[Sales]]&gt;= 1000, "High Value", Sales_Data_1[[#This Row],[Sales]]&gt;= 300, "Mid Value", TRUE, "Low Value")</f>
        <v>High Value</v>
      </c>
    </row>
    <row r="486" spans="1:27" x14ac:dyDescent="0.3">
      <c r="A486" t="s">
        <v>2139</v>
      </c>
      <c r="B486" s="1">
        <v>45025</v>
      </c>
      <c r="C486" t="s">
        <v>20</v>
      </c>
      <c r="D486" t="s">
        <v>31</v>
      </c>
      <c r="E486" t="s">
        <v>2040</v>
      </c>
      <c r="F486" t="s">
        <v>43</v>
      </c>
      <c r="G486" t="s">
        <v>57</v>
      </c>
      <c r="H486" t="s">
        <v>183</v>
      </c>
      <c r="I486" t="s">
        <v>268</v>
      </c>
      <c r="J486">
        <v>7</v>
      </c>
      <c r="K486">
        <v>4365</v>
      </c>
      <c r="L486">
        <v>0.16</v>
      </c>
      <c r="M486">
        <v>3666.6</v>
      </c>
      <c r="N486">
        <v>25666.2</v>
      </c>
      <c r="O486">
        <v>0.2</v>
      </c>
      <c r="P486">
        <v>5133.24</v>
      </c>
      <c r="Q486" t="s">
        <v>27</v>
      </c>
      <c r="R486" t="s">
        <v>38</v>
      </c>
      <c r="S486">
        <v>8</v>
      </c>
      <c r="T486">
        <f>YEAR(Sales_Data_1[[#This Row],[Order_Date]])</f>
        <v>2023</v>
      </c>
      <c r="U486" t="str">
        <f>TEXT(Sales_Data_1[[#This Row],[Order_Date]], "mmm")</f>
        <v>Apr</v>
      </c>
      <c r="V486">
        <f>MONTH(Sales_Data_1[[#This Row],[Order_Date]])</f>
        <v>4</v>
      </c>
      <c r="W486" t="str">
        <f>TEXT(Sales_Data_1[[#This Row],[Order_Date]], "yyyy-mm")</f>
        <v>2023-04</v>
      </c>
      <c r="X486">
        <f>Sales_Data_1[[#This Row],[Sales]]-Sales_Data_1[[#This Row],[Profit_Amount]]</f>
        <v>20532.96</v>
      </c>
      <c r="Y486" t="str" cm="1">
        <f t="array" ref="Y486">_xlfn.IFS(Sales_Data_1[[#This Row],[Delivery_Days]]&lt;=3, "Fast", Sales_Data_1[[#This Row],[Delivery_Days]]&lt;= 7, "Standard", TRUE, "Delayed")</f>
        <v>Delayed</v>
      </c>
      <c r="Z486" t="str" cm="1">
        <f t="array" ref="Z486">_xlfn.IFS(Sales_Data_1[[#This Row],[Profit_Amount]]&gt; 0, "Profitable", Sales_Data_1[[#This Row],[Profit_Amount]] = 0, "Break-Even", TRUE, "Loss")</f>
        <v>Profitable</v>
      </c>
      <c r="AA486" t="str" cm="1">
        <f t="array" ref="AA486">_xlfn.IFS(Sales_Data_1[[#This Row],[Sales]]&gt;= 1000, "High Value", Sales_Data_1[[#This Row],[Sales]]&gt;= 300, "Mid Value", TRUE, "Low Value")</f>
        <v>High Value</v>
      </c>
    </row>
    <row r="487" spans="1:27" x14ac:dyDescent="0.3">
      <c r="A487" t="s">
        <v>2590</v>
      </c>
      <c r="B487" s="1">
        <v>45476</v>
      </c>
      <c r="C487" t="s">
        <v>20</v>
      </c>
      <c r="D487" t="s">
        <v>21</v>
      </c>
      <c r="E487" t="s">
        <v>2042</v>
      </c>
      <c r="F487" t="s">
        <v>97</v>
      </c>
      <c r="G487" t="s">
        <v>57</v>
      </c>
      <c r="H487" t="s">
        <v>183</v>
      </c>
      <c r="I487" t="s">
        <v>1162</v>
      </c>
      <c r="J487">
        <v>5</v>
      </c>
      <c r="K487">
        <v>6517</v>
      </c>
      <c r="L487">
        <v>0.21</v>
      </c>
      <c r="M487">
        <v>5148.43</v>
      </c>
      <c r="N487">
        <v>25742.15</v>
      </c>
      <c r="O487">
        <v>0.2</v>
      </c>
      <c r="P487">
        <v>5148.43</v>
      </c>
      <c r="Q487" t="s">
        <v>47</v>
      </c>
      <c r="R487" t="s">
        <v>28</v>
      </c>
      <c r="S487">
        <v>7</v>
      </c>
      <c r="T487">
        <f>YEAR(Sales_Data_1[[#This Row],[Order_Date]])</f>
        <v>2024</v>
      </c>
      <c r="U487" t="str">
        <f>TEXT(Sales_Data_1[[#This Row],[Order_Date]], "mmm")</f>
        <v>Jul</v>
      </c>
      <c r="V487">
        <f>MONTH(Sales_Data_1[[#This Row],[Order_Date]])</f>
        <v>7</v>
      </c>
      <c r="W487" t="str">
        <f>TEXT(Sales_Data_1[[#This Row],[Order_Date]], "yyyy-mm")</f>
        <v>2024-07</v>
      </c>
      <c r="X487">
        <f>Sales_Data_1[[#This Row],[Sales]]-Sales_Data_1[[#This Row],[Profit_Amount]]</f>
        <v>20593.72</v>
      </c>
      <c r="Y487" t="str" cm="1">
        <f t="array" ref="Y487">_xlfn.IFS(Sales_Data_1[[#This Row],[Delivery_Days]]&lt;=3, "Fast", Sales_Data_1[[#This Row],[Delivery_Days]]&lt;= 7, "Standard", TRUE, "Delayed")</f>
        <v>Standard</v>
      </c>
      <c r="Z487" t="str" cm="1">
        <f t="array" ref="Z487">_xlfn.IFS(Sales_Data_1[[#This Row],[Profit_Amount]]&gt; 0, "Profitable", Sales_Data_1[[#This Row],[Profit_Amount]] = 0, "Break-Even", TRUE, "Loss")</f>
        <v>Profitable</v>
      </c>
      <c r="AA487" t="str" cm="1">
        <f t="array" ref="AA487">_xlfn.IFS(Sales_Data_1[[#This Row],[Sales]]&gt;= 1000, "High Value", Sales_Data_1[[#This Row],[Sales]]&gt;= 300, "Mid Value", TRUE, "Low Value")</f>
        <v>High Value</v>
      </c>
    </row>
    <row r="488" spans="1:27" x14ac:dyDescent="0.3">
      <c r="A488" t="s">
        <v>3002</v>
      </c>
      <c r="B488" s="1">
        <v>45888</v>
      </c>
      <c r="C488" t="s">
        <v>96</v>
      </c>
      <c r="D488" t="s">
        <v>56</v>
      </c>
      <c r="E488" t="s">
        <v>2042</v>
      </c>
      <c r="F488" t="s">
        <v>103</v>
      </c>
      <c r="G488" t="s">
        <v>57</v>
      </c>
      <c r="H488" t="s">
        <v>100</v>
      </c>
      <c r="I488" t="s">
        <v>1964</v>
      </c>
      <c r="J488">
        <v>2</v>
      </c>
      <c r="K488">
        <v>15171</v>
      </c>
      <c r="L488">
        <v>0.15</v>
      </c>
      <c r="M488">
        <v>12895.35</v>
      </c>
      <c r="N488">
        <v>25790.7</v>
      </c>
      <c r="O488">
        <v>0.2</v>
      </c>
      <c r="P488">
        <v>5158.1400000000003</v>
      </c>
      <c r="Q488" t="s">
        <v>37</v>
      </c>
      <c r="R488" t="s">
        <v>48</v>
      </c>
      <c r="S488">
        <v>3</v>
      </c>
      <c r="T488">
        <f>YEAR(Sales_Data_1[[#This Row],[Order_Date]])</f>
        <v>2025</v>
      </c>
      <c r="U488" t="str">
        <f>TEXT(Sales_Data_1[[#This Row],[Order_Date]], "mmm")</f>
        <v>Aug</v>
      </c>
      <c r="V488">
        <f>MONTH(Sales_Data_1[[#This Row],[Order_Date]])</f>
        <v>8</v>
      </c>
      <c r="W488" t="str">
        <f>TEXT(Sales_Data_1[[#This Row],[Order_Date]], "yyyy-mm")</f>
        <v>2025-08</v>
      </c>
      <c r="X488">
        <f>Sales_Data_1[[#This Row],[Sales]]-Sales_Data_1[[#This Row],[Profit_Amount]]</f>
        <v>20632.560000000001</v>
      </c>
      <c r="Y488" t="str" cm="1">
        <f t="array" ref="Y488">_xlfn.IFS(Sales_Data_1[[#This Row],[Delivery_Days]]&lt;=3, "Fast", Sales_Data_1[[#This Row],[Delivery_Days]]&lt;= 7, "Standard", TRUE, "Delayed")</f>
        <v>Fast</v>
      </c>
      <c r="Z488" t="str" cm="1">
        <f t="array" ref="Z488">_xlfn.IFS(Sales_Data_1[[#This Row],[Profit_Amount]]&gt; 0, "Profitable", Sales_Data_1[[#This Row],[Profit_Amount]] = 0, "Break-Even", TRUE, "Loss")</f>
        <v>Profitable</v>
      </c>
      <c r="AA488" t="str" cm="1">
        <f t="array" ref="AA488">_xlfn.IFS(Sales_Data_1[[#This Row],[Sales]]&gt;= 1000, "High Value", Sales_Data_1[[#This Row],[Sales]]&gt;= 300, "Mid Value", TRUE, "Low Value")</f>
        <v>High Value</v>
      </c>
    </row>
    <row r="489" spans="1:27" x14ac:dyDescent="0.3">
      <c r="A489" t="s">
        <v>2900</v>
      </c>
      <c r="B489" s="1">
        <v>45786</v>
      </c>
      <c r="C489" t="s">
        <v>40</v>
      </c>
      <c r="D489" t="s">
        <v>31</v>
      </c>
      <c r="E489" t="s">
        <v>2042</v>
      </c>
      <c r="F489" t="s">
        <v>33</v>
      </c>
      <c r="G489" t="s">
        <v>44</v>
      </c>
      <c r="H489" t="s">
        <v>45</v>
      </c>
      <c r="I489" t="s">
        <v>1770</v>
      </c>
      <c r="J489">
        <v>4</v>
      </c>
      <c r="K489">
        <v>3884</v>
      </c>
      <c r="L489">
        <v>0.05</v>
      </c>
      <c r="M489">
        <v>3689.8</v>
      </c>
      <c r="N489">
        <v>14759.2</v>
      </c>
      <c r="O489">
        <v>0.35</v>
      </c>
      <c r="P489">
        <v>5165.72</v>
      </c>
      <c r="Q489" t="s">
        <v>51</v>
      </c>
      <c r="R489" t="s">
        <v>48</v>
      </c>
      <c r="S489">
        <v>6</v>
      </c>
      <c r="T489">
        <f>YEAR(Sales_Data_1[[#This Row],[Order_Date]])</f>
        <v>2025</v>
      </c>
      <c r="U489" t="str">
        <f>TEXT(Sales_Data_1[[#This Row],[Order_Date]], "mmm")</f>
        <v>May</v>
      </c>
      <c r="V489">
        <f>MONTH(Sales_Data_1[[#This Row],[Order_Date]])</f>
        <v>5</v>
      </c>
      <c r="W489" t="str">
        <f>TEXT(Sales_Data_1[[#This Row],[Order_Date]], "yyyy-mm")</f>
        <v>2025-05</v>
      </c>
      <c r="X489">
        <f>Sales_Data_1[[#This Row],[Sales]]-Sales_Data_1[[#This Row],[Profit_Amount]]</f>
        <v>9593.48</v>
      </c>
      <c r="Y489" t="str" cm="1">
        <f t="array" ref="Y489">_xlfn.IFS(Sales_Data_1[[#This Row],[Delivery_Days]]&lt;=3, "Fast", Sales_Data_1[[#This Row],[Delivery_Days]]&lt;= 7, "Standard", TRUE, "Delayed")</f>
        <v>Standard</v>
      </c>
      <c r="Z489" t="str" cm="1">
        <f t="array" ref="Z489">_xlfn.IFS(Sales_Data_1[[#This Row],[Profit_Amount]]&gt; 0, "Profitable", Sales_Data_1[[#This Row],[Profit_Amount]] = 0, "Break-Even", TRUE, "Loss")</f>
        <v>Profitable</v>
      </c>
      <c r="AA489" t="str" cm="1">
        <f t="array" ref="AA489">_xlfn.IFS(Sales_Data_1[[#This Row],[Sales]]&gt;= 1000, "High Value", Sales_Data_1[[#This Row],[Sales]]&gt;= 300, "Mid Value", TRUE, "Low Value")</f>
        <v>High Value</v>
      </c>
    </row>
    <row r="490" spans="1:27" x14ac:dyDescent="0.3">
      <c r="A490" t="s">
        <v>2667</v>
      </c>
      <c r="B490" s="1">
        <v>45553</v>
      </c>
      <c r="C490" t="s">
        <v>30</v>
      </c>
      <c r="D490" t="s">
        <v>31</v>
      </c>
      <c r="E490" t="s">
        <v>2042</v>
      </c>
      <c r="F490" t="s">
        <v>68</v>
      </c>
      <c r="G490" t="s">
        <v>24</v>
      </c>
      <c r="H490" t="s">
        <v>25</v>
      </c>
      <c r="I490" t="s">
        <v>1314</v>
      </c>
      <c r="J490">
        <v>3</v>
      </c>
      <c r="K490">
        <v>7230</v>
      </c>
      <c r="L490">
        <v>0.04</v>
      </c>
      <c r="M490">
        <v>6940.8</v>
      </c>
      <c r="N490">
        <v>20822.400000000001</v>
      </c>
      <c r="O490">
        <v>0.25</v>
      </c>
      <c r="P490">
        <v>5205.6000000000004</v>
      </c>
      <c r="Q490" t="s">
        <v>37</v>
      </c>
      <c r="R490" t="s">
        <v>48</v>
      </c>
      <c r="S490">
        <v>8</v>
      </c>
      <c r="T490">
        <f>YEAR(Sales_Data_1[[#This Row],[Order_Date]])</f>
        <v>2024</v>
      </c>
      <c r="U490" t="str">
        <f>TEXT(Sales_Data_1[[#This Row],[Order_Date]], "mmm")</f>
        <v>Sep</v>
      </c>
      <c r="V490">
        <f>MONTH(Sales_Data_1[[#This Row],[Order_Date]])</f>
        <v>9</v>
      </c>
      <c r="W490" t="str">
        <f>TEXT(Sales_Data_1[[#This Row],[Order_Date]], "yyyy-mm")</f>
        <v>2024-09</v>
      </c>
      <c r="X490">
        <f>Sales_Data_1[[#This Row],[Sales]]-Sales_Data_1[[#This Row],[Profit_Amount]]</f>
        <v>15616.800000000001</v>
      </c>
      <c r="Y490" t="str" cm="1">
        <f t="array" ref="Y490">_xlfn.IFS(Sales_Data_1[[#This Row],[Delivery_Days]]&lt;=3, "Fast", Sales_Data_1[[#This Row],[Delivery_Days]]&lt;= 7, "Standard", TRUE, "Delayed")</f>
        <v>Delayed</v>
      </c>
      <c r="Z490" t="str" cm="1">
        <f t="array" ref="Z490">_xlfn.IFS(Sales_Data_1[[#This Row],[Profit_Amount]]&gt; 0, "Profitable", Sales_Data_1[[#This Row],[Profit_Amount]] = 0, "Break-Even", TRUE, "Loss")</f>
        <v>Profitable</v>
      </c>
      <c r="AA490" t="str" cm="1">
        <f t="array" ref="AA490">_xlfn.IFS(Sales_Data_1[[#This Row],[Sales]]&gt;= 1000, "High Value", Sales_Data_1[[#This Row],[Sales]]&gt;= 300, "Mid Value", TRUE, "Low Value")</f>
        <v>High Value</v>
      </c>
    </row>
    <row r="491" spans="1:27" x14ac:dyDescent="0.3">
      <c r="A491" t="s">
        <v>3011</v>
      </c>
      <c r="B491" s="1">
        <v>45897</v>
      </c>
      <c r="C491" t="s">
        <v>30</v>
      </c>
      <c r="D491" t="s">
        <v>56</v>
      </c>
      <c r="E491" t="s">
        <v>2042</v>
      </c>
      <c r="F491" t="s">
        <v>33</v>
      </c>
      <c r="G491" t="s">
        <v>24</v>
      </c>
      <c r="H491" t="s">
        <v>25</v>
      </c>
      <c r="I491" t="s">
        <v>1981</v>
      </c>
      <c r="J491">
        <v>5</v>
      </c>
      <c r="K491">
        <v>4867</v>
      </c>
      <c r="L491">
        <v>0.14000000000000001</v>
      </c>
      <c r="M491">
        <v>4185.62</v>
      </c>
      <c r="N491">
        <v>20928.099999999999</v>
      </c>
      <c r="O491">
        <v>0.25</v>
      </c>
      <c r="P491">
        <v>5232.0200000000004</v>
      </c>
      <c r="Q491" t="s">
        <v>37</v>
      </c>
      <c r="R491" t="s">
        <v>48</v>
      </c>
      <c r="S491">
        <v>6</v>
      </c>
      <c r="T491">
        <f>YEAR(Sales_Data_1[[#This Row],[Order_Date]])</f>
        <v>2025</v>
      </c>
      <c r="U491" t="str">
        <f>TEXT(Sales_Data_1[[#This Row],[Order_Date]], "mmm")</f>
        <v>Aug</v>
      </c>
      <c r="V491">
        <f>MONTH(Sales_Data_1[[#This Row],[Order_Date]])</f>
        <v>8</v>
      </c>
      <c r="W491" t="str">
        <f>TEXT(Sales_Data_1[[#This Row],[Order_Date]], "yyyy-mm")</f>
        <v>2025-08</v>
      </c>
      <c r="X491">
        <f>Sales_Data_1[[#This Row],[Sales]]-Sales_Data_1[[#This Row],[Profit_Amount]]</f>
        <v>15696.079999999998</v>
      </c>
      <c r="Y491" t="str" cm="1">
        <f t="array" ref="Y491">_xlfn.IFS(Sales_Data_1[[#This Row],[Delivery_Days]]&lt;=3, "Fast", Sales_Data_1[[#This Row],[Delivery_Days]]&lt;= 7, "Standard", TRUE, "Delayed")</f>
        <v>Standard</v>
      </c>
      <c r="Z491" t="str" cm="1">
        <f t="array" ref="Z491">_xlfn.IFS(Sales_Data_1[[#This Row],[Profit_Amount]]&gt; 0, "Profitable", Sales_Data_1[[#This Row],[Profit_Amount]] = 0, "Break-Even", TRUE, "Loss")</f>
        <v>Profitable</v>
      </c>
      <c r="AA491" t="str" cm="1">
        <f t="array" ref="AA491">_xlfn.IFS(Sales_Data_1[[#This Row],[Sales]]&gt;= 1000, "High Value", Sales_Data_1[[#This Row],[Sales]]&gt;= 300, "Mid Value", TRUE, "Low Value")</f>
        <v>High Value</v>
      </c>
    </row>
    <row r="492" spans="1:27" x14ac:dyDescent="0.3">
      <c r="A492" t="s">
        <v>2441</v>
      </c>
      <c r="B492" s="1">
        <v>45327</v>
      </c>
      <c r="C492" t="s">
        <v>30</v>
      </c>
      <c r="D492" t="s">
        <v>31</v>
      </c>
      <c r="E492" t="s">
        <v>42</v>
      </c>
      <c r="F492" t="s">
        <v>33</v>
      </c>
      <c r="G492" t="s">
        <v>44</v>
      </c>
      <c r="H492" t="s">
        <v>138</v>
      </c>
      <c r="I492" t="s">
        <v>868</v>
      </c>
      <c r="J492">
        <v>5</v>
      </c>
      <c r="K492">
        <v>3561</v>
      </c>
      <c r="L492">
        <v>0.16</v>
      </c>
      <c r="M492">
        <v>2991.24</v>
      </c>
      <c r="N492">
        <v>14956.2</v>
      </c>
      <c r="O492">
        <v>0.35</v>
      </c>
      <c r="P492">
        <v>5234.67</v>
      </c>
      <c r="Q492" t="s">
        <v>51</v>
      </c>
      <c r="R492" t="s">
        <v>48</v>
      </c>
      <c r="S492">
        <v>2</v>
      </c>
      <c r="T492">
        <f>YEAR(Sales_Data_1[[#This Row],[Order_Date]])</f>
        <v>2024</v>
      </c>
      <c r="U492" t="str">
        <f>TEXT(Sales_Data_1[[#This Row],[Order_Date]], "mmm")</f>
        <v>Feb</v>
      </c>
      <c r="V492">
        <f>MONTH(Sales_Data_1[[#This Row],[Order_Date]])</f>
        <v>2</v>
      </c>
      <c r="W492" t="str">
        <f>TEXT(Sales_Data_1[[#This Row],[Order_Date]], "yyyy-mm")</f>
        <v>2024-02</v>
      </c>
      <c r="X492">
        <f>Sales_Data_1[[#This Row],[Sales]]-Sales_Data_1[[#This Row],[Profit_Amount]]</f>
        <v>9721.5300000000007</v>
      </c>
      <c r="Y492" t="str" cm="1">
        <f t="array" ref="Y492">_xlfn.IFS(Sales_Data_1[[#This Row],[Delivery_Days]]&lt;=3, "Fast", Sales_Data_1[[#This Row],[Delivery_Days]]&lt;= 7, "Standard", TRUE, "Delayed")</f>
        <v>Fast</v>
      </c>
      <c r="Z492" t="str" cm="1">
        <f t="array" ref="Z492">_xlfn.IFS(Sales_Data_1[[#This Row],[Profit_Amount]]&gt; 0, "Profitable", Sales_Data_1[[#This Row],[Profit_Amount]] = 0, "Break-Even", TRUE, "Loss")</f>
        <v>Profitable</v>
      </c>
      <c r="AA492" t="str" cm="1">
        <f t="array" ref="AA492">_xlfn.IFS(Sales_Data_1[[#This Row],[Sales]]&gt;= 1000, "High Value", Sales_Data_1[[#This Row],[Sales]]&gt;= 300, "Mid Value", TRUE, "Low Value")</f>
        <v>High Value</v>
      </c>
    </row>
    <row r="493" spans="1:27" x14ac:dyDescent="0.3">
      <c r="A493" t="s">
        <v>2628</v>
      </c>
      <c r="B493" s="1">
        <v>45514</v>
      </c>
      <c r="C493" t="s">
        <v>63</v>
      </c>
      <c r="D493" t="s">
        <v>56</v>
      </c>
      <c r="E493" t="s">
        <v>2042</v>
      </c>
      <c r="F493" t="s">
        <v>103</v>
      </c>
      <c r="G493" t="s">
        <v>92</v>
      </c>
      <c r="H493" t="s">
        <v>178</v>
      </c>
      <c r="I493" t="s">
        <v>1238</v>
      </c>
      <c r="J493">
        <v>2</v>
      </c>
      <c r="K493">
        <v>20634</v>
      </c>
      <c r="L493">
        <v>0.15</v>
      </c>
      <c r="M493">
        <v>17538.900000000001</v>
      </c>
      <c r="N493">
        <v>35077.800000000003</v>
      </c>
      <c r="O493">
        <v>0.15</v>
      </c>
      <c r="P493">
        <v>5261.67</v>
      </c>
      <c r="Q493" t="s">
        <v>37</v>
      </c>
      <c r="R493" t="s">
        <v>48</v>
      </c>
      <c r="S493">
        <v>9</v>
      </c>
      <c r="T493">
        <f>YEAR(Sales_Data_1[[#This Row],[Order_Date]])</f>
        <v>2024</v>
      </c>
      <c r="U493" t="str">
        <f>TEXT(Sales_Data_1[[#This Row],[Order_Date]], "mmm")</f>
        <v>Aug</v>
      </c>
      <c r="V493">
        <f>MONTH(Sales_Data_1[[#This Row],[Order_Date]])</f>
        <v>8</v>
      </c>
      <c r="W493" t="str">
        <f>TEXT(Sales_Data_1[[#This Row],[Order_Date]], "yyyy-mm")</f>
        <v>2024-08</v>
      </c>
      <c r="X493">
        <f>Sales_Data_1[[#This Row],[Sales]]-Sales_Data_1[[#This Row],[Profit_Amount]]</f>
        <v>29816.130000000005</v>
      </c>
      <c r="Y493" t="str" cm="1">
        <f t="array" ref="Y493">_xlfn.IFS(Sales_Data_1[[#This Row],[Delivery_Days]]&lt;=3, "Fast", Sales_Data_1[[#This Row],[Delivery_Days]]&lt;= 7, "Standard", TRUE, "Delayed")</f>
        <v>Delayed</v>
      </c>
      <c r="Z493" t="str" cm="1">
        <f t="array" ref="Z493">_xlfn.IFS(Sales_Data_1[[#This Row],[Profit_Amount]]&gt; 0, "Profitable", Sales_Data_1[[#This Row],[Profit_Amount]] = 0, "Break-Even", TRUE, "Loss")</f>
        <v>Profitable</v>
      </c>
      <c r="AA493" t="str" cm="1">
        <f t="array" ref="AA493">_xlfn.IFS(Sales_Data_1[[#This Row],[Sales]]&gt;= 1000, "High Value", Sales_Data_1[[#This Row],[Sales]]&gt;= 300, "Mid Value", TRUE, "Low Value")</f>
        <v>High Value</v>
      </c>
    </row>
    <row r="494" spans="1:27" x14ac:dyDescent="0.3">
      <c r="A494" t="s">
        <v>2755</v>
      </c>
      <c r="B494" s="1">
        <v>45641</v>
      </c>
      <c r="C494" t="s">
        <v>30</v>
      </c>
      <c r="D494" t="s">
        <v>31</v>
      </c>
      <c r="E494" t="s">
        <v>42</v>
      </c>
      <c r="F494" t="s">
        <v>23</v>
      </c>
      <c r="G494" t="s">
        <v>44</v>
      </c>
      <c r="H494" t="s">
        <v>116</v>
      </c>
      <c r="I494" t="s">
        <v>1485</v>
      </c>
      <c r="J494">
        <v>4</v>
      </c>
      <c r="K494">
        <v>4178</v>
      </c>
      <c r="L494">
        <v>0.1</v>
      </c>
      <c r="M494">
        <v>3760.2</v>
      </c>
      <c r="N494">
        <v>15040.8</v>
      </c>
      <c r="O494">
        <v>0.35</v>
      </c>
      <c r="P494">
        <v>5264.28</v>
      </c>
      <c r="Q494" t="s">
        <v>37</v>
      </c>
      <c r="R494" t="s">
        <v>48</v>
      </c>
      <c r="S494">
        <v>1</v>
      </c>
      <c r="T494">
        <f>YEAR(Sales_Data_1[[#This Row],[Order_Date]])</f>
        <v>2024</v>
      </c>
      <c r="U494" t="str">
        <f>TEXT(Sales_Data_1[[#This Row],[Order_Date]], "mmm")</f>
        <v>Dec</v>
      </c>
      <c r="V494">
        <f>MONTH(Sales_Data_1[[#This Row],[Order_Date]])</f>
        <v>12</v>
      </c>
      <c r="W494" t="str">
        <f>TEXT(Sales_Data_1[[#This Row],[Order_Date]], "yyyy-mm")</f>
        <v>2024-12</v>
      </c>
      <c r="X494">
        <f>Sales_Data_1[[#This Row],[Sales]]-Sales_Data_1[[#This Row],[Profit_Amount]]</f>
        <v>9776.52</v>
      </c>
      <c r="Y494" t="str" cm="1">
        <f t="array" ref="Y494">_xlfn.IFS(Sales_Data_1[[#This Row],[Delivery_Days]]&lt;=3, "Fast", Sales_Data_1[[#This Row],[Delivery_Days]]&lt;= 7, "Standard", TRUE, "Delayed")</f>
        <v>Fast</v>
      </c>
      <c r="Z494" t="str" cm="1">
        <f t="array" ref="Z494">_xlfn.IFS(Sales_Data_1[[#This Row],[Profit_Amount]]&gt; 0, "Profitable", Sales_Data_1[[#This Row],[Profit_Amount]] = 0, "Break-Even", TRUE, "Loss")</f>
        <v>Profitable</v>
      </c>
      <c r="AA494" t="str" cm="1">
        <f t="array" ref="AA494">_xlfn.IFS(Sales_Data_1[[#This Row],[Sales]]&gt;= 1000, "High Value", Sales_Data_1[[#This Row],[Sales]]&gt;= 300, "Mid Value", TRUE, "Low Value")</f>
        <v>High Value</v>
      </c>
    </row>
    <row r="495" spans="1:27" x14ac:dyDescent="0.3">
      <c r="A495" t="s">
        <v>2312</v>
      </c>
      <c r="B495" s="1">
        <v>45198</v>
      </c>
      <c r="C495" t="s">
        <v>30</v>
      </c>
      <c r="D495" t="s">
        <v>21</v>
      </c>
      <c r="E495" t="s">
        <v>67</v>
      </c>
      <c r="F495" t="s">
        <v>68</v>
      </c>
      <c r="G495" t="s">
        <v>92</v>
      </c>
      <c r="H495" t="s">
        <v>243</v>
      </c>
      <c r="I495" t="s">
        <v>614</v>
      </c>
      <c r="J495">
        <v>1</v>
      </c>
      <c r="K495">
        <v>36966</v>
      </c>
      <c r="L495">
        <v>0.05</v>
      </c>
      <c r="M495">
        <v>35117.699999999997</v>
      </c>
      <c r="N495">
        <v>35117.699999999997</v>
      </c>
      <c r="O495">
        <v>0.15</v>
      </c>
      <c r="P495">
        <v>5267.66</v>
      </c>
      <c r="Q495" t="s">
        <v>51</v>
      </c>
      <c r="R495" t="s">
        <v>48</v>
      </c>
      <c r="S495">
        <v>7</v>
      </c>
      <c r="T495">
        <f>YEAR(Sales_Data_1[[#This Row],[Order_Date]])</f>
        <v>2023</v>
      </c>
      <c r="U495" t="str">
        <f>TEXT(Sales_Data_1[[#This Row],[Order_Date]], "mmm")</f>
        <v>Sep</v>
      </c>
      <c r="V495">
        <f>MONTH(Sales_Data_1[[#This Row],[Order_Date]])</f>
        <v>9</v>
      </c>
      <c r="W495" t="str">
        <f>TEXT(Sales_Data_1[[#This Row],[Order_Date]], "yyyy-mm")</f>
        <v>2023-09</v>
      </c>
      <c r="X495">
        <f>Sales_Data_1[[#This Row],[Sales]]-Sales_Data_1[[#This Row],[Profit_Amount]]</f>
        <v>29850.039999999997</v>
      </c>
      <c r="Y495" t="str" cm="1">
        <f t="array" ref="Y495">_xlfn.IFS(Sales_Data_1[[#This Row],[Delivery_Days]]&lt;=3, "Fast", Sales_Data_1[[#This Row],[Delivery_Days]]&lt;= 7, "Standard", TRUE, "Delayed")</f>
        <v>Standard</v>
      </c>
      <c r="Z495" t="str" cm="1">
        <f t="array" ref="Z495">_xlfn.IFS(Sales_Data_1[[#This Row],[Profit_Amount]]&gt; 0, "Profitable", Sales_Data_1[[#This Row],[Profit_Amount]] = 0, "Break-Even", TRUE, "Loss")</f>
        <v>Profitable</v>
      </c>
      <c r="AA495" t="str" cm="1">
        <f t="array" ref="AA495">_xlfn.IFS(Sales_Data_1[[#This Row],[Sales]]&gt;= 1000, "High Value", Sales_Data_1[[#This Row],[Sales]]&gt;= 300, "Mid Value", TRUE, "Low Value")</f>
        <v>High Value</v>
      </c>
    </row>
    <row r="496" spans="1:27" x14ac:dyDescent="0.3">
      <c r="A496" t="s">
        <v>2930</v>
      </c>
      <c r="B496" s="1">
        <v>45816</v>
      </c>
      <c r="C496" t="s">
        <v>20</v>
      </c>
      <c r="D496" t="s">
        <v>21</v>
      </c>
      <c r="E496" t="s">
        <v>2042</v>
      </c>
      <c r="F496" t="s">
        <v>97</v>
      </c>
      <c r="G496" t="s">
        <v>24</v>
      </c>
      <c r="H496" t="s">
        <v>121</v>
      </c>
      <c r="I496" t="s">
        <v>1829</v>
      </c>
      <c r="J496">
        <v>4</v>
      </c>
      <c r="K496">
        <v>6347</v>
      </c>
      <c r="L496">
        <v>0.17</v>
      </c>
      <c r="M496">
        <v>5268.01</v>
      </c>
      <c r="N496">
        <v>21072.04</v>
      </c>
      <c r="O496">
        <v>0.25</v>
      </c>
      <c r="P496">
        <v>5268.01</v>
      </c>
      <c r="Q496" t="s">
        <v>51</v>
      </c>
      <c r="R496" t="s">
        <v>48</v>
      </c>
      <c r="S496">
        <v>7</v>
      </c>
      <c r="T496">
        <f>YEAR(Sales_Data_1[[#This Row],[Order_Date]])</f>
        <v>2025</v>
      </c>
      <c r="U496" t="str">
        <f>TEXT(Sales_Data_1[[#This Row],[Order_Date]], "mmm")</f>
        <v>Jun</v>
      </c>
      <c r="V496">
        <f>MONTH(Sales_Data_1[[#This Row],[Order_Date]])</f>
        <v>6</v>
      </c>
      <c r="W496" t="str">
        <f>TEXT(Sales_Data_1[[#This Row],[Order_Date]], "yyyy-mm")</f>
        <v>2025-06</v>
      </c>
      <c r="X496">
        <f>Sales_Data_1[[#This Row],[Sales]]-Sales_Data_1[[#This Row],[Profit_Amount]]</f>
        <v>15804.03</v>
      </c>
      <c r="Y496" t="str" cm="1">
        <f t="array" ref="Y496">_xlfn.IFS(Sales_Data_1[[#This Row],[Delivery_Days]]&lt;=3, "Fast", Sales_Data_1[[#This Row],[Delivery_Days]]&lt;= 7, "Standard", TRUE, "Delayed")</f>
        <v>Standard</v>
      </c>
      <c r="Z496" t="str" cm="1">
        <f t="array" ref="Z496">_xlfn.IFS(Sales_Data_1[[#This Row],[Profit_Amount]]&gt; 0, "Profitable", Sales_Data_1[[#This Row],[Profit_Amount]] = 0, "Break-Even", TRUE, "Loss")</f>
        <v>Profitable</v>
      </c>
      <c r="AA496" t="str" cm="1">
        <f t="array" ref="AA496">_xlfn.IFS(Sales_Data_1[[#This Row],[Sales]]&gt;= 1000, "High Value", Sales_Data_1[[#This Row],[Sales]]&gt;= 300, "Mid Value", TRUE, "Low Value")</f>
        <v>High Value</v>
      </c>
    </row>
    <row r="497" spans="1:27" x14ac:dyDescent="0.3">
      <c r="A497" t="s">
        <v>2301</v>
      </c>
      <c r="B497" s="1">
        <v>45187</v>
      </c>
      <c r="C497" t="s">
        <v>63</v>
      </c>
      <c r="D497" t="s">
        <v>21</v>
      </c>
      <c r="E497" t="s">
        <v>2042</v>
      </c>
      <c r="F497" t="s">
        <v>68</v>
      </c>
      <c r="G497" t="s">
        <v>57</v>
      </c>
      <c r="H497" t="s">
        <v>183</v>
      </c>
      <c r="I497" t="s">
        <v>592</v>
      </c>
      <c r="J497">
        <v>5</v>
      </c>
      <c r="K497">
        <v>6760</v>
      </c>
      <c r="L497">
        <v>0.22</v>
      </c>
      <c r="M497">
        <v>5272.8</v>
      </c>
      <c r="N497">
        <v>26364</v>
      </c>
      <c r="O497">
        <v>0.2</v>
      </c>
      <c r="P497">
        <v>5272.8</v>
      </c>
      <c r="Q497" t="s">
        <v>27</v>
      </c>
      <c r="R497" t="s">
        <v>48</v>
      </c>
      <c r="S497">
        <v>6</v>
      </c>
      <c r="T497">
        <f>YEAR(Sales_Data_1[[#This Row],[Order_Date]])</f>
        <v>2023</v>
      </c>
      <c r="U497" t="str">
        <f>TEXT(Sales_Data_1[[#This Row],[Order_Date]], "mmm")</f>
        <v>Sep</v>
      </c>
      <c r="V497">
        <f>MONTH(Sales_Data_1[[#This Row],[Order_Date]])</f>
        <v>9</v>
      </c>
      <c r="W497" t="str">
        <f>TEXT(Sales_Data_1[[#This Row],[Order_Date]], "yyyy-mm")</f>
        <v>2023-09</v>
      </c>
      <c r="X497">
        <f>Sales_Data_1[[#This Row],[Sales]]-Sales_Data_1[[#This Row],[Profit_Amount]]</f>
        <v>21091.200000000001</v>
      </c>
      <c r="Y497" t="str" cm="1">
        <f t="array" ref="Y497">_xlfn.IFS(Sales_Data_1[[#This Row],[Delivery_Days]]&lt;=3, "Fast", Sales_Data_1[[#This Row],[Delivery_Days]]&lt;= 7, "Standard", TRUE, "Delayed")</f>
        <v>Standard</v>
      </c>
      <c r="Z497" t="str" cm="1">
        <f t="array" ref="Z497">_xlfn.IFS(Sales_Data_1[[#This Row],[Profit_Amount]]&gt; 0, "Profitable", Sales_Data_1[[#This Row],[Profit_Amount]] = 0, "Break-Even", TRUE, "Loss")</f>
        <v>Profitable</v>
      </c>
      <c r="AA497" t="str" cm="1">
        <f t="array" ref="AA497">_xlfn.IFS(Sales_Data_1[[#This Row],[Sales]]&gt;= 1000, "High Value", Sales_Data_1[[#This Row],[Sales]]&gt;= 300, "Mid Value", TRUE, "Low Value")</f>
        <v>High Value</v>
      </c>
    </row>
    <row r="498" spans="1:27" x14ac:dyDescent="0.3">
      <c r="A498" t="s">
        <v>2382</v>
      </c>
      <c r="B498" s="1">
        <v>45268</v>
      </c>
      <c r="C498" t="s">
        <v>55</v>
      </c>
      <c r="D498" t="s">
        <v>21</v>
      </c>
      <c r="E498" t="s">
        <v>67</v>
      </c>
      <c r="F498" t="s">
        <v>23</v>
      </c>
      <c r="G498" t="s">
        <v>24</v>
      </c>
      <c r="H498" t="s">
        <v>186</v>
      </c>
      <c r="I498" t="s">
        <v>752</v>
      </c>
      <c r="J498">
        <v>5</v>
      </c>
      <c r="K498">
        <v>4683</v>
      </c>
      <c r="L498">
        <v>0.09</v>
      </c>
      <c r="M498">
        <v>4261.53</v>
      </c>
      <c r="N498">
        <v>21307.65</v>
      </c>
      <c r="O498">
        <v>0.25</v>
      </c>
      <c r="P498">
        <v>5326.91</v>
      </c>
      <c r="Q498" t="s">
        <v>37</v>
      </c>
      <c r="R498" t="s">
        <v>48</v>
      </c>
      <c r="S498">
        <v>4</v>
      </c>
      <c r="T498">
        <f>YEAR(Sales_Data_1[[#This Row],[Order_Date]])</f>
        <v>2023</v>
      </c>
      <c r="U498" t="str">
        <f>TEXT(Sales_Data_1[[#This Row],[Order_Date]], "mmm")</f>
        <v>Dec</v>
      </c>
      <c r="V498">
        <f>MONTH(Sales_Data_1[[#This Row],[Order_Date]])</f>
        <v>12</v>
      </c>
      <c r="W498" t="str">
        <f>TEXT(Sales_Data_1[[#This Row],[Order_Date]], "yyyy-mm")</f>
        <v>2023-12</v>
      </c>
      <c r="X498">
        <f>Sales_Data_1[[#This Row],[Sales]]-Sales_Data_1[[#This Row],[Profit_Amount]]</f>
        <v>15980.740000000002</v>
      </c>
      <c r="Y498" t="str" cm="1">
        <f t="array" ref="Y498">_xlfn.IFS(Sales_Data_1[[#This Row],[Delivery_Days]]&lt;=3, "Fast", Sales_Data_1[[#This Row],[Delivery_Days]]&lt;= 7, "Standard", TRUE, "Delayed")</f>
        <v>Standard</v>
      </c>
      <c r="Z498" t="str" cm="1">
        <f t="array" ref="Z498">_xlfn.IFS(Sales_Data_1[[#This Row],[Profit_Amount]]&gt; 0, "Profitable", Sales_Data_1[[#This Row],[Profit_Amount]] = 0, "Break-Even", TRUE, "Loss")</f>
        <v>Profitable</v>
      </c>
      <c r="AA498" t="str" cm="1">
        <f t="array" ref="AA498">_xlfn.IFS(Sales_Data_1[[#This Row],[Sales]]&gt;= 1000, "High Value", Sales_Data_1[[#This Row],[Sales]]&gt;= 300, "Mid Value", TRUE, "Low Value")</f>
        <v>High Value</v>
      </c>
    </row>
    <row r="499" spans="1:27" x14ac:dyDescent="0.3">
      <c r="A499" t="s">
        <v>2334</v>
      </c>
      <c r="B499" s="1">
        <v>45220</v>
      </c>
      <c r="C499" t="s">
        <v>40</v>
      </c>
      <c r="D499" t="s">
        <v>21</v>
      </c>
      <c r="E499" t="s">
        <v>2042</v>
      </c>
      <c r="F499" t="s">
        <v>103</v>
      </c>
      <c r="G499" t="s">
        <v>24</v>
      </c>
      <c r="H499" t="s">
        <v>74</v>
      </c>
      <c r="I499" t="s">
        <v>657</v>
      </c>
      <c r="J499">
        <v>3</v>
      </c>
      <c r="K499">
        <v>7894</v>
      </c>
      <c r="L499">
        <v>0.1</v>
      </c>
      <c r="M499">
        <v>7104.6</v>
      </c>
      <c r="N499">
        <v>21313.8</v>
      </c>
      <c r="O499">
        <v>0.25</v>
      </c>
      <c r="P499">
        <v>5328.45</v>
      </c>
      <c r="Q499" t="s">
        <v>51</v>
      </c>
      <c r="R499" t="s">
        <v>48</v>
      </c>
      <c r="S499">
        <v>2</v>
      </c>
      <c r="T499">
        <f>YEAR(Sales_Data_1[[#This Row],[Order_Date]])</f>
        <v>2023</v>
      </c>
      <c r="U499" t="str">
        <f>TEXT(Sales_Data_1[[#This Row],[Order_Date]], "mmm")</f>
        <v>Oct</v>
      </c>
      <c r="V499">
        <f>MONTH(Sales_Data_1[[#This Row],[Order_Date]])</f>
        <v>10</v>
      </c>
      <c r="W499" t="str">
        <f>TEXT(Sales_Data_1[[#This Row],[Order_Date]], "yyyy-mm")</f>
        <v>2023-10</v>
      </c>
      <c r="X499">
        <f>Sales_Data_1[[#This Row],[Sales]]-Sales_Data_1[[#This Row],[Profit_Amount]]</f>
        <v>15985.349999999999</v>
      </c>
      <c r="Y499" t="str" cm="1">
        <f t="array" ref="Y499">_xlfn.IFS(Sales_Data_1[[#This Row],[Delivery_Days]]&lt;=3, "Fast", Sales_Data_1[[#This Row],[Delivery_Days]]&lt;= 7, "Standard", TRUE, "Delayed")</f>
        <v>Fast</v>
      </c>
      <c r="Z499" t="str" cm="1">
        <f t="array" ref="Z499">_xlfn.IFS(Sales_Data_1[[#This Row],[Profit_Amount]]&gt; 0, "Profitable", Sales_Data_1[[#This Row],[Profit_Amount]] = 0, "Break-Even", TRUE, "Loss")</f>
        <v>Profitable</v>
      </c>
      <c r="AA499" t="str" cm="1">
        <f t="array" ref="AA499">_xlfn.IFS(Sales_Data_1[[#This Row],[Sales]]&gt;= 1000, "High Value", Sales_Data_1[[#This Row],[Sales]]&gt;= 300, "Mid Value", TRUE, "Low Value")</f>
        <v>High Value</v>
      </c>
    </row>
    <row r="500" spans="1:27" x14ac:dyDescent="0.3">
      <c r="A500" t="s">
        <v>2064</v>
      </c>
      <c r="B500" s="1">
        <v>44950</v>
      </c>
      <c r="C500" t="s">
        <v>55</v>
      </c>
      <c r="D500" t="s">
        <v>41</v>
      </c>
      <c r="E500" t="s">
        <v>2040</v>
      </c>
      <c r="F500" t="s">
        <v>97</v>
      </c>
      <c r="G500" t="s">
        <v>92</v>
      </c>
      <c r="H500" t="s">
        <v>109</v>
      </c>
      <c r="I500" t="s">
        <v>110</v>
      </c>
      <c r="J500">
        <v>1</v>
      </c>
      <c r="K500">
        <v>43662</v>
      </c>
      <c r="L500">
        <v>0.18</v>
      </c>
      <c r="M500">
        <v>35802.839999999997</v>
      </c>
      <c r="N500">
        <v>35802.839999999997</v>
      </c>
      <c r="O500">
        <v>0.15</v>
      </c>
      <c r="P500">
        <v>5370.43</v>
      </c>
      <c r="Q500" t="s">
        <v>47</v>
      </c>
      <c r="R500" t="s">
        <v>48</v>
      </c>
      <c r="S500">
        <v>3</v>
      </c>
      <c r="T500">
        <f>YEAR(Sales_Data_1[[#This Row],[Order_Date]])</f>
        <v>2023</v>
      </c>
      <c r="U500" t="str">
        <f>TEXT(Sales_Data_1[[#This Row],[Order_Date]], "mmm")</f>
        <v>Jan</v>
      </c>
      <c r="V500">
        <f>MONTH(Sales_Data_1[[#This Row],[Order_Date]])</f>
        <v>1</v>
      </c>
      <c r="W500" t="str">
        <f>TEXT(Sales_Data_1[[#This Row],[Order_Date]], "yyyy-mm")</f>
        <v>2023-01</v>
      </c>
      <c r="X500">
        <f>Sales_Data_1[[#This Row],[Sales]]-Sales_Data_1[[#This Row],[Profit_Amount]]</f>
        <v>30432.409999999996</v>
      </c>
      <c r="Y500" t="str" cm="1">
        <f t="array" ref="Y500">_xlfn.IFS(Sales_Data_1[[#This Row],[Delivery_Days]]&lt;=3, "Fast", Sales_Data_1[[#This Row],[Delivery_Days]]&lt;= 7, "Standard", TRUE, "Delayed")</f>
        <v>Fast</v>
      </c>
      <c r="Z500" t="str" cm="1">
        <f t="array" ref="Z500">_xlfn.IFS(Sales_Data_1[[#This Row],[Profit_Amount]]&gt; 0, "Profitable", Sales_Data_1[[#This Row],[Profit_Amount]] = 0, "Break-Even", TRUE, "Loss")</f>
        <v>Profitable</v>
      </c>
      <c r="AA500" t="str" cm="1">
        <f t="array" ref="AA500">_xlfn.IFS(Sales_Data_1[[#This Row],[Sales]]&gt;= 1000, "High Value", Sales_Data_1[[#This Row],[Sales]]&gt;= 300, "Mid Value", TRUE, "Low Value")</f>
        <v>High Value</v>
      </c>
    </row>
    <row r="501" spans="1:27" x14ac:dyDescent="0.3">
      <c r="A501" t="s">
        <v>2571</v>
      </c>
      <c r="B501" s="1">
        <v>45457</v>
      </c>
      <c r="C501" t="s">
        <v>40</v>
      </c>
      <c r="D501" t="s">
        <v>31</v>
      </c>
      <c r="E501" t="s">
        <v>2040</v>
      </c>
      <c r="F501" t="s">
        <v>68</v>
      </c>
      <c r="G501" t="s">
        <v>57</v>
      </c>
      <c r="H501" t="s">
        <v>81</v>
      </c>
      <c r="I501" t="s">
        <v>1125</v>
      </c>
      <c r="J501">
        <v>2</v>
      </c>
      <c r="K501">
        <v>14168</v>
      </c>
      <c r="L501">
        <v>0.05</v>
      </c>
      <c r="M501">
        <v>13459.6</v>
      </c>
      <c r="N501">
        <v>26919.200000000001</v>
      </c>
      <c r="O501">
        <v>0.2</v>
      </c>
      <c r="P501">
        <v>5383.84</v>
      </c>
      <c r="Q501" t="s">
        <v>51</v>
      </c>
      <c r="R501" t="s">
        <v>48</v>
      </c>
      <c r="S501">
        <v>2</v>
      </c>
      <c r="T501">
        <f>YEAR(Sales_Data_1[[#This Row],[Order_Date]])</f>
        <v>2024</v>
      </c>
      <c r="U501" t="str">
        <f>TEXT(Sales_Data_1[[#This Row],[Order_Date]], "mmm")</f>
        <v>Jun</v>
      </c>
      <c r="V501">
        <f>MONTH(Sales_Data_1[[#This Row],[Order_Date]])</f>
        <v>6</v>
      </c>
      <c r="W501" t="str">
        <f>TEXT(Sales_Data_1[[#This Row],[Order_Date]], "yyyy-mm")</f>
        <v>2024-06</v>
      </c>
      <c r="X501">
        <f>Sales_Data_1[[#This Row],[Sales]]-Sales_Data_1[[#This Row],[Profit_Amount]]</f>
        <v>21535.360000000001</v>
      </c>
      <c r="Y501" t="str" cm="1">
        <f t="array" ref="Y501">_xlfn.IFS(Sales_Data_1[[#This Row],[Delivery_Days]]&lt;=3, "Fast", Sales_Data_1[[#This Row],[Delivery_Days]]&lt;= 7, "Standard", TRUE, "Delayed")</f>
        <v>Fast</v>
      </c>
      <c r="Z501" t="str" cm="1">
        <f t="array" ref="Z501">_xlfn.IFS(Sales_Data_1[[#This Row],[Profit_Amount]]&gt; 0, "Profitable", Sales_Data_1[[#This Row],[Profit_Amount]] = 0, "Break-Even", TRUE, "Loss")</f>
        <v>Profitable</v>
      </c>
      <c r="AA501" t="str" cm="1">
        <f t="array" ref="AA501">_xlfn.IFS(Sales_Data_1[[#This Row],[Sales]]&gt;= 1000, "High Value", Sales_Data_1[[#This Row],[Sales]]&gt;= 300, "Mid Value", TRUE, "Low Value")</f>
        <v>High Value</v>
      </c>
    </row>
    <row r="502" spans="1:27" x14ac:dyDescent="0.3">
      <c r="A502" t="s">
        <v>2617</v>
      </c>
      <c r="B502" s="1">
        <v>45503</v>
      </c>
      <c r="C502" t="s">
        <v>20</v>
      </c>
      <c r="D502" t="s">
        <v>41</v>
      </c>
      <c r="E502" t="s">
        <v>67</v>
      </c>
      <c r="F502" t="s">
        <v>23</v>
      </c>
      <c r="G502" t="s">
        <v>57</v>
      </c>
      <c r="H502" t="s">
        <v>183</v>
      </c>
      <c r="I502" t="s">
        <v>1216</v>
      </c>
      <c r="J502">
        <v>2</v>
      </c>
      <c r="K502">
        <v>16828</v>
      </c>
      <c r="L502">
        <v>0.2</v>
      </c>
      <c r="M502">
        <v>13462.4</v>
      </c>
      <c r="N502">
        <v>26924.799999999999</v>
      </c>
      <c r="O502">
        <v>0.2</v>
      </c>
      <c r="P502">
        <v>5384.96</v>
      </c>
      <c r="Q502" t="s">
        <v>37</v>
      </c>
      <c r="R502" t="s">
        <v>48</v>
      </c>
      <c r="S502">
        <v>2</v>
      </c>
      <c r="T502">
        <f>YEAR(Sales_Data_1[[#This Row],[Order_Date]])</f>
        <v>2024</v>
      </c>
      <c r="U502" t="str">
        <f>TEXT(Sales_Data_1[[#This Row],[Order_Date]], "mmm")</f>
        <v>Jul</v>
      </c>
      <c r="V502">
        <f>MONTH(Sales_Data_1[[#This Row],[Order_Date]])</f>
        <v>7</v>
      </c>
      <c r="W502" t="str">
        <f>TEXT(Sales_Data_1[[#This Row],[Order_Date]], "yyyy-mm")</f>
        <v>2024-07</v>
      </c>
      <c r="X502">
        <f>Sales_Data_1[[#This Row],[Sales]]-Sales_Data_1[[#This Row],[Profit_Amount]]</f>
        <v>21539.84</v>
      </c>
      <c r="Y502" t="str" cm="1">
        <f t="array" ref="Y502">_xlfn.IFS(Sales_Data_1[[#This Row],[Delivery_Days]]&lt;=3, "Fast", Sales_Data_1[[#This Row],[Delivery_Days]]&lt;= 7, "Standard", TRUE, "Delayed")</f>
        <v>Fast</v>
      </c>
      <c r="Z502" t="str" cm="1">
        <f t="array" ref="Z502">_xlfn.IFS(Sales_Data_1[[#This Row],[Profit_Amount]]&gt; 0, "Profitable", Sales_Data_1[[#This Row],[Profit_Amount]] = 0, "Break-Even", TRUE, "Loss")</f>
        <v>Profitable</v>
      </c>
      <c r="AA502" t="str" cm="1">
        <f t="array" ref="AA502">_xlfn.IFS(Sales_Data_1[[#This Row],[Sales]]&gt;= 1000, "High Value", Sales_Data_1[[#This Row],[Sales]]&gt;= 300, "Mid Value", TRUE, "Low Value")</f>
        <v>High Value</v>
      </c>
    </row>
    <row r="503" spans="1:27" x14ac:dyDescent="0.3">
      <c r="A503" t="s">
        <v>2222</v>
      </c>
      <c r="B503" s="1">
        <v>45108</v>
      </c>
      <c r="C503" t="s">
        <v>96</v>
      </c>
      <c r="D503" t="s">
        <v>56</v>
      </c>
      <c r="E503" t="s">
        <v>67</v>
      </c>
      <c r="F503" t="s">
        <v>43</v>
      </c>
      <c r="G503" t="s">
        <v>44</v>
      </c>
      <c r="H503" t="s">
        <v>45</v>
      </c>
      <c r="I503" t="s">
        <v>434</v>
      </c>
      <c r="J503">
        <v>6</v>
      </c>
      <c r="K503">
        <v>3293</v>
      </c>
      <c r="L503">
        <v>0.22</v>
      </c>
      <c r="M503">
        <v>2568.54</v>
      </c>
      <c r="N503">
        <v>15411.24</v>
      </c>
      <c r="O503">
        <v>0.35</v>
      </c>
      <c r="P503">
        <v>5393.93</v>
      </c>
      <c r="Q503" t="s">
        <v>47</v>
      </c>
      <c r="R503" t="s">
        <v>48</v>
      </c>
      <c r="S503">
        <v>6</v>
      </c>
      <c r="T503">
        <f>YEAR(Sales_Data_1[[#This Row],[Order_Date]])</f>
        <v>2023</v>
      </c>
      <c r="U503" t="str">
        <f>TEXT(Sales_Data_1[[#This Row],[Order_Date]], "mmm")</f>
        <v>Jul</v>
      </c>
      <c r="V503">
        <f>MONTH(Sales_Data_1[[#This Row],[Order_Date]])</f>
        <v>7</v>
      </c>
      <c r="W503" t="str">
        <f>TEXT(Sales_Data_1[[#This Row],[Order_Date]], "yyyy-mm")</f>
        <v>2023-07</v>
      </c>
      <c r="X503">
        <f>Sales_Data_1[[#This Row],[Sales]]-Sales_Data_1[[#This Row],[Profit_Amount]]</f>
        <v>10017.31</v>
      </c>
      <c r="Y503" t="str" cm="1">
        <f t="array" ref="Y503">_xlfn.IFS(Sales_Data_1[[#This Row],[Delivery_Days]]&lt;=3, "Fast", Sales_Data_1[[#This Row],[Delivery_Days]]&lt;= 7, "Standard", TRUE, "Delayed")</f>
        <v>Standard</v>
      </c>
      <c r="Z503" t="str" cm="1">
        <f t="array" ref="Z503">_xlfn.IFS(Sales_Data_1[[#This Row],[Profit_Amount]]&gt; 0, "Profitable", Sales_Data_1[[#This Row],[Profit_Amount]] = 0, "Break-Even", TRUE, "Loss")</f>
        <v>Profitable</v>
      </c>
      <c r="AA503" t="str" cm="1">
        <f t="array" ref="AA503">_xlfn.IFS(Sales_Data_1[[#This Row],[Sales]]&gt;= 1000, "High Value", Sales_Data_1[[#This Row],[Sales]]&gt;= 300, "Mid Value", TRUE, "Low Value")</f>
        <v>High Value</v>
      </c>
    </row>
    <row r="504" spans="1:27" x14ac:dyDescent="0.3">
      <c r="A504" t="s">
        <v>2282</v>
      </c>
      <c r="B504" s="1">
        <v>45168</v>
      </c>
      <c r="C504" t="s">
        <v>20</v>
      </c>
      <c r="D504" t="s">
        <v>41</v>
      </c>
      <c r="E504" t="s">
        <v>2042</v>
      </c>
      <c r="F504" t="s">
        <v>43</v>
      </c>
      <c r="G504" t="s">
        <v>92</v>
      </c>
      <c r="H504" t="s">
        <v>109</v>
      </c>
      <c r="I504" t="s">
        <v>554</v>
      </c>
      <c r="J504">
        <v>1</v>
      </c>
      <c r="K504">
        <v>45643</v>
      </c>
      <c r="L504">
        <v>0.21</v>
      </c>
      <c r="M504">
        <v>36057.97</v>
      </c>
      <c r="N504">
        <v>36057.97</v>
      </c>
      <c r="O504">
        <v>0.15</v>
      </c>
      <c r="P504">
        <v>5408.7</v>
      </c>
      <c r="Q504" t="s">
        <v>47</v>
      </c>
      <c r="R504" t="s">
        <v>48</v>
      </c>
      <c r="S504">
        <v>5</v>
      </c>
      <c r="T504">
        <f>YEAR(Sales_Data_1[[#This Row],[Order_Date]])</f>
        <v>2023</v>
      </c>
      <c r="U504" t="str">
        <f>TEXT(Sales_Data_1[[#This Row],[Order_Date]], "mmm")</f>
        <v>Aug</v>
      </c>
      <c r="V504">
        <f>MONTH(Sales_Data_1[[#This Row],[Order_Date]])</f>
        <v>8</v>
      </c>
      <c r="W504" t="str">
        <f>TEXT(Sales_Data_1[[#This Row],[Order_Date]], "yyyy-mm")</f>
        <v>2023-08</v>
      </c>
      <c r="X504">
        <f>Sales_Data_1[[#This Row],[Sales]]-Sales_Data_1[[#This Row],[Profit_Amount]]</f>
        <v>30649.27</v>
      </c>
      <c r="Y504" t="str" cm="1">
        <f t="array" ref="Y504">_xlfn.IFS(Sales_Data_1[[#This Row],[Delivery_Days]]&lt;=3, "Fast", Sales_Data_1[[#This Row],[Delivery_Days]]&lt;= 7, "Standard", TRUE, "Delayed")</f>
        <v>Standard</v>
      </c>
      <c r="Z504" t="str" cm="1">
        <f t="array" ref="Z504">_xlfn.IFS(Sales_Data_1[[#This Row],[Profit_Amount]]&gt; 0, "Profitable", Sales_Data_1[[#This Row],[Profit_Amount]] = 0, "Break-Even", TRUE, "Loss")</f>
        <v>Profitable</v>
      </c>
      <c r="AA504" t="str" cm="1">
        <f t="array" ref="AA504">_xlfn.IFS(Sales_Data_1[[#This Row],[Sales]]&gt;= 1000, "High Value", Sales_Data_1[[#This Row],[Sales]]&gt;= 300, "Mid Value", TRUE, "Low Value")</f>
        <v>High Value</v>
      </c>
    </row>
    <row r="505" spans="1:27" x14ac:dyDescent="0.3">
      <c r="A505" t="s">
        <v>2495</v>
      </c>
      <c r="B505" s="1">
        <v>45381</v>
      </c>
      <c r="C505" t="s">
        <v>63</v>
      </c>
      <c r="D505" t="s">
        <v>41</v>
      </c>
      <c r="E505" t="s">
        <v>67</v>
      </c>
      <c r="F505" t="s">
        <v>23</v>
      </c>
      <c r="G505" t="s">
        <v>24</v>
      </c>
      <c r="H505" t="s">
        <v>74</v>
      </c>
      <c r="I505" t="s">
        <v>975</v>
      </c>
      <c r="J505">
        <v>2</v>
      </c>
      <c r="K505">
        <v>10917</v>
      </c>
      <c r="L505">
        <v>0</v>
      </c>
      <c r="M505">
        <v>10917</v>
      </c>
      <c r="N505">
        <v>21834</v>
      </c>
      <c r="O505">
        <v>0.25</v>
      </c>
      <c r="P505">
        <v>5458.5</v>
      </c>
      <c r="Q505" t="s">
        <v>37</v>
      </c>
      <c r="R505" t="s">
        <v>48</v>
      </c>
      <c r="S505">
        <v>6</v>
      </c>
      <c r="T505">
        <f>YEAR(Sales_Data_1[[#This Row],[Order_Date]])</f>
        <v>2024</v>
      </c>
      <c r="U505" t="str">
        <f>TEXT(Sales_Data_1[[#This Row],[Order_Date]], "mmm")</f>
        <v>Mar</v>
      </c>
      <c r="V505">
        <f>MONTH(Sales_Data_1[[#This Row],[Order_Date]])</f>
        <v>3</v>
      </c>
      <c r="W505" t="str">
        <f>TEXT(Sales_Data_1[[#This Row],[Order_Date]], "yyyy-mm")</f>
        <v>2024-03</v>
      </c>
      <c r="X505">
        <f>Sales_Data_1[[#This Row],[Sales]]-Sales_Data_1[[#This Row],[Profit_Amount]]</f>
        <v>16375.5</v>
      </c>
      <c r="Y505" t="str" cm="1">
        <f t="array" ref="Y505">_xlfn.IFS(Sales_Data_1[[#This Row],[Delivery_Days]]&lt;=3, "Fast", Sales_Data_1[[#This Row],[Delivery_Days]]&lt;= 7, "Standard", TRUE, "Delayed")</f>
        <v>Standard</v>
      </c>
      <c r="Z505" t="str" cm="1">
        <f t="array" ref="Z505">_xlfn.IFS(Sales_Data_1[[#This Row],[Profit_Amount]]&gt; 0, "Profitable", Sales_Data_1[[#This Row],[Profit_Amount]] = 0, "Break-Even", TRUE, "Loss")</f>
        <v>Profitable</v>
      </c>
      <c r="AA505" t="str" cm="1">
        <f t="array" ref="AA505">_xlfn.IFS(Sales_Data_1[[#This Row],[Sales]]&gt;= 1000, "High Value", Sales_Data_1[[#This Row],[Sales]]&gt;= 300, "Mid Value", TRUE, "Low Value")</f>
        <v>High Value</v>
      </c>
    </row>
    <row r="506" spans="1:27" x14ac:dyDescent="0.3">
      <c r="A506" t="s">
        <v>2763</v>
      </c>
      <c r="B506" s="1">
        <v>45649</v>
      </c>
      <c r="C506" t="s">
        <v>20</v>
      </c>
      <c r="D506" t="s">
        <v>21</v>
      </c>
      <c r="E506" t="s">
        <v>42</v>
      </c>
      <c r="F506" t="s">
        <v>97</v>
      </c>
      <c r="G506" t="s">
        <v>57</v>
      </c>
      <c r="H506" t="s">
        <v>81</v>
      </c>
      <c r="I506" t="s">
        <v>1501</v>
      </c>
      <c r="J506">
        <v>9</v>
      </c>
      <c r="K506">
        <v>3376</v>
      </c>
      <c r="L506">
        <v>0.1</v>
      </c>
      <c r="M506">
        <v>3038.4</v>
      </c>
      <c r="N506">
        <v>27345.599999999999</v>
      </c>
      <c r="O506">
        <v>0.2</v>
      </c>
      <c r="P506">
        <v>5469.12</v>
      </c>
      <c r="Q506" t="s">
        <v>51</v>
      </c>
      <c r="R506" t="s">
        <v>48</v>
      </c>
      <c r="S506">
        <v>3</v>
      </c>
      <c r="T506">
        <f>YEAR(Sales_Data_1[[#This Row],[Order_Date]])</f>
        <v>2024</v>
      </c>
      <c r="U506" t="str">
        <f>TEXT(Sales_Data_1[[#This Row],[Order_Date]], "mmm")</f>
        <v>Dec</v>
      </c>
      <c r="V506">
        <f>MONTH(Sales_Data_1[[#This Row],[Order_Date]])</f>
        <v>12</v>
      </c>
      <c r="W506" t="str">
        <f>TEXT(Sales_Data_1[[#This Row],[Order_Date]], "yyyy-mm")</f>
        <v>2024-12</v>
      </c>
      <c r="X506">
        <f>Sales_Data_1[[#This Row],[Sales]]-Sales_Data_1[[#This Row],[Profit_Amount]]</f>
        <v>21876.48</v>
      </c>
      <c r="Y506" t="str" cm="1">
        <f t="array" ref="Y506">_xlfn.IFS(Sales_Data_1[[#This Row],[Delivery_Days]]&lt;=3, "Fast", Sales_Data_1[[#This Row],[Delivery_Days]]&lt;= 7, "Standard", TRUE, "Delayed")</f>
        <v>Fast</v>
      </c>
      <c r="Z506" t="str" cm="1">
        <f t="array" ref="Z506">_xlfn.IFS(Sales_Data_1[[#This Row],[Profit_Amount]]&gt; 0, "Profitable", Sales_Data_1[[#This Row],[Profit_Amount]] = 0, "Break-Even", TRUE, "Loss")</f>
        <v>Profitable</v>
      </c>
      <c r="AA506" t="str" cm="1">
        <f t="array" ref="AA506">_xlfn.IFS(Sales_Data_1[[#This Row],[Sales]]&gt;= 1000, "High Value", Sales_Data_1[[#This Row],[Sales]]&gt;= 300, "Mid Value", TRUE, "Low Value")</f>
        <v>High Value</v>
      </c>
    </row>
    <row r="507" spans="1:27" x14ac:dyDescent="0.3">
      <c r="A507" t="s">
        <v>2114</v>
      </c>
      <c r="B507" s="1">
        <v>45000</v>
      </c>
      <c r="C507" t="s">
        <v>63</v>
      </c>
      <c r="D507" t="s">
        <v>21</v>
      </c>
      <c r="E507" t="s">
        <v>2042</v>
      </c>
      <c r="F507" t="s">
        <v>33</v>
      </c>
      <c r="G507" t="s">
        <v>57</v>
      </c>
      <c r="H507" t="s">
        <v>183</v>
      </c>
      <c r="I507" t="s">
        <v>217</v>
      </c>
      <c r="J507">
        <v>2</v>
      </c>
      <c r="K507">
        <v>14003</v>
      </c>
      <c r="L507">
        <v>0.02</v>
      </c>
      <c r="M507">
        <v>13722.94</v>
      </c>
      <c r="N507">
        <v>27445.88</v>
      </c>
      <c r="O507">
        <v>0.2</v>
      </c>
      <c r="P507">
        <v>5489.18</v>
      </c>
      <c r="Q507" t="s">
        <v>37</v>
      </c>
      <c r="R507" t="s">
        <v>48</v>
      </c>
      <c r="S507">
        <v>5</v>
      </c>
      <c r="T507">
        <f>YEAR(Sales_Data_1[[#This Row],[Order_Date]])</f>
        <v>2023</v>
      </c>
      <c r="U507" t="str">
        <f>TEXT(Sales_Data_1[[#This Row],[Order_Date]], "mmm")</f>
        <v>Mar</v>
      </c>
      <c r="V507">
        <f>MONTH(Sales_Data_1[[#This Row],[Order_Date]])</f>
        <v>3</v>
      </c>
      <c r="W507" t="str">
        <f>TEXT(Sales_Data_1[[#This Row],[Order_Date]], "yyyy-mm")</f>
        <v>2023-03</v>
      </c>
      <c r="X507">
        <f>Sales_Data_1[[#This Row],[Sales]]-Sales_Data_1[[#This Row],[Profit_Amount]]</f>
        <v>21956.7</v>
      </c>
      <c r="Y507" t="str" cm="1">
        <f t="array" ref="Y507">_xlfn.IFS(Sales_Data_1[[#This Row],[Delivery_Days]]&lt;=3, "Fast", Sales_Data_1[[#This Row],[Delivery_Days]]&lt;= 7, "Standard", TRUE, "Delayed")</f>
        <v>Standard</v>
      </c>
      <c r="Z507" t="str" cm="1">
        <f t="array" ref="Z507">_xlfn.IFS(Sales_Data_1[[#This Row],[Profit_Amount]]&gt; 0, "Profitable", Sales_Data_1[[#This Row],[Profit_Amount]] = 0, "Break-Even", TRUE, "Loss")</f>
        <v>Profitable</v>
      </c>
      <c r="AA507" t="str" cm="1">
        <f t="array" ref="AA507">_xlfn.IFS(Sales_Data_1[[#This Row],[Sales]]&gt;= 1000, "High Value", Sales_Data_1[[#This Row],[Sales]]&gt;= 300, "Mid Value", TRUE, "Low Value")</f>
        <v>High Value</v>
      </c>
    </row>
    <row r="508" spans="1:27" x14ac:dyDescent="0.3">
      <c r="A508" t="s">
        <v>2511</v>
      </c>
      <c r="B508" s="1">
        <v>45397</v>
      </c>
      <c r="C508" t="s">
        <v>63</v>
      </c>
      <c r="D508" t="s">
        <v>41</v>
      </c>
      <c r="E508" t="s">
        <v>42</v>
      </c>
      <c r="F508" t="s">
        <v>23</v>
      </c>
      <c r="G508" t="s">
        <v>57</v>
      </c>
      <c r="H508" t="s">
        <v>81</v>
      </c>
      <c r="I508" t="s">
        <v>1007</v>
      </c>
      <c r="J508">
        <v>8</v>
      </c>
      <c r="K508">
        <v>3826</v>
      </c>
      <c r="L508">
        <v>0.1</v>
      </c>
      <c r="M508">
        <v>3443.4</v>
      </c>
      <c r="N508">
        <v>27547.200000000001</v>
      </c>
      <c r="O508">
        <v>0.2</v>
      </c>
      <c r="P508">
        <v>5509.44</v>
      </c>
      <c r="Q508" t="s">
        <v>37</v>
      </c>
      <c r="R508" t="s">
        <v>38</v>
      </c>
      <c r="S508">
        <v>5</v>
      </c>
      <c r="T508">
        <f>YEAR(Sales_Data_1[[#This Row],[Order_Date]])</f>
        <v>2024</v>
      </c>
      <c r="U508" t="str">
        <f>TEXT(Sales_Data_1[[#This Row],[Order_Date]], "mmm")</f>
        <v>Apr</v>
      </c>
      <c r="V508">
        <f>MONTH(Sales_Data_1[[#This Row],[Order_Date]])</f>
        <v>4</v>
      </c>
      <c r="W508" t="str">
        <f>TEXT(Sales_Data_1[[#This Row],[Order_Date]], "yyyy-mm")</f>
        <v>2024-04</v>
      </c>
      <c r="X508">
        <f>Sales_Data_1[[#This Row],[Sales]]-Sales_Data_1[[#This Row],[Profit_Amount]]</f>
        <v>22037.760000000002</v>
      </c>
      <c r="Y508" t="str" cm="1">
        <f t="array" ref="Y508">_xlfn.IFS(Sales_Data_1[[#This Row],[Delivery_Days]]&lt;=3, "Fast", Sales_Data_1[[#This Row],[Delivery_Days]]&lt;= 7, "Standard", TRUE, "Delayed")</f>
        <v>Standard</v>
      </c>
      <c r="Z508" t="str" cm="1">
        <f t="array" ref="Z508">_xlfn.IFS(Sales_Data_1[[#This Row],[Profit_Amount]]&gt; 0, "Profitable", Sales_Data_1[[#This Row],[Profit_Amount]] = 0, "Break-Even", TRUE, "Loss")</f>
        <v>Profitable</v>
      </c>
      <c r="AA508" t="str" cm="1">
        <f t="array" ref="AA508">_xlfn.IFS(Sales_Data_1[[#This Row],[Sales]]&gt;= 1000, "High Value", Sales_Data_1[[#This Row],[Sales]]&gt;= 300, "Mid Value", TRUE, "Low Value")</f>
        <v>High Value</v>
      </c>
    </row>
    <row r="509" spans="1:27" x14ac:dyDescent="0.3">
      <c r="A509" t="s">
        <v>2448</v>
      </c>
      <c r="B509" s="1">
        <v>45334</v>
      </c>
      <c r="C509" t="s">
        <v>96</v>
      </c>
      <c r="D509" t="s">
        <v>21</v>
      </c>
      <c r="E509" t="s">
        <v>42</v>
      </c>
      <c r="F509" t="s">
        <v>43</v>
      </c>
      <c r="G509" t="s">
        <v>24</v>
      </c>
      <c r="H509" t="s">
        <v>121</v>
      </c>
      <c r="I509" t="s">
        <v>882</v>
      </c>
      <c r="J509">
        <v>2</v>
      </c>
      <c r="K509">
        <v>11853</v>
      </c>
      <c r="L509">
        <v>7.0000000000000007E-2</v>
      </c>
      <c r="M509">
        <v>11023.29</v>
      </c>
      <c r="N509">
        <v>22046.58</v>
      </c>
      <c r="O509">
        <v>0.25</v>
      </c>
      <c r="P509">
        <v>5511.64</v>
      </c>
      <c r="Q509" t="s">
        <v>51</v>
      </c>
      <c r="R509" t="s">
        <v>48</v>
      </c>
      <c r="S509">
        <v>8</v>
      </c>
      <c r="T509">
        <f>YEAR(Sales_Data_1[[#This Row],[Order_Date]])</f>
        <v>2024</v>
      </c>
      <c r="U509" t="str">
        <f>TEXT(Sales_Data_1[[#This Row],[Order_Date]], "mmm")</f>
        <v>Feb</v>
      </c>
      <c r="V509">
        <f>MONTH(Sales_Data_1[[#This Row],[Order_Date]])</f>
        <v>2</v>
      </c>
      <c r="W509" t="str">
        <f>TEXT(Sales_Data_1[[#This Row],[Order_Date]], "yyyy-mm")</f>
        <v>2024-02</v>
      </c>
      <c r="X509">
        <f>Sales_Data_1[[#This Row],[Sales]]-Sales_Data_1[[#This Row],[Profit_Amount]]</f>
        <v>16534.940000000002</v>
      </c>
      <c r="Y509" t="str" cm="1">
        <f t="array" ref="Y509">_xlfn.IFS(Sales_Data_1[[#This Row],[Delivery_Days]]&lt;=3, "Fast", Sales_Data_1[[#This Row],[Delivery_Days]]&lt;= 7, "Standard", TRUE, "Delayed")</f>
        <v>Delayed</v>
      </c>
      <c r="Z509" t="str" cm="1">
        <f t="array" ref="Z509">_xlfn.IFS(Sales_Data_1[[#This Row],[Profit_Amount]]&gt; 0, "Profitable", Sales_Data_1[[#This Row],[Profit_Amount]] = 0, "Break-Even", TRUE, "Loss")</f>
        <v>Profitable</v>
      </c>
      <c r="AA509" t="str" cm="1">
        <f t="array" ref="AA509">_xlfn.IFS(Sales_Data_1[[#This Row],[Sales]]&gt;= 1000, "High Value", Sales_Data_1[[#This Row],[Sales]]&gt;= 300, "Mid Value", TRUE, "Low Value")</f>
        <v>High Value</v>
      </c>
    </row>
    <row r="510" spans="1:27" x14ac:dyDescent="0.3">
      <c r="A510" t="s">
        <v>2666</v>
      </c>
      <c r="B510" s="1">
        <v>45552</v>
      </c>
      <c r="C510" t="s">
        <v>55</v>
      </c>
      <c r="D510" t="s">
        <v>31</v>
      </c>
      <c r="E510" t="s">
        <v>2042</v>
      </c>
      <c r="F510" t="s">
        <v>103</v>
      </c>
      <c r="G510" t="s">
        <v>57</v>
      </c>
      <c r="H510" t="s">
        <v>58</v>
      </c>
      <c r="I510" t="s">
        <v>1312</v>
      </c>
      <c r="J510">
        <v>4</v>
      </c>
      <c r="K510">
        <v>9083</v>
      </c>
      <c r="L510">
        <v>0.24</v>
      </c>
      <c r="M510">
        <v>6903.08</v>
      </c>
      <c r="N510">
        <v>27612.32</v>
      </c>
      <c r="O510">
        <v>0.2</v>
      </c>
      <c r="P510">
        <v>5522.46</v>
      </c>
      <c r="Q510" t="s">
        <v>47</v>
      </c>
      <c r="R510" t="s">
        <v>48</v>
      </c>
      <c r="S510">
        <v>8</v>
      </c>
      <c r="T510">
        <f>YEAR(Sales_Data_1[[#This Row],[Order_Date]])</f>
        <v>2024</v>
      </c>
      <c r="U510" t="str">
        <f>TEXT(Sales_Data_1[[#This Row],[Order_Date]], "mmm")</f>
        <v>Sep</v>
      </c>
      <c r="V510">
        <f>MONTH(Sales_Data_1[[#This Row],[Order_Date]])</f>
        <v>9</v>
      </c>
      <c r="W510" t="str">
        <f>TEXT(Sales_Data_1[[#This Row],[Order_Date]], "yyyy-mm")</f>
        <v>2024-09</v>
      </c>
      <c r="X510">
        <f>Sales_Data_1[[#This Row],[Sales]]-Sales_Data_1[[#This Row],[Profit_Amount]]</f>
        <v>22089.86</v>
      </c>
      <c r="Y510" t="str" cm="1">
        <f t="array" ref="Y510">_xlfn.IFS(Sales_Data_1[[#This Row],[Delivery_Days]]&lt;=3, "Fast", Sales_Data_1[[#This Row],[Delivery_Days]]&lt;= 7, "Standard", TRUE, "Delayed")</f>
        <v>Delayed</v>
      </c>
      <c r="Z510" t="str" cm="1">
        <f t="array" ref="Z510">_xlfn.IFS(Sales_Data_1[[#This Row],[Profit_Amount]]&gt; 0, "Profitable", Sales_Data_1[[#This Row],[Profit_Amount]] = 0, "Break-Even", TRUE, "Loss")</f>
        <v>Profitable</v>
      </c>
      <c r="AA510" t="str" cm="1">
        <f t="array" ref="AA510">_xlfn.IFS(Sales_Data_1[[#This Row],[Sales]]&gt;= 1000, "High Value", Sales_Data_1[[#This Row],[Sales]]&gt;= 300, "Mid Value", TRUE, "Low Value")</f>
        <v>High Value</v>
      </c>
    </row>
    <row r="511" spans="1:27" x14ac:dyDescent="0.3">
      <c r="A511" t="s">
        <v>2237</v>
      </c>
      <c r="B511" s="1">
        <v>45123</v>
      </c>
      <c r="C511" t="s">
        <v>40</v>
      </c>
      <c r="D511" t="s">
        <v>41</v>
      </c>
      <c r="E511" t="s">
        <v>67</v>
      </c>
      <c r="F511" t="s">
        <v>68</v>
      </c>
      <c r="G511" t="s">
        <v>44</v>
      </c>
      <c r="H511" t="s">
        <v>64</v>
      </c>
      <c r="I511" t="s">
        <v>464</v>
      </c>
      <c r="J511">
        <v>4</v>
      </c>
      <c r="K511">
        <v>3985</v>
      </c>
      <c r="L511">
        <v>0.01</v>
      </c>
      <c r="M511">
        <v>3945.15</v>
      </c>
      <c r="N511">
        <v>15780.6</v>
      </c>
      <c r="O511">
        <v>0.35</v>
      </c>
      <c r="P511">
        <v>5523.21</v>
      </c>
      <c r="Q511" t="s">
        <v>37</v>
      </c>
      <c r="R511" t="s">
        <v>48</v>
      </c>
      <c r="S511">
        <v>9</v>
      </c>
      <c r="T511">
        <f>YEAR(Sales_Data_1[[#This Row],[Order_Date]])</f>
        <v>2023</v>
      </c>
      <c r="U511" t="str">
        <f>TEXT(Sales_Data_1[[#This Row],[Order_Date]], "mmm")</f>
        <v>Jul</v>
      </c>
      <c r="V511">
        <f>MONTH(Sales_Data_1[[#This Row],[Order_Date]])</f>
        <v>7</v>
      </c>
      <c r="W511" t="str">
        <f>TEXT(Sales_Data_1[[#This Row],[Order_Date]], "yyyy-mm")</f>
        <v>2023-07</v>
      </c>
      <c r="X511">
        <f>Sales_Data_1[[#This Row],[Sales]]-Sales_Data_1[[#This Row],[Profit_Amount]]</f>
        <v>10257.39</v>
      </c>
      <c r="Y511" t="str" cm="1">
        <f t="array" ref="Y511">_xlfn.IFS(Sales_Data_1[[#This Row],[Delivery_Days]]&lt;=3, "Fast", Sales_Data_1[[#This Row],[Delivery_Days]]&lt;= 7, "Standard", TRUE, "Delayed")</f>
        <v>Delayed</v>
      </c>
      <c r="Z511" t="str" cm="1">
        <f t="array" ref="Z511">_xlfn.IFS(Sales_Data_1[[#This Row],[Profit_Amount]]&gt; 0, "Profitable", Sales_Data_1[[#This Row],[Profit_Amount]] = 0, "Break-Even", TRUE, "Loss")</f>
        <v>Profitable</v>
      </c>
      <c r="AA511" t="str" cm="1">
        <f t="array" ref="AA511">_xlfn.IFS(Sales_Data_1[[#This Row],[Sales]]&gt;= 1000, "High Value", Sales_Data_1[[#This Row],[Sales]]&gt;= 300, "Mid Value", TRUE, "Low Value")</f>
        <v>High Value</v>
      </c>
    </row>
    <row r="512" spans="1:27" x14ac:dyDescent="0.3">
      <c r="A512" t="s">
        <v>2798</v>
      </c>
      <c r="B512" s="1">
        <v>45684</v>
      </c>
      <c r="C512" t="s">
        <v>20</v>
      </c>
      <c r="D512" t="s">
        <v>41</v>
      </c>
      <c r="E512" t="s">
        <v>42</v>
      </c>
      <c r="F512" t="s">
        <v>97</v>
      </c>
      <c r="G512" t="s">
        <v>57</v>
      </c>
      <c r="H512" t="s">
        <v>100</v>
      </c>
      <c r="I512" t="s">
        <v>1569</v>
      </c>
      <c r="J512">
        <v>6</v>
      </c>
      <c r="K512">
        <v>5983</v>
      </c>
      <c r="L512">
        <v>0.23</v>
      </c>
      <c r="M512">
        <v>4606.91</v>
      </c>
      <c r="N512">
        <v>27641.46</v>
      </c>
      <c r="O512">
        <v>0.2</v>
      </c>
      <c r="P512">
        <v>5528.29</v>
      </c>
      <c r="Q512" t="s">
        <v>37</v>
      </c>
      <c r="R512" t="s">
        <v>48</v>
      </c>
      <c r="S512">
        <v>7</v>
      </c>
      <c r="T512">
        <f>YEAR(Sales_Data_1[[#This Row],[Order_Date]])</f>
        <v>2025</v>
      </c>
      <c r="U512" t="str">
        <f>TEXT(Sales_Data_1[[#This Row],[Order_Date]], "mmm")</f>
        <v>Jan</v>
      </c>
      <c r="V512">
        <f>MONTH(Sales_Data_1[[#This Row],[Order_Date]])</f>
        <v>1</v>
      </c>
      <c r="W512" t="str">
        <f>TEXT(Sales_Data_1[[#This Row],[Order_Date]], "yyyy-mm")</f>
        <v>2025-01</v>
      </c>
      <c r="X512">
        <f>Sales_Data_1[[#This Row],[Sales]]-Sales_Data_1[[#This Row],[Profit_Amount]]</f>
        <v>22113.17</v>
      </c>
      <c r="Y512" t="str" cm="1">
        <f t="array" ref="Y512">_xlfn.IFS(Sales_Data_1[[#This Row],[Delivery_Days]]&lt;=3, "Fast", Sales_Data_1[[#This Row],[Delivery_Days]]&lt;= 7, "Standard", TRUE, "Delayed")</f>
        <v>Standard</v>
      </c>
      <c r="Z512" t="str" cm="1">
        <f t="array" ref="Z512">_xlfn.IFS(Sales_Data_1[[#This Row],[Profit_Amount]]&gt; 0, "Profitable", Sales_Data_1[[#This Row],[Profit_Amount]] = 0, "Break-Even", TRUE, "Loss")</f>
        <v>Profitable</v>
      </c>
      <c r="AA512" t="str" cm="1">
        <f t="array" ref="AA512">_xlfn.IFS(Sales_Data_1[[#This Row],[Sales]]&gt;= 1000, "High Value", Sales_Data_1[[#This Row],[Sales]]&gt;= 300, "Mid Value", TRUE, "Low Value")</f>
        <v>High Value</v>
      </c>
    </row>
    <row r="513" spans="1:27" x14ac:dyDescent="0.3">
      <c r="A513" t="s">
        <v>2352</v>
      </c>
      <c r="B513" s="1">
        <v>45238</v>
      </c>
      <c r="C513" t="s">
        <v>30</v>
      </c>
      <c r="D513" t="s">
        <v>41</v>
      </c>
      <c r="E513" t="s">
        <v>42</v>
      </c>
      <c r="F513" t="s">
        <v>97</v>
      </c>
      <c r="G513" t="s">
        <v>44</v>
      </c>
      <c r="H513" t="s">
        <v>64</v>
      </c>
      <c r="I513" t="s">
        <v>692</v>
      </c>
      <c r="J513">
        <v>7</v>
      </c>
      <c r="K513">
        <v>2859</v>
      </c>
      <c r="L513">
        <v>0.21</v>
      </c>
      <c r="M513">
        <v>2258.61</v>
      </c>
      <c r="N513">
        <v>15810.27</v>
      </c>
      <c r="O513">
        <v>0.35</v>
      </c>
      <c r="P513">
        <v>5533.59</v>
      </c>
      <c r="Q513" t="s">
        <v>51</v>
      </c>
      <c r="R513" t="s">
        <v>48</v>
      </c>
      <c r="S513">
        <v>9</v>
      </c>
      <c r="T513">
        <f>YEAR(Sales_Data_1[[#This Row],[Order_Date]])</f>
        <v>2023</v>
      </c>
      <c r="U513" t="str">
        <f>TEXT(Sales_Data_1[[#This Row],[Order_Date]], "mmm")</f>
        <v>Nov</v>
      </c>
      <c r="V513">
        <f>MONTH(Sales_Data_1[[#This Row],[Order_Date]])</f>
        <v>11</v>
      </c>
      <c r="W513" t="str">
        <f>TEXT(Sales_Data_1[[#This Row],[Order_Date]], "yyyy-mm")</f>
        <v>2023-11</v>
      </c>
      <c r="X513">
        <f>Sales_Data_1[[#This Row],[Sales]]-Sales_Data_1[[#This Row],[Profit_Amount]]</f>
        <v>10276.68</v>
      </c>
      <c r="Y513" t="str" cm="1">
        <f t="array" ref="Y513">_xlfn.IFS(Sales_Data_1[[#This Row],[Delivery_Days]]&lt;=3, "Fast", Sales_Data_1[[#This Row],[Delivery_Days]]&lt;= 7, "Standard", TRUE, "Delayed")</f>
        <v>Delayed</v>
      </c>
      <c r="Z513" t="str" cm="1">
        <f t="array" ref="Z513">_xlfn.IFS(Sales_Data_1[[#This Row],[Profit_Amount]]&gt; 0, "Profitable", Sales_Data_1[[#This Row],[Profit_Amount]] = 0, "Break-Even", TRUE, "Loss")</f>
        <v>Profitable</v>
      </c>
      <c r="AA513" t="str" cm="1">
        <f t="array" ref="AA513">_xlfn.IFS(Sales_Data_1[[#This Row],[Sales]]&gt;= 1000, "High Value", Sales_Data_1[[#This Row],[Sales]]&gt;= 300, "Mid Value", TRUE, "Low Value")</f>
        <v>High Value</v>
      </c>
    </row>
    <row r="514" spans="1:27" x14ac:dyDescent="0.3">
      <c r="A514" t="s">
        <v>2428</v>
      </c>
      <c r="B514" s="1">
        <v>45314</v>
      </c>
      <c r="C514" t="s">
        <v>30</v>
      </c>
      <c r="D514" t="s">
        <v>31</v>
      </c>
      <c r="E514" t="s">
        <v>2040</v>
      </c>
      <c r="F514" t="s">
        <v>103</v>
      </c>
      <c r="G514" t="s">
        <v>57</v>
      </c>
      <c r="H514" t="s">
        <v>183</v>
      </c>
      <c r="I514" t="s">
        <v>842</v>
      </c>
      <c r="J514">
        <v>5</v>
      </c>
      <c r="K514">
        <v>7189</v>
      </c>
      <c r="L514">
        <v>0.23</v>
      </c>
      <c r="M514">
        <v>5535.53</v>
      </c>
      <c r="N514">
        <v>27677.65</v>
      </c>
      <c r="O514">
        <v>0.2</v>
      </c>
      <c r="P514">
        <v>5535.53</v>
      </c>
      <c r="Q514" t="s">
        <v>27</v>
      </c>
      <c r="R514" t="s">
        <v>48</v>
      </c>
      <c r="S514">
        <v>2</v>
      </c>
      <c r="T514">
        <f>YEAR(Sales_Data_1[[#This Row],[Order_Date]])</f>
        <v>2024</v>
      </c>
      <c r="U514" t="str">
        <f>TEXT(Sales_Data_1[[#This Row],[Order_Date]], "mmm")</f>
        <v>Jan</v>
      </c>
      <c r="V514">
        <f>MONTH(Sales_Data_1[[#This Row],[Order_Date]])</f>
        <v>1</v>
      </c>
      <c r="W514" t="str">
        <f>TEXT(Sales_Data_1[[#This Row],[Order_Date]], "yyyy-mm")</f>
        <v>2024-01</v>
      </c>
      <c r="X514">
        <f>Sales_Data_1[[#This Row],[Sales]]-Sales_Data_1[[#This Row],[Profit_Amount]]</f>
        <v>22142.120000000003</v>
      </c>
      <c r="Y514" t="str" cm="1">
        <f t="array" ref="Y514">_xlfn.IFS(Sales_Data_1[[#This Row],[Delivery_Days]]&lt;=3, "Fast", Sales_Data_1[[#This Row],[Delivery_Days]]&lt;= 7, "Standard", TRUE, "Delayed")</f>
        <v>Fast</v>
      </c>
      <c r="Z514" t="str" cm="1">
        <f t="array" ref="Z514">_xlfn.IFS(Sales_Data_1[[#This Row],[Profit_Amount]]&gt; 0, "Profitable", Sales_Data_1[[#This Row],[Profit_Amount]] = 0, "Break-Even", TRUE, "Loss")</f>
        <v>Profitable</v>
      </c>
      <c r="AA514" t="str" cm="1">
        <f t="array" ref="AA514">_xlfn.IFS(Sales_Data_1[[#This Row],[Sales]]&gt;= 1000, "High Value", Sales_Data_1[[#This Row],[Sales]]&gt;= 300, "Mid Value", TRUE, "Low Value")</f>
        <v>High Value</v>
      </c>
    </row>
    <row r="515" spans="1:27" x14ac:dyDescent="0.3">
      <c r="A515" t="s">
        <v>2896</v>
      </c>
      <c r="B515" s="1">
        <v>45782</v>
      </c>
      <c r="C515" t="s">
        <v>30</v>
      </c>
      <c r="D515" t="s">
        <v>31</v>
      </c>
      <c r="E515" t="s">
        <v>2040</v>
      </c>
      <c r="F515" t="s">
        <v>23</v>
      </c>
      <c r="G515" t="s">
        <v>24</v>
      </c>
      <c r="H515" t="s">
        <v>186</v>
      </c>
      <c r="I515" t="s">
        <v>1762</v>
      </c>
      <c r="J515">
        <v>4</v>
      </c>
      <c r="K515">
        <v>6105</v>
      </c>
      <c r="L515">
        <v>0.09</v>
      </c>
      <c r="M515">
        <v>5555.55</v>
      </c>
      <c r="N515">
        <v>22222.2</v>
      </c>
      <c r="O515">
        <v>0.25</v>
      </c>
      <c r="P515">
        <v>5555.55</v>
      </c>
      <c r="Q515" t="s">
        <v>51</v>
      </c>
      <c r="R515" t="s">
        <v>48</v>
      </c>
      <c r="S515">
        <v>5</v>
      </c>
      <c r="T515">
        <f>YEAR(Sales_Data_1[[#This Row],[Order_Date]])</f>
        <v>2025</v>
      </c>
      <c r="U515" t="str">
        <f>TEXT(Sales_Data_1[[#This Row],[Order_Date]], "mmm")</f>
        <v>May</v>
      </c>
      <c r="V515">
        <f>MONTH(Sales_Data_1[[#This Row],[Order_Date]])</f>
        <v>5</v>
      </c>
      <c r="W515" t="str">
        <f>TEXT(Sales_Data_1[[#This Row],[Order_Date]], "yyyy-mm")</f>
        <v>2025-05</v>
      </c>
      <c r="X515">
        <f>Sales_Data_1[[#This Row],[Sales]]-Sales_Data_1[[#This Row],[Profit_Amount]]</f>
        <v>16666.650000000001</v>
      </c>
      <c r="Y515" t="str" cm="1">
        <f t="array" ref="Y515">_xlfn.IFS(Sales_Data_1[[#This Row],[Delivery_Days]]&lt;=3, "Fast", Sales_Data_1[[#This Row],[Delivery_Days]]&lt;= 7, "Standard", TRUE, "Delayed")</f>
        <v>Standard</v>
      </c>
      <c r="Z515" t="str" cm="1">
        <f t="array" ref="Z515">_xlfn.IFS(Sales_Data_1[[#This Row],[Profit_Amount]]&gt; 0, "Profitable", Sales_Data_1[[#This Row],[Profit_Amount]] = 0, "Break-Even", TRUE, "Loss")</f>
        <v>Profitable</v>
      </c>
      <c r="AA515" t="str" cm="1">
        <f t="array" ref="AA515">_xlfn.IFS(Sales_Data_1[[#This Row],[Sales]]&gt;= 1000, "High Value", Sales_Data_1[[#This Row],[Sales]]&gt;= 300, "Mid Value", TRUE, "Low Value")</f>
        <v>High Value</v>
      </c>
    </row>
    <row r="516" spans="1:27" x14ac:dyDescent="0.3">
      <c r="A516" t="s">
        <v>2918</v>
      </c>
      <c r="B516" s="1">
        <v>45804</v>
      </c>
      <c r="C516" t="s">
        <v>20</v>
      </c>
      <c r="D516" t="s">
        <v>21</v>
      </c>
      <c r="E516" t="s">
        <v>2040</v>
      </c>
      <c r="F516" t="s">
        <v>103</v>
      </c>
      <c r="G516" t="s">
        <v>57</v>
      </c>
      <c r="H516" t="s">
        <v>100</v>
      </c>
      <c r="I516" t="s">
        <v>1805</v>
      </c>
      <c r="J516">
        <v>8</v>
      </c>
      <c r="K516">
        <v>3974</v>
      </c>
      <c r="L516">
        <v>0.12</v>
      </c>
      <c r="M516">
        <v>3497.12</v>
      </c>
      <c r="N516">
        <v>27976.959999999999</v>
      </c>
      <c r="O516">
        <v>0.2</v>
      </c>
      <c r="P516">
        <v>5595.39</v>
      </c>
      <c r="Q516" t="s">
        <v>47</v>
      </c>
      <c r="R516" t="s">
        <v>48</v>
      </c>
      <c r="S516">
        <v>9</v>
      </c>
      <c r="T516">
        <f>YEAR(Sales_Data_1[[#This Row],[Order_Date]])</f>
        <v>2025</v>
      </c>
      <c r="U516" t="str">
        <f>TEXT(Sales_Data_1[[#This Row],[Order_Date]], "mmm")</f>
        <v>May</v>
      </c>
      <c r="V516">
        <f>MONTH(Sales_Data_1[[#This Row],[Order_Date]])</f>
        <v>5</v>
      </c>
      <c r="W516" t="str">
        <f>TEXT(Sales_Data_1[[#This Row],[Order_Date]], "yyyy-mm")</f>
        <v>2025-05</v>
      </c>
      <c r="X516">
        <f>Sales_Data_1[[#This Row],[Sales]]-Sales_Data_1[[#This Row],[Profit_Amount]]</f>
        <v>22381.57</v>
      </c>
      <c r="Y516" t="str" cm="1">
        <f t="array" ref="Y516">_xlfn.IFS(Sales_Data_1[[#This Row],[Delivery_Days]]&lt;=3, "Fast", Sales_Data_1[[#This Row],[Delivery_Days]]&lt;= 7, "Standard", TRUE, "Delayed")</f>
        <v>Delayed</v>
      </c>
      <c r="Z516" t="str" cm="1">
        <f t="array" ref="Z516">_xlfn.IFS(Sales_Data_1[[#This Row],[Profit_Amount]]&gt; 0, "Profitable", Sales_Data_1[[#This Row],[Profit_Amount]] = 0, "Break-Even", TRUE, "Loss")</f>
        <v>Profitable</v>
      </c>
      <c r="AA516" t="str" cm="1">
        <f t="array" ref="AA516">_xlfn.IFS(Sales_Data_1[[#This Row],[Sales]]&gt;= 1000, "High Value", Sales_Data_1[[#This Row],[Sales]]&gt;= 300, "Mid Value", TRUE, "Low Value")</f>
        <v>High Value</v>
      </c>
    </row>
    <row r="517" spans="1:27" x14ac:dyDescent="0.3">
      <c r="A517" t="s">
        <v>2492</v>
      </c>
      <c r="B517" s="1">
        <v>45378</v>
      </c>
      <c r="C517" t="s">
        <v>40</v>
      </c>
      <c r="D517" t="s">
        <v>56</v>
      </c>
      <c r="E517" t="s">
        <v>42</v>
      </c>
      <c r="F517" t="s">
        <v>68</v>
      </c>
      <c r="G517" t="s">
        <v>24</v>
      </c>
      <c r="H517" t="s">
        <v>186</v>
      </c>
      <c r="I517" t="s">
        <v>969</v>
      </c>
      <c r="J517">
        <v>7</v>
      </c>
      <c r="K517">
        <v>3496</v>
      </c>
      <c r="L517">
        <v>0.08</v>
      </c>
      <c r="M517">
        <v>3216.32</v>
      </c>
      <c r="N517">
        <v>22514.240000000002</v>
      </c>
      <c r="O517">
        <v>0.25</v>
      </c>
      <c r="P517">
        <v>5628.56</v>
      </c>
      <c r="Q517" t="s">
        <v>37</v>
      </c>
      <c r="R517" t="s">
        <v>38</v>
      </c>
      <c r="S517">
        <v>1</v>
      </c>
      <c r="T517">
        <f>YEAR(Sales_Data_1[[#This Row],[Order_Date]])</f>
        <v>2024</v>
      </c>
      <c r="U517" t="str">
        <f>TEXT(Sales_Data_1[[#This Row],[Order_Date]], "mmm")</f>
        <v>Mar</v>
      </c>
      <c r="V517">
        <f>MONTH(Sales_Data_1[[#This Row],[Order_Date]])</f>
        <v>3</v>
      </c>
      <c r="W517" t="str">
        <f>TEXT(Sales_Data_1[[#This Row],[Order_Date]], "yyyy-mm")</f>
        <v>2024-03</v>
      </c>
      <c r="X517">
        <f>Sales_Data_1[[#This Row],[Sales]]-Sales_Data_1[[#This Row],[Profit_Amount]]</f>
        <v>16885.68</v>
      </c>
      <c r="Y517" t="str" cm="1">
        <f t="array" ref="Y517">_xlfn.IFS(Sales_Data_1[[#This Row],[Delivery_Days]]&lt;=3, "Fast", Sales_Data_1[[#This Row],[Delivery_Days]]&lt;= 7, "Standard", TRUE, "Delayed")</f>
        <v>Fast</v>
      </c>
      <c r="Z517" t="str" cm="1">
        <f t="array" ref="Z517">_xlfn.IFS(Sales_Data_1[[#This Row],[Profit_Amount]]&gt; 0, "Profitable", Sales_Data_1[[#This Row],[Profit_Amount]] = 0, "Break-Even", TRUE, "Loss")</f>
        <v>Profitable</v>
      </c>
      <c r="AA517" t="str" cm="1">
        <f t="array" ref="AA517">_xlfn.IFS(Sales_Data_1[[#This Row],[Sales]]&gt;= 1000, "High Value", Sales_Data_1[[#This Row],[Sales]]&gt;= 300, "Mid Value", TRUE, "Low Value")</f>
        <v>High Value</v>
      </c>
    </row>
    <row r="518" spans="1:27" x14ac:dyDescent="0.3">
      <c r="A518" t="s">
        <v>2267</v>
      </c>
      <c r="B518" s="1">
        <v>45153</v>
      </c>
      <c r="C518" t="s">
        <v>40</v>
      </c>
      <c r="D518" t="s">
        <v>31</v>
      </c>
      <c r="E518" t="s">
        <v>42</v>
      </c>
      <c r="F518" t="s">
        <v>68</v>
      </c>
      <c r="G518" t="s">
        <v>57</v>
      </c>
      <c r="H518" t="s">
        <v>183</v>
      </c>
      <c r="I518" t="s">
        <v>524</v>
      </c>
      <c r="J518">
        <v>6</v>
      </c>
      <c r="K518">
        <v>6114</v>
      </c>
      <c r="L518">
        <v>0.23</v>
      </c>
      <c r="M518">
        <v>4707.78</v>
      </c>
      <c r="N518">
        <v>28246.68</v>
      </c>
      <c r="O518">
        <v>0.2</v>
      </c>
      <c r="P518">
        <v>5649.34</v>
      </c>
      <c r="Q518" t="s">
        <v>27</v>
      </c>
      <c r="R518" t="s">
        <v>48</v>
      </c>
      <c r="S518">
        <v>5</v>
      </c>
      <c r="T518">
        <f>YEAR(Sales_Data_1[[#This Row],[Order_Date]])</f>
        <v>2023</v>
      </c>
      <c r="U518" t="str">
        <f>TEXT(Sales_Data_1[[#This Row],[Order_Date]], "mmm")</f>
        <v>Aug</v>
      </c>
      <c r="V518">
        <f>MONTH(Sales_Data_1[[#This Row],[Order_Date]])</f>
        <v>8</v>
      </c>
      <c r="W518" t="str">
        <f>TEXT(Sales_Data_1[[#This Row],[Order_Date]], "yyyy-mm")</f>
        <v>2023-08</v>
      </c>
      <c r="X518">
        <f>Sales_Data_1[[#This Row],[Sales]]-Sales_Data_1[[#This Row],[Profit_Amount]]</f>
        <v>22597.34</v>
      </c>
      <c r="Y518" t="str" cm="1">
        <f t="array" ref="Y518">_xlfn.IFS(Sales_Data_1[[#This Row],[Delivery_Days]]&lt;=3, "Fast", Sales_Data_1[[#This Row],[Delivery_Days]]&lt;= 7, "Standard", TRUE, "Delayed")</f>
        <v>Standard</v>
      </c>
      <c r="Z518" t="str" cm="1">
        <f t="array" ref="Z518">_xlfn.IFS(Sales_Data_1[[#This Row],[Profit_Amount]]&gt; 0, "Profitable", Sales_Data_1[[#This Row],[Profit_Amount]] = 0, "Break-Even", TRUE, "Loss")</f>
        <v>Profitable</v>
      </c>
      <c r="AA518" t="str" cm="1">
        <f t="array" ref="AA518">_xlfn.IFS(Sales_Data_1[[#This Row],[Sales]]&gt;= 1000, "High Value", Sales_Data_1[[#This Row],[Sales]]&gt;= 300, "Mid Value", TRUE, "Low Value")</f>
        <v>High Value</v>
      </c>
    </row>
    <row r="519" spans="1:27" x14ac:dyDescent="0.3">
      <c r="A519" t="s">
        <v>2213</v>
      </c>
      <c r="B519" s="1">
        <v>45099</v>
      </c>
      <c r="C519" t="s">
        <v>96</v>
      </c>
      <c r="D519" t="s">
        <v>41</v>
      </c>
      <c r="E519" t="s">
        <v>2042</v>
      </c>
      <c r="F519" t="s">
        <v>43</v>
      </c>
      <c r="G519" t="s">
        <v>57</v>
      </c>
      <c r="H519" t="s">
        <v>58</v>
      </c>
      <c r="I519" t="s">
        <v>416</v>
      </c>
      <c r="J519">
        <v>4</v>
      </c>
      <c r="K519">
        <v>8638</v>
      </c>
      <c r="L519">
        <v>0.18</v>
      </c>
      <c r="M519">
        <v>7083.16</v>
      </c>
      <c r="N519">
        <v>28332.639999999999</v>
      </c>
      <c r="O519">
        <v>0.2</v>
      </c>
      <c r="P519">
        <v>5666.53</v>
      </c>
      <c r="Q519" t="s">
        <v>51</v>
      </c>
      <c r="R519" t="s">
        <v>48</v>
      </c>
      <c r="S519">
        <v>5</v>
      </c>
      <c r="T519">
        <f>YEAR(Sales_Data_1[[#This Row],[Order_Date]])</f>
        <v>2023</v>
      </c>
      <c r="U519" t="str">
        <f>TEXT(Sales_Data_1[[#This Row],[Order_Date]], "mmm")</f>
        <v>Jun</v>
      </c>
      <c r="V519">
        <f>MONTH(Sales_Data_1[[#This Row],[Order_Date]])</f>
        <v>6</v>
      </c>
      <c r="W519" t="str">
        <f>TEXT(Sales_Data_1[[#This Row],[Order_Date]], "yyyy-mm")</f>
        <v>2023-06</v>
      </c>
      <c r="X519">
        <f>Sales_Data_1[[#This Row],[Sales]]-Sales_Data_1[[#This Row],[Profit_Amount]]</f>
        <v>22666.11</v>
      </c>
      <c r="Y519" t="str" cm="1">
        <f t="array" ref="Y519">_xlfn.IFS(Sales_Data_1[[#This Row],[Delivery_Days]]&lt;=3, "Fast", Sales_Data_1[[#This Row],[Delivery_Days]]&lt;= 7, "Standard", TRUE, "Delayed")</f>
        <v>Standard</v>
      </c>
      <c r="Z519" t="str" cm="1">
        <f t="array" ref="Z519">_xlfn.IFS(Sales_Data_1[[#This Row],[Profit_Amount]]&gt; 0, "Profitable", Sales_Data_1[[#This Row],[Profit_Amount]] = 0, "Break-Even", TRUE, "Loss")</f>
        <v>Profitable</v>
      </c>
      <c r="AA519" t="str" cm="1">
        <f t="array" ref="AA519">_xlfn.IFS(Sales_Data_1[[#This Row],[Sales]]&gt;= 1000, "High Value", Sales_Data_1[[#This Row],[Sales]]&gt;= 300, "Mid Value", TRUE, "Low Value")</f>
        <v>High Value</v>
      </c>
    </row>
    <row r="520" spans="1:27" x14ac:dyDescent="0.3">
      <c r="A520" t="s">
        <v>2712</v>
      </c>
      <c r="B520" s="1">
        <v>45598</v>
      </c>
      <c r="C520" t="s">
        <v>96</v>
      </c>
      <c r="D520" t="s">
        <v>31</v>
      </c>
      <c r="E520" t="s">
        <v>67</v>
      </c>
      <c r="F520" t="s">
        <v>68</v>
      </c>
      <c r="G520" t="s">
        <v>92</v>
      </c>
      <c r="H520" t="s">
        <v>243</v>
      </c>
      <c r="I520" t="s">
        <v>1400</v>
      </c>
      <c r="J520">
        <v>1</v>
      </c>
      <c r="K520">
        <v>49071</v>
      </c>
      <c r="L520">
        <v>0.23</v>
      </c>
      <c r="M520">
        <v>37784.67</v>
      </c>
      <c r="N520">
        <v>37784.67</v>
      </c>
      <c r="O520">
        <v>0.15</v>
      </c>
      <c r="P520">
        <v>5667.7</v>
      </c>
      <c r="Q520" t="s">
        <v>47</v>
      </c>
      <c r="R520" t="s">
        <v>48</v>
      </c>
      <c r="S520">
        <v>1</v>
      </c>
      <c r="T520">
        <f>YEAR(Sales_Data_1[[#This Row],[Order_Date]])</f>
        <v>2024</v>
      </c>
      <c r="U520" t="str">
        <f>TEXT(Sales_Data_1[[#This Row],[Order_Date]], "mmm")</f>
        <v>Nov</v>
      </c>
      <c r="V520">
        <f>MONTH(Sales_Data_1[[#This Row],[Order_Date]])</f>
        <v>11</v>
      </c>
      <c r="W520" t="str">
        <f>TEXT(Sales_Data_1[[#This Row],[Order_Date]], "yyyy-mm")</f>
        <v>2024-11</v>
      </c>
      <c r="X520">
        <f>Sales_Data_1[[#This Row],[Sales]]-Sales_Data_1[[#This Row],[Profit_Amount]]</f>
        <v>32116.969999999998</v>
      </c>
      <c r="Y520" t="str" cm="1">
        <f t="array" ref="Y520">_xlfn.IFS(Sales_Data_1[[#This Row],[Delivery_Days]]&lt;=3, "Fast", Sales_Data_1[[#This Row],[Delivery_Days]]&lt;= 7, "Standard", TRUE, "Delayed")</f>
        <v>Fast</v>
      </c>
      <c r="Z520" t="str" cm="1">
        <f t="array" ref="Z520">_xlfn.IFS(Sales_Data_1[[#This Row],[Profit_Amount]]&gt; 0, "Profitable", Sales_Data_1[[#This Row],[Profit_Amount]] = 0, "Break-Even", TRUE, "Loss")</f>
        <v>Profitable</v>
      </c>
      <c r="AA520" t="str" cm="1">
        <f t="array" ref="AA520">_xlfn.IFS(Sales_Data_1[[#This Row],[Sales]]&gt;= 1000, "High Value", Sales_Data_1[[#This Row],[Sales]]&gt;= 300, "Mid Value", TRUE, "Low Value")</f>
        <v>High Value</v>
      </c>
    </row>
    <row r="521" spans="1:27" x14ac:dyDescent="0.3">
      <c r="A521" t="s">
        <v>2597</v>
      </c>
      <c r="B521" s="1">
        <v>45483</v>
      </c>
      <c r="C521" t="s">
        <v>20</v>
      </c>
      <c r="D521" t="s">
        <v>56</v>
      </c>
      <c r="E521" t="s">
        <v>2042</v>
      </c>
      <c r="F521" t="s">
        <v>43</v>
      </c>
      <c r="G521" t="s">
        <v>44</v>
      </c>
      <c r="H521" t="s">
        <v>116</v>
      </c>
      <c r="I521" t="s">
        <v>1176</v>
      </c>
      <c r="J521">
        <v>7</v>
      </c>
      <c r="K521">
        <v>2639</v>
      </c>
      <c r="L521">
        <v>0.12</v>
      </c>
      <c r="M521">
        <v>2322.3200000000002</v>
      </c>
      <c r="N521">
        <v>16256.24</v>
      </c>
      <c r="O521">
        <v>0.35</v>
      </c>
      <c r="P521">
        <v>5689.68</v>
      </c>
      <c r="Q521" t="s">
        <v>37</v>
      </c>
      <c r="R521" t="s">
        <v>48</v>
      </c>
      <c r="S521">
        <v>5</v>
      </c>
      <c r="T521">
        <f>YEAR(Sales_Data_1[[#This Row],[Order_Date]])</f>
        <v>2024</v>
      </c>
      <c r="U521" t="str">
        <f>TEXT(Sales_Data_1[[#This Row],[Order_Date]], "mmm")</f>
        <v>Jul</v>
      </c>
      <c r="V521">
        <f>MONTH(Sales_Data_1[[#This Row],[Order_Date]])</f>
        <v>7</v>
      </c>
      <c r="W521" t="str">
        <f>TEXT(Sales_Data_1[[#This Row],[Order_Date]], "yyyy-mm")</f>
        <v>2024-07</v>
      </c>
      <c r="X521">
        <f>Sales_Data_1[[#This Row],[Sales]]-Sales_Data_1[[#This Row],[Profit_Amount]]</f>
        <v>10566.56</v>
      </c>
      <c r="Y521" t="str" cm="1">
        <f t="array" ref="Y521">_xlfn.IFS(Sales_Data_1[[#This Row],[Delivery_Days]]&lt;=3, "Fast", Sales_Data_1[[#This Row],[Delivery_Days]]&lt;= 7, "Standard", TRUE, "Delayed")</f>
        <v>Standard</v>
      </c>
      <c r="Z521" t="str" cm="1">
        <f t="array" ref="Z521">_xlfn.IFS(Sales_Data_1[[#This Row],[Profit_Amount]]&gt; 0, "Profitable", Sales_Data_1[[#This Row],[Profit_Amount]] = 0, "Break-Even", TRUE, "Loss")</f>
        <v>Profitable</v>
      </c>
      <c r="AA521" t="str" cm="1">
        <f t="array" ref="AA521">_xlfn.IFS(Sales_Data_1[[#This Row],[Sales]]&gt;= 1000, "High Value", Sales_Data_1[[#This Row],[Sales]]&gt;= 300, "Mid Value", TRUE, "Low Value")</f>
        <v>High Value</v>
      </c>
    </row>
    <row r="522" spans="1:27" x14ac:dyDescent="0.3">
      <c r="A522" t="s">
        <v>2834</v>
      </c>
      <c r="B522" s="1">
        <v>45720</v>
      </c>
      <c r="C522" t="s">
        <v>55</v>
      </c>
      <c r="D522" t="s">
        <v>21</v>
      </c>
      <c r="E522" t="s">
        <v>67</v>
      </c>
      <c r="F522" t="s">
        <v>97</v>
      </c>
      <c r="G522" t="s">
        <v>57</v>
      </c>
      <c r="H522" t="s">
        <v>183</v>
      </c>
      <c r="I522" t="s">
        <v>1639</v>
      </c>
      <c r="J522">
        <v>2</v>
      </c>
      <c r="K522">
        <v>16226</v>
      </c>
      <c r="L522">
        <v>0.11</v>
      </c>
      <c r="M522">
        <v>14441.14</v>
      </c>
      <c r="N522">
        <v>28882.28</v>
      </c>
      <c r="O522">
        <v>0.2</v>
      </c>
      <c r="P522">
        <v>5776.46</v>
      </c>
      <c r="Q522" t="s">
        <v>47</v>
      </c>
      <c r="R522" t="s">
        <v>48</v>
      </c>
      <c r="S522">
        <v>1</v>
      </c>
      <c r="T522">
        <f>YEAR(Sales_Data_1[[#This Row],[Order_Date]])</f>
        <v>2025</v>
      </c>
      <c r="U522" t="str">
        <f>TEXT(Sales_Data_1[[#This Row],[Order_Date]], "mmm")</f>
        <v>Mar</v>
      </c>
      <c r="V522">
        <f>MONTH(Sales_Data_1[[#This Row],[Order_Date]])</f>
        <v>3</v>
      </c>
      <c r="W522" t="str">
        <f>TEXT(Sales_Data_1[[#This Row],[Order_Date]], "yyyy-mm")</f>
        <v>2025-03</v>
      </c>
      <c r="X522">
        <f>Sales_Data_1[[#This Row],[Sales]]-Sales_Data_1[[#This Row],[Profit_Amount]]</f>
        <v>23105.82</v>
      </c>
      <c r="Y522" t="str" cm="1">
        <f t="array" ref="Y522">_xlfn.IFS(Sales_Data_1[[#This Row],[Delivery_Days]]&lt;=3, "Fast", Sales_Data_1[[#This Row],[Delivery_Days]]&lt;= 7, "Standard", TRUE, "Delayed")</f>
        <v>Fast</v>
      </c>
      <c r="Z522" t="str" cm="1">
        <f t="array" ref="Z522">_xlfn.IFS(Sales_Data_1[[#This Row],[Profit_Amount]]&gt; 0, "Profitable", Sales_Data_1[[#This Row],[Profit_Amount]] = 0, "Break-Even", TRUE, "Loss")</f>
        <v>Profitable</v>
      </c>
      <c r="AA522" t="str" cm="1">
        <f t="array" ref="AA522">_xlfn.IFS(Sales_Data_1[[#This Row],[Sales]]&gt;= 1000, "High Value", Sales_Data_1[[#This Row],[Sales]]&gt;= 300, "Mid Value", TRUE, "Low Value")</f>
        <v>High Value</v>
      </c>
    </row>
    <row r="523" spans="1:27" x14ac:dyDescent="0.3">
      <c r="A523" t="s">
        <v>2668</v>
      </c>
      <c r="B523" s="1">
        <v>45554</v>
      </c>
      <c r="C523" t="s">
        <v>30</v>
      </c>
      <c r="D523" t="s">
        <v>31</v>
      </c>
      <c r="E523" t="s">
        <v>67</v>
      </c>
      <c r="F523" t="s">
        <v>103</v>
      </c>
      <c r="G523" t="s">
        <v>57</v>
      </c>
      <c r="H523" t="s">
        <v>81</v>
      </c>
      <c r="I523" t="s">
        <v>1316</v>
      </c>
      <c r="J523">
        <v>3</v>
      </c>
      <c r="K523">
        <v>11223</v>
      </c>
      <c r="L523">
        <v>0.14000000000000001</v>
      </c>
      <c r="M523">
        <v>9651.7800000000007</v>
      </c>
      <c r="N523">
        <v>28955.34</v>
      </c>
      <c r="O523">
        <v>0.2</v>
      </c>
      <c r="P523">
        <v>5791.07</v>
      </c>
      <c r="Q523" t="s">
        <v>51</v>
      </c>
      <c r="R523" t="s">
        <v>48</v>
      </c>
      <c r="S523">
        <v>8</v>
      </c>
      <c r="T523">
        <f>YEAR(Sales_Data_1[[#This Row],[Order_Date]])</f>
        <v>2024</v>
      </c>
      <c r="U523" t="str">
        <f>TEXT(Sales_Data_1[[#This Row],[Order_Date]], "mmm")</f>
        <v>Sep</v>
      </c>
      <c r="V523">
        <f>MONTH(Sales_Data_1[[#This Row],[Order_Date]])</f>
        <v>9</v>
      </c>
      <c r="W523" t="str">
        <f>TEXT(Sales_Data_1[[#This Row],[Order_Date]], "yyyy-mm")</f>
        <v>2024-09</v>
      </c>
      <c r="X523">
        <f>Sales_Data_1[[#This Row],[Sales]]-Sales_Data_1[[#This Row],[Profit_Amount]]</f>
        <v>23164.27</v>
      </c>
      <c r="Y523" t="str" cm="1">
        <f t="array" ref="Y523">_xlfn.IFS(Sales_Data_1[[#This Row],[Delivery_Days]]&lt;=3, "Fast", Sales_Data_1[[#This Row],[Delivery_Days]]&lt;= 7, "Standard", TRUE, "Delayed")</f>
        <v>Delayed</v>
      </c>
      <c r="Z523" t="str" cm="1">
        <f t="array" ref="Z523">_xlfn.IFS(Sales_Data_1[[#This Row],[Profit_Amount]]&gt; 0, "Profitable", Sales_Data_1[[#This Row],[Profit_Amount]] = 0, "Break-Even", TRUE, "Loss")</f>
        <v>Profitable</v>
      </c>
      <c r="AA523" t="str" cm="1">
        <f t="array" ref="AA523">_xlfn.IFS(Sales_Data_1[[#This Row],[Sales]]&gt;= 1000, "High Value", Sales_Data_1[[#This Row],[Sales]]&gt;= 300, "Mid Value", TRUE, "Low Value")</f>
        <v>High Value</v>
      </c>
    </row>
    <row r="524" spans="1:27" x14ac:dyDescent="0.3">
      <c r="A524" t="s">
        <v>2251</v>
      </c>
      <c r="B524" s="1">
        <v>45137</v>
      </c>
      <c r="C524" t="s">
        <v>63</v>
      </c>
      <c r="D524" t="s">
        <v>31</v>
      </c>
      <c r="E524" t="s">
        <v>42</v>
      </c>
      <c r="F524" t="s">
        <v>103</v>
      </c>
      <c r="G524" t="s">
        <v>44</v>
      </c>
      <c r="H524" t="s">
        <v>138</v>
      </c>
      <c r="I524" t="s">
        <v>492</v>
      </c>
      <c r="J524">
        <v>6</v>
      </c>
      <c r="K524">
        <v>2908</v>
      </c>
      <c r="L524">
        <v>0.05</v>
      </c>
      <c r="M524">
        <v>2762.6</v>
      </c>
      <c r="N524">
        <v>16575.599999999999</v>
      </c>
      <c r="O524">
        <v>0.35</v>
      </c>
      <c r="P524">
        <v>5801.46</v>
      </c>
      <c r="Q524" t="s">
        <v>51</v>
      </c>
      <c r="R524" t="s">
        <v>38</v>
      </c>
      <c r="S524">
        <v>6</v>
      </c>
      <c r="T524">
        <f>YEAR(Sales_Data_1[[#This Row],[Order_Date]])</f>
        <v>2023</v>
      </c>
      <c r="U524" t="str">
        <f>TEXT(Sales_Data_1[[#This Row],[Order_Date]], "mmm")</f>
        <v>Jul</v>
      </c>
      <c r="V524">
        <f>MONTH(Sales_Data_1[[#This Row],[Order_Date]])</f>
        <v>7</v>
      </c>
      <c r="W524" t="str">
        <f>TEXT(Sales_Data_1[[#This Row],[Order_Date]], "yyyy-mm")</f>
        <v>2023-07</v>
      </c>
      <c r="X524">
        <f>Sales_Data_1[[#This Row],[Sales]]-Sales_Data_1[[#This Row],[Profit_Amount]]</f>
        <v>10774.14</v>
      </c>
      <c r="Y524" t="str" cm="1">
        <f t="array" ref="Y524">_xlfn.IFS(Sales_Data_1[[#This Row],[Delivery_Days]]&lt;=3, "Fast", Sales_Data_1[[#This Row],[Delivery_Days]]&lt;= 7, "Standard", TRUE, "Delayed")</f>
        <v>Standard</v>
      </c>
      <c r="Z524" t="str" cm="1">
        <f t="array" ref="Z524">_xlfn.IFS(Sales_Data_1[[#This Row],[Profit_Amount]]&gt; 0, "Profitable", Sales_Data_1[[#This Row],[Profit_Amount]] = 0, "Break-Even", TRUE, "Loss")</f>
        <v>Profitable</v>
      </c>
      <c r="AA524" t="str" cm="1">
        <f t="array" ref="AA524">_xlfn.IFS(Sales_Data_1[[#This Row],[Sales]]&gt;= 1000, "High Value", Sales_Data_1[[#This Row],[Sales]]&gt;= 300, "Mid Value", TRUE, "Low Value")</f>
        <v>High Value</v>
      </c>
    </row>
    <row r="525" spans="1:27" x14ac:dyDescent="0.3">
      <c r="A525" t="s">
        <v>2089</v>
      </c>
      <c r="B525" s="1">
        <v>44975</v>
      </c>
      <c r="C525" t="s">
        <v>55</v>
      </c>
      <c r="D525" t="s">
        <v>56</v>
      </c>
      <c r="E525" t="s">
        <v>2042</v>
      </c>
      <c r="F525" t="s">
        <v>23</v>
      </c>
      <c r="G525" t="s">
        <v>57</v>
      </c>
      <c r="H525" t="s">
        <v>100</v>
      </c>
      <c r="I525" t="s">
        <v>164</v>
      </c>
      <c r="J525">
        <v>2</v>
      </c>
      <c r="K525">
        <v>16025</v>
      </c>
      <c r="L525">
        <v>0.09</v>
      </c>
      <c r="M525">
        <v>14582.75</v>
      </c>
      <c r="N525">
        <v>29165.5</v>
      </c>
      <c r="O525">
        <v>0.2</v>
      </c>
      <c r="P525">
        <v>5833.1</v>
      </c>
      <c r="Q525" t="s">
        <v>51</v>
      </c>
      <c r="R525" t="s">
        <v>48</v>
      </c>
      <c r="S525">
        <v>6</v>
      </c>
      <c r="T525">
        <f>YEAR(Sales_Data_1[[#This Row],[Order_Date]])</f>
        <v>2023</v>
      </c>
      <c r="U525" t="str">
        <f>TEXT(Sales_Data_1[[#This Row],[Order_Date]], "mmm")</f>
        <v>Feb</v>
      </c>
      <c r="V525">
        <f>MONTH(Sales_Data_1[[#This Row],[Order_Date]])</f>
        <v>2</v>
      </c>
      <c r="W525" t="str">
        <f>TEXT(Sales_Data_1[[#This Row],[Order_Date]], "yyyy-mm")</f>
        <v>2023-02</v>
      </c>
      <c r="X525">
        <f>Sales_Data_1[[#This Row],[Sales]]-Sales_Data_1[[#This Row],[Profit_Amount]]</f>
        <v>23332.400000000001</v>
      </c>
      <c r="Y525" t="str" cm="1">
        <f t="array" ref="Y525">_xlfn.IFS(Sales_Data_1[[#This Row],[Delivery_Days]]&lt;=3, "Fast", Sales_Data_1[[#This Row],[Delivery_Days]]&lt;= 7, "Standard", TRUE, "Delayed")</f>
        <v>Standard</v>
      </c>
      <c r="Z525" t="str" cm="1">
        <f t="array" ref="Z525">_xlfn.IFS(Sales_Data_1[[#This Row],[Profit_Amount]]&gt; 0, "Profitable", Sales_Data_1[[#This Row],[Profit_Amount]] = 0, "Break-Even", TRUE, "Loss")</f>
        <v>Profitable</v>
      </c>
      <c r="AA525" t="str" cm="1">
        <f t="array" ref="AA525">_xlfn.IFS(Sales_Data_1[[#This Row],[Sales]]&gt;= 1000, "High Value", Sales_Data_1[[#This Row],[Sales]]&gt;= 300, "Mid Value", TRUE, "Low Value")</f>
        <v>High Value</v>
      </c>
    </row>
    <row r="526" spans="1:27" x14ac:dyDescent="0.3">
      <c r="A526" t="s">
        <v>2790</v>
      </c>
      <c r="B526" s="1">
        <v>45676</v>
      </c>
      <c r="C526" t="s">
        <v>63</v>
      </c>
      <c r="D526" t="s">
        <v>56</v>
      </c>
      <c r="E526" t="s">
        <v>2042</v>
      </c>
      <c r="F526" t="s">
        <v>23</v>
      </c>
      <c r="G526" t="s">
        <v>44</v>
      </c>
      <c r="H526" t="s">
        <v>138</v>
      </c>
      <c r="I526" t="s">
        <v>1553</v>
      </c>
      <c r="J526">
        <v>8</v>
      </c>
      <c r="K526">
        <v>2781</v>
      </c>
      <c r="L526">
        <v>0.25</v>
      </c>
      <c r="M526">
        <v>2085.75</v>
      </c>
      <c r="N526">
        <v>16686</v>
      </c>
      <c r="O526">
        <v>0.35</v>
      </c>
      <c r="P526">
        <v>5840.1</v>
      </c>
      <c r="Q526" t="s">
        <v>51</v>
      </c>
      <c r="R526" t="s">
        <v>48</v>
      </c>
      <c r="S526">
        <v>2</v>
      </c>
      <c r="T526">
        <f>YEAR(Sales_Data_1[[#This Row],[Order_Date]])</f>
        <v>2025</v>
      </c>
      <c r="U526" t="str">
        <f>TEXT(Sales_Data_1[[#This Row],[Order_Date]], "mmm")</f>
        <v>Jan</v>
      </c>
      <c r="V526">
        <f>MONTH(Sales_Data_1[[#This Row],[Order_Date]])</f>
        <v>1</v>
      </c>
      <c r="W526" t="str">
        <f>TEXT(Sales_Data_1[[#This Row],[Order_Date]], "yyyy-mm")</f>
        <v>2025-01</v>
      </c>
      <c r="X526">
        <f>Sales_Data_1[[#This Row],[Sales]]-Sales_Data_1[[#This Row],[Profit_Amount]]</f>
        <v>10845.9</v>
      </c>
      <c r="Y526" t="str" cm="1">
        <f t="array" ref="Y526">_xlfn.IFS(Sales_Data_1[[#This Row],[Delivery_Days]]&lt;=3, "Fast", Sales_Data_1[[#This Row],[Delivery_Days]]&lt;= 7, "Standard", TRUE, "Delayed")</f>
        <v>Fast</v>
      </c>
      <c r="Z526" t="str" cm="1">
        <f t="array" ref="Z526">_xlfn.IFS(Sales_Data_1[[#This Row],[Profit_Amount]]&gt; 0, "Profitable", Sales_Data_1[[#This Row],[Profit_Amount]] = 0, "Break-Even", TRUE, "Loss")</f>
        <v>Profitable</v>
      </c>
      <c r="AA526" t="str" cm="1">
        <f t="array" ref="AA526">_xlfn.IFS(Sales_Data_1[[#This Row],[Sales]]&gt;= 1000, "High Value", Sales_Data_1[[#This Row],[Sales]]&gt;= 300, "Mid Value", TRUE, "Low Value")</f>
        <v>High Value</v>
      </c>
    </row>
    <row r="527" spans="1:27" x14ac:dyDescent="0.3">
      <c r="A527" t="s">
        <v>2867</v>
      </c>
      <c r="B527" s="1">
        <v>45753</v>
      </c>
      <c r="C527" t="s">
        <v>96</v>
      </c>
      <c r="D527" t="s">
        <v>41</v>
      </c>
      <c r="E527" t="s">
        <v>42</v>
      </c>
      <c r="F527" t="s">
        <v>97</v>
      </c>
      <c r="G527" t="s">
        <v>57</v>
      </c>
      <c r="H527" t="s">
        <v>58</v>
      </c>
      <c r="I527" t="s">
        <v>156</v>
      </c>
      <c r="J527">
        <v>8</v>
      </c>
      <c r="K527">
        <v>3733</v>
      </c>
      <c r="L527">
        <v>0.02</v>
      </c>
      <c r="M527">
        <v>3658.34</v>
      </c>
      <c r="N527">
        <v>29266.720000000001</v>
      </c>
      <c r="O527">
        <v>0.2</v>
      </c>
      <c r="P527">
        <v>5853.34</v>
      </c>
      <c r="Q527" t="s">
        <v>27</v>
      </c>
      <c r="R527" t="s">
        <v>48</v>
      </c>
      <c r="S527">
        <v>9</v>
      </c>
      <c r="T527">
        <f>YEAR(Sales_Data_1[[#This Row],[Order_Date]])</f>
        <v>2025</v>
      </c>
      <c r="U527" t="str">
        <f>TEXT(Sales_Data_1[[#This Row],[Order_Date]], "mmm")</f>
        <v>Apr</v>
      </c>
      <c r="V527">
        <f>MONTH(Sales_Data_1[[#This Row],[Order_Date]])</f>
        <v>4</v>
      </c>
      <c r="W527" t="str">
        <f>TEXT(Sales_Data_1[[#This Row],[Order_Date]], "yyyy-mm")</f>
        <v>2025-04</v>
      </c>
      <c r="X527">
        <f>Sales_Data_1[[#This Row],[Sales]]-Sales_Data_1[[#This Row],[Profit_Amount]]</f>
        <v>23413.38</v>
      </c>
      <c r="Y527" t="str" cm="1">
        <f t="array" ref="Y527">_xlfn.IFS(Sales_Data_1[[#This Row],[Delivery_Days]]&lt;=3, "Fast", Sales_Data_1[[#This Row],[Delivery_Days]]&lt;= 7, "Standard", TRUE, "Delayed")</f>
        <v>Delayed</v>
      </c>
      <c r="Z527" t="str" cm="1">
        <f t="array" ref="Z527">_xlfn.IFS(Sales_Data_1[[#This Row],[Profit_Amount]]&gt; 0, "Profitable", Sales_Data_1[[#This Row],[Profit_Amount]] = 0, "Break-Even", TRUE, "Loss")</f>
        <v>Profitable</v>
      </c>
      <c r="AA527" t="str" cm="1">
        <f t="array" ref="AA527">_xlfn.IFS(Sales_Data_1[[#This Row],[Sales]]&gt;= 1000, "High Value", Sales_Data_1[[#This Row],[Sales]]&gt;= 300, "Mid Value", TRUE, "Low Value")</f>
        <v>High Value</v>
      </c>
    </row>
    <row r="528" spans="1:27" x14ac:dyDescent="0.3">
      <c r="A528" t="s">
        <v>2136</v>
      </c>
      <c r="B528" s="1">
        <v>45022</v>
      </c>
      <c r="C528" t="s">
        <v>40</v>
      </c>
      <c r="D528" t="s">
        <v>21</v>
      </c>
      <c r="E528" t="s">
        <v>67</v>
      </c>
      <c r="F528" t="s">
        <v>68</v>
      </c>
      <c r="G528" t="s">
        <v>44</v>
      </c>
      <c r="H528" t="s">
        <v>64</v>
      </c>
      <c r="I528" t="s">
        <v>262</v>
      </c>
      <c r="J528">
        <v>4</v>
      </c>
      <c r="K528">
        <v>4505</v>
      </c>
      <c r="L528">
        <v>7.0000000000000007E-2</v>
      </c>
      <c r="M528">
        <v>4189.6499999999996</v>
      </c>
      <c r="N528">
        <v>16758.599999999999</v>
      </c>
      <c r="O528">
        <v>0.35</v>
      </c>
      <c r="P528">
        <v>5865.51</v>
      </c>
      <c r="Q528" t="s">
        <v>27</v>
      </c>
      <c r="R528" t="s">
        <v>48</v>
      </c>
      <c r="S528">
        <v>1</v>
      </c>
      <c r="T528">
        <f>YEAR(Sales_Data_1[[#This Row],[Order_Date]])</f>
        <v>2023</v>
      </c>
      <c r="U528" t="str">
        <f>TEXT(Sales_Data_1[[#This Row],[Order_Date]], "mmm")</f>
        <v>Apr</v>
      </c>
      <c r="V528">
        <f>MONTH(Sales_Data_1[[#This Row],[Order_Date]])</f>
        <v>4</v>
      </c>
      <c r="W528" t="str">
        <f>TEXT(Sales_Data_1[[#This Row],[Order_Date]], "yyyy-mm")</f>
        <v>2023-04</v>
      </c>
      <c r="X528">
        <f>Sales_Data_1[[#This Row],[Sales]]-Sales_Data_1[[#This Row],[Profit_Amount]]</f>
        <v>10893.089999999998</v>
      </c>
      <c r="Y528" t="str" cm="1">
        <f t="array" ref="Y528">_xlfn.IFS(Sales_Data_1[[#This Row],[Delivery_Days]]&lt;=3, "Fast", Sales_Data_1[[#This Row],[Delivery_Days]]&lt;= 7, "Standard", TRUE, "Delayed")</f>
        <v>Fast</v>
      </c>
      <c r="Z528" t="str" cm="1">
        <f t="array" ref="Z528">_xlfn.IFS(Sales_Data_1[[#This Row],[Profit_Amount]]&gt; 0, "Profitable", Sales_Data_1[[#This Row],[Profit_Amount]] = 0, "Break-Even", TRUE, "Loss")</f>
        <v>Profitable</v>
      </c>
      <c r="AA528" t="str" cm="1">
        <f t="array" ref="AA528">_xlfn.IFS(Sales_Data_1[[#This Row],[Sales]]&gt;= 1000, "High Value", Sales_Data_1[[#This Row],[Sales]]&gt;= 300, "Mid Value", TRUE, "Low Value")</f>
        <v>High Value</v>
      </c>
    </row>
    <row r="529" spans="1:27" x14ac:dyDescent="0.3">
      <c r="A529" t="s">
        <v>2224</v>
      </c>
      <c r="B529" s="1">
        <v>45110</v>
      </c>
      <c r="C529" t="s">
        <v>40</v>
      </c>
      <c r="D529" t="s">
        <v>56</v>
      </c>
      <c r="E529" t="s">
        <v>42</v>
      </c>
      <c r="F529" t="s">
        <v>97</v>
      </c>
      <c r="G529" t="s">
        <v>57</v>
      </c>
      <c r="H529" t="s">
        <v>100</v>
      </c>
      <c r="I529" t="s">
        <v>438</v>
      </c>
      <c r="J529">
        <v>3</v>
      </c>
      <c r="K529">
        <v>12225</v>
      </c>
      <c r="L529">
        <v>0.2</v>
      </c>
      <c r="M529">
        <v>9780</v>
      </c>
      <c r="N529">
        <v>29340</v>
      </c>
      <c r="O529">
        <v>0.2</v>
      </c>
      <c r="P529">
        <v>5868</v>
      </c>
      <c r="Q529" t="s">
        <v>47</v>
      </c>
      <c r="R529" t="s">
        <v>48</v>
      </c>
      <c r="S529">
        <v>8</v>
      </c>
      <c r="T529">
        <f>YEAR(Sales_Data_1[[#This Row],[Order_Date]])</f>
        <v>2023</v>
      </c>
      <c r="U529" t="str">
        <f>TEXT(Sales_Data_1[[#This Row],[Order_Date]], "mmm")</f>
        <v>Jul</v>
      </c>
      <c r="V529">
        <f>MONTH(Sales_Data_1[[#This Row],[Order_Date]])</f>
        <v>7</v>
      </c>
      <c r="W529" t="str">
        <f>TEXT(Sales_Data_1[[#This Row],[Order_Date]], "yyyy-mm")</f>
        <v>2023-07</v>
      </c>
      <c r="X529">
        <f>Sales_Data_1[[#This Row],[Sales]]-Sales_Data_1[[#This Row],[Profit_Amount]]</f>
        <v>23472</v>
      </c>
      <c r="Y529" t="str" cm="1">
        <f t="array" ref="Y529">_xlfn.IFS(Sales_Data_1[[#This Row],[Delivery_Days]]&lt;=3, "Fast", Sales_Data_1[[#This Row],[Delivery_Days]]&lt;= 7, "Standard", TRUE, "Delayed")</f>
        <v>Delayed</v>
      </c>
      <c r="Z529" t="str" cm="1">
        <f t="array" ref="Z529">_xlfn.IFS(Sales_Data_1[[#This Row],[Profit_Amount]]&gt; 0, "Profitable", Sales_Data_1[[#This Row],[Profit_Amount]] = 0, "Break-Even", TRUE, "Loss")</f>
        <v>Profitable</v>
      </c>
      <c r="AA529" t="str" cm="1">
        <f t="array" ref="AA529">_xlfn.IFS(Sales_Data_1[[#This Row],[Sales]]&gt;= 1000, "High Value", Sales_Data_1[[#This Row],[Sales]]&gt;= 300, "Mid Value", TRUE, "Low Value")</f>
        <v>High Value</v>
      </c>
    </row>
    <row r="530" spans="1:27" x14ac:dyDescent="0.3">
      <c r="A530" t="s">
        <v>2934</v>
      </c>
      <c r="B530" s="1">
        <v>45820</v>
      </c>
      <c r="C530" t="s">
        <v>40</v>
      </c>
      <c r="D530" t="s">
        <v>41</v>
      </c>
      <c r="E530" t="s">
        <v>67</v>
      </c>
      <c r="F530" t="s">
        <v>68</v>
      </c>
      <c r="G530" t="s">
        <v>24</v>
      </c>
      <c r="H530" t="s">
        <v>186</v>
      </c>
      <c r="I530" t="s">
        <v>1836</v>
      </c>
      <c r="J530">
        <v>4</v>
      </c>
      <c r="K530">
        <v>6560</v>
      </c>
      <c r="L530">
        <v>0.1</v>
      </c>
      <c r="M530">
        <v>5904</v>
      </c>
      <c r="N530">
        <v>23616</v>
      </c>
      <c r="O530">
        <v>0.25</v>
      </c>
      <c r="P530">
        <v>5904</v>
      </c>
      <c r="Q530" t="s">
        <v>51</v>
      </c>
      <c r="R530" t="s">
        <v>48</v>
      </c>
      <c r="S530">
        <v>5</v>
      </c>
      <c r="T530">
        <f>YEAR(Sales_Data_1[[#This Row],[Order_Date]])</f>
        <v>2025</v>
      </c>
      <c r="U530" t="str">
        <f>TEXT(Sales_Data_1[[#This Row],[Order_Date]], "mmm")</f>
        <v>Jun</v>
      </c>
      <c r="V530">
        <f>MONTH(Sales_Data_1[[#This Row],[Order_Date]])</f>
        <v>6</v>
      </c>
      <c r="W530" t="str">
        <f>TEXT(Sales_Data_1[[#This Row],[Order_Date]], "yyyy-mm")</f>
        <v>2025-06</v>
      </c>
      <c r="X530">
        <f>Sales_Data_1[[#This Row],[Sales]]-Sales_Data_1[[#This Row],[Profit_Amount]]</f>
        <v>17712</v>
      </c>
      <c r="Y530" t="str" cm="1">
        <f t="array" ref="Y530">_xlfn.IFS(Sales_Data_1[[#This Row],[Delivery_Days]]&lt;=3, "Fast", Sales_Data_1[[#This Row],[Delivery_Days]]&lt;= 7, "Standard", TRUE, "Delayed")</f>
        <v>Standard</v>
      </c>
      <c r="Z530" t="str" cm="1">
        <f t="array" ref="Z530">_xlfn.IFS(Sales_Data_1[[#This Row],[Profit_Amount]]&gt; 0, "Profitable", Sales_Data_1[[#This Row],[Profit_Amount]] = 0, "Break-Even", TRUE, "Loss")</f>
        <v>Profitable</v>
      </c>
      <c r="AA530" t="str" cm="1">
        <f t="array" ref="AA530">_xlfn.IFS(Sales_Data_1[[#This Row],[Sales]]&gt;= 1000, "High Value", Sales_Data_1[[#This Row],[Sales]]&gt;= 300, "Mid Value", TRUE, "Low Value")</f>
        <v>High Value</v>
      </c>
    </row>
    <row r="531" spans="1:27" x14ac:dyDescent="0.3">
      <c r="A531" t="s">
        <v>2620</v>
      </c>
      <c r="B531" s="1">
        <v>45506</v>
      </c>
      <c r="C531" t="s">
        <v>30</v>
      </c>
      <c r="D531" t="s">
        <v>41</v>
      </c>
      <c r="E531" t="s">
        <v>2040</v>
      </c>
      <c r="F531" t="s">
        <v>43</v>
      </c>
      <c r="G531" t="s">
        <v>24</v>
      </c>
      <c r="H531" t="s">
        <v>74</v>
      </c>
      <c r="I531" t="s">
        <v>1222</v>
      </c>
      <c r="J531">
        <v>9</v>
      </c>
      <c r="K531">
        <v>3385</v>
      </c>
      <c r="L531">
        <v>0.22</v>
      </c>
      <c r="M531">
        <v>2640.3</v>
      </c>
      <c r="N531">
        <v>23762.7</v>
      </c>
      <c r="O531">
        <v>0.25</v>
      </c>
      <c r="P531">
        <v>5940.68</v>
      </c>
      <c r="Q531" t="s">
        <v>27</v>
      </c>
      <c r="R531" t="s">
        <v>48</v>
      </c>
      <c r="S531">
        <v>4</v>
      </c>
      <c r="T531">
        <f>YEAR(Sales_Data_1[[#This Row],[Order_Date]])</f>
        <v>2024</v>
      </c>
      <c r="U531" t="str">
        <f>TEXT(Sales_Data_1[[#This Row],[Order_Date]], "mmm")</f>
        <v>Aug</v>
      </c>
      <c r="V531">
        <f>MONTH(Sales_Data_1[[#This Row],[Order_Date]])</f>
        <v>8</v>
      </c>
      <c r="W531" t="str">
        <f>TEXT(Sales_Data_1[[#This Row],[Order_Date]], "yyyy-mm")</f>
        <v>2024-08</v>
      </c>
      <c r="X531">
        <f>Sales_Data_1[[#This Row],[Sales]]-Sales_Data_1[[#This Row],[Profit_Amount]]</f>
        <v>17822.02</v>
      </c>
      <c r="Y531" t="str" cm="1">
        <f t="array" ref="Y531">_xlfn.IFS(Sales_Data_1[[#This Row],[Delivery_Days]]&lt;=3, "Fast", Sales_Data_1[[#This Row],[Delivery_Days]]&lt;= 7, "Standard", TRUE, "Delayed")</f>
        <v>Standard</v>
      </c>
      <c r="Z531" t="str" cm="1">
        <f t="array" ref="Z531">_xlfn.IFS(Sales_Data_1[[#This Row],[Profit_Amount]]&gt; 0, "Profitable", Sales_Data_1[[#This Row],[Profit_Amount]] = 0, "Break-Even", TRUE, "Loss")</f>
        <v>Profitable</v>
      </c>
      <c r="AA531" t="str" cm="1">
        <f t="array" ref="AA531">_xlfn.IFS(Sales_Data_1[[#This Row],[Sales]]&gt;= 1000, "High Value", Sales_Data_1[[#This Row],[Sales]]&gt;= 300, "Mid Value", TRUE, "Low Value")</f>
        <v>High Value</v>
      </c>
    </row>
    <row r="532" spans="1:27" x14ac:dyDescent="0.3">
      <c r="A532" t="s">
        <v>2950</v>
      </c>
      <c r="B532" s="1">
        <v>45836</v>
      </c>
      <c r="C532" t="s">
        <v>30</v>
      </c>
      <c r="D532" t="s">
        <v>56</v>
      </c>
      <c r="E532" t="s">
        <v>67</v>
      </c>
      <c r="F532" t="s">
        <v>103</v>
      </c>
      <c r="G532" t="s">
        <v>57</v>
      </c>
      <c r="H532" t="s">
        <v>81</v>
      </c>
      <c r="I532" t="s">
        <v>1868</v>
      </c>
      <c r="J532">
        <v>8</v>
      </c>
      <c r="K532">
        <v>3753</v>
      </c>
      <c r="L532">
        <v>0.01</v>
      </c>
      <c r="M532">
        <v>3715.47</v>
      </c>
      <c r="N532">
        <v>29723.759999999998</v>
      </c>
      <c r="O532">
        <v>0.2</v>
      </c>
      <c r="P532">
        <v>5944.75</v>
      </c>
      <c r="Q532" t="s">
        <v>47</v>
      </c>
      <c r="R532" t="s">
        <v>48</v>
      </c>
      <c r="S532">
        <v>3</v>
      </c>
      <c r="T532">
        <f>YEAR(Sales_Data_1[[#This Row],[Order_Date]])</f>
        <v>2025</v>
      </c>
      <c r="U532" t="str">
        <f>TEXT(Sales_Data_1[[#This Row],[Order_Date]], "mmm")</f>
        <v>Jun</v>
      </c>
      <c r="V532">
        <f>MONTH(Sales_Data_1[[#This Row],[Order_Date]])</f>
        <v>6</v>
      </c>
      <c r="W532" t="str">
        <f>TEXT(Sales_Data_1[[#This Row],[Order_Date]], "yyyy-mm")</f>
        <v>2025-06</v>
      </c>
      <c r="X532">
        <f>Sales_Data_1[[#This Row],[Sales]]-Sales_Data_1[[#This Row],[Profit_Amount]]</f>
        <v>23779.01</v>
      </c>
      <c r="Y532" t="str" cm="1">
        <f t="array" ref="Y532">_xlfn.IFS(Sales_Data_1[[#This Row],[Delivery_Days]]&lt;=3, "Fast", Sales_Data_1[[#This Row],[Delivery_Days]]&lt;= 7, "Standard", TRUE, "Delayed")</f>
        <v>Fast</v>
      </c>
      <c r="Z532" t="str" cm="1">
        <f t="array" ref="Z532">_xlfn.IFS(Sales_Data_1[[#This Row],[Profit_Amount]]&gt; 0, "Profitable", Sales_Data_1[[#This Row],[Profit_Amount]] = 0, "Break-Even", TRUE, "Loss")</f>
        <v>Profitable</v>
      </c>
      <c r="AA532" t="str" cm="1">
        <f t="array" ref="AA532">_xlfn.IFS(Sales_Data_1[[#This Row],[Sales]]&gt;= 1000, "High Value", Sales_Data_1[[#This Row],[Sales]]&gt;= 300, "Mid Value", TRUE, "Low Value")</f>
        <v>High Value</v>
      </c>
    </row>
    <row r="533" spans="1:27" x14ac:dyDescent="0.3">
      <c r="A533" t="s">
        <v>2879</v>
      </c>
      <c r="B533" s="1">
        <v>45765</v>
      </c>
      <c r="C533" t="s">
        <v>55</v>
      </c>
      <c r="D533" t="s">
        <v>21</v>
      </c>
      <c r="E533" t="s">
        <v>67</v>
      </c>
      <c r="F533" t="s">
        <v>23</v>
      </c>
      <c r="G533" t="s">
        <v>44</v>
      </c>
      <c r="H533" t="s">
        <v>45</v>
      </c>
      <c r="I533" t="s">
        <v>1728</v>
      </c>
      <c r="J533">
        <v>7</v>
      </c>
      <c r="K533">
        <v>3257</v>
      </c>
      <c r="L533">
        <v>0.25</v>
      </c>
      <c r="M533">
        <v>2442.75</v>
      </c>
      <c r="N533">
        <v>17099.25</v>
      </c>
      <c r="O533">
        <v>0.35</v>
      </c>
      <c r="P533">
        <v>5984.74</v>
      </c>
      <c r="Q533" t="s">
        <v>47</v>
      </c>
      <c r="R533" t="s">
        <v>48</v>
      </c>
      <c r="S533">
        <v>7</v>
      </c>
      <c r="T533">
        <f>YEAR(Sales_Data_1[[#This Row],[Order_Date]])</f>
        <v>2025</v>
      </c>
      <c r="U533" t="str">
        <f>TEXT(Sales_Data_1[[#This Row],[Order_Date]], "mmm")</f>
        <v>Apr</v>
      </c>
      <c r="V533">
        <f>MONTH(Sales_Data_1[[#This Row],[Order_Date]])</f>
        <v>4</v>
      </c>
      <c r="W533" t="str">
        <f>TEXT(Sales_Data_1[[#This Row],[Order_Date]], "yyyy-mm")</f>
        <v>2025-04</v>
      </c>
      <c r="X533">
        <f>Sales_Data_1[[#This Row],[Sales]]-Sales_Data_1[[#This Row],[Profit_Amount]]</f>
        <v>11114.51</v>
      </c>
      <c r="Y533" t="str" cm="1">
        <f t="array" ref="Y533">_xlfn.IFS(Sales_Data_1[[#This Row],[Delivery_Days]]&lt;=3, "Fast", Sales_Data_1[[#This Row],[Delivery_Days]]&lt;= 7, "Standard", TRUE, "Delayed")</f>
        <v>Standard</v>
      </c>
      <c r="Z533" t="str" cm="1">
        <f t="array" ref="Z533">_xlfn.IFS(Sales_Data_1[[#This Row],[Profit_Amount]]&gt; 0, "Profitable", Sales_Data_1[[#This Row],[Profit_Amount]] = 0, "Break-Even", TRUE, "Loss")</f>
        <v>Profitable</v>
      </c>
      <c r="AA533" t="str" cm="1">
        <f t="array" ref="AA533">_xlfn.IFS(Sales_Data_1[[#This Row],[Sales]]&gt;= 1000, "High Value", Sales_Data_1[[#This Row],[Sales]]&gt;= 300, "Mid Value", TRUE, "Low Value")</f>
        <v>High Value</v>
      </c>
    </row>
    <row r="534" spans="1:27" x14ac:dyDescent="0.3">
      <c r="A534" t="s">
        <v>2872</v>
      </c>
      <c r="B534" s="1">
        <v>45758</v>
      </c>
      <c r="C534" t="s">
        <v>55</v>
      </c>
      <c r="D534" t="s">
        <v>21</v>
      </c>
      <c r="E534" t="s">
        <v>67</v>
      </c>
      <c r="F534" t="s">
        <v>33</v>
      </c>
      <c r="G534" t="s">
        <v>44</v>
      </c>
      <c r="H534" t="s">
        <v>64</v>
      </c>
      <c r="I534" t="s">
        <v>1714</v>
      </c>
      <c r="J534">
        <v>5</v>
      </c>
      <c r="K534">
        <v>3971</v>
      </c>
      <c r="L534">
        <v>0.13</v>
      </c>
      <c r="M534">
        <v>3454.77</v>
      </c>
      <c r="N534">
        <v>17273.849999999999</v>
      </c>
      <c r="O534">
        <v>0.35</v>
      </c>
      <c r="P534">
        <v>6045.85</v>
      </c>
      <c r="Q534" t="s">
        <v>37</v>
      </c>
      <c r="R534" t="s">
        <v>38</v>
      </c>
      <c r="S534">
        <v>1</v>
      </c>
      <c r="T534">
        <f>YEAR(Sales_Data_1[[#This Row],[Order_Date]])</f>
        <v>2025</v>
      </c>
      <c r="U534" t="str">
        <f>TEXT(Sales_Data_1[[#This Row],[Order_Date]], "mmm")</f>
        <v>Apr</v>
      </c>
      <c r="V534">
        <f>MONTH(Sales_Data_1[[#This Row],[Order_Date]])</f>
        <v>4</v>
      </c>
      <c r="W534" t="str">
        <f>TEXT(Sales_Data_1[[#This Row],[Order_Date]], "yyyy-mm")</f>
        <v>2025-04</v>
      </c>
      <c r="X534">
        <f>Sales_Data_1[[#This Row],[Sales]]-Sales_Data_1[[#This Row],[Profit_Amount]]</f>
        <v>11227.999999999998</v>
      </c>
      <c r="Y534" t="str" cm="1">
        <f t="array" ref="Y534">_xlfn.IFS(Sales_Data_1[[#This Row],[Delivery_Days]]&lt;=3, "Fast", Sales_Data_1[[#This Row],[Delivery_Days]]&lt;= 7, "Standard", TRUE, "Delayed")</f>
        <v>Fast</v>
      </c>
      <c r="Z534" t="str" cm="1">
        <f t="array" ref="Z534">_xlfn.IFS(Sales_Data_1[[#This Row],[Profit_Amount]]&gt; 0, "Profitable", Sales_Data_1[[#This Row],[Profit_Amount]] = 0, "Break-Even", TRUE, "Loss")</f>
        <v>Profitable</v>
      </c>
      <c r="AA534" t="str" cm="1">
        <f t="array" ref="AA534">_xlfn.IFS(Sales_Data_1[[#This Row],[Sales]]&gt;= 1000, "High Value", Sales_Data_1[[#This Row],[Sales]]&gt;= 300, "Mid Value", TRUE, "Low Value")</f>
        <v>High Value</v>
      </c>
    </row>
    <row r="535" spans="1:27" x14ac:dyDescent="0.3">
      <c r="A535" t="s">
        <v>2645</v>
      </c>
      <c r="B535" s="1">
        <v>45531</v>
      </c>
      <c r="C535" t="s">
        <v>63</v>
      </c>
      <c r="D535" t="s">
        <v>21</v>
      </c>
      <c r="E535" t="s">
        <v>2040</v>
      </c>
      <c r="F535" t="s">
        <v>43</v>
      </c>
      <c r="G535" t="s">
        <v>44</v>
      </c>
      <c r="H535" t="s">
        <v>138</v>
      </c>
      <c r="I535" t="s">
        <v>1270</v>
      </c>
      <c r="J535">
        <v>6</v>
      </c>
      <c r="K535">
        <v>3691</v>
      </c>
      <c r="L535">
        <v>0.22</v>
      </c>
      <c r="M535">
        <v>2878.98</v>
      </c>
      <c r="N535">
        <v>17273.88</v>
      </c>
      <c r="O535">
        <v>0.35</v>
      </c>
      <c r="P535">
        <v>6045.86</v>
      </c>
      <c r="Q535" t="s">
        <v>37</v>
      </c>
      <c r="R535" t="s">
        <v>38</v>
      </c>
      <c r="S535">
        <v>9</v>
      </c>
      <c r="T535">
        <f>YEAR(Sales_Data_1[[#This Row],[Order_Date]])</f>
        <v>2024</v>
      </c>
      <c r="U535" t="str">
        <f>TEXT(Sales_Data_1[[#This Row],[Order_Date]], "mmm")</f>
        <v>Aug</v>
      </c>
      <c r="V535">
        <f>MONTH(Sales_Data_1[[#This Row],[Order_Date]])</f>
        <v>8</v>
      </c>
      <c r="W535" t="str">
        <f>TEXT(Sales_Data_1[[#This Row],[Order_Date]], "yyyy-mm")</f>
        <v>2024-08</v>
      </c>
      <c r="X535">
        <f>Sales_Data_1[[#This Row],[Sales]]-Sales_Data_1[[#This Row],[Profit_Amount]]</f>
        <v>11228.02</v>
      </c>
      <c r="Y535" t="str" cm="1">
        <f t="array" ref="Y535">_xlfn.IFS(Sales_Data_1[[#This Row],[Delivery_Days]]&lt;=3, "Fast", Sales_Data_1[[#This Row],[Delivery_Days]]&lt;= 7, "Standard", TRUE, "Delayed")</f>
        <v>Delayed</v>
      </c>
      <c r="Z535" t="str" cm="1">
        <f t="array" ref="Z535">_xlfn.IFS(Sales_Data_1[[#This Row],[Profit_Amount]]&gt; 0, "Profitable", Sales_Data_1[[#This Row],[Profit_Amount]] = 0, "Break-Even", TRUE, "Loss")</f>
        <v>Profitable</v>
      </c>
      <c r="AA535" t="str" cm="1">
        <f t="array" ref="AA535">_xlfn.IFS(Sales_Data_1[[#This Row],[Sales]]&gt;= 1000, "High Value", Sales_Data_1[[#This Row],[Sales]]&gt;= 300, "Mid Value", TRUE, "Low Value")</f>
        <v>High Value</v>
      </c>
    </row>
    <row r="536" spans="1:27" x14ac:dyDescent="0.3">
      <c r="A536" t="s">
        <v>2966</v>
      </c>
      <c r="B536" s="1">
        <v>45852</v>
      </c>
      <c r="C536" t="s">
        <v>55</v>
      </c>
      <c r="D536" t="s">
        <v>41</v>
      </c>
      <c r="E536" t="s">
        <v>42</v>
      </c>
      <c r="F536" t="s">
        <v>33</v>
      </c>
      <c r="G536" t="s">
        <v>44</v>
      </c>
      <c r="H536" t="s">
        <v>116</v>
      </c>
      <c r="I536" t="s">
        <v>620</v>
      </c>
      <c r="J536">
        <v>6</v>
      </c>
      <c r="K536">
        <v>3562</v>
      </c>
      <c r="L536">
        <v>0.19</v>
      </c>
      <c r="M536">
        <v>2885.22</v>
      </c>
      <c r="N536">
        <v>17311.32</v>
      </c>
      <c r="O536">
        <v>0.35</v>
      </c>
      <c r="P536">
        <v>6058.96</v>
      </c>
      <c r="Q536" t="s">
        <v>37</v>
      </c>
      <c r="R536" t="s">
        <v>28</v>
      </c>
      <c r="S536">
        <v>8</v>
      </c>
      <c r="T536">
        <f>YEAR(Sales_Data_1[[#This Row],[Order_Date]])</f>
        <v>2025</v>
      </c>
      <c r="U536" t="str">
        <f>TEXT(Sales_Data_1[[#This Row],[Order_Date]], "mmm")</f>
        <v>Jul</v>
      </c>
      <c r="V536">
        <f>MONTH(Sales_Data_1[[#This Row],[Order_Date]])</f>
        <v>7</v>
      </c>
      <c r="W536" t="str">
        <f>TEXT(Sales_Data_1[[#This Row],[Order_Date]], "yyyy-mm")</f>
        <v>2025-07</v>
      </c>
      <c r="X536">
        <f>Sales_Data_1[[#This Row],[Sales]]-Sales_Data_1[[#This Row],[Profit_Amount]]</f>
        <v>11252.36</v>
      </c>
      <c r="Y536" t="str" cm="1">
        <f t="array" ref="Y536">_xlfn.IFS(Sales_Data_1[[#This Row],[Delivery_Days]]&lt;=3, "Fast", Sales_Data_1[[#This Row],[Delivery_Days]]&lt;= 7, "Standard", TRUE, "Delayed")</f>
        <v>Delayed</v>
      </c>
      <c r="Z536" t="str" cm="1">
        <f t="array" ref="Z536">_xlfn.IFS(Sales_Data_1[[#This Row],[Profit_Amount]]&gt; 0, "Profitable", Sales_Data_1[[#This Row],[Profit_Amount]] = 0, "Break-Even", TRUE, "Loss")</f>
        <v>Profitable</v>
      </c>
      <c r="AA536" t="str" cm="1">
        <f t="array" ref="AA536">_xlfn.IFS(Sales_Data_1[[#This Row],[Sales]]&gt;= 1000, "High Value", Sales_Data_1[[#This Row],[Sales]]&gt;= 300, "Mid Value", TRUE, "Low Value")</f>
        <v>High Value</v>
      </c>
    </row>
    <row r="537" spans="1:27" x14ac:dyDescent="0.3">
      <c r="A537" t="s">
        <v>2573</v>
      </c>
      <c r="B537" s="1">
        <v>45459</v>
      </c>
      <c r="C537" t="s">
        <v>40</v>
      </c>
      <c r="D537" t="s">
        <v>31</v>
      </c>
      <c r="E537" t="s">
        <v>2040</v>
      </c>
      <c r="F537" t="s">
        <v>97</v>
      </c>
      <c r="G537" t="s">
        <v>57</v>
      </c>
      <c r="H537" t="s">
        <v>183</v>
      </c>
      <c r="I537" t="s">
        <v>1129</v>
      </c>
      <c r="J537">
        <v>2</v>
      </c>
      <c r="K537">
        <v>19563</v>
      </c>
      <c r="L537">
        <v>0.22</v>
      </c>
      <c r="M537">
        <v>15259.14</v>
      </c>
      <c r="N537">
        <v>30518.28</v>
      </c>
      <c r="O537">
        <v>0.2</v>
      </c>
      <c r="P537">
        <v>6103.66</v>
      </c>
      <c r="Q537" t="s">
        <v>37</v>
      </c>
      <c r="R537" t="s">
        <v>48</v>
      </c>
      <c r="S537">
        <v>9</v>
      </c>
      <c r="T537">
        <f>YEAR(Sales_Data_1[[#This Row],[Order_Date]])</f>
        <v>2024</v>
      </c>
      <c r="U537" t="str">
        <f>TEXT(Sales_Data_1[[#This Row],[Order_Date]], "mmm")</f>
        <v>Jun</v>
      </c>
      <c r="V537">
        <f>MONTH(Sales_Data_1[[#This Row],[Order_Date]])</f>
        <v>6</v>
      </c>
      <c r="W537" t="str">
        <f>TEXT(Sales_Data_1[[#This Row],[Order_Date]], "yyyy-mm")</f>
        <v>2024-06</v>
      </c>
      <c r="X537">
        <f>Sales_Data_1[[#This Row],[Sales]]-Sales_Data_1[[#This Row],[Profit_Amount]]</f>
        <v>24414.62</v>
      </c>
      <c r="Y537" t="str" cm="1">
        <f t="array" ref="Y537">_xlfn.IFS(Sales_Data_1[[#This Row],[Delivery_Days]]&lt;=3, "Fast", Sales_Data_1[[#This Row],[Delivery_Days]]&lt;= 7, "Standard", TRUE, "Delayed")</f>
        <v>Delayed</v>
      </c>
      <c r="Z537" t="str" cm="1">
        <f t="array" ref="Z537">_xlfn.IFS(Sales_Data_1[[#This Row],[Profit_Amount]]&gt; 0, "Profitable", Sales_Data_1[[#This Row],[Profit_Amount]] = 0, "Break-Even", TRUE, "Loss")</f>
        <v>Profitable</v>
      </c>
      <c r="AA537" t="str" cm="1">
        <f t="array" ref="AA537">_xlfn.IFS(Sales_Data_1[[#This Row],[Sales]]&gt;= 1000, "High Value", Sales_Data_1[[#This Row],[Sales]]&gt;= 300, "Mid Value", TRUE, "Low Value")</f>
        <v>High Value</v>
      </c>
    </row>
    <row r="538" spans="1:27" x14ac:dyDescent="0.3">
      <c r="A538" t="s">
        <v>2517</v>
      </c>
      <c r="B538" s="1">
        <v>45403</v>
      </c>
      <c r="C538" t="s">
        <v>55</v>
      </c>
      <c r="D538" t="s">
        <v>31</v>
      </c>
      <c r="E538" t="s">
        <v>2042</v>
      </c>
      <c r="F538" t="s">
        <v>103</v>
      </c>
      <c r="G538" t="s">
        <v>24</v>
      </c>
      <c r="H538" t="s">
        <v>74</v>
      </c>
      <c r="I538" t="s">
        <v>1018</v>
      </c>
      <c r="J538">
        <v>2</v>
      </c>
      <c r="K538">
        <v>14235</v>
      </c>
      <c r="L538">
        <v>0.13</v>
      </c>
      <c r="M538">
        <v>12384.45</v>
      </c>
      <c r="N538">
        <v>24768.9</v>
      </c>
      <c r="O538">
        <v>0.25</v>
      </c>
      <c r="P538">
        <v>6192.22</v>
      </c>
      <c r="Q538" t="s">
        <v>37</v>
      </c>
      <c r="R538" t="s">
        <v>48</v>
      </c>
      <c r="S538">
        <v>4</v>
      </c>
      <c r="T538">
        <f>YEAR(Sales_Data_1[[#This Row],[Order_Date]])</f>
        <v>2024</v>
      </c>
      <c r="U538" t="str">
        <f>TEXT(Sales_Data_1[[#This Row],[Order_Date]], "mmm")</f>
        <v>Apr</v>
      </c>
      <c r="V538">
        <f>MONTH(Sales_Data_1[[#This Row],[Order_Date]])</f>
        <v>4</v>
      </c>
      <c r="W538" t="str">
        <f>TEXT(Sales_Data_1[[#This Row],[Order_Date]], "yyyy-mm")</f>
        <v>2024-04</v>
      </c>
      <c r="X538">
        <f>Sales_Data_1[[#This Row],[Sales]]-Sales_Data_1[[#This Row],[Profit_Amount]]</f>
        <v>18576.68</v>
      </c>
      <c r="Y538" t="str" cm="1">
        <f t="array" ref="Y538">_xlfn.IFS(Sales_Data_1[[#This Row],[Delivery_Days]]&lt;=3, "Fast", Sales_Data_1[[#This Row],[Delivery_Days]]&lt;= 7, "Standard", TRUE, "Delayed")</f>
        <v>Standard</v>
      </c>
      <c r="Z538" t="str" cm="1">
        <f t="array" ref="Z538">_xlfn.IFS(Sales_Data_1[[#This Row],[Profit_Amount]]&gt; 0, "Profitable", Sales_Data_1[[#This Row],[Profit_Amount]] = 0, "Break-Even", TRUE, "Loss")</f>
        <v>Profitable</v>
      </c>
      <c r="AA538" t="str" cm="1">
        <f t="array" ref="AA538">_xlfn.IFS(Sales_Data_1[[#This Row],[Sales]]&gt;= 1000, "High Value", Sales_Data_1[[#This Row],[Sales]]&gt;= 300, "Mid Value", TRUE, "Low Value")</f>
        <v>High Value</v>
      </c>
    </row>
    <row r="539" spans="1:27" x14ac:dyDescent="0.3">
      <c r="A539" t="s">
        <v>2823</v>
      </c>
      <c r="B539" s="1">
        <v>45709</v>
      </c>
      <c r="C539" t="s">
        <v>40</v>
      </c>
      <c r="D539" t="s">
        <v>21</v>
      </c>
      <c r="E539" t="s">
        <v>42</v>
      </c>
      <c r="F539" t="s">
        <v>97</v>
      </c>
      <c r="G539" t="s">
        <v>92</v>
      </c>
      <c r="H539" t="s">
        <v>243</v>
      </c>
      <c r="I539" t="s">
        <v>1617</v>
      </c>
      <c r="J539">
        <v>1</v>
      </c>
      <c r="K539">
        <v>46060</v>
      </c>
      <c r="L539">
        <v>0.1</v>
      </c>
      <c r="M539">
        <v>41454</v>
      </c>
      <c r="N539">
        <v>41454</v>
      </c>
      <c r="O539">
        <v>0.15</v>
      </c>
      <c r="P539">
        <v>6218.1</v>
      </c>
      <c r="Q539" t="s">
        <v>27</v>
      </c>
      <c r="R539" t="s">
        <v>48</v>
      </c>
      <c r="S539">
        <v>3</v>
      </c>
      <c r="T539">
        <f>YEAR(Sales_Data_1[[#This Row],[Order_Date]])</f>
        <v>2025</v>
      </c>
      <c r="U539" t="str">
        <f>TEXT(Sales_Data_1[[#This Row],[Order_Date]], "mmm")</f>
        <v>Feb</v>
      </c>
      <c r="V539">
        <f>MONTH(Sales_Data_1[[#This Row],[Order_Date]])</f>
        <v>2</v>
      </c>
      <c r="W539" t="str">
        <f>TEXT(Sales_Data_1[[#This Row],[Order_Date]], "yyyy-mm")</f>
        <v>2025-02</v>
      </c>
      <c r="X539">
        <f>Sales_Data_1[[#This Row],[Sales]]-Sales_Data_1[[#This Row],[Profit_Amount]]</f>
        <v>35235.9</v>
      </c>
      <c r="Y539" t="str" cm="1">
        <f t="array" ref="Y539">_xlfn.IFS(Sales_Data_1[[#This Row],[Delivery_Days]]&lt;=3, "Fast", Sales_Data_1[[#This Row],[Delivery_Days]]&lt;= 7, "Standard", TRUE, "Delayed")</f>
        <v>Fast</v>
      </c>
      <c r="Z539" t="str" cm="1">
        <f t="array" ref="Z539">_xlfn.IFS(Sales_Data_1[[#This Row],[Profit_Amount]]&gt; 0, "Profitable", Sales_Data_1[[#This Row],[Profit_Amount]] = 0, "Break-Even", TRUE, "Loss")</f>
        <v>Profitable</v>
      </c>
      <c r="AA539" t="str" cm="1">
        <f t="array" ref="AA539">_xlfn.IFS(Sales_Data_1[[#This Row],[Sales]]&gt;= 1000, "High Value", Sales_Data_1[[#This Row],[Sales]]&gt;= 300, "Mid Value", TRUE, "Low Value")</f>
        <v>High Value</v>
      </c>
    </row>
    <row r="540" spans="1:27" x14ac:dyDescent="0.3">
      <c r="A540" t="s">
        <v>2413</v>
      </c>
      <c r="B540" s="1">
        <v>45299</v>
      </c>
      <c r="C540" t="s">
        <v>30</v>
      </c>
      <c r="D540" t="s">
        <v>56</v>
      </c>
      <c r="E540" t="s">
        <v>42</v>
      </c>
      <c r="F540" t="s">
        <v>103</v>
      </c>
      <c r="G540" t="s">
        <v>57</v>
      </c>
      <c r="H540" t="s">
        <v>58</v>
      </c>
      <c r="I540" t="s">
        <v>812</v>
      </c>
      <c r="J540">
        <v>5</v>
      </c>
      <c r="K540">
        <v>7699</v>
      </c>
      <c r="L540">
        <v>0.19</v>
      </c>
      <c r="M540">
        <v>6236.19</v>
      </c>
      <c r="N540">
        <v>31180.95</v>
      </c>
      <c r="O540">
        <v>0.2</v>
      </c>
      <c r="P540">
        <v>6236.19</v>
      </c>
      <c r="Q540" t="s">
        <v>37</v>
      </c>
      <c r="R540" t="s">
        <v>38</v>
      </c>
      <c r="S540">
        <v>8</v>
      </c>
      <c r="T540">
        <f>YEAR(Sales_Data_1[[#This Row],[Order_Date]])</f>
        <v>2024</v>
      </c>
      <c r="U540" t="str">
        <f>TEXT(Sales_Data_1[[#This Row],[Order_Date]], "mmm")</f>
        <v>Jan</v>
      </c>
      <c r="V540">
        <f>MONTH(Sales_Data_1[[#This Row],[Order_Date]])</f>
        <v>1</v>
      </c>
      <c r="W540" t="str">
        <f>TEXT(Sales_Data_1[[#This Row],[Order_Date]], "yyyy-mm")</f>
        <v>2024-01</v>
      </c>
      <c r="X540">
        <f>Sales_Data_1[[#This Row],[Sales]]-Sales_Data_1[[#This Row],[Profit_Amount]]</f>
        <v>24944.760000000002</v>
      </c>
      <c r="Y540" t="str" cm="1">
        <f t="array" ref="Y540">_xlfn.IFS(Sales_Data_1[[#This Row],[Delivery_Days]]&lt;=3, "Fast", Sales_Data_1[[#This Row],[Delivery_Days]]&lt;= 7, "Standard", TRUE, "Delayed")</f>
        <v>Delayed</v>
      </c>
      <c r="Z540" t="str" cm="1">
        <f t="array" ref="Z540">_xlfn.IFS(Sales_Data_1[[#This Row],[Profit_Amount]]&gt; 0, "Profitable", Sales_Data_1[[#This Row],[Profit_Amount]] = 0, "Break-Even", TRUE, "Loss")</f>
        <v>Profitable</v>
      </c>
      <c r="AA540" t="str" cm="1">
        <f t="array" ref="AA540">_xlfn.IFS(Sales_Data_1[[#This Row],[Sales]]&gt;= 1000, "High Value", Sales_Data_1[[#This Row],[Sales]]&gt;= 300, "Mid Value", TRUE, "Low Value")</f>
        <v>High Value</v>
      </c>
    </row>
    <row r="541" spans="1:27" x14ac:dyDescent="0.3">
      <c r="A541" t="s">
        <v>2773</v>
      </c>
      <c r="B541" s="1">
        <v>45659</v>
      </c>
      <c r="C541" t="s">
        <v>20</v>
      </c>
      <c r="D541" t="s">
        <v>31</v>
      </c>
      <c r="E541" t="s">
        <v>2042</v>
      </c>
      <c r="F541" t="s">
        <v>68</v>
      </c>
      <c r="G541" t="s">
        <v>24</v>
      </c>
      <c r="H541" t="s">
        <v>186</v>
      </c>
      <c r="I541" t="s">
        <v>1520</v>
      </c>
      <c r="J541">
        <v>7</v>
      </c>
      <c r="K541">
        <v>4300</v>
      </c>
      <c r="L541">
        <v>0.17</v>
      </c>
      <c r="M541">
        <v>3569</v>
      </c>
      <c r="N541">
        <v>24983</v>
      </c>
      <c r="O541">
        <v>0.25</v>
      </c>
      <c r="P541">
        <v>6245.75</v>
      </c>
      <c r="Q541" t="s">
        <v>27</v>
      </c>
      <c r="R541" t="s">
        <v>48</v>
      </c>
      <c r="S541">
        <v>7</v>
      </c>
      <c r="T541">
        <f>YEAR(Sales_Data_1[[#This Row],[Order_Date]])</f>
        <v>2025</v>
      </c>
      <c r="U541" t="str">
        <f>TEXT(Sales_Data_1[[#This Row],[Order_Date]], "mmm")</f>
        <v>Jan</v>
      </c>
      <c r="V541">
        <f>MONTH(Sales_Data_1[[#This Row],[Order_Date]])</f>
        <v>1</v>
      </c>
      <c r="W541" t="str">
        <f>TEXT(Sales_Data_1[[#This Row],[Order_Date]], "yyyy-mm")</f>
        <v>2025-01</v>
      </c>
      <c r="X541">
        <f>Sales_Data_1[[#This Row],[Sales]]-Sales_Data_1[[#This Row],[Profit_Amount]]</f>
        <v>18737.25</v>
      </c>
      <c r="Y541" t="str" cm="1">
        <f t="array" ref="Y541">_xlfn.IFS(Sales_Data_1[[#This Row],[Delivery_Days]]&lt;=3, "Fast", Sales_Data_1[[#This Row],[Delivery_Days]]&lt;= 7, "Standard", TRUE, "Delayed")</f>
        <v>Standard</v>
      </c>
      <c r="Z541" t="str" cm="1">
        <f t="array" ref="Z541">_xlfn.IFS(Sales_Data_1[[#This Row],[Profit_Amount]]&gt; 0, "Profitable", Sales_Data_1[[#This Row],[Profit_Amount]] = 0, "Break-Even", TRUE, "Loss")</f>
        <v>Profitable</v>
      </c>
      <c r="AA541" t="str" cm="1">
        <f t="array" ref="AA541">_xlfn.IFS(Sales_Data_1[[#This Row],[Sales]]&gt;= 1000, "High Value", Sales_Data_1[[#This Row],[Sales]]&gt;= 300, "Mid Value", TRUE, "Low Value")</f>
        <v>High Value</v>
      </c>
    </row>
    <row r="542" spans="1:27" x14ac:dyDescent="0.3">
      <c r="A542" t="s">
        <v>2218</v>
      </c>
      <c r="B542" s="1">
        <v>45104</v>
      </c>
      <c r="C542" t="s">
        <v>55</v>
      </c>
      <c r="D542" t="s">
        <v>31</v>
      </c>
      <c r="E542" t="s">
        <v>42</v>
      </c>
      <c r="F542" t="s">
        <v>97</v>
      </c>
      <c r="G542" t="s">
        <v>92</v>
      </c>
      <c r="H542" t="s">
        <v>93</v>
      </c>
      <c r="I542" t="s">
        <v>426</v>
      </c>
      <c r="J542">
        <v>1</v>
      </c>
      <c r="K542">
        <v>49062</v>
      </c>
      <c r="L542">
        <v>0.15</v>
      </c>
      <c r="M542">
        <v>41702.699999999997</v>
      </c>
      <c r="N542">
        <v>41702.699999999997</v>
      </c>
      <c r="O542">
        <v>0.15</v>
      </c>
      <c r="P542">
        <v>6255.4</v>
      </c>
      <c r="Q542" t="s">
        <v>51</v>
      </c>
      <c r="R542" t="s">
        <v>48</v>
      </c>
      <c r="S542">
        <v>3</v>
      </c>
      <c r="T542">
        <f>YEAR(Sales_Data_1[[#This Row],[Order_Date]])</f>
        <v>2023</v>
      </c>
      <c r="U542" t="str">
        <f>TEXT(Sales_Data_1[[#This Row],[Order_Date]], "mmm")</f>
        <v>Jun</v>
      </c>
      <c r="V542">
        <f>MONTH(Sales_Data_1[[#This Row],[Order_Date]])</f>
        <v>6</v>
      </c>
      <c r="W542" t="str">
        <f>TEXT(Sales_Data_1[[#This Row],[Order_Date]], "yyyy-mm")</f>
        <v>2023-06</v>
      </c>
      <c r="X542">
        <f>Sales_Data_1[[#This Row],[Sales]]-Sales_Data_1[[#This Row],[Profit_Amount]]</f>
        <v>35447.299999999996</v>
      </c>
      <c r="Y542" t="str" cm="1">
        <f t="array" ref="Y542">_xlfn.IFS(Sales_Data_1[[#This Row],[Delivery_Days]]&lt;=3, "Fast", Sales_Data_1[[#This Row],[Delivery_Days]]&lt;= 7, "Standard", TRUE, "Delayed")</f>
        <v>Fast</v>
      </c>
      <c r="Z542" t="str" cm="1">
        <f t="array" ref="Z542">_xlfn.IFS(Sales_Data_1[[#This Row],[Profit_Amount]]&gt; 0, "Profitable", Sales_Data_1[[#This Row],[Profit_Amount]] = 0, "Break-Even", TRUE, "Loss")</f>
        <v>Profitable</v>
      </c>
      <c r="AA542" t="str" cm="1">
        <f t="array" ref="AA542">_xlfn.IFS(Sales_Data_1[[#This Row],[Sales]]&gt;= 1000, "High Value", Sales_Data_1[[#This Row],[Sales]]&gt;= 300, "Mid Value", TRUE, "Low Value")</f>
        <v>High Value</v>
      </c>
    </row>
    <row r="543" spans="1:27" x14ac:dyDescent="0.3">
      <c r="A543" t="s">
        <v>2607</v>
      </c>
      <c r="B543" s="1">
        <v>45493</v>
      </c>
      <c r="C543" t="s">
        <v>63</v>
      </c>
      <c r="D543" t="s">
        <v>31</v>
      </c>
      <c r="E543" t="s">
        <v>42</v>
      </c>
      <c r="F543" t="s">
        <v>103</v>
      </c>
      <c r="G543" t="s">
        <v>44</v>
      </c>
      <c r="H543" t="s">
        <v>116</v>
      </c>
      <c r="I543" t="s">
        <v>1196</v>
      </c>
      <c r="J543">
        <v>8</v>
      </c>
      <c r="K543">
        <v>2793</v>
      </c>
      <c r="L543">
        <v>0.2</v>
      </c>
      <c r="M543">
        <v>2234.4</v>
      </c>
      <c r="N543">
        <v>17875.2</v>
      </c>
      <c r="O543">
        <v>0.35</v>
      </c>
      <c r="P543">
        <v>6256.32</v>
      </c>
      <c r="Q543" t="s">
        <v>51</v>
      </c>
      <c r="R543" t="s">
        <v>48</v>
      </c>
      <c r="S543">
        <v>9</v>
      </c>
      <c r="T543">
        <f>YEAR(Sales_Data_1[[#This Row],[Order_Date]])</f>
        <v>2024</v>
      </c>
      <c r="U543" t="str">
        <f>TEXT(Sales_Data_1[[#This Row],[Order_Date]], "mmm")</f>
        <v>Jul</v>
      </c>
      <c r="V543">
        <f>MONTH(Sales_Data_1[[#This Row],[Order_Date]])</f>
        <v>7</v>
      </c>
      <c r="W543" t="str">
        <f>TEXT(Sales_Data_1[[#This Row],[Order_Date]], "yyyy-mm")</f>
        <v>2024-07</v>
      </c>
      <c r="X543">
        <f>Sales_Data_1[[#This Row],[Sales]]-Sales_Data_1[[#This Row],[Profit_Amount]]</f>
        <v>11618.880000000001</v>
      </c>
      <c r="Y543" t="str" cm="1">
        <f t="array" ref="Y543">_xlfn.IFS(Sales_Data_1[[#This Row],[Delivery_Days]]&lt;=3, "Fast", Sales_Data_1[[#This Row],[Delivery_Days]]&lt;= 7, "Standard", TRUE, "Delayed")</f>
        <v>Delayed</v>
      </c>
      <c r="Z543" t="str" cm="1">
        <f t="array" ref="Z543">_xlfn.IFS(Sales_Data_1[[#This Row],[Profit_Amount]]&gt; 0, "Profitable", Sales_Data_1[[#This Row],[Profit_Amount]] = 0, "Break-Even", TRUE, "Loss")</f>
        <v>Profitable</v>
      </c>
      <c r="AA543" t="str" cm="1">
        <f t="array" ref="AA543">_xlfn.IFS(Sales_Data_1[[#This Row],[Sales]]&gt;= 1000, "High Value", Sales_Data_1[[#This Row],[Sales]]&gt;= 300, "Mid Value", TRUE, "Low Value")</f>
        <v>High Value</v>
      </c>
    </row>
    <row r="544" spans="1:27" x14ac:dyDescent="0.3">
      <c r="A544" t="s">
        <v>2647</v>
      </c>
      <c r="B544" s="1">
        <v>45533</v>
      </c>
      <c r="C544" t="s">
        <v>55</v>
      </c>
      <c r="D544" t="s">
        <v>56</v>
      </c>
      <c r="E544" t="s">
        <v>2040</v>
      </c>
      <c r="F544" t="s">
        <v>23</v>
      </c>
      <c r="G544" t="s">
        <v>24</v>
      </c>
      <c r="H544" t="s">
        <v>74</v>
      </c>
      <c r="I544" t="s">
        <v>1274</v>
      </c>
      <c r="J544">
        <v>3</v>
      </c>
      <c r="K544">
        <v>9616</v>
      </c>
      <c r="L544">
        <v>0.13</v>
      </c>
      <c r="M544">
        <v>8365.92</v>
      </c>
      <c r="N544">
        <v>25097.759999999998</v>
      </c>
      <c r="O544">
        <v>0.25</v>
      </c>
      <c r="P544">
        <v>6274.44</v>
      </c>
      <c r="Q544" t="s">
        <v>51</v>
      </c>
      <c r="R544" t="s">
        <v>48</v>
      </c>
      <c r="S544">
        <v>3</v>
      </c>
      <c r="T544">
        <f>YEAR(Sales_Data_1[[#This Row],[Order_Date]])</f>
        <v>2024</v>
      </c>
      <c r="U544" t="str">
        <f>TEXT(Sales_Data_1[[#This Row],[Order_Date]], "mmm")</f>
        <v>Aug</v>
      </c>
      <c r="V544">
        <f>MONTH(Sales_Data_1[[#This Row],[Order_Date]])</f>
        <v>8</v>
      </c>
      <c r="W544" t="str">
        <f>TEXT(Sales_Data_1[[#This Row],[Order_Date]], "yyyy-mm")</f>
        <v>2024-08</v>
      </c>
      <c r="X544">
        <f>Sales_Data_1[[#This Row],[Sales]]-Sales_Data_1[[#This Row],[Profit_Amount]]</f>
        <v>18823.32</v>
      </c>
      <c r="Y544" t="str" cm="1">
        <f t="array" ref="Y544">_xlfn.IFS(Sales_Data_1[[#This Row],[Delivery_Days]]&lt;=3, "Fast", Sales_Data_1[[#This Row],[Delivery_Days]]&lt;= 7, "Standard", TRUE, "Delayed")</f>
        <v>Fast</v>
      </c>
      <c r="Z544" t="str" cm="1">
        <f t="array" ref="Z544">_xlfn.IFS(Sales_Data_1[[#This Row],[Profit_Amount]]&gt; 0, "Profitable", Sales_Data_1[[#This Row],[Profit_Amount]] = 0, "Break-Even", TRUE, "Loss")</f>
        <v>Profitable</v>
      </c>
      <c r="AA544" t="str" cm="1">
        <f t="array" ref="AA544">_xlfn.IFS(Sales_Data_1[[#This Row],[Sales]]&gt;= 1000, "High Value", Sales_Data_1[[#This Row],[Sales]]&gt;= 300, "Mid Value", TRUE, "Low Value")</f>
        <v>High Value</v>
      </c>
    </row>
    <row r="545" spans="1:27" x14ac:dyDescent="0.3">
      <c r="A545" t="s">
        <v>2868</v>
      </c>
      <c r="B545" s="1">
        <v>45754</v>
      </c>
      <c r="C545" t="s">
        <v>30</v>
      </c>
      <c r="D545" t="s">
        <v>56</v>
      </c>
      <c r="E545" t="s">
        <v>67</v>
      </c>
      <c r="F545" t="s">
        <v>68</v>
      </c>
      <c r="G545" t="s">
        <v>24</v>
      </c>
      <c r="H545" t="s">
        <v>25</v>
      </c>
      <c r="I545" t="s">
        <v>1706</v>
      </c>
      <c r="J545">
        <v>2</v>
      </c>
      <c r="K545">
        <v>14870</v>
      </c>
      <c r="L545">
        <v>0.15</v>
      </c>
      <c r="M545">
        <v>12639.5</v>
      </c>
      <c r="N545">
        <v>25279</v>
      </c>
      <c r="O545">
        <v>0.25</v>
      </c>
      <c r="P545">
        <v>6319.75</v>
      </c>
      <c r="Q545" t="s">
        <v>47</v>
      </c>
      <c r="R545" t="s">
        <v>28</v>
      </c>
      <c r="S545">
        <v>7</v>
      </c>
      <c r="T545">
        <f>YEAR(Sales_Data_1[[#This Row],[Order_Date]])</f>
        <v>2025</v>
      </c>
      <c r="U545" t="str">
        <f>TEXT(Sales_Data_1[[#This Row],[Order_Date]], "mmm")</f>
        <v>Apr</v>
      </c>
      <c r="V545">
        <f>MONTH(Sales_Data_1[[#This Row],[Order_Date]])</f>
        <v>4</v>
      </c>
      <c r="W545" t="str">
        <f>TEXT(Sales_Data_1[[#This Row],[Order_Date]], "yyyy-mm")</f>
        <v>2025-04</v>
      </c>
      <c r="X545">
        <f>Sales_Data_1[[#This Row],[Sales]]-Sales_Data_1[[#This Row],[Profit_Amount]]</f>
        <v>18959.25</v>
      </c>
      <c r="Y545" t="str" cm="1">
        <f t="array" ref="Y545">_xlfn.IFS(Sales_Data_1[[#This Row],[Delivery_Days]]&lt;=3, "Fast", Sales_Data_1[[#This Row],[Delivery_Days]]&lt;= 7, "Standard", TRUE, "Delayed")</f>
        <v>Standard</v>
      </c>
      <c r="Z545" t="str" cm="1">
        <f t="array" ref="Z545">_xlfn.IFS(Sales_Data_1[[#This Row],[Profit_Amount]]&gt; 0, "Profitable", Sales_Data_1[[#This Row],[Profit_Amount]] = 0, "Break-Even", TRUE, "Loss")</f>
        <v>Profitable</v>
      </c>
      <c r="AA545" t="str" cm="1">
        <f t="array" ref="AA545">_xlfn.IFS(Sales_Data_1[[#This Row],[Sales]]&gt;= 1000, "High Value", Sales_Data_1[[#This Row],[Sales]]&gt;= 300, "Mid Value", TRUE, "Low Value")</f>
        <v>High Value</v>
      </c>
    </row>
    <row r="546" spans="1:27" x14ac:dyDescent="0.3">
      <c r="A546" t="s">
        <v>2730</v>
      </c>
      <c r="B546" s="1">
        <v>45616</v>
      </c>
      <c r="C546" t="s">
        <v>20</v>
      </c>
      <c r="D546" t="s">
        <v>31</v>
      </c>
      <c r="E546" t="s">
        <v>2040</v>
      </c>
      <c r="F546" t="s">
        <v>23</v>
      </c>
      <c r="G546" t="s">
        <v>44</v>
      </c>
      <c r="H546" t="s">
        <v>138</v>
      </c>
      <c r="I546" t="s">
        <v>1436</v>
      </c>
      <c r="J546">
        <v>4</v>
      </c>
      <c r="K546">
        <v>4566</v>
      </c>
      <c r="L546">
        <v>0.01</v>
      </c>
      <c r="M546">
        <v>4520.34</v>
      </c>
      <c r="N546">
        <v>18081.36</v>
      </c>
      <c r="O546">
        <v>0.35</v>
      </c>
      <c r="P546">
        <v>6328.48</v>
      </c>
      <c r="Q546" t="s">
        <v>27</v>
      </c>
      <c r="R546" t="s">
        <v>48</v>
      </c>
      <c r="S546">
        <v>5</v>
      </c>
      <c r="T546">
        <f>YEAR(Sales_Data_1[[#This Row],[Order_Date]])</f>
        <v>2024</v>
      </c>
      <c r="U546" t="str">
        <f>TEXT(Sales_Data_1[[#This Row],[Order_Date]], "mmm")</f>
        <v>Nov</v>
      </c>
      <c r="V546">
        <f>MONTH(Sales_Data_1[[#This Row],[Order_Date]])</f>
        <v>11</v>
      </c>
      <c r="W546" t="str">
        <f>TEXT(Sales_Data_1[[#This Row],[Order_Date]], "yyyy-mm")</f>
        <v>2024-11</v>
      </c>
      <c r="X546">
        <f>Sales_Data_1[[#This Row],[Sales]]-Sales_Data_1[[#This Row],[Profit_Amount]]</f>
        <v>11752.880000000001</v>
      </c>
      <c r="Y546" t="str" cm="1">
        <f t="array" ref="Y546">_xlfn.IFS(Sales_Data_1[[#This Row],[Delivery_Days]]&lt;=3, "Fast", Sales_Data_1[[#This Row],[Delivery_Days]]&lt;= 7, "Standard", TRUE, "Delayed")</f>
        <v>Standard</v>
      </c>
      <c r="Z546" t="str" cm="1">
        <f t="array" ref="Z546">_xlfn.IFS(Sales_Data_1[[#This Row],[Profit_Amount]]&gt; 0, "Profitable", Sales_Data_1[[#This Row],[Profit_Amount]] = 0, "Break-Even", TRUE, "Loss")</f>
        <v>Profitable</v>
      </c>
      <c r="AA546" t="str" cm="1">
        <f t="array" ref="AA546">_xlfn.IFS(Sales_Data_1[[#This Row],[Sales]]&gt;= 1000, "High Value", Sales_Data_1[[#This Row],[Sales]]&gt;= 300, "Mid Value", TRUE, "Low Value")</f>
        <v>High Value</v>
      </c>
    </row>
    <row r="547" spans="1:27" x14ac:dyDescent="0.3">
      <c r="A547" t="s">
        <v>2529</v>
      </c>
      <c r="B547" s="1">
        <v>45415</v>
      </c>
      <c r="C547" t="s">
        <v>40</v>
      </c>
      <c r="D547" t="s">
        <v>31</v>
      </c>
      <c r="E547" t="s">
        <v>67</v>
      </c>
      <c r="F547" t="s">
        <v>103</v>
      </c>
      <c r="G547" t="s">
        <v>24</v>
      </c>
      <c r="H547" t="s">
        <v>121</v>
      </c>
      <c r="I547" t="s">
        <v>1042</v>
      </c>
      <c r="J547">
        <v>3</v>
      </c>
      <c r="K547">
        <v>9286</v>
      </c>
      <c r="L547">
        <v>0.09</v>
      </c>
      <c r="M547">
        <v>8450.26</v>
      </c>
      <c r="N547">
        <v>25350.78</v>
      </c>
      <c r="O547">
        <v>0.25</v>
      </c>
      <c r="P547">
        <v>6337.7</v>
      </c>
      <c r="Q547" t="s">
        <v>37</v>
      </c>
      <c r="R547" t="s">
        <v>38</v>
      </c>
      <c r="S547">
        <v>8</v>
      </c>
      <c r="T547">
        <f>YEAR(Sales_Data_1[[#This Row],[Order_Date]])</f>
        <v>2024</v>
      </c>
      <c r="U547" t="str">
        <f>TEXT(Sales_Data_1[[#This Row],[Order_Date]], "mmm")</f>
        <v>May</v>
      </c>
      <c r="V547">
        <f>MONTH(Sales_Data_1[[#This Row],[Order_Date]])</f>
        <v>5</v>
      </c>
      <c r="W547" t="str">
        <f>TEXT(Sales_Data_1[[#This Row],[Order_Date]], "yyyy-mm")</f>
        <v>2024-05</v>
      </c>
      <c r="X547">
        <f>Sales_Data_1[[#This Row],[Sales]]-Sales_Data_1[[#This Row],[Profit_Amount]]</f>
        <v>19013.079999999998</v>
      </c>
      <c r="Y547" t="str" cm="1">
        <f t="array" ref="Y547">_xlfn.IFS(Sales_Data_1[[#This Row],[Delivery_Days]]&lt;=3, "Fast", Sales_Data_1[[#This Row],[Delivery_Days]]&lt;= 7, "Standard", TRUE, "Delayed")</f>
        <v>Delayed</v>
      </c>
      <c r="Z547" t="str" cm="1">
        <f t="array" ref="Z547">_xlfn.IFS(Sales_Data_1[[#This Row],[Profit_Amount]]&gt; 0, "Profitable", Sales_Data_1[[#This Row],[Profit_Amount]] = 0, "Break-Even", TRUE, "Loss")</f>
        <v>Profitable</v>
      </c>
      <c r="AA547" t="str" cm="1">
        <f t="array" ref="AA547">_xlfn.IFS(Sales_Data_1[[#This Row],[Sales]]&gt;= 1000, "High Value", Sales_Data_1[[#This Row],[Sales]]&gt;= 300, "Mid Value", TRUE, "Low Value")</f>
        <v>High Value</v>
      </c>
    </row>
    <row r="548" spans="1:27" x14ac:dyDescent="0.3">
      <c r="A548" t="s">
        <v>3020</v>
      </c>
      <c r="B548" s="1">
        <v>45906</v>
      </c>
      <c r="C548" t="s">
        <v>40</v>
      </c>
      <c r="D548" t="s">
        <v>31</v>
      </c>
      <c r="E548" t="s">
        <v>42</v>
      </c>
      <c r="F548" t="s">
        <v>23</v>
      </c>
      <c r="G548" t="s">
        <v>44</v>
      </c>
      <c r="H548" t="s">
        <v>64</v>
      </c>
      <c r="I548" t="s">
        <v>1999</v>
      </c>
      <c r="J548">
        <v>9</v>
      </c>
      <c r="K548">
        <v>2077</v>
      </c>
      <c r="L548">
        <v>0.03</v>
      </c>
      <c r="M548">
        <v>2014.69</v>
      </c>
      <c r="N548">
        <v>18132.21</v>
      </c>
      <c r="O548">
        <v>0.35</v>
      </c>
      <c r="P548">
        <v>6346.27</v>
      </c>
      <c r="Q548" t="s">
        <v>27</v>
      </c>
      <c r="R548" t="s">
        <v>48</v>
      </c>
      <c r="S548">
        <v>4</v>
      </c>
      <c r="T548">
        <f>YEAR(Sales_Data_1[[#This Row],[Order_Date]])</f>
        <v>2025</v>
      </c>
      <c r="U548" t="str">
        <f>TEXT(Sales_Data_1[[#This Row],[Order_Date]], "mmm")</f>
        <v>Sep</v>
      </c>
      <c r="V548">
        <f>MONTH(Sales_Data_1[[#This Row],[Order_Date]])</f>
        <v>9</v>
      </c>
      <c r="W548" t="str">
        <f>TEXT(Sales_Data_1[[#This Row],[Order_Date]], "yyyy-mm")</f>
        <v>2025-09</v>
      </c>
      <c r="X548">
        <f>Sales_Data_1[[#This Row],[Sales]]-Sales_Data_1[[#This Row],[Profit_Amount]]</f>
        <v>11785.939999999999</v>
      </c>
      <c r="Y548" t="str" cm="1">
        <f t="array" ref="Y548">_xlfn.IFS(Sales_Data_1[[#This Row],[Delivery_Days]]&lt;=3, "Fast", Sales_Data_1[[#This Row],[Delivery_Days]]&lt;= 7, "Standard", TRUE, "Delayed")</f>
        <v>Standard</v>
      </c>
      <c r="Z548" t="str" cm="1">
        <f t="array" ref="Z548">_xlfn.IFS(Sales_Data_1[[#This Row],[Profit_Amount]]&gt; 0, "Profitable", Sales_Data_1[[#This Row],[Profit_Amount]] = 0, "Break-Even", TRUE, "Loss")</f>
        <v>Profitable</v>
      </c>
      <c r="AA548" t="str" cm="1">
        <f t="array" ref="AA548">_xlfn.IFS(Sales_Data_1[[#This Row],[Sales]]&gt;= 1000, "High Value", Sales_Data_1[[#This Row],[Sales]]&gt;= 300, "Mid Value", TRUE, "Low Value")</f>
        <v>High Value</v>
      </c>
    </row>
    <row r="549" spans="1:27" x14ac:dyDescent="0.3">
      <c r="A549" t="s">
        <v>3036</v>
      </c>
      <c r="B549" s="1">
        <v>45922</v>
      </c>
      <c r="C549" t="s">
        <v>63</v>
      </c>
      <c r="D549" t="s">
        <v>41</v>
      </c>
      <c r="E549" t="s">
        <v>67</v>
      </c>
      <c r="F549" t="s">
        <v>33</v>
      </c>
      <c r="G549" t="s">
        <v>57</v>
      </c>
      <c r="H549" t="s">
        <v>183</v>
      </c>
      <c r="I549" t="s">
        <v>2030</v>
      </c>
      <c r="J549">
        <v>4</v>
      </c>
      <c r="K549">
        <v>9239</v>
      </c>
      <c r="L549">
        <v>0.14000000000000001</v>
      </c>
      <c r="M549">
        <v>7945.54</v>
      </c>
      <c r="N549">
        <v>31782.16</v>
      </c>
      <c r="O549">
        <v>0.2</v>
      </c>
      <c r="P549">
        <v>6356.43</v>
      </c>
      <c r="Q549" t="s">
        <v>51</v>
      </c>
      <c r="R549" t="s">
        <v>48</v>
      </c>
      <c r="S549">
        <v>5</v>
      </c>
      <c r="T549">
        <f>YEAR(Sales_Data_1[[#This Row],[Order_Date]])</f>
        <v>2025</v>
      </c>
      <c r="U549" t="str">
        <f>TEXT(Sales_Data_1[[#This Row],[Order_Date]], "mmm")</f>
        <v>Sep</v>
      </c>
      <c r="V549">
        <f>MONTH(Sales_Data_1[[#This Row],[Order_Date]])</f>
        <v>9</v>
      </c>
      <c r="W549" t="str">
        <f>TEXT(Sales_Data_1[[#This Row],[Order_Date]], "yyyy-mm")</f>
        <v>2025-09</v>
      </c>
      <c r="X549">
        <f>Sales_Data_1[[#This Row],[Sales]]-Sales_Data_1[[#This Row],[Profit_Amount]]</f>
        <v>25425.73</v>
      </c>
      <c r="Y549" t="str" cm="1">
        <f t="array" ref="Y549">_xlfn.IFS(Sales_Data_1[[#This Row],[Delivery_Days]]&lt;=3, "Fast", Sales_Data_1[[#This Row],[Delivery_Days]]&lt;= 7, "Standard", TRUE, "Delayed")</f>
        <v>Standard</v>
      </c>
      <c r="Z549" t="str" cm="1">
        <f t="array" ref="Z549">_xlfn.IFS(Sales_Data_1[[#This Row],[Profit_Amount]]&gt; 0, "Profitable", Sales_Data_1[[#This Row],[Profit_Amount]] = 0, "Break-Even", TRUE, "Loss")</f>
        <v>Profitable</v>
      </c>
      <c r="AA549" t="str" cm="1">
        <f t="array" ref="AA549">_xlfn.IFS(Sales_Data_1[[#This Row],[Sales]]&gt;= 1000, "High Value", Sales_Data_1[[#This Row],[Sales]]&gt;= 300, "Mid Value", TRUE, "Low Value")</f>
        <v>High Value</v>
      </c>
    </row>
    <row r="550" spans="1:27" x14ac:dyDescent="0.3">
      <c r="A550" t="s">
        <v>2743</v>
      </c>
      <c r="B550" s="1">
        <v>45629</v>
      </c>
      <c r="C550" t="s">
        <v>63</v>
      </c>
      <c r="D550" t="s">
        <v>41</v>
      </c>
      <c r="E550" t="s">
        <v>2040</v>
      </c>
      <c r="F550" t="s">
        <v>23</v>
      </c>
      <c r="G550" t="s">
        <v>57</v>
      </c>
      <c r="H550" t="s">
        <v>100</v>
      </c>
      <c r="I550" t="s">
        <v>1462</v>
      </c>
      <c r="J550">
        <v>2</v>
      </c>
      <c r="K550">
        <v>16571</v>
      </c>
      <c r="L550">
        <v>0.04</v>
      </c>
      <c r="M550">
        <v>15908.16</v>
      </c>
      <c r="N550">
        <v>31816.32</v>
      </c>
      <c r="O550">
        <v>0.2</v>
      </c>
      <c r="P550">
        <v>6363.26</v>
      </c>
      <c r="Q550" t="s">
        <v>27</v>
      </c>
      <c r="R550" t="s">
        <v>48</v>
      </c>
      <c r="S550">
        <v>9</v>
      </c>
      <c r="T550">
        <f>YEAR(Sales_Data_1[[#This Row],[Order_Date]])</f>
        <v>2024</v>
      </c>
      <c r="U550" t="str">
        <f>TEXT(Sales_Data_1[[#This Row],[Order_Date]], "mmm")</f>
        <v>Dec</v>
      </c>
      <c r="V550">
        <f>MONTH(Sales_Data_1[[#This Row],[Order_Date]])</f>
        <v>12</v>
      </c>
      <c r="W550" t="str">
        <f>TEXT(Sales_Data_1[[#This Row],[Order_Date]], "yyyy-mm")</f>
        <v>2024-12</v>
      </c>
      <c r="X550">
        <f>Sales_Data_1[[#This Row],[Sales]]-Sales_Data_1[[#This Row],[Profit_Amount]]</f>
        <v>25453.059999999998</v>
      </c>
      <c r="Y550" t="str" cm="1">
        <f t="array" ref="Y550">_xlfn.IFS(Sales_Data_1[[#This Row],[Delivery_Days]]&lt;=3, "Fast", Sales_Data_1[[#This Row],[Delivery_Days]]&lt;= 7, "Standard", TRUE, "Delayed")</f>
        <v>Delayed</v>
      </c>
      <c r="Z550" t="str" cm="1">
        <f t="array" ref="Z550">_xlfn.IFS(Sales_Data_1[[#This Row],[Profit_Amount]]&gt; 0, "Profitable", Sales_Data_1[[#This Row],[Profit_Amount]] = 0, "Break-Even", TRUE, "Loss")</f>
        <v>Profitable</v>
      </c>
      <c r="AA550" t="str" cm="1">
        <f t="array" ref="AA550">_xlfn.IFS(Sales_Data_1[[#This Row],[Sales]]&gt;= 1000, "High Value", Sales_Data_1[[#This Row],[Sales]]&gt;= 300, "Mid Value", TRUE, "Low Value")</f>
        <v>High Value</v>
      </c>
    </row>
    <row r="551" spans="1:27" x14ac:dyDescent="0.3">
      <c r="A551" t="s">
        <v>2931</v>
      </c>
      <c r="B551" s="1">
        <v>45817</v>
      </c>
      <c r="C551" t="s">
        <v>55</v>
      </c>
      <c r="D551" t="s">
        <v>56</v>
      </c>
      <c r="E551" t="s">
        <v>2042</v>
      </c>
      <c r="F551" t="s">
        <v>43</v>
      </c>
      <c r="G551" t="s">
        <v>57</v>
      </c>
      <c r="H551" t="s">
        <v>58</v>
      </c>
      <c r="I551" t="s">
        <v>1831</v>
      </c>
      <c r="J551">
        <v>7</v>
      </c>
      <c r="K551">
        <v>4643</v>
      </c>
      <c r="L551">
        <v>0.02</v>
      </c>
      <c r="M551">
        <v>4550.1400000000003</v>
      </c>
      <c r="N551">
        <v>31850.98</v>
      </c>
      <c r="O551">
        <v>0.2</v>
      </c>
      <c r="P551">
        <v>6370.2</v>
      </c>
      <c r="Q551" t="s">
        <v>37</v>
      </c>
      <c r="R551" t="s">
        <v>48</v>
      </c>
      <c r="S551">
        <v>5</v>
      </c>
      <c r="T551">
        <f>YEAR(Sales_Data_1[[#This Row],[Order_Date]])</f>
        <v>2025</v>
      </c>
      <c r="U551" t="str">
        <f>TEXT(Sales_Data_1[[#This Row],[Order_Date]], "mmm")</f>
        <v>Jun</v>
      </c>
      <c r="V551">
        <f>MONTH(Sales_Data_1[[#This Row],[Order_Date]])</f>
        <v>6</v>
      </c>
      <c r="W551" t="str">
        <f>TEXT(Sales_Data_1[[#This Row],[Order_Date]], "yyyy-mm")</f>
        <v>2025-06</v>
      </c>
      <c r="X551">
        <f>Sales_Data_1[[#This Row],[Sales]]-Sales_Data_1[[#This Row],[Profit_Amount]]</f>
        <v>25480.78</v>
      </c>
      <c r="Y551" t="str" cm="1">
        <f t="array" ref="Y551">_xlfn.IFS(Sales_Data_1[[#This Row],[Delivery_Days]]&lt;=3, "Fast", Sales_Data_1[[#This Row],[Delivery_Days]]&lt;= 7, "Standard", TRUE, "Delayed")</f>
        <v>Standard</v>
      </c>
      <c r="Z551" t="str" cm="1">
        <f t="array" ref="Z551">_xlfn.IFS(Sales_Data_1[[#This Row],[Profit_Amount]]&gt; 0, "Profitable", Sales_Data_1[[#This Row],[Profit_Amount]] = 0, "Break-Even", TRUE, "Loss")</f>
        <v>Profitable</v>
      </c>
      <c r="AA551" t="str" cm="1">
        <f t="array" ref="AA551">_xlfn.IFS(Sales_Data_1[[#This Row],[Sales]]&gt;= 1000, "High Value", Sales_Data_1[[#This Row],[Sales]]&gt;= 300, "Mid Value", TRUE, "Low Value")</f>
        <v>High Value</v>
      </c>
    </row>
    <row r="552" spans="1:27" x14ac:dyDescent="0.3">
      <c r="A552" t="s">
        <v>2669</v>
      </c>
      <c r="B552" s="1">
        <v>45555</v>
      </c>
      <c r="C552" t="s">
        <v>40</v>
      </c>
      <c r="D552" t="s">
        <v>56</v>
      </c>
      <c r="E552" t="s">
        <v>42</v>
      </c>
      <c r="F552" t="s">
        <v>43</v>
      </c>
      <c r="G552" t="s">
        <v>24</v>
      </c>
      <c r="H552" t="s">
        <v>25</v>
      </c>
      <c r="I552" t="s">
        <v>1318</v>
      </c>
      <c r="J552">
        <v>5</v>
      </c>
      <c r="K552">
        <v>5940</v>
      </c>
      <c r="L552">
        <v>0.14000000000000001</v>
      </c>
      <c r="M552">
        <v>5108.3999999999996</v>
      </c>
      <c r="N552">
        <v>25542</v>
      </c>
      <c r="O552">
        <v>0.25</v>
      </c>
      <c r="P552">
        <v>6385.5</v>
      </c>
      <c r="Q552" t="s">
        <v>51</v>
      </c>
      <c r="R552" t="s">
        <v>48</v>
      </c>
      <c r="S552">
        <v>1</v>
      </c>
      <c r="T552">
        <f>YEAR(Sales_Data_1[[#This Row],[Order_Date]])</f>
        <v>2024</v>
      </c>
      <c r="U552" t="str">
        <f>TEXT(Sales_Data_1[[#This Row],[Order_Date]], "mmm")</f>
        <v>Sep</v>
      </c>
      <c r="V552">
        <f>MONTH(Sales_Data_1[[#This Row],[Order_Date]])</f>
        <v>9</v>
      </c>
      <c r="W552" t="str">
        <f>TEXT(Sales_Data_1[[#This Row],[Order_Date]], "yyyy-mm")</f>
        <v>2024-09</v>
      </c>
      <c r="X552">
        <f>Sales_Data_1[[#This Row],[Sales]]-Sales_Data_1[[#This Row],[Profit_Amount]]</f>
        <v>19156.5</v>
      </c>
      <c r="Y552" t="str" cm="1">
        <f t="array" ref="Y552">_xlfn.IFS(Sales_Data_1[[#This Row],[Delivery_Days]]&lt;=3, "Fast", Sales_Data_1[[#This Row],[Delivery_Days]]&lt;= 7, "Standard", TRUE, "Delayed")</f>
        <v>Fast</v>
      </c>
      <c r="Z552" t="str" cm="1">
        <f t="array" ref="Z552">_xlfn.IFS(Sales_Data_1[[#This Row],[Profit_Amount]]&gt; 0, "Profitable", Sales_Data_1[[#This Row],[Profit_Amount]] = 0, "Break-Even", TRUE, "Loss")</f>
        <v>Profitable</v>
      </c>
      <c r="AA552" t="str" cm="1">
        <f t="array" ref="AA552">_xlfn.IFS(Sales_Data_1[[#This Row],[Sales]]&gt;= 1000, "High Value", Sales_Data_1[[#This Row],[Sales]]&gt;= 300, "Mid Value", TRUE, "Low Value")</f>
        <v>High Value</v>
      </c>
    </row>
    <row r="553" spans="1:27" x14ac:dyDescent="0.3">
      <c r="A553" t="s">
        <v>2846</v>
      </c>
      <c r="B553" s="1">
        <v>45732</v>
      </c>
      <c r="C553" t="s">
        <v>96</v>
      </c>
      <c r="D553" t="s">
        <v>21</v>
      </c>
      <c r="E553" t="s">
        <v>2042</v>
      </c>
      <c r="F553" t="s">
        <v>97</v>
      </c>
      <c r="G553" t="s">
        <v>57</v>
      </c>
      <c r="H553" t="s">
        <v>81</v>
      </c>
      <c r="I553" t="s">
        <v>1663</v>
      </c>
      <c r="J553">
        <v>5</v>
      </c>
      <c r="K553">
        <v>7469</v>
      </c>
      <c r="L553">
        <v>0.14000000000000001</v>
      </c>
      <c r="M553">
        <v>6423.34</v>
      </c>
      <c r="N553">
        <v>32116.7</v>
      </c>
      <c r="O553">
        <v>0.2</v>
      </c>
      <c r="P553">
        <v>6423.34</v>
      </c>
      <c r="Q553" t="s">
        <v>51</v>
      </c>
      <c r="R553" t="s">
        <v>48</v>
      </c>
      <c r="S553">
        <v>8</v>
      </c>
      <c r="T553">
        <f>YEAR(Sales_Data_1[[#This Row],[Order_Date]])</f>
        <v>2025</v>
      </c>
      <c r="U553" t="str">
        <f>TEXT(Sales_Data_1[[#This Row],[Order_Date]], "mmm")</f>
        <v>Mar</v>
      </c>
      <c r="V553">
        <f>MONTH(Sales_Data_1[[#This Row],[Order_Date]])</f>
        <v>3</v>
      </c>
      <c r="W553" t="str">
        <f>TEXT(Sales_Data_1[[#This Row],[Order_Date]], "yyyy-mm")</f>
        <v>2025-03</v>
      </c>
      <c r="X553">
        <f>Sales_Data_1[[#This Row],[Sales]]-Sales_Data_1[[#This Row],[Profit_Amount]]</f>
        <v>25693.360000000001</v>
      </c>
      <c r="Y553" t="str" cm="1">
        <f t="array" ref="Y553">_xlfn.IFS(Sales_Data_1[[#This Row],[Delivery_Days]]&lt;=3, "Fast", Sales_Data_1[[#This Row],[Delivery_Days]]&lt;= 7, "Standard", TRUE, "Delayed")</f>
        <v>Delayed</v>
      </c>
      <c r="Z553" t="str" cm="1">
        <f t="array" ref="Z553">_xlfn.IFS(Sales_Data_1[[#This Row],[Profit_Amount]]&gt; 0, "Profitable", Sales_Data_1[[#This Row],[Profit_Amount]] = 0, "Break-Even", TRUE, "Loss")</f>
        <v>Profitable</v>
      </c>
      <c r="AA553" t="str" cm="1">
        <f t="array" ref="AA553">_xlfn.IFS(Sales_Data_1[[#This Row],[Sales]]&gt;= 1000, "High Value", Sales_Data_1[[#This Row],[Sales]]&gt;= 300, "Mid Value", TRUE, "Low Value")</f>
        <v>High Value</v>
      </c>
    </row>
    <row r="554" spans="1:27" x14ac:dyDescent="0.3">
      <c r="A554" t="s">
        <v>2399</v>
      </c>
      <c r="B554" s="1">
        <v>45285</v>
      </c>
      <c r="C554" t="s">
        <v>30</v>
      </c>
      <c r="D554" t="s">
        <v>31</v>
      </c>
      <c r="E554" t="s">
        <v>2040</v>
      </c>
      <c r="F554" t="s">
        <v>97</v>
      </c>
      <c r="G554" t="s">
        <v>92</v>
      </c>
      <c r="H554" t="s">
        <v>178</v>
      </c>
      <c r="I554" t="s">
        <v>784</v>
      </c>
      <c r="J554">
        <v>1</v>
      </c>
      <c r="K554">
        <v>50390</v>
      </c>
      <c r="L554">
        <v>0.15</v>
      </c>
      <c r="M554">
        <v>42831.5</v>
      </c>
      <c r="N554">
        <v>42831.5</v>
      </c>
      <c r="O554">
        <v>0.15</v>
      </c>
      <c r="P554">
        <v>6424.72</v>
      </c>
      <c r="Q554" t="s">
        <v>37</v>
      </c>
      <c r="R554" t="s">
        <v>48</v>
      </c>
      <c r="S554">
        <v>6</v>
      </c>
      <c r="T554">
        <f>YEAR(Sales_Data_1[[#This Row],[Order_Date]])</f>
        <v>2023</v>
      </c>
      <c r="U554" t="str">
        <f>TEXT(Sales_Data_1[[#This Row],[Order_Date]], "mmm")</f>
        <v>Dec</v>
      </c>
      <c r="V554">
        <f>MONTH(Sales_Data_1[[#This Row],[Order_Date]])</f>
        <v>12</v>
      </c>
      <c r="W554" t="str">
        <f>TEXT(Sales_Data_1[[#This Row],[Order_Date]], "yyyy-mm")</f>
        <v>2023-12</v>
      </c>
      <c r="X554">
        <f>Sales_Data_1[[#This Row],[Sales]]-Sales_Data_1[[#This Row],[Profit_Amount]]</f>
        <v>36406.78</v>
      </c>
      <c r="Y554" t="str" cm="1">
        <f t="array" ref="Y554">_xlfn.IFS(Sales_Data_1[[#This Row],[Delivery_Days]]&lt;=3, "Fast", Sales_Data_1[[#This Row],[Delivery_Days]]&lt;= 7, "Standard", TRUE, "Delayed")</f>
        <v>Standard</v>
      </c>
      <c r="Z554" t="str" cm="1">
        <f t="array" ref="Z554">_xlfn.IFS(Sales_Data_1[[#This Row],[Profit_Amount]]&gt; 0, "Profitable", Sales_Data_1[[#This Row],[Profit_Amount]] = 0, "Break-Even", TRUE, "Loss")</f>
        <v>Profitable</v>
      </c>
      <c r="AA554" t="str" cm="1">
        <f t="array" ref="AA554">_xlfn.IFS(Sales_Data_1[[#This Row],[Sales]]&gt;= 1000, "High Value", Sales_Data_1[[#This Row],[Sales]]&gt;= 300, "Mid Value", TRUE, "Low Value")</f>
        <v>High Value</v>
      </c>
    </row>
    <row r="555" spans="1:27" x14ac:dyDescent="0.3">
      <c r="A555" t="s">
        <v>2236</v>
      </c>
      <c r="B555" s="1">
        <v>45122</v>
      </c>
      <c r="C555" t="s">
        <v>96</v>
      </c>
      <c r="D555" t="s">
        <v>21</v>
      </c>
      <c r="E555" t="s">
        <v>2040</v>
      </c>
      <c r="F555" t="s">
        <v>23</v>
      </c>
      <c r="G555" t="s">
        <v>44</v>
      </c>
      <c r="H555" t="s">
        <v>45</v>
      </c>
      <c r="I555" t="s">
        <v>462</v>
      </c>
      <c r="J555">
        <v>7</v>
      </c>
      <c r="K555">
        <v>2974</v>
      </c>
      <c r="L555">
        <v>0.11</v>
      </c>
      <c r="M555">
        <v>2646.86</v>
      </c>
      <c r="N555">
        <v>18528.02</v>
      </c>
      <c r="O555">
        <v>0.35</v>
      </c>
      <c r="P555">
        <v>6484.81</v>
      </c>
      <c r="Q555" t="s">
        <v>51</v>
      </c>
      <c r="R555" t="s">
        <v>48</v>
      </c>
      <c r="S555">
        <v>5</v>
      </c>
      <c r="T555">
        <f>YEAR(Sales_Data_1[[#This Row],[Order_Date]])</f>
        <v>2023</v>
      </c>
      <c r="U555" t="str">
        <f>TEXT(Sales_Data_1[[#This Row],[Order_Date]], "mmm")</f>
        <v>Jul</v>
      </c>
      <c r="V555">
        <f>MONTH(Sales_Data_1[[#This Row],[Order_Date]])</f>
        <v>7</v>
      </c>
      <c r="W555" t="str">
        <f>TEXT(Sales_Data_1[[#This Row],[Order_Date]], "yyyy-mm")</f>
        <v>2023-07</v>
      </c>
      <c r="X555">
        <f>Sales_Data_1[[#This Row],[Sales]]-Sales_Data_1[[#This Row],[Profit_Amount]]</f>
        <v>12043.21</v>
      </c>
      <c r="Y555" t="str" cm="1">
        <f t="array" ref="Y555">_xlfn.IFS(Sales_Data_1[[#This Row],[Delivery_Days]]&lt;=3, "Fast", Sales_Data_1[[#This Row],[Delivery_Days]]&lt;= 7, "Standard", TRUE, "Delayed")</f>
        <v>Standard</v>
      </c>
      <c r="Z555" t="str" cm="1">
        <f t="array" ref="Z555">_xlfn.IFS(Sales_Data_1[[#This Row],[Profit_Amount]]&gt; 0, "Profitable", Sales_Data_1[[#This Row],[Profit_Amount]] = 0, "Break-Even", TRUE, "Loss")</f>
        <v>Profitable</v>
      </c>
      <c r="AA555" t="str" cm="1">
        <f t="array" ref="AA555">_xlfn.IFS(Sales_Data_1[[#This Row],[Sales]]&gt;= 1000, "High Value", Sales_Data_1[[#This Row],[Sales]]&gt;= 300, "Mid Value", TRUE, "Low Value")</f>
        <v>High Value</v>
      </c>
    </row>
    <row r="556" spans="1:27" x14ac:dyDescent="0.3">
      <c r="A556" t="s">
        <v>2774</v>
      </c>
      <c r="B556" s="1">
        <v>45660</v>
      </c>
      <c r="C556" t="s">
        <v>20</v>
      </c>
      <c r="D556" t="s">
        <v>31</v>
      </c>
      <c r="E556" t="s">
        <v>67</v>
      </c>
      <c r="F556" t="s">
        <v>97</v>
      </c>
      <c r="G556" t="s">
        <v>57</v>
      </c>
      <c r="H556" t="s">
        <v>58</v>
      </c>
      <c r="I556" t="s">
        <v>1522</v>
      </c>
      <c r="J556">
        <v>4</v>
      </c>
      <c r="K556">
        <v>10553</v>
      </c>
      <c r="L556">
        <v>0.23</v>
      </c>
      <c r="M556">
        <v>8125.81</v>
      </c>
      <c r="N556">
        <v>32503.24</v>
      </c>
      <c r="O556">
        <v>0.2</v>
      </c>
      <c r="P556">
        <v>6500.65</v>
      </c>
      <c r="Q556" t="s">
        <v>37</v>
      </c>
      <c r="R556" t="s">
        <v>38</v>
      </c>
      <c r="S556">
        <v>7</v>
      </c>
      <c r="T556">
        <f>YEAR(Sales_Data_1[[#This Row],[Order_Date]])</f>
        <v>2025</v>
      </c>
      <c r="U556" t="str">
        <f>TEXT(Sales_Data_1[[#This Row],[Order_Date]], "mmm")</f>
        <v>Jan</v>
      </c>
      <c r="V556">
        <f>MONTH(Sales_Data_1[[#This Row],[Order_Date]])</f>
        <v>1</v>
      </c>
      <c r="W556" t="str">
        <f>TEXT(Sales_Data_1[[#This Row],[Order_Date]], "yyyy-mm")</f>
        <v>2025-01</v>
      </c>
      <c r="X556">
        <f>Sales_Data_1[[#This Row],[Sales]]-Sales_Data_1[[#This Row],[Profit_Amount]]</f>
        <v>26002.590000000004</v>
      </c>
      <c r="Y556" t="str" cm="1">
        <f t="array" ref="Y556">_xlfn.IFS(Sales_Data_1[[#This Row],[Delivery_Days]]&lt;=3, "Fast", Sales_Data_1[[#This Row],[Delivery_Days]]&lt;= 7, "Standard", TRUE, "Delayed")</f>
        <v>Standard</v>
      </c>
      <c r="Z556" t="str" cm="1">
        <f t="array" ref="Z556">_xlfn.IFS(Sales_Data_1[[#This Row],[Profit_Amount]]&gt; 0, "Profitable", Sales_Data_1[[#This Row],[Profit_Amount]] = 0, "Break-Even", TRUE, "Loss")</f>
        <v>Profitable</v>
      </c>
      <c r="AA556" t="str" cm="1">
        <f t="array" ref="AA556">_xlfn.IFS(Sales_Data_1[[#This Row],[Sales]]&gt;= 1000, "High Value", Sales_Data_1[[#This Row],[Sales]]&gt;= 300, "Mid Value", TRUE, "Low Value")</f>
        <v>High Value</v>
      </c>
    </row>
    <row r="557" spans="1:27" x14ac:dyDescent="0.3">
      <c r="A557" t="s">
        <v>2681</v>
      </c>
      <c r="B557" s="1">
        <v>45567</v>
      </c>
      <c r="C557" t="s">
        <v>55</v>
      </c>
      <c r="D557" t="s">
        <v>56</v>
      </c>
      <c r="E557" t="s">
        <v>67</v>
      </c>
      <c r="F557" t="s">
        <v>68</v>
      </c>
      <c r="G557" t="s">
        <v>24</v>
      </c>
      <c r="H557" t="s">
        <v>74</v>
      </c>
      <c r="I557" t="s">
        <v>1342</v>
      </c>
      <c r="J557">
        <v>2</v>
      </c>
      <c r="K557">
        <v>13686</v>
      </c>
      <c r="L557">
        <v>0.05</v>
      </c>
      <c r="M557">
        <v>13001.7</v>
      </c>
      <c r="N557">
        <v>26003.4</v>
      </c>
      <c r="O557">
        <v>0.25</v>
      </c>
      <c r="P557">
        <v>6500.85</v>
      </c>
      <c r="Q557" t="s">
        <v>37</v>
      </c>
      <c r="R557" t="s">
        <v>48</v>
      </c>
      <c r="S557">
        <v>4</v>
      </c>
      <c r="T557">
        <f>YEAR(Sales_Data_1[[#This Row],[Order_Date]])</f>
        <v>2024</v>
      </c>
      <c r="U557" t="str">
        <f>TEXT(Sales_Data_1[[#This Row],[Order_Date]], "mmm")</f>
        <v>Oct</v>
      </c>
      <c r="V557">
        <f>MONTH(Sales_Data_1[[#This Row],[Order_Date]])</f>
        <v>10</v>
      </c>
      <c r="W557" t="str">
        <f>TEXT(Sales_Data_1[[#This Row],[Order_Date]], "yyyy-mm")</f>
        <v>2024-10</v>
      </c>
      <c r="X557">
        <f>Sales_Data_1[[#This Row],[Sales]]-Sales_Data_1[[#This Row],[Profit_Amount]]</f>
        <v>19502.550000000003</v>
      </c>
      <c r="Y557" t="str" cm="1">
        <f t="array" ref="Y557">_xlfn.IFS(Sales_Data_1[[#This Row],[Delivery_Days]]&lt;=3, "Fast", Sales_Data_1[[#This Row],[Delivery_Days]]&lt;= 7, "Standard", TRUE, "Delayed")</f>
        <v>Standard</v>
      </c>
      <c r="Z557" t="str" cm="1">
        <f t="array" ref="Z557">_xlfn.IFS(Sales_Data_1[[#This Row],[Profit_Amount]]&gt; 0, "Profitable", Sales_Data_1[[#This Row],[Profit_Amount]] = 0, "Break-Even", TRUE, "Loss")</f>
        <v>Profitable</v>
      </c>
      <c r="AA557" t="str" cm="1">
        <f t="array" ref="AA557">_xlfn.IFS(Sales_Data_1[[#This Row],[Sales]]&gt;= 1000, "High Value", Sales_Data_1[[#This Row],[Sales]]&gt;= 300, "Mid Value", TRUE, "Low Value")</f>
        <v>High Value</v>
      </c>
    </row>
    <row r="558" spans="1:27" x14ac:dyDescent="0.3">
      <c r="A558" t="s">
        <v>2084</v>
      </c>
      <c r="B558" s="1">
        <v>44970</v>
      </c>
      <c r="C558" t="s">
        <v>63</v>
      </c>
      <c r="D558" t="s">
        <v>31</v>
      </c>
      <c r="E558" t="s">
        <v>2042</v>
      </c>
      <c r="F558" t="s">
        <v>103</v>
      </c>
      <c r="G558" t="s">
        <v>57</v>
      </c>
      <c r="H558" t="s">
        <v>81</v>
      </c>
      <c r="I558" t="s">
        <v>154</v>
      </c>
      <c r="J558">
        <v>6</v>
      </c>
      <c r="K558">
        <v>6644</v>
      </c>
      <c r="L558">
        <v>0.17</v>
      </c>
      <c r="M558">
        <v>5514.52</v>
      </c>
      <c r="N558">
        <v>33087.120000000003</v>
      </c>
      <c r="O558">
        <v>0.2</v>
      </c>
      <c r="P558">
        <v>6617.42</v>
      </c>
      <c r="Q558" t="s">
        <v>47</v>
      </c>
      <c r="R558" t="s">
        <v>48</v>
      </c>
      <c r="S558">
        <v>3</v>
      </c>
      <c r="T558">
        <f>YEAR(Sales_Data_1[[#This Row],[Order_Date]])</f>
        <v>2023</v>
      </c>
      <c r="U558" t="str">
        <f>TEXT(Sales_Data_1[[#This Row],[Order_Date]], "mmm")</f>
        <v>Feb</v>
      </c>
      <c r="V558">
        <f>MONTH(Sales_Data_1[[#This Row],[Order_Date]])</f>
        <v>2</v>
      </c>
      <c r="W558" t="str">
        <f>TEXT(Sales_Data_1[[#This Row],[Order_Date]], "yyyy-mm")</f>
        <v>2023-02</v>
      </c>
      <c r="X558">
        <f>Sales_Data_1[[#This Row],[Sales]]-Sales_Data_1[[#This Row],[Profit_Amount]]</f>
        <v>26469.700000000004</v>
      </c>
      <c r="Y558" t="str" cm="1">
        <f t="array" ref="Y558">_xlfn.IFS(Sales_Data_1[[#This Row],[Delivery_Days]]&lt;=3, "Fast", Sales_Data_1[[#This Row],[Delivery_Days]]&lt;= 7, "Standard", TRUE, "Delayed")</f>
        <v>Fast</v>
      </c>
      <c r="Z558" t="str" cm="1">
        <f t="array" ref="Z558">_xlfn.IFS(Sales_Data_1[[#This Row],[Profit_Amount]]&gt; 0, "Profitable", Sales_Data_1[[#This Row],[Profit_Amount]] = 0, "Break-Even", TRUE, "Loss")</f>
        <v>Profitable</v>
      </c>
      <c r="AA558" t="str" cm="1">
        <f t="array" ref="AA558">_xlfn.IFS(Sales_Data_1[[#This Row],[Sales]]&gt;= 1000, "High Value", Sales_Data_1[[#This Row],[Sales]]&gt;= 300, "Mid Value", TRUE, "Low Value")</f>
        <v>High Value</v>
      </c>
    </row>
    <row r="559" spans="1:27" x14ac:dyDescent="0.3">
      <c r="A559" t="s">
        <v>2933</v>
      </c>
      <c r="B559" s="1">
        <v>45819</v>
      </c>
      <c r="C559" t="s">
        <v>20</v>
      </c>
      <c r="D559" t="s">
        <v>21</v>
      </c>
      <c r="E559" t="s">
        <v>2042</v>
      </c>
      <c r="F559" t="s">
        <v>68</v>
      </c>
      <c r="G559" t="s">
        <v>57</v>
      </c>
      <c r="H559" t="s">
        <v>81</v>
      </c>
      <c r="I559" t="s">
        <v>1316</v>
      </c>
      <c r="J559">
        <v>2</v>
      </c>
      <c r="K559">
        <v>19258</v>
      </c>
      <c r="L559">
        <v>0.14000000000000001</v>
      </c>
      <c r="M559">
        <v>16561.88</v>
      </c>
      <c r="N559">
        <v>33123.760000000002</v>
      </c>
      <c r="O559">
        <v>0.2</v>
      </c>
      <c r="P559">
        <v>6624.75</v>
      </c>
      <c r="Q559" t="s">
        <v>37</v>
      </c>
      <c r="R559" t="s">
        <v>38</v>
      </c>
      <c r="S559">
        <v>1</v>
      </c>
      <c r="T559">
        <f>YEAR(Sales_Data_1[[#This Row],[Order_Date]])</f>
        <v>2025</v>
      </c>
      <c r="U559" t="str">
        <f>TEXT(Sales_Data_1[[#This Row],[Order_Date]], "mmm")</f>
        <v>Jun</v>
      </c>
      <c r="V559">
        <f>MONTH(Sales_Data_1[[#This Row],[Order_Date]])</f>
        <v>6</v>
      </c>
      <c r="W559" t="str">
        <f>TEXT(Sales_Data_1[[#This Row],[Order_Date]], "yyyy-mm")</f>
        <v>2025-06</v>
      </c>
      <c r="X559">
        <f>Sales_Data_1[[#This Row],[Sales]]-Sales_Data_1[[#This Row],[Profit_Amount]]</f>
        <v>26499.010000000002</v>
      </c>
      <c r="Y559" t="str" cm="1">
        <f t="array" ref="Y559">_xlfn.IFS(Sales_Data_1[[#This Row],[Delivery_Days]]&lt;=3, "Fast", Sales_Data_1[[#This Row],[Delivery_Days]]&lt;= 7, "Standard", TRUE, "Delayed")</f>
        <v>Fast</v>
      </c>
      <c r="Z559" t="str" cm="1">
        <f t="array" ref="Z559">_xlfn.IFS(Sales_Data_1[[#This Row],[Profit_Amount]]&gt; 0, "Profitable", Sales_Data_1[[#This Row],[Profit_Amount]] = 0, "Break-Even", TRUE, "Loss")</f>
        <v>Profitable</v>
      </c>
      <c r="AA559" t="str" cm="1">
        <f t="array" ref="AA559">_xlfn.IFS(Sales_Data_1[[#This Row],[Sales]]&gt;= 1000, "High Value", Sales_Data_1[[#This Row],[Sales]]&gt;= 300, "Mid Value", TRUE, "Low Value")</f>
        <v>High Value</v>
      </c>
    </row>
    <row r="560" spans="1:27" x14ac:dyDescent="0.3">
      <c r="A560" t="s">
        <v>2110</v>
      </c>
      <c r="B560" s="1">
        <v>44996</v>
      </c>
      <c r="C560" t="s">
        <v>63</v>
      </c>
      <c r="D560" t="s">
        <v>41</v>
      </c>
      <c r="E560" t="s">
        <v>2042</v>
      </c>
      <c r="F560" t="s">
        <v>68</v>
      </c>
      <c r="G560" t="s">
        <v>24</v>
      </c>
      <c r="H560" t="s">
        <v>186</v>
      </c>
      <c r="I560" t="s">
        <v>209</v>
      </c>
      <c r="J560">
        <v>5</v>
      </c>
      <c r="K560">
        <v>5703</v>
      </c>
      <c r="L560">
        <v>7.0000000000000007E-2</v>
      </c>
      <c r="M560">
        <v>5303.79</v>
      </c>
      <c r="N560">
        <v>26518.95</v>
      </c>
      <c r="O560">
        <v>0.25</v>
      </c>
      <c r="P560">
        <v>6629.74</v>
      </c>
      <c r="Q560" t="s">
        <v>51</v>
      </c>
      <c r="R560" t="s">
        <v>48</v>
      </c>
      <c r="S560">
        <v>4</v>
      </c>
      <c r="T560">
        <f>YEAR(Sales_Data_1[[#This Row],[Order_Date]])</f>
        <v>2023</v>
      </c>
      <c r="U560" t="str">
        <f>TEXT(Sales_Data_1[[#This Row],[Order_Date]], "mmm")</f>
        <v>Mar</v>
      </c>
      <c r="V560">
        <f>MONTH(Sales_Data_1[[#This Row],[Order_Date]])</f>
        <v>3</v>
      </c>
      <c r="W560" t="str">
        <f>TEXT(Sales_Data_1[[#This Row],[Order_Date]], "yyyy-mm")</f>
        <v>2023-03</v>
      </c>
      <c r="X560">
        <f>Sales_Data_1[[#This Row],[Sales]]-Sales_Data_1[[#This Row],[Profit_Amount]]</f>
        <v>19889.21</v>
      </c>
      <c r="Y560" t="str" cm="1">
        <f t="array" ref="Y560">_xlfn.IFS(Sales_Data_1[[#This Row],[Delivery_Days]]&lt;=3, "Fast", Sales_Data_1[[#This Row],[Delivery_Days]]&lt;= 7, "Standard", TRUE, "Delayed")</f>
        <v>Standard</v>
      </c>
      <c r="Z560" t="str" cm="1">
        <f t="array" ref="Z560">_xlfn.IFS(Sales_Data_1[[#This Row],[Profit_Amount]]&gt; 0, "Profitable", Sales_Data_1[[#This Row],[Profit_Amount]] = 0, "Break-Even", TRUE, "Loss")</f>
        <v>Profitable</v>
      </c>
      <c r="AA560" t="str" cm="1">
        <f t="array" ref="AA560">_xlfn.IFS(Sales_Data_1[[#This Row],[Sales]]&gt;= 1000, "High Value", Sales_Data_1[[#This Row],[Sales]]&gt;= 300, "Mid Value", TRUE, "Low Value")</f>
        <v>High Value</v>
      </c>
    </row>
    <row r="561" spans="1:27" x14ac:dyDescent="0.3">
      <c r="A561" t="s">
        <v>3005</v>
      </c>
      <c r="B561" s="1">
        <v>45891</v>
      </c>
      <c r="C561" t="s">
        <v>63</v>
      </c>
      <c r="D561" t="s">
        <v>31</v>
      </c>
      <c r="E561" t="s">
        <v>2040</v>
      </c>
      <c r="F561" t="s">
        <v>33</v>
      </c>
      <c r="G561" t="s">
        <v>44</v>
      </c>
      <c r="H561" t="s">
        <v>45</v>
      </c>
      <c r="I561" t="s">
        <v>1970</v>
      </c>
      <c r="J561">
        <v>6</v>
      </c>
      <c r="K561">
        <v>3291</v>
      </c>
      <c r="L561">
        <v>0.03</v>
      </c>
      <c r="M561">
        <v>3192.27</v>
      </c>
      <c r="N561">
        <v>19153.62</v>
      </c>
      <c r="O561">
        <v>0.35</v>
      </c>
      <c r="P561">
        <v>6703.77</v>
      </c>
      <c r="Q561" t="s">
        <v>27</v>
      </c>
      <c r="R561" t="s">
        <v>48</v>
      </c>
      <c r="S561">
        <v>6</v>
      </c>
      <c r="T561">
        <f>YEAR(Sales_Data_1[[#This Row],[Order_Date]])</f>
        <v>2025</v>
      </c>
      <c r="U561" t="str">
        <f>TEXT(Sales_Data_1[[#This Row],[Order_Date]], "mmm")</f>
        <v>Aug</v>
      </c>
      <c r="V561">
        <f>MONTH(Sales_Data_1[[#This Row],[Order_Date]])</f>
        <v>8</v>
      </c>
      <c r="W561" t="str">
        <f>TEXT(Sales_Data_1[[#This Row],[Order_Date]], "yyyy-mm")</f>
        <v>2025-08</v>
      </c>
      <c r="X561">
        <f>Sales_Data_1[[#This Row],[Sales]]-Sales_Data_1[[#This Row],[Profit_Amount]]</f>
        <v>12449.849999999999</v>
      </c>
      <c r="Y561" t="str" cm="1">
        <f t="array" ref="Y561">_xlfn.IFS(Sales_Data_1[[#This Row],[Delivery_Days]]&lt;=3, "Fast", Sales_Data_1[[#This Row],[Delivery_Days]]&lt;= 7, "Standard", TRUE, "Delayed")</f>
        <v>Standard</v>
      </c>
      <c r="Z561" t="str" cm="1">
        <f t="array" ref="Z561">_xlfn.IFS(Sales_Data_1[[#This Row],[Profit_Amount]]&gt; 0, "Profitable", Sales_Data_1[[#This Row],[Profit_Amount]] = 0, "Break-Even", TRUE, "Loss")</f>
        <v>Profitable</v>
      </c>
      <c r="AA561" t="str" cm="1">
        <f t="array" ref="AA561">_xlfn.IFS(Sales_Data_1[[#This Row],[Sales]]&gt;= 1000, "High Value", Sales_Data_1[[#This Row],[Sales]]&gt;= 300, "Mid Value", TRUE, "Low Value")</f>
        <v>High Value</v>
      </c>
    </row>
    <row r="562" spans="1:27" x14ac:dyDescent="0.3">
      <c r="A562" t="s">
        <v>2673</v>
      </c>
      <c r="B562" s="1">
        <v>45559</v>
      </c>
      <c r="C562" t="s">
        <v>55</v>
      </c>
      <c r="D562" t="s">
        <v>21</v>
      </c>
      <c r="E562" t="s">
        <v>2042</v>
      </c>
      <c r="F562" t="s">
        <v>97</v>
      </c>
      <c r="G562" t="s">
        <v>24</v>
      </c>
      <c r="H562" t="s">
        <v>25</v>
      </c>
      <c r="I562" t="s">
        <v>1326</v>
      </c>
      <c r="J562">
        <v>7</v>
      </c>
      <c r="K562">
        <v>4456</v>
      </c>
      <c r="L562">
        <v>0.14000000000000001</v>
      </c>
      <c r="M562">
        <v>3832.16</v>
      </c>
      <c r="N562">
        <v>26825.119999999999</v>
      </c>
      <c r="O562">
        <v>0.25</v>
      </c>
      <c r="P562">
        <v>6706.28</v>
      </c>
      <c r="Q562" t="s">
        <v>27</v>
      </c>
      <c r="R562" t="s">
        <v>48</v>
      </c>
      <c r="S562">
        <v>3</v>
      </c>
      <c r="T562">
        <f>YEAR(Sales_Data_1[[#This Row],[Order_Date]])</f>
        <v>2024</v>
      </c>
      <c r="U562" t="str">
        <f>TEXT(Sales_Data_1[[#This Row],[Order_Date]], "mmm")</f>
        <v>Sep</v>
      </c>
      <c r="V562">
        <f>MONTH(Sales_Data_1[[#This Row],[Order_Date]])</f>
        <v>9</v>
      </c>
      <c r="W562" t="str">
        <f>TEXT(Sales_Data_1[[#This Row],[Order_Date]], "yyyy-mm")</f>
        <v>2024-09</v>
      </c>
      <c r="X562">
        <f>Sales_Data_1[[#This Row],[Sales]]-Sales_Data_1[[#This Row],[Profit_Amount]]</f>
        <v>20118.84</v>
      </c>
      <c r="Y562" t="str" cm="1">
        <f t="array" ref="Y562">_xlfn.IFS(Sales_Data_1[[#This Row],[Delivery_Days]]&lt;=3, "Fast", Sales_Data_1[[#This Row],[Delivery_Days]]&lt;= 7, "Standard", TRUE, "Delayed")</f>
        <v>Fast</v>
      </c>
      <c r="Z562" t="str" cm="1">
        <f t="array" ref="Z562">_xlfn.IFS(Sales_Data_1[[#This Row],[Profit_Amount]]&gt; 0, "Profitable", Sales_Data_1[[#This Row],[Profit_Amount]] = 0, "Break-Even", TRUE, "Loss")</f>
        <v>Profitable</v>
      </c>
      <c r="AA562" t="str" cm="1">
        <f t="array" ref="AA562">_xlfn.IFS(Sales_Data_1[[#This Row],[Sales]]&gt;= 1000, "High Value", Sales_Data_1[[#This Row],[Sales]]&gt;= 300, "Mid Value", TRUE, "Low Value")</f>
        <v>High Value</v>
      </c>
    </row>
    <row r="563" spans="1:27" x14ac:dyDescent="0.3">
      <c r="A563" t="s">
        <v>2791</v>
      </c>
      <c r="B563" s="1">
        <v>45677</v>
      </c>
      <c r="C563" t="s">
        <v>55</v>
      </c>
      <c r="D563" t="s">
        <v>31</v>
      </c>
      <c r="E563" t="s">
        <v>42</v>
      </c>
      <c r="F563" t="s">
        <v>43</v>
      </c>
      <c r="G563" t="s">
        <v>24</v>
      </c>
      <c r="H563" t="s">
        <v>121</v>
      </c>
      <c r="I563" t="s">
        <v>1555</v>
      </c>
      <c r="J563">
        <v>8</v>
      </c>
      <c r="K563">
        <v>3649</v>
      </c>
      <c r="L563">
        <v>0.08</v>
      </c>
      <c r="M563">
        <v>3357.08</v>
      </c>
      <c r="N563">
        <v>26856.639999999999</v>
      </c>
      <c r="O563">
        <v>0.25</v>
      </c>
      <c r="P563">
        <v>6714.16</v>
      </c>
      <c r="Q563" t="s">
        <v>51</v>
      </c>
      <c r="R563" t="s">
        <v>48</v>
      </c>
      <c r="S563">
        <v>9</v>
      </c>
      <c r="T563">
        <f>YEAR(Sales_Data_1[[#This Row],[Order_Date]])</f>
        <v>2025</v>
      </c>
      <c r="U563" t="str">
        <f>TEXT(Sales_Data_1[[#This Row],[Order_Date]], "mmm")</f>
        <v>Jan</v>
      </c>
      <c r="V563">
        <f>MONTH(Sales_Data_1[[#This Row],[Order_Date]])</f>
        <v>1</v>
      </c>
      <c r="W563" t="str">
        <f>TEXT(Sales_Data_1[[#This Row],[Order_Date]], "yyyy-mm")</f>
        <v>2025-01</v>
      </c>
      <c r="X563">
        <f>Sales_Data_1[[#This Row],[Sales]]-Sales_Data_1[[#This Row],[Profit_Amount]]</f>
        <v>20142.48</v>
      </c>
      <c r="Y563" t="str" cm="1">
        <f t="array" ref="Y563">_xlfn.IFS(Sales_Data_1[[#This Row],[Delivery_Days]]&lt;=3, "Fast", Sales_Data_1[[#This Row],[Delivery_Days]]&lt;= 7, "Standard", TRUE, "Delayed")</f>
        <v>Delayed</v>
      </c>
      <c r="Z563" t="str" cm="1">
        <f t="array" ref="Z563">_xlfn.IFS(Sales_Data_1[[#This Row],[Profit_Amount]]&gt; 0, "Profitable", Sales_Data_1[[#This Row],[Profit_Amount]] = 0, "Break-Even", TRUE, "Loss")</f>
        <v>Profitable</v>
      </c>
      <c r="AA563" t="str" cm="1">
        <f t="array" ref="AA563">_xlfn.IFS(Sales_Data_1[[#This Row],[Sales]]&gt;= 1000, "High Value", Sales_Data_1[[#This Row],[Sales]]&gt;= 300, "Mid Value", TRUE, "Low Value")</f>
        <v>High Value</v>
      </c>
    </row>
    <row r="564" spans="1:27" x14ac:dyDescent="0.3">
      <c r="A564" t="s">
        <v>2466</v>
      </c>
      <c r="B564" s="1">
        <v>45352</v>
      </c>
      <c r="C564" t="s">
        <v>20</v>
      </c>
      <c r="D564" t="s">
        <v>31</v>
      </c>
      <c r="E564" t="s">
        <v>2040</v>
      </c>
      <c r="F564" t="s">
        <v>68</v>
      </c>
      <c r="G564" t="s">
        <v>57</v>
      </c>
      <c r="H564" t="s">
        <v>183</v>
      </c>
      <c r="I564" t="s">
        <v>918</v>
      </c>
      <c r="J564">
        <v>4</v>
      </c>
      <c r="K564">
        <v>9123</v>
      </c>
      <c r="L564">
        <v>0.08</v>
      </c>
      <c r="M564">
        <v>8393.16</v>
      </c>
      <c r="N564">
        <v>33572.639999999999</v>
      </c>
      <c r="O564">
        <v>0.2</v>
      </c>
      <c r="P564">
        <v>6714.53</v>
      </c>
      <c r="Q564" t="s">
        <v>47</v>
      </c>
      <c r="R564" t="s">
        <v>48</v>
      </c>
      <c r="S564">
        <v>3</v>
      </c>
      <c r="T564">
        <f>YEAR(Sales_Data_1[[#This Row],[Order_Date]])</f>
        <v>2024</v>
      </c>
      <c r="U564" t="str">
        <f>TEXT(Sales_Data_1[[#This Row],[Order_Date]], "mmm")</f>
        <v>Mar</v>
      </c>
      <c r="V564">
        <f>MONTH(Sales_Data_1[[#This Row],[Order_Date]])</f>
        <v>3</v>
      </c>
      <c r="W564" t="str">
        <f>TEXT(Sales_Data_1[[#This Row],[Order_Date]], "yyyy-mm")</f>
        <v>2024-03</v>
      </c>
      <c r="X564">
        <f>Sales_Data_1[[#This Row],[Sales]]-Sales_Data_1[[#This Row],[Profit_Amount]]</f>
        <v>26858.11</v>
      </c>
      <c r="Y564" t="str" cm="1">
        <f t="array" ref="Y564">_xlfn.IFS(Sales_Data_1[[#This Row],[Delivery_Days]]&lt;=3, "Fast", Sales_Data_1[[#This Row],[Delivery_Days]]&lt;= 7, "Standard", TRUE, "Delayed")</f>
        <v>Fast</v>
      </c>
      <c r="Z564" t="str" cm="1">
        <f t="array" ref="Z564">_xlfn.IFS(Sales_Data_1[[#This Row],[Profit_Amount]]&gt; 0, "Profitable", Sales_Data_1[[#This Row],[Profit_Amount]] = 0, "Break-Even", TRUE, "Loss")</f>
        <v>Profitable</v>
      </c>
      <c r="AA564" t="str" cm="1">
        <f t="array" ref="AA564">_xlfn.IFS(Sales_Data_1[[#This Row],[Sales]]&gt;= 1000, "High Value", Sales_Data_1[[#This Row],[Sales]]&gt;= 300, "Mid Value", TRUE, "Low Value")</f>
        <v>High Value</v>
      </c>
    </row>
    <row r="565" spans="1:27" x14ac:dyDescent="0.3">
      <c r="A565" t="s">
        <v>2815</v>
      </c>
      <c r="B565" s="1">
        <v>45701</v>
      </c>
      <c r="C565" t="s">
        <v>30</v>
      </c>
      <c r="D565" t="s">
        <v>41</v>
      </c>
      <c r="E565" t="s">
        <v>67</v>
      </c>
      <c r="F565" t="s">
        <v>97</v>
      </c>
      <c r="G565" t="s">
        <v>57</v>
      </c>
      <c r="H565" t="s">
        <v>183</v>
      </c>
      <c r="I565" t="s">
        <v>1602</v>
      </c>
      <c r="J565">
        <v>5</v>
      </c>
      <c r="K565">
        <v>7891</v>
      </c>
      <c r="L565">
        <v>0.14000000000000001</v>
      </c>
      <c r="M565">
        <v>6786.26</v>
      </c>
      <c r="N565">
        <v>33931.300000000003</v>
      </c>
      <c r="O565">
        <v>0.2</v>
      </c>
      <c r="P565">
        <v>6786.26</v>
      </c>
      <c r="Q565" t="s">
        <v>47</v>
      </c>
      <c r="R565" t="s">
        <v>48</v>
      </c>
      <c r="S565">
        <v>6</v>
      </c>
      <c r="T565">
        <f>YEAR(Sales_Data_1[[#This Row],[Order_Date]])</f>
        <v>2025</v>
      </c>
      <c r="U565" t="str">
        <f>TEXT(Sales_Data_1[[#This Row],[Order_Date]], "mmm")</f>
        <v>Feb</v>
      </c>
      <c r="V565">
        <f>MONTH(Sales_Data_1[[#This Row],[Order_Date]])</f>
        <v>2</v>
      </c>
      <c r="W565" t="str">
        <f>TEXT(Sales_Data_1[[#This Row],[Order_Date]], "yyyy-mm")</f>
        <v>2025-02</v>
      </c>
      <c r="X565">
        <f>Sales_Data_1[[#This Row],[Sales]]-Sales_Data_1[[#This Row],[Profit_Amount]]</f>
        <v>27145.040000000001</v>
      </c>
      <c r="Y565" t="str" cm="1">
        <f t="array" ref="Y565">_xlfn.IFS(Sales_Data_1[[#This Row],[Delivery_Days]]&lt;=3, "Fast", Sales_Data_1[[#This Row],[Delivery_Days]]&lt;= 7, "Standard", TRUE, "Delayed")</f>
        <v>Standard</v>
      </c>
      <c r="Z565" t="str" cm="1">
        <f t="array" ref="Z565">_xlfn.IFS(Sales_Data_1[[#This Row],[Profit_Amount]]&gt; 0, "Profitable", Sales_Data_1[[#This Row],[Profit_Amount]] = 0, "Break-Even", TRUE, "Loss")</f>
        <v>Profitable</v>
      </c>
      <c r="AA565" t="str" cm="1">
        <f t="array" ref="AA565">_xlfn.IFS(Sales_Data_1[[#This Row],[Sales]]&gt;= 1000, "High Value", Sales_Data_1[[#This Row],[Sales]]&gt;= 300, "Mid Value", TRUE, "Low Value")</f>
        <v>High Value</v>
      </c>
    </row>
    <row r="566" spans="1:27" x14ac:dyDescent="0.3">
      <c r="A566" t="s">
        <v>2130</v>
      </c>
      <c r="B566" s="1">
        <v>45016</v>
      </c>
      <c r="C566" t="s">
        <v>55</v>
      </c>
      <c r="D566" t="s">
        <v>21</v>
      </c>
      <c r="E566" t="s">
        <v>42</v>
      </c>
      <c r="F566" t="s">
        <v>68</v>
      </c>
      <c r="G566" t="s">
        <v>44</v>
      </c>
      <c r="H566" t="s">
        <v>116</v>
      </c>
      <c r="I566" t="s">
        <v>250</v>
      </c>
      <c r="J566">
        <v>6</v>
      </c>
      <c r="K566">
        <v>3869</v>
      </c>
      <c r="L566">
        <v>0.16</v>
      </c>
      <c r="M566">
        <v>3249.96</v>
      </c>
      <c r="N566">
        <v>19499.759999999998</v>
      </c>
      <c r="O566">
        <v>0.35</v>
      </c>
      <c r="P566">
        <v>6824.92</v>
      </c>
      <c r="Q566" t="s">
        <v>51</v>
      </c>
      <c r="R566" t="s">
        <v>48</v>
      </c>
      <c r="S566">
        <v>4</v>
      </c>
      <c r="T566">
        <f>YEAR(Sales_Data_1[[#This Row],[Order_Date]])</f>
        <v>2023</v>
      </c>
      <c r="U566" t="str">
        <f>TEXT(Sales_Data_1[[#This Row],[Order_Date]], "mmm")</f>
        <v>Mar</v>
      </c>
      <c r="V566">
        <f>MONTH(Sales_Data_1[[#This Row],[Order_Date]])</f>
        <v>3</v>
      </c>
      <c r="W566" t="str">
        <f>TEXT(Sales_Data_1[[#This Row],[Order_Date]], "yyyy-mm")</f>
        <v>2023-03</v>
      </c>
      <c r="X566">
        <f>Sales_Data_1[[#This Row],[Sales]]-Sales_Data_1[[#This Row],[Profit_Amount]]</f>
        <v>12674.839999999998</v>
      </c>
      <c r="Y566" t="str" cm="1">
        <f t="array" ref="Y566">_xlfn.IFS(Sales_Data_1[[#This Row],[Delivery_Days]]&lt;=3, "Fast", Sales_Data_1[[#This Row],[Delivery_Days]]&lt;= 7, "Standard", TRUE, "Delayed")</f>
        <v>Standard</v>
      </c>
      <c r="Z566" t="str" cm="1">
        <f t="array" ref="Z566">_xlfn.IFS(Sales_Data_1[[#This Row],[Profit_Amount]]&gt; 0, "Profitable", Sales_Data_1[[#This Row],[Profit_Amount]] = 0, "Break-Even", TRUE, "Loss")</f>
        <v>Profitable</v>
      </c>
      <c r="AA566" t="str" cm="1">
        <f t="array" ref="AA566">_xlfn.IFS(Sales_Data_1[[#This Row],[Sales]]&gt;= 1000, "High Value", Sales_Data_1[[#This Row],[Sales]]&gt;= 300, "Mid Value", TRUE, "Low Value")</f>
        <v>High Value</v>
      </c>
    </row>
    <row r="567" spans="1:27" x14ac:dyDescent="0.3">
      <c r="A567" t="s">
        <v>2787</v>
      </c>
      <c r="B567" s="1">
        <v>45673</v>
      </c>
      <c r="C567" t="s">
        <v>30</v>
      </c>
      <c r="D567" t="s">
        <v>41</v>
      </c>
      <c r="E567" t="s">
        <v>2040</v>
      </c>
      <c r="F567" t="s">
        <v>33</v>
      </c>
      <c r="G567" t="s">
        <v>44</v>
      </c>
      <c r="H567" t="s">
        <v>45</v>
      </c>
      <c r="I567" t="s">
        <v>1547</v>
      </c>
      <c r="J567">
        <v>9</v>
      </c>
      <c r="K567">
        <v>2659</v>
      </c>
      <c r="L567">
        <v>0.18</v>
      </c>
      <c r="M567">
        <v>2180.38</v>
      </c>
      <c r="N567">
        <v>19623.419999999998</v>
      </c>
      <c r="O567">
        <v>0.35</v>
      </c>
      <c r="P567">
        <v>6868.2</v>
      </c>
      <c r="Q567" t="s">
        <v>47</v>
      </c>
      <c r="R567" t="s">
        <v>48</v>
      </c>
      <c r="S567">
        <v>5</v>
      </c>
      <c r="T567">
        <f>YEAR(Sales_Data_1[[#This Row],[Order_Date]])</f>
        <v>2025</v>
      </c>
      <c r="U567" t="str">
        <f>TEXT(Sales_Data_1[[#This Row],[Order_Date]], "mmm")</f>
        <v>Jan</v>
      </c>
      <c r="V567">
        <f>MONTH(Sales_Data_1[[#This Row],[Order_Date]])</f>
        <v>1</v>
      </c>
      <c r="W567" t="str">
        <f>TEXT(Sales_Data_1[[#This Row],[Order_Date]], "yyyy-mm")</f>
        <v>2025-01</v>
      </c>
      <c r="X567">
        <f>Sales_Data_1[[#This Row],[Sales]]-Sales_Data_1[[#This Row],[Profit_Amount]]</f>
        <v>12755.219999999998</v>
      </c>
      <c r="Y567" t="str" cm="1">
        <f t="array" ref="Y567">_xlfn.IFS(Sales_Data_1[[#This Row],[Delivery_Days]]&lt;=3, "Fast", Sales_Data_1[[#This Row],[Delivery_Days]]&lt;= 7, "Standard", TRUE, "Delayed")</f>
        <v>Standard</v>
      </c>
      <c r="Z567" t="str" cm="1">
        <f t="array" ref="Z567">_xlfn.IFS(Sales_Data_1[[#This Row],[Profit_Amount]]&gt; 0, "Profitable", Sales_Data_1[[#This Row],[Profit_Amount]] = 0, "Break-Even", TRUE, "Loss")</f>
        <v>Profitable</v>
      </c>
      <c r="AA567" t="str" cm="1">
        <f t="array" ref="AA567">_xlfn.IFS(Sales_Data_1[[#This Row],[Sales]]&gt;= 1000, "High Value", Sales_Data_1[[#This Row],[Sales]]&gt;= 300, "Mid Value", TRUE, "Low Value")</f>
        <v>High Value</v>
      </c>
    </row>
    <row r="568" spans="1:27" x14ac:dyDescent="0.3">
      <c r="A568" t="s">
        <v>2462</v>
      </c>
      <c r="B568" s="1">
        <v>45348</v>
      </c>
      <c r="C568" t="s">
        <v>63</v>
      </c>
      <c r="D568" t="s">
        <v>41</v>
      </c>
      <c r="E568" t="s">
        <v>42</v>
      </c>
      <c r="F568" t="s">
        <v>33</v>
      </c>
      <c r="G568" t="s">
        <v>24</v>
      </c>
      <c r="H568" t="s">
        <v>25</v>
      </c>
      <c r="I568" t="s">
        <v>910</v>
      </c>
      <c r="J568">
        <v>8</v>
      </c>
      <c r="K568">
        <v>3665</v>
      </c>
      <c r="L568">
        <v>0.06</v>
      </c>
      <c r="M568">
        <v>3445.1</v>
      </c>
      <c r="N568">
        <v>27560.799999999999</v>
      </c>
      <c r="O568">
        <v>0.25</v>
      </c>
      <c r="P568">
        <v>6890.2</v>
      </c>
      <c r="Q568" t="s">
        <v>37</v>
      </c>
      <c r="R568" t="s">
        <v>38</v>
      </c>
      <c r="S568">
        <v>3</v>
      </c>
      <c r="T568">
        <f>YEAR(Sales_Data_1[[#This Row],[Order_Date]])</f>
        <v>2024</v>
      </c>
      <c r="U568" t="str">
        <f>TEXT(Sales_Data_1[[#This Row],[Order_Date]], "mmm")</f>
        <v>Feb</v>
      </c>
      <c r="V568">
        <f>MONTH(Sales_Data_1[[#This Row],[Order_Date]])</f>
        <v>2</v>
      </c>
      <c r="W568" t="str">
        <f>TEXT(Sales_Data_1[[#This Row],[Order_Date]], "yyyy-mm")</f>
        <v>2024-02</v>
      </c>
      <c r="X568">
        <f>Sales_Data_1[[#This Row],[Sales]]-Sales_Data_1[[#This Row],[Profit_Amount]]</f>
        <v>20670.599999999999</v>
      </c>
      <c r="Y568" t="str" cm="1">
        <f t="array" ref="Y568">_xlfn.IFS(Sales_Data_1[[#This Row],[Delivery_Days]]&lt;=3, "Fast", Sales_Data_1[[#This Row],[Delivery_Days]]&lt;= 7, "Standard", TRUE, "Delayed")</f>
        <v>Fast</v>
      </c>
      <c r="Z568" t="str" cm="1">
        <f t="array" ref="Z568">_xlfn.IFS(Sales_Data_1[[#This Row],[Profit_Amount]]&gt; 0, "Profitable", Sales_Data_1[[#This Row],[Profit_Amount]] = 0, "Break-Even", TRUE, "Loss")</f>
        <v>Profitable</v>
      </c>
      <c r="AA568" t="str" cm="1">
        <f t="array" ref="AA568">_xlfn.IFS(Sales_Data_1[[#This Row],[Sales]]&gt;= 1000, "High Value", Sales_Data_1[[#This Row],[Sales]]&gt;= 300, "Mid Value", TRUE, "Low Value")</f>
        <v>High Value</v>
      </c>
    </row>
    <row r="569" spans="1:27" x14ac:dyDescent="0.3">
      <c r="A569" t="s">
        <v>2714</v>
      </c>
      <c r="B569" s="1">
        <v>45600</v>
      </c>
      <c r="C569" t="s">
        <v>63</v>
      </c>
      <c r="D569" t="s">
        <v>21</v>
      </c>
      <c r="E569" t="s">
        <v>2040</v>
      </c>
      <c r="F569" t="s">
        <v>103</v>
      </c>
      <c r="G569" t="s">
        <v>24</v>
      </c>
      <c r="H569" t="s">
        <v>121</v>
      </c>
      <c r="I569" t="s">
        <v>1404</v>
      </c>
      <c r="J569">
        <v>6</v>
      </c>
      <c r="K569">
        <v>4983</v>
      </c>
      <c r="L569">
        <v>7.0000000000000007E-2</v>
      </c>
      <c r="M569">
        <v>4634.1899999999996</v>
      </c>
      <c r="N569">
        <v>27805.14</v>
      </c>
      <c r="O569">
        <v>0.25</v>
      </c>
      <c r="P569">
        <v>6951.28</v>
      </c>
      <c r="Q569" t="s">
        <v>51</v>
      </c>
      <c r="R569" t="s">
        <v>38</v>
      </c>
      <c r="S569">
        <v>4</v>
      </c>
      <c r="T569">
        <f>YEAR(Sales_Data_1[[#This Row],[Order_Date]])</f>
        <v>2024</v>
      </c>
      <c r="U569" t="str">
        <f>TEXT(Sales_Data_1[[#This Row],[Order_Date]], "mmm")</f>
        <v>Nov</v>
      </c>
      <c r="V569">
        <f>MONTH(Sales_Data_1[[#This Row],[Order_Date]])</f>
        <v>11</v>
      </c>
      <c r="W569" t="str">
        <f>TEXT(Sales_Data_1[[#This Row],[Order_Date]], "yyyy-mm")</f>
        <v>2024-11</v>
      </c>
      <c r="X569">
        <f>Sales_Data_1[[#This Row],[Sales]]-Sales_Data_1[[#This Row],[Profit_Amount]]</f>
        <v>20853.86</v>
      </c>
      <c r="Y569" t="str" cm="1">
        <f t="array" ref="Y569">_xlfn.IFS(Sales_Data_1[[#This Row],[Delivery_Days]]&lt;=3, "Fast", Sales_Data_1[[#This Row],[Delivery_Days]]&lt;= 7, "Standard", TRUE, "Delayed")</f>
        <v>Standard</v>
      </c>
      <c r="Z569" t="str" cm="1">
        <f t="array" ref="Z569">_xlfn.IFS(Sales_Data_1[[#This Row],[Profit_Amount]]&gt; 0, "Profitable", Sales_Data_1[[#This Row],[Profit_Amount]] = 0, "Break-Even", TRUE, "Loss")</f>
        <v>Profitable</v>
      </c>
      <c r="AA569" t="str" cm="1">
        <f t="array" ref="AA569">_xlfn.IFS(Sales_Data_1[[#This Row],[Sales]]&gt;= 1000, "High Value", Sales_Data_1[[#This Row],[Sales]]&gt;= 300, "Mid Value", TRUE, "Low Value")</f>
        <v>High Value</v>
      </c>
    </row>
    <row r="570" spans="1:27" x14ac:dyDescent="0.3">
      <c r="A570" t="s">
        <v>2735</v>
      </c>
      <c r="B570" s="1">
        <v>45621</v>
      </c>
      <c r="C570" t="s">
        <v>40</v>
      </c>
      <c r="D570" t="s">
        <v>31</v>
      </c>
      <c r="E570" t="s">
        <v>2040</v>
      </c>
      <c r="F570" t="s">
        <v>68</v>
      </c>
      <c r="G570" t="s">
        <v>92</v>
      </c>
      <c r="H570" t="s">
        <v>109</v>
      </c>
      <c r="I570" t="s">
        <v>1446</v>
      </c>
      <c r="J570">
        <v>1</v>
      </c>
      <c r="K570">
        <v>60408</v>
      </c>
      <c r="L570">
        <v>0.23</v>
      </c>
      <c r="M570">
        <v>46514.16</v>
      </c>
      <c r="N570">
        <v>46514.16</v>
      </c>
      <c r="O570">
        <v>0.15</v>
      </c>
      <c r="P570">
        <v>6977.12</v>
      </c>
      <c r="Q570" t="s">
        <v>47</v>
      </c>
      <c r="R570" t="s">
        <v>48</v>
      </c>
      <c r="S570">
        <v>5</v>
      </c>
      <c r="T570">
        <f>YEAR(Sales_Data_1[[#This Row],[Order_Date]])</f>
        <v>2024</v>
      </c>
      <c r="U570" t="str">
        <f>TEXT(Sales_Data_1[[#This Row],[Order_Date]], "mmm")</f>
        <v>Nov</v>
      </c>
      <c r="V570">
        <f>MONTH(Sales_Data_1[[#This Row],[Order_Date]])</f>
        <v>11</v>
      </c>
      <c r="W570" t="str">
        <f>TEXT(Sales_Data_1[[#This Row],[Order_Date]], "yyyy-mm")</f>
        <v>2024-11</v>
      </c>
      <c r="X570">
        <f>Sales_Data_1[[#This Row],[Sales]]-Sales_Data_1[[#This Row],[Profit_Amount]]</f>
        <v>39537.040000000001</v>
      </c>
      <c r="Y570" t="str" cm="1">
        <f t="array" ref="Y570">_xlfn.IFS(Sales_Data_1[[#This Row],[Delivery_Days]]&lt;=3, "Fast", Sales_Data_1[[#This Row],[Delivery_Days]]&lt;= 7, "Standard", TRUE, "Delayed")</f>
        <v>Standard</v>
      </c>
      <c r="Z570" t="str" cm="1">
        <f t="array" ref="Z570">_xlfn.IFS(Sales_Data_1[[#This Row],[Profit_Amount]]&gt; 0, "Profitable", Sales_Data_1[[#This Row],[Profit_Amount]] = 0, "Break-Even", TRUE, "Loss")</f>
        <v>Profitable</v>
      </c>
      <c r="AA570" t="str" cm="1">
        <f t="array" ref="AA570">_xlfn.IFS(Sales_Data_1[[#This Row],[Sales]]&gt;= 1000, "High Value", Sales_Data_1[[#This Row],[Sales]]&gt;= 300, "Mid Value", TRUE, "Low Value")</f>
        <v>High Value</v>
      </c>
    </row>
    <row r="571" spans="1:27" x14ac:dyDescent="0.3">
      <c r="A571" t="s">
        <v>2166</v>
      </c>
      <c r="B571" s="1">
        <v>45052</v>
      </c>
      <c r="C571" t="s">
        <v>96</v>
      </c>
      <c r="D571" t="s">
        <v>21</v>
      </c>
      <c r="E571" t="s">
        <v>2042</v>
      </c>
      <c r="F571" t="s">
        <v>23</v>
      </c>
      <c r="G571" t="s">
        <v>24</v>
      </c>
      <c r="H571" t="s">
        <v>186</v>
      </c>
      <c r="I571" t="s">
        <v>322</v>
      </c>
      <c r="J571">
        <v>3</v>
      </c>
      <c r="K571">
        <v>10472</v>
      </c>
      <c r="L571">
        <v>0.11</v>
      </c>
      <c r="M571">
        <v>9320.08</v>
      </c>
      <c r="N571">
        <v>27960.240000000002</v>
      </c>
      <c r="O571">
        <v>0.25</v>
      </c>
      <c r="P571">
        <v>6990.06</v>
      </c>
      <c r="Q571" t="s">
        <v>47</v>
      </c>
      <c r="R571" t="s">
        <v>48</v>
      </c>
      <c r="S571">
        <v>6</v>
      </c>
      <c r="T571">
        <f>YEAR(Sales_Data_1[[#This Row],[Order_Date]])</f>
        <v>2023</v>
      </c>
      <c r="U571" t="str">
        <f>TEXT(Sales_Data_1[[#This Row],[Order_Date]], "mmm")</f>
        <v>May</v>
      </c>
      <c r="V571">
        <f>MONTH(Sales_Data_1[[#This Row],[Order_Date]])</f>
        <v>5</v>
      </c>
      <c r="W571" t="str">
        <f>TEXT(Sales_Data_1[[#This Row],[Order_Date]], "yyyy-mm")</f>
        <v>2023-05</v>
      </c>
      <c r="X571">
        <f>Sales_Data_1[[#This Row],[Sales]]-Sales_Data_1[[#This Row],[Profit_Amount]]</f>
        <v>20970.18</v>
      </c>
      <c r="Y571" t="str" cm="1">
        <f t="array" ref="Y571">_xlfn.IFS(Sales_Data_1[[#This Row],[Delivery_Days]]&lt;=3, "Fast", Sales_Data_1[[#This Row],[Delivery_Days]]&lt;= 7, "Standard", TRUE, "Delayed")</f>
        <v>Standard</v>
      </c>
      <c r="Z571" t="str" cm="1">
        <f t="array" ref="Z571">_xlfn.IFS(Sales_Data_1[[#This Row],[Profit_Amount]]&gt; 0, "Profitable", Sales_Data_1[[#This Row],[Profit_Amount]] = 0, "Break-Even", TRUE, "Loss")</f>
        <v>Profitable</v>
      </c>
      <c r="AA571" t="str" cm="1">
        <f t="array" ref="AA571">_xlfn.IFS(Sales_Data_1[[#This Row],[Sales]]&gt;= 1000, "High Value", Sales_Data_1[[#This Row],[Sales]]&gt;= 300, "Mid Value", TRUE, "Low Value")</f>
        <v>High Value</v>
      </c>
    </row>
    <row r="572" spans="1:27" x14ac:dyDescent="0.3">
      <c r="A572" t="s">
        <v>2085</v>
      </c>
      <c r="B572" s="1">
        <v>44971</v>
      </c>
      <c r="C572" t="s">
        <v>20</v>
      </c>
      <c r="D572" t="s">
        <v>21</v>
      </c>
      <c r="E572" t="s">
        <v>42</v>
      </c>
      <c r="F572" t="s">
        <v>103</v>
      </c>
      <c r="G572" t="s">
        <v>57</v>
      </c>
      <c r="H572" t="s">
        <v>58</v>
      </c>
      <c r="I572" t="s">
        <v>156</v>
      </c>
      <c r="J572">
        <v>2</v>
      </c>
      <c r="K572">
        <v>17711</v>
      </c>
      <c r="L572">
        <v>0.01</v>
      </c>
      <c r="M572">
        <v>17533.89</v>
      </c>
      <c r="N572">
        <v>35067.78</v>
      </c>
      <c r="O572">
        <v>0.2</v>
      </c>
      <c r="P572">
        <v>7013.56</v>
      </c>
      <c r="Q572" t="s">
        <v>37</v>
      </c>
      <c r="R572" t="s">
        <v>48</v>
      </c>
      <c r="S572">
        <v>4</v>
      </c>
      <c r="T572">
        <f>YEAR(Sales_Data_1[[#This Row],[Order_Date]])</f>
        <v>2023</v>
      </c>
      <c r="U572" t="str">
        <f>TEXT(Sales_Data_1[[#This Row],[Order_Date]], "mmm")</f>
        <v>Feb</v>
      </c>
      <c r="V572">
        <f>MONTH(Sales_Data_1[[#This Row],[Order_Date]])</f>
        <v>2</v>
      </c>
      <c r="W572" t="str">
        <f>TEXT(Sales_Data_1[[#This Row],[Order_Date]], "yyyy-mm")</f>
        <v>2023-02</v>
      </c>
      <c r="X572">
        <f>Sales_Data_1[[#This Row],[Sales]]-Sales_Data_1[[#This Row],[Profit_Amount]]</f>
        <v>28054.219999999998</v>
      </c>
      <c r="Y572" t="str" cm="1">
        <f t="array" ref="Y572">_xlfn.IFS(Sales_Data_1[[#This Row],[Delivery_Days]]&lt;=3, "Fast", Sales_Data_1[[#This Row],[Delivery_Days]]&lt;= 7, "Standard", TRUE, "Delayed")</f>
        <v>Standard</v>
      </c>
      <c r="Z572" t="str" cm="1">
        <f t="array" ref="Z572">_xlfn.IFS(Sales_Data_1[[#This Row],[Profit_Amount]]&gt; 0, "Profitable", Sales_Data_1[[#This Row],[Profit_Amount]] = 0, "Break-Even", TRUE, "Loss")</f>
        <v>Profitable</v>
      </c>
      <c r="AA572" t="str" cm="1">
        <f t="array" ref="AA572">_xlfn.IFS(Sales_Data_1[[#This Row],[Sales]]&gt;= 1000, "High Value", Sales_Data_1[[#This Row],[Sales]]&gt;= 300, "Mid Value", TRUE, "Low Value")</f>
        <v>High Value</v>
      </c>
    </row>
    <row r="573" spans="1:27" x14ac:dyDescent="0.3">
      <c r="A573" t="s">
        <v>2656</v>
      </c>
      <c r="B573" s="1">
        <v>45542</v>
      </c>
      <c r="C573" t="s">
        <v>30</v>
      </c>
      <c r="D573" t="s">
        <v>31</v>
      </c>
      <c r="E573" t="s">
        <v>2040</v>
      </c>
      <c r="F573" t="s">
        <v>23</v>
      </c>
      <c r="G573" t="s">
        <v>44</v>
      </c>
      <c r="H573" t="s">
        <v>45</v>
      </c>
      <c r="I573" t="s">
        <v>1292</v>
      </c>
      <c r="J573">
        <v>5</v>
      </c>
      <c r="K573">
        <v>4595</v>
      </c>
      <c r="L573">
        <v>0.12</v>
      </c>
      <c r="M573">
        <v>4043.6</v>
      </c>
      <c r="N573">
        <v>20218</v>
      </c>
      <c r="O573">
        <v>0.35</v>
      </c>
      <c r="P573">
        <v>7076.3</v>
      </c>
      <c r="Q573" t="s">
        <v>27</v>
      </c>
      <c r="R573" t="s">
        <v>48</v>
      </c>
      <c r="S573">
        <v>9</v>
      </c>
      <c r="T573">
        <f>YEAR(Sales_Data_1[[#This Row],[Order_Date]])</f>
        <v>2024</v>
      </c>
      <c r="U573" t="str">
        <f>TEXT(Sales_Data_1[[#This Row],[Order_Date]], "mmm")</f>
        <v>Sep</v>
      </c>
      <c r="V573">
        <f>MONTH(Sales_Data_1[[#This Row],[Order_Date]])</f>
        <v>9</v>
      </c>
      <c r="W573" t="str">
        <f>TEXT(Sales_Data_1[[#This Row],[Order_Date]], "yyyy-mm")</f>
        <v>2024-09</v>
      </c>
      <c r="X573">
        <f>Sales_Data_1[[#This Row],[Sales]]-Sales_Data_1[[#This Row],[Profit_Amount]]</f>
        <v>13141.7</v>
      </c>
      <c r="Y573" t="str" cm="1">
        <f t="array" ref="Y573">_xlfn.IFS(Sales_Data_1[[#This Row],[Delivery_Days]]&lt;=3, "Fast", Sales_Data_1[[#This Row],[Delivery_Days]]&lt;= 7, "Standard", TRUE, "Delayed")</f>
        <v>Delayed</v>
      </c>
      <c r="Z573" t="str" cm="1">
        <f t="array" ref="Z573">_xlfn.IFS(Sales_Data_1[[#This Row],[Profit_Amount]]&gt; 0, "Profitable", Sales_Data_1[[#This Row],[Profit_Amount]] = 0, "Break-Even", TRUE, "Loss")</f>
        <v>Profitable</v>
      </c>
      <c r="AA573" t="str" cm="1">
        <f t="array" ref="AA573">_xlfn.IFS(Sales_Data_1[[#This Row],[Sales]]&gt;= 1000, "High Value", Sales_Data_1[[#This Row],[Sales]]&gt;= 300, "Mid Value", TRUE, "Low Value")</f>
        <v>High Value</v>
      </c>
    </row>
    <row r="574" spans="1:27" x14ac:dyDescent="0.3">
      <c r="A574" t="s">
        <v>2209</v>
      </c>
      <c r="B574" s="1">
        <v>45095</v>
      </c>
      <c r="C574" t="s">
        <v>55</v>
      </c>
      <c r="D574" t="s">
        <v>21</v>
      </c>
      <c r="E574" t="s">
        <v>67</v>
      </c>
      <c r="F574" t="s">
        <v>33</v>
      </c>
      <c r="G574" t="s">
        <v>92</v>
      </c>
      <c r="H574" t="s">
        <v>178</v>
      </c>
      <c r="I574" t="s">
        <v>408</v>
      </c>
      <c r="J574">
        <v>1</v>
      </c>
      <c r="K574">
        <v>55272</v>
      </c>
      <c r="L574">
        <v>0.14000000000000001</v>
      </c>
      <c r="M574">
        <v>47533.919999999998</v>
      </c>
      <c r="N574">
        <v>47533.919999999998</v>
      </c>
      <c r="O574">
        <v>0.15</v>
      </c>
      <c r="P574">
        <v>7130.09</v>
      </c>
      <c r="Q574" t="s">
        <v>47</v>
      </c>
      <c r="R574" t="s">
        <v>48</v>
      </c>
      <c r="S574">
        <v>7</v>
      </c>
      <c r="T574">
        <f>YEAR(Sales_Data_1[[#This Row],[Order_Date]])</f>
        <v>2023</v>
      </c>
      <c r="U574" t="str">
        <f>TEXT(Sales_Data_1[[#This Row],[Order_Date]], "mmm")</f>
        <v>Jun</v>
      </c>
      <c r="V574">
        <f>MONTH(Sales_Data_1[[#This Row],[Order_Date]])</f>
        <v>6</v>
      </c>
      <c r="W574" t="str">
        <f>TEXT(Sales_Data_1[[#This Row],[Order_Date]], "yyyy-mm")</f>
        <v>2023-06</v>
      </c>
      <c r="X574">
        <f>Sales_Data_1[[#This Row],[Sales]]-Sales_Data_1[[#This Row],[Profit_Amount]]</f>
        <v>40403.83</v>
      </c>
      <c r="Y574" t="str" cm="1">
        <f t="array" ref="Y574">_xlfn.IFS(Sales_Data_1[[#This Row],[Delivery_Days]]&lt;=3, "Fast", Sales_Data_1[[#This Row],[Delivery_Days]]&lt;= 7, "Standard", TRUE, "Delayed")</f>
        <v>Standard</v>
      </c>
      <c r="Z574" t="str" cm="1">
        <f t="array" ref="Z574">_xlfn.IFS(Sales_Data_1[[#This Row],[Profit_Amount]]&gt; 0, "Profitable", Sales_Data_1[[#This Row],[Profit_Amount]] = 0, "Break-Even", TRUE, "Loss")</f>
        <v>Profitable</v>
      </c>
      <c r="AA574" t="str" cm="1">
        <f t="array" ref="AA574">_xlfn.IFS(Sales_Data_1[[#This Row],[Sales]]&gt;= 1000, "High Value", Sales_Data_1[[#This Row],[Sales]]&gt;= 300, "Mid Value", TRUE, "Low Value")</f>
        <v>High Value</v>
      </c>
    </row>
    <row r="575" spans="1:27" x14ac:dyDescent="0.3">
      <c r="A575" t="s">
        <v>2077</v>
      </c>
      <c r="B575" s="1">
        <v>44963</v>
      </c>
      <c r="C575" t="s">
        <v>20</v>
      </c>
      <c r="D575" t="s">
        <v>21</v>
      </c>
      <c r="E575" t="s">
        <v>67</v>
      </c>
      <c r="F575" t="s">
        <v>33</v>
      </c>
      <c r="G575" t="s">
        <v>44</v>
      </c>
      <c r="H575" t="s">
        <v>138</v>
      </c>
      <c r="I575" t="s">
        <v>139</v>
      </c>
      <c r="J575">
        <v>9</v>
      </c>
      <c r="K575">
        <v>2835</v>
      </c>
      <c r="L575">
        <v>0.2</v>
      </c>
      <c r="M575">
        <v>2268</v>
      </c>
      <c r="N575">
        <v>20412</v>
      </c>
      <c r="O575">
        <v>0.35</v>
      </c>
      <c r="P575">
        <v>7144.2</v>
      </c>
      <c r="Q575" t="s">
        <v>37</v>
      </c>
      <c r="R575" t="s">
        <v>38</v>
      </c>
      <c r="S575">
        <v>6</v>
      </c>
      <c r="T575">
        <f>YEAR(Sales_Data_1[[#This Row],[Order_Date]])</f>
        <v>2023</v>
      </c>
      <c r="U575" t="str">
        <f>TEXT(Sales_Data_1[[#This Row],[Order_Date]], "mmm")</f>
        <v>Feb</v>
      </c>
      <c r="V575">
        <f>MONTH(Sales_Data_1[[#This Row],[Order_Date]])</f>
        <v>2</v>
      </c>
      <c r="W575" t="str">
        <f>TEXT(Sales_Data_1[[#This Row],[Order_Date]], "yyyy-mm")</f>
        <v>2023-02</v>
      </c>
      <c r="X575">
        <f>Sales_Data_1[[#This Row],[Sales]]-Sales_Data_1[[#This Row],[Profit_Amount]]</f>
        <v>13267.8</v>
      </c>
      <c r="Y575" t="str" cm="1">
        <f t="array" ref="Y575">_xlfn.IFS(Sales_Data_1[[#This Row],[Delivery_Days]]&lt;=3, "Fast", Sales_Data_1[[#This Row],[Delivery_Days]]&lt;= 7, "Standard", TRUE, "Delayed")</f>
        <v>Standard</v>
      </c>
      <c r="Z575" t="str" cm="1">
        <f t="array" ref="Z575">_xlfn.IFS(Sales_Data_1[[#This Row],[Profit_Amount]]&gt; 0, "Profitable", Sales_Data_1[[#This Row],[Profit_Amount]] = 0, "Break-Even", TRUE, "Loss")</f>
        <v>Profitable</v>
      </c>
      <c r="AA575" t="str" cm="1">
        <f t="array" ref="AA575">_xlfn.IFS(Sales_Data_1[[#This Row],[Sales]]&gt;= 1000, "High Value", Sales_Data_1[[#This Row],[Sales]]&gt;= 300, "Mid Value", TRUE, "Low Value")</f>
        <v>High Value</v>
      </c>
    </row>
    <row r="576" spans="1:27" x14ac:dyDescent="0.3">
      <c r="A576" t="s">
        <v>2957</v>
      </c>
      <c r="B576" s="1">
        <v>45843</v>
      </c>
      <c r="C576" t="s">
        <v>20</v>
      </c>
      <c r="D576" t="s">
        <v>41</v>
      </c>
      <c r="E576" t="s">
        <v>2040</v>
      </c>
      <c r="F576" t="s">
        <v>43</v>
      </c>
      <c r="G576" t="s">
        <v>44</v>
      </c>
      <c r="H576" t="s">
        <v>45</v>
      </c>
      <c r="I576" t="s">
        <v>1426</v>
      </c>
      <c r="J576">
        <v>5</v>
      </c>
      <c r="K576">
        <v>4979</v>
      </c>
      <c r="L576">
        <v>0.18</v>
      </c>
      <c r="M576">
        <v>4082.78</v>
      </c>
      <c r="N576">
        <v>20413.900000000001</v>
      </c>
      <c r="O576">
        <v>0.35</v>
      </c>
      <c r="P576">
        <v>7144.86</v>
      </c>
      <c r="Q576" t="s">
        <v>47</v>
      </c>
      <c r="R576" t="s">
        <v>48</v>
      </c>
      <c r="S576">
        <v>4</v>
      </c>
      <c r="T576">
        <f>YEAR(Sales_Data_1[[#This Row],[Order_Date]])</f>
        <v>2025</v>
      </c>
      <c r="U576" t="str">
        <f>TEXT(Sales_Data_1[[#This Row],[Order_Date]], "mmm")</f>
        <v>Jul</v>
      </c>
      <c r="V576">
        <f>MONTH(Sales_Data_1[[#This Row],[Order_Date]])</f>
        <v>7</v>
      </c>
      <c r="W576" t="str">
        <f>TEXT(Sales_Data_1[[#This Row],[Order_Date]], "yyyy-mm")</f>
        <v>2025-07</v>
      </c>
      <c r="X576">
        <f>Sales_Data_1[[#This Row],[Sales]]-Sales_Data_1[[#This Row],[Profit_Amount]]</f>
        <v>13269.04</v>
      </c>
      <c r="Y576" t="str" cm="1">
        <f t="array" ref="Y576">_xlfn.IFS(Sales_Data_1[[#This Row],[Delivery_Days]]&lt;=3, "Fast", Sales_Data_1[[#This Row],[Delivery_Days]]&lt;= 7, "Standard", TRUE, "Delayed")</f>
        <v>Standard</v>
      </c>
      <c r="Z576" t="str" cm="1">
        <f t="array" ref="Z576">_xlfn.IFS(Sales_Data_1[[#This Row],[Profit_Amount]]&gt; 0, "Profitable", Sales_Data_1[[#This Row],[Profit_Amount]] = 0, "Break-Even", TRUE, "Loss")</f>
        <v>Profitable</v>
      </c>
      <c r="AA576" t="str" cm="1">
        <f t="array" ref="AA576">_xlfn.IFS(Sales_Data_1[[#This Row],[Sales]]&gt;= 1000, "High Value", Sales_Data_1[[#This Row],[Sales]]&gt;= 300, "Mid Value", TRUE, "Low Value")</f>
        <v>High Value</v>
      </c>
    </row>
    <row r="577" spans="1:27" x14ac:dyDescent="0.3">
      <c r="A577" t="s">
        <v>2974</v>
      </c>
      <c r="B577" s="1">
        <v>45860</v>
      </c>
      <c r="C577" t="s">
        <v>20</v>
      </c>
      <c r="D577" t="s">
        <v>41</v>
      </c>
      <c r="E577" t="s">
        <v>67</v>
      </c>
      <c r="F577" t="s">
        <v>68</v>
      </c>
      <c r="G577" t="s">
        <v>44</v>
      </c>
      <c r="H577" t="s">
        <v>45</v>
      </c>
      <c r="I577" t="s">
        <v>1911</v>
      </c>
      <c r="J577">
        <v>5</v>
      </c>
      <c r="K577">
        <v>4772</v>
      </c>
      <c r="L577">
        <v>0.14000000000000001</v>
      </c>
      <c r="M577">
        <v>4103.92</v>
      </c>
      <c r="N577">
        <v>20519.599999999999</v>
      </c>
      <c r="O577">
        <v>0.35</v>
      </c>
      <c r="P577">
        <v>7181.86</v>
      </c>
      <c r="Q577" t="s">
        <v>37</v>
      </c>
      <c r="R577" t="s">
        <v>48</v>
      </c>
      <c r="S577">
        <v>3</v>
      </c>
      <c r="T577">
        <f>YEAR(Sales_Data_1[[#This Row],[Order_Date]])</f>
        <v>2025</v>
      </c>
      <c r="U577" t="str">
        <f>TEXT(Sales_Data_1[[#This Row],[Order_Date]], "mmm")</f>
        <v>Jul</v>
      </c>
      <c r="V577">
        <f>MONTH(Sales_Data_1[[#This Row],[Order_Date]])</f>
        <v>7</v>
      </c>
      <c r="W577" t="str">
        <f>TEXT(Sales_Data_1[[#This Row],[Order_Date]], "yyyy-mm")</f>
        <v>2025-07</v>
      </c>
      <c r="X577">
        <f>Sales_Data_1[[#This Row],[Sales]]-Sales_Data_1[[#This Row],[Profit_Amount]]</f>
        <v>13337.739999999998</v>
      </c>
      <c r="Y577" t="str" cm="1">
        <f t="array" ref="Y577">_xlfn.IFS(Sales_Data_1[[#This Row],[Delivery_Days]]&lt;=3, "Fast", Sales_Data_1[[#This Row],[Delivery_Days]]&lt;= 7, "Standard", TRUE, "Delayed")</f>
        <v>Fast</v>
      </c>
      <c r="Z577" t="str" cm="1">
        <f t="array" ref="Z577">_xlfn.IFS(Sales_Data_1[[#This Row],[Profit_Amount]]&gt; 0, "Profitable", Sales_Data_1[[#This Row],[Profit_Amount]] = 0, "Break-Even", TRUE, "Loss")</f>
        <v>Profitable</v>
      </c>
      <c r="AA577" t="str" cm="1">
        <f t="array" ref="AA577">_xlfn.IFS(Sales_Data_1[[#This Row],[Sales]]&gt;= 1000, "High Value", Sales_Data_1[[#This Row],[Sales]]&gt;= 300, "Mid Value", TRUE, "Low Value")</f>
        <v>High Value</v>
      </c>
    </row>
    <row r="578" spans="1:27" x14ac:dyDescent="0.3">
      <c r="A578" t="s">
        <v>2563</v>
      </c>
      <c r="B578" s="1">
        <v>45449</v>
      </c>
      <c r="C578" t="s">
        <v>20</v>
      </c>
      <c r="D578" t="s">
        <v>56</v>
      </c>
      <c r="E578" t="s">
        <v>42</v>
      </c>
      <c r="F578" t="s">
        <v>97</v>
      </c>
      <c r="G578" t="s">
        <v>24</v>
      </c>
      <c r="H578" t="s">
        <v>121</v>
      </c>
      <c r="I578" t="s">
        <v>1109</v>
      </c>
      <c r="J578">
        <v>6</v>
      </c>
      <c r="K578">
        <v>4850</v>
      </c>
      <c r="L578">
        <v>0.01</v>
      </c>
      <c r="M578">
        <v>4801.5</v>
      </c>
      <c r="N578">
        <v>28809</v>
      </c>
      <c r="O578">
        <v>0.25</v>
      </c>
      <c r="P578">
        <v>7202.25</v>
      </c>
      <c r="Q578" t="s">
        <v>51</v>
      </c>
      <c r="R578" t="s">
        <v>48</v>
      </c>
      <c r="S578">
        <v>7</v>
      </c>
      <c r="T578">
        <f>YEAR(Sales_Data_1[[#This Row],[Order_Date]])</f>
        <v>2024</v>
      </c>
      <c r="U578" t="str">
        <f>TEXT(Sales_Data_1[[#This Row],[Order_Date]], "mmm")</f>
        <v>Jun</v>
      </c>
      <c r="V578">
        <f>MONTH(Sales_Data_1[[#This Row],[Order_Date]])</f>
        <v>6</v>
      </c>
      <c r="W578" t="str">
        <f>TEXT(Sales_Data_1[[#This Row],[Order_Date]], "yyyy-mm")</f>
        <v>2024-06</v>
      </c>
      <c r="X578">
        <f>Sales_Data_1[[#This Row],[Sales]]-Sales_Data_1[[#This Row],[Profit_Amount]]</f>
        <v>21606.75</v>
      </c>
      <c r="Y578" t="str" cm="1">
        <f t="array" ref="Y578">_xlfn.IFS(Sales_Data_1[[#This Row],[Delivery_Days]]&lt;=3, "Fast", Sales_Data_1[[#This Row],[Delivery_Days]]&lt;= 7, "Standard", TRUE, "Delayed")</f>
        <v>Standard</v>
      </c>
      <c r="Z578" t="str" cm="1">
        <f t="array" ref="Z578">_xlfn.IFS(Sales_Data_1[[#This Row],[Profit_Amount]]&gt; 0, "Profitable", Sales_Data_1[[#This Row],[Profit_Amount]] = 0, "Break-Even", TRUE, "Loss")</f>
        <v>Profitable</v>
      </c>
      <c r="AA578" t="str" cm="1">
        <f t="array" ref="AA578">_xlfn.IFS(Sales_Data_1[[#This Row],[Sales]]&gt;= 1000, "High Value", Sales_Data_1[[#This Row],[Sales]]&gt;= 300, "Mid Value", TRUE, "Low Value")</f>
        <v>High Value</v>
      </c>
    </row>
    <row r="579" spans="1:27" x14ac:dyDescent="0.3">
      <c r="A579" t="s">
        <v>2709</v>
      </c>
      <c r="B579" s="1">
        <v>45595</v>
      </c>
      <c r="C579" t="s">
        <v>63</v>
      </c>
      <c r="D579" t="s">
        <v>41</v>
      </c>
      <c r="E579" t="s">
        <v>42</v>
      </c>
      <c r="F579" t="s">
        <v>23</v>
      </c>
      <c r="G579" t="s">
        <v>57</v>
      </c>
      <c r="H579" t="s">
        <v>58</v>
      </c>
      <c r="I579" t="s">
        <v>1394</v>
      </c>
      <c r="J579">
        <v>5</v>
      </c>
      <c r="K579">
        <v>7978</v>
      </c>
      <c r="L579">
        <v>0.09</v>
      </c>
      <c r="M579">
        <v>7259.98</v>
      </c>
      <c r="N579">
        <v>36299.9</v>
      </c>
      <c r="O579">
        <v>0.2</v>
      </c>
      <c r="P579">
        <v>7259.98</v>
      </c>
      <c r="Q579" t="s">
        <v>27</v>
      </c>
      <c r="R579" t="s">
        <v>48</v>
      </c>
      <c r="S579">
        <v>1</v>
      </c>
      <c r="T579">
        <f>YEAR(Sales_Data_1[[#This Row],[Order_Date]])</f>
        <v>2024</v>
      </c>
      <c r="U579" t="str">
        <f>TEXT(Sales_Data_1[[#This Row],[Order_Date]], "mmm")</f>
        <v>Oct</v>
      </c>
      <c r="V579">
        <f>MONTH(Sales_Data_1[[#This Row],[Order_Date]])</f>
        <v>10</v>
      </c>
      <c r="W579" t="str">
        <f>TEXT(Sales_Data_1[[#This Row],[Order_Date]], "yyyy-mm")</f>
        <v>2024-10</v>
      </c>
      <c r="X579">
        <f>Sales_Data_1[[#This Row],[Sales]]-Sales_Data_1[[#This Row],[Profit_Amount]]</f>
        <v>29039.920000000002</v>
      </c>
      <c r="Y579" t="str" cm="1">
        <f t="array" ref="Y579">_xlfn.IFS(Sales_Data_1[[#This Row],[Delivery_Days]]&lt;=3, "Fast", Sales_Data_1[[#This Row],[Delivery_Days]]&lt;= 7, "Standard", TRUE, "Delayed")</f>
        <v>Fast</v>
      </c>
      <c r="Z579" t="str" cm="1">
        <f t="array" ref="Z579">_xlfn.IFS(Sales_Data_1[[#This Row],[Profit_Amount]]&gt; 0, "Profitable", Sales_Data_1[[#This Row],[Profit_Amount]] = 0, "Break-Even", TRUE, "Loss")</f>
        <v>Profitable</v>
      </c>
      <c r="AA579" t="str" cm="1">
        <f t="array" ref="AA579">_xlfn.IFS(Sales_Data_1[[#This Row],[Sales]]&gt;= 1000, "High Value", Sales_Data_1[[#This Row],[Sales]]&gt;= 300, "Mid Value", TRUE, "Low Value")</f>
        <v>High Value</v>
      </c>
    </row>
    <row r="580" spans="1:27" x14ac:dyDescent="0.3">
      <c r="A580" t="s">
        <v>2292</v>
      </c>
      <c r="B580" s="1">
        <v>45178</v>
      </c>
      <c r="C580" t="s">
        <v>30</v>
      </c>
      <c r="D580" t="s">
        <v>21</v>
      </c>
      <c r="E580" t="s">
        <v>42</v>
      </c>
      <c r="F580" t="s">
        <v>43</v>
      </c>
      <c r="G580" t="s">
        <v>24</v>
      </c>
      <c r="H580" t="s">
        <v>186</v>
      </c>
      <c r="I580" t="s">
        <v>574</v>
      </c>
      <c r="J580">
        <v>3</v>
      </c>
      <c r="K580">
        <v>10153</v>
      </c>
      <c r="L580">
        <v>0.04</v>
      </c>
      <c r="M580">
        <v>9746.8799999999992</v>
      </c>
      <c r="N580">
        <v>29240.639999999999</v>
      </c>
      <c r="O580">
        <v>0.25</v>
      </c>
      <c r="P580">
        <v>7310.16</v>
      </c>
      <c r="Q580" t="s">
        <v>51</v>
      </c>
      <c r="R580" t="s">
        <v>48</v>
      </c>
      <c r="S580">
        <v>7</v>
      </c>
      <c r="T580">
        <f>YEAR(Sales_Data_1[[#This Row],[Order_Date]])</f>
        <v>2023</v>
      </c>
      <c r="U580" t="str">
        <f>TEXT(Sales_Data_1[[#This Row],[Order_Date]], "mmm")</f>
        <v>Sep</v>
      </c>
      <c r="V580">
        <f>MONTH(Sales_Data_1[[#This Row],[Order_Date]])</f>
        <v>9</v>
      </c>
      <c r="W580" t="str">
        <f>TEXT(Sales_Data_1[[#This Row],[Order_Date]], "yyyy-mm")</f>
        <v>2023-09</v>
      </c>
      <c r="X580">
        <f>Sales_Data_1[[#This Row],[Sales]]-Sales_Data_1[[#This Row],[Profit_Amount]]</f>
        <v>21930.48</v>
      </c>
      <c r="Y580" t="str" cm="1">
        <f t="array" ref="Y580">_xlfn.IFS(Sales_Data_1[[#This Row],[Delivery_Days]]&lt;=3, "Fast", Sales_Data_1[[#This Row],[Delivery_Days]]&lt;= 7, "Standard", TRUE, "Delayed")</f>
        <v>Standard</v>
      </c>
      <c r="Z580" t="str" cm="1">
        <f t="array" ref="Z580">_xlfn.IFS(Sales_Data_1[[#This Row],[Profit_Amount]]&gt; 0, "Profitable", Sales_Data_1[[#This Row],[Profit_Amount]] = 0, "Break-Even", TRUE, "Loss")</f>
        <v>Profitable</v>
      </c>
      <c r="AA580" t="str" cm="1">
        <f t="array" ref="AA580">_xlfn.IFS(Sales_Data_1[[#This Row],[Sales]]&gt;= 1000, "High Value", Sales_Data_1[[#This Row],[Sales]]&gt;= 300, "Mid Value", TRUE, "Low Value")</f>
        <v>High Value</v>
      </c>
    </row>
    <row r="581" spans="1:27" x14ac:dyDescent="0.3">
      <c r="A581" t="s">
        <v>2693</v>
      </c>
      <c r="B581" s="1">
        <v>45579</v>
      </c>
      <c r="C581" t="s">
        <v>30</v>
      </c>
      <c r="D581" t="s">
        <v>31</v>
      </c>
      <c r="E581" t="s">
        <v>42</v>
      </c>
      <c r="F581" t="s">
        <v>23</v>
      </c>
      <c r="G581" t="s">
        <v>44</v>
      </c>
      <c r="H581" t="s">
        <v>45</v>
      </c>
      <c r="I581" t="s">
        <v>1364</v>
      </c>
      <c r="J581">
        <v>7</v>
      </c>
      <c r="K581">
        <v>3791</v>
      </c>
      <c r="L581">
        <v>0.21</v>
      </c>
      <c r="M581">
        <v>2994.89</v>
      </c>
      <c r="N581">
        <v>20964.23</v>
      </c>
      <c r="O581">
        <v>0.35</v>
      </c>
      <c r="P581">
        <v>7337.48</v>
      </c>
      <c r="Q581" t="s">
        <v>51</v>
      </c>
      <c r="R581" t="s">
        <v>48</v>
      </c>
      <c r="S581">
        <v>2</v>
      </c>
      <c r="T581">
        <f>YEAR(Sales_Data_1[[#This Row],[Order_Date]])</f>
        <v>2024</v>
      </c>
      <c r="U581" t="str">
        <f>TEXT(Sales_Data_1[[#This Row],[Order_Date]], "mmm")</f>
        <v>Oct</v>
      </c>
      <c r="V581">
        <f>MONTH(Sales_Data_1[[#This Row],[Order_Date]])</f>
        <v>10</v>
      </c>
      <c r="W581" t="str">
        <f>TEXT(Sales_Data_1[[#This Row],[Order_Date]], "yyyy-mm")</f>
        <v>2024-10</v>
      </c>
      <c r="X581">
        <f>Sales_Data_1[[#This Row],[Sales]]-Sales_Data_1[[#This Row],[Profit_Amount]]</f>
        <v>13626.75</v>
      </c>
      <c r="Y581" t="str" cm="1">
        <f t="array" ref="Y581">_xlfn.IFS(Sales_Data_1[[#This Row],[Delivery_Days]]&lt;=3, "Fast", Sales_Data_1[[#This Row],[Delivery_Days]]&lt;= 7, "Standard", TRUE, "Delayed")</f>
        <v>Fast</v>
      </c>
      <c r="Z581" t="str" cm="1">
        <f t="array" ref="Z581">_xlfn.IFS(Sales_Data_1[[#This Row],[Profit_Amount]]&gt; 0, "Profitable", Sales_Data_1[[#This Row],[Profit_Amount]] = 0, "Break-Even", TRUE, "Loss")</f>
        <v>Profitable</v>
      </c>
      <c r="AA581" t="str" cm="1">
        <f t="array" ref="AA581">_xlfn.IFS(Sales_Data_1[[#This Row],[Sales]]&gt;= 1000, "High Value", Sales_Data_1[[#This Row],[Sales]]&gt;= 300, "Mid Value", TRUE, "Low Value")</f>
        <v>High Value</v>
      </c>
    </row>
    <row r="582" spans="1:27" x14ac:dyDescent="0.3">
      <c r="A582" t="s">
        <v>3009</v>
      </c>
      <c r="B582" s="1">
        <v>45895</v>
      </c>
      <c r="C582" t="s">
        <v>20</v>
      </c>
      <c r="D582" t="s">
        <v>41</v>
      </c>
      <c r="E582" t="s">
        <v>2040</v>
      </c>
      <c r="F582" t="s">
        <v>23</v>
      </c>
      <c r="G582" t="s">
        <v>24</v>
      </c>
      <c r="H582" t="s">
        <v>74</v>
      </c>
      <c r="I582" t="s">
        <v>1977</v>
      </c>
      <c r="J582">
        <v>4</v>
      </c>
      <c r="K582">
        <v>7823</v>
      </c>
      <c r="L582">
        <v>0.06</v>
      </c>
      <c r="M582">
        <v>7353.62</v>
      </c>
      <c r="N582">
        <v>29414.48</v>
      </c>
      <c r="O582">
        <v>0.25</v>
      </c>
      <c r="P582">
        <v>7353.62</v>
      </c>
      <c r="Q582" t="s">
        <v>37</v>
      </c>
      <c r="R582" t="s">
        <v>48</v>
      </c>
      <c r="S582">
        <v>6</v>
      </c>
      <c r="T582">
        <f>YEAR(Sales_Data_1[[#This Row],[Order_Date]])</f>
        <v>2025</v>
      </c>
      <c r="U582" t="str">
        <f>TEXT(Sales_Data_1[[#This Row],[Order_Date]], "mmm")</f>
        <v>Aug</v>
      </c>
      <c r="V582">
        <f>MONTH(Sales_Data_1[[#This Row],[Order_Date]])</f>
        <v>8</v>
      </c>
      <c r="W582" t="str">
        <f>TEXT(Sales_Data_1[[#This Row],[Order_Date]], "yyyy-mm")</f>
        <v>2025-08</v>
      </c>
      <c r="X582">
        <f>Sales_Data_1[[#This Row],[Sales]]-Sales_Data_1[[#This Row],[Profit_Amount]]</f>
        <v>22060.86</v>
      </c>
      <c r="Y582" t="str" cm="1">
        <f t="array" ref="Y582">_xlfn.IFS(Sales_Data_1[[#This Row],[Delivery_Days]]&lt;=3, "Fast", Sales_Data_1[[#This Row],[Delivery_Days]]&lt;= 7, "Standard", TRUE, "Delayed")</f>
        <v>Standard</v>
      </c>
      <c r="Z582" t="str" cm="1">
        <f t="array" ref="Z582">_xlfn.IFS(Sales_Data_1[[#This Row],[Profit_Amount]]&gt; 0, "Profitable", Sales_Data_1[[#This Row],[Profit_Amount]] = 0, "Break-Even", TRUE, "Loss")</f>
        <v>Profitable</v>
      </c>
      <c r="AA582" t="str" cm="1">
        <f t="array" ref="AA582">_xlfn.IFS(Sales_Data_1[[#This Row],[Sales]]&gt;= 1000, "High Value", Sales_Data_1[[#This Row],[Sales]]&gt;= 300, "Mid Value", TRUE, "Low Value")</f>
        <v>High Value</v>
      </c>
    </row>
    <row r="583" spans="1:27" x14ac:dyDescent="0.3">
      <c r="A583" t="s">
        <v>2104</v>
      </c>
      <c r="B583" s="1">
        <v>44990</v>
      </c>
      <c r="C583" t="s">
        <v>63</v>
      </c>
      <c r="D583" t="s">
        <v>31</v>
      </c>
      <c r="E583" t="s">
        <v>67</v>
      </c>
      <c r="F583" t="s">
        <v>43</v>
      </c>
      <c r="G583" t="s">
        <v>57</v>
      </c>
      <c r="H583" t="s">
        <v>81</v>
      </c>
      <c r="I583" t="s">
        <v>197</v>
      </c>
      <c r="J583">
        <v>3</v>
      </c>
      <c r="K583">
        <v>14803</v>
      </c>
      <c r="L583">
        <v>0.17</v>
      </c>
      <c r="M583">
        <v>12286.49</v>
      </c>
      <c r="N583">
        <v>36859.47</v>
      </c>
      <c r="O583">
        <v>0.2</v>
      </c>
      <c r="P583">
        <v>7371.89</v>
      </c>
      <c r="Q583" t="s">
        <v>51</v>
      </c>
      <c r="R583" t="s">
        <v>48</v>
      </c>
      <c r="S583">
        <v>6</v>
      </c>
      <c r="T583">
        <f>YEAR(Sales_Data_1[[#This Row],[Order_Date]])</f>
        <v>2023</v>
      </c>
      <c r="U583" t="str">
        <f>TEXT(Sales_Data_1[[#This Row],[Order_Date]], "mmm")</f>
        <v>Mar</v>
      </c>
      <c r="V583">
        <f>MONTH(Sales_Data_1[[#This Row],[Order_Date]])</f>
        <v>3</v>
      </c>
      <c r="W583" t="str">
        <f>TEXT(Sales_Data_1[[#This Row],[Order_Date]], "yyyy-mm")</f>
        <v>2023-03</v>
      </c>
      <c r="X583">
        <f>Sales_Data_1[[#This Row],[Sales]]-Sales_Data_1[[#This Row],[Profit_Amount]]</f>
        <v>29487.58</v>
      </c>
      <c r="Y583" t="str" cm="1">
        <f t="array" ref="Y583">_xlfn.IFS(Sales_Data_1[[#This Row],[Delivery_Days]]&lt;=3, "Fast", Sales_Data_1[[#This Row],[Delivery_Days]]&lt;= 7, "Standard", TRUE, "Delayed")</f>
        <v>Standard</v>
      </c>
      <c r="Z583" t="str" cm="1">
        <f t="array" ref="Z583">_xlfn.IFS(Sales_Data_1[[#This Row],[Profit_Amount]]&gt; 0, "Profitable", Sales_Data_1[[#This Row],[Profit_Amount]] = 0, "Break-Even", TRUE, "Loss")</f>
        <v>Profitable</v>
      </c>
      <c r="AA583" t="str" cm="1">
        <f t="array" ref="AA583">_xlfn.IFS(Sales_Data_1[[#This Row],[Sales]]&gt;= 1000, "High Value", Sales_Data_1[[#This Row],[Sales]]&gt;= 300, "Mid Value", TRUE, "Low Value")</f>
        <v>High Value</v>
      </c>
    </row>
    <row r="584" spans="1:27" x14ac:dyDescent="0.3">
      <c r="A584" t="s">
        <v>2835</v>
      </c>
      <c r="B584" s="1">
        <v>45721</v>
      </c>
      <c r="C584" t="s">
        <v>96</v>
      </c>
      <c r="D584" t="s">
        <v>21</v>
      </c>
      <c r="E584" t="s">
        <v>2040</v>
      </c>
      <c r="F584" t="s">
        <v>43</v>
      </c>
      <c r="G584" t="s">
        <v>24</v>
      </c>
      <c r="H584" t="s">
        <v>74</v>
      </c>
      <c r="I584" t="s">
        <v>1641</v>
      </c>
      <c r="J584">
        <v>3</v>
      </c>
      <c r="K584">
        <v>12451</v>
      </c>
      <c r="L584">
        <v>0.21</v>
      </c>
      <c r="M584">
        <v>9836.2900000000009</v>
      </c>
      <c r="N584">
        <v>29508.87</v>
      </c>
      <c r="O584">
        <v>0.25</v>
      </c>
      <c r="P584">
        <v>7377.22</v>
      </c>
      <c r="Q584" t="s">
        <v>47</v>
      </c>
      <c r="R584" t="s">
        <v>48</v>
      </c>
      <c r="S584">
        <v>5</v>
      </c>
      <c r="T584">
        <f>YEAR(Sales_Data_1[[#This Row],[Order_Date]])</f>
        <v>2025</v>
      </c>
      <c r="U584" t="str">
        <f>TEXT(Sales_Data_1[[#This Row],[Order_Date]], "mmm")</f>
        <v>Mar</v>
      </c>
      <c r="V584">
        <f>MONTH(Sales_Data_1[[#This Row],[Order_Date]])</f>
        <v>3</v>
      </c>
      <c r="W584" t="str">
        <f>TEXT(Sales_Data_1[[#This Row],[Order_Date]], "yyyy-mm")</f>
        <v>2025-03</v>
      </c>
      <c r="X584">
        <f>Sales_Data_1[[#This Row],[Sales]]-Sales_Data_1[[#This Row],[Profit_Amount]]</f>
        <v>22131.649999999998</v>
      </c>
      <c r="Y584" t="str" cm="1">
        <f t="array" ref="Y584">_xlfn.IFS(Sales_Data_1[[#This Row],[Delivery_Days]]&lt;=3, "Fast", Sales_Data_1[[#This Row],[Delivery_Days]]&lt;= 7, "Standard", TRUE, "Delayed")</f>
        <v>Standard</v>
      </c>
      <c r="Z584" t="str" cm="1">
        <f t="array" ref="Z584">_xlfn.IFS(Sales_Data_1[[#This Row],[Profit_Amount]]&gt; 0, "Profitable", Sales_Data_1[[#This Row],[Profit_Amount]] = 0, "Break-Even", TRUE, "Loss")</f>
        <v>Profitable</v>
      </c>
      <c r="AA584" t="str" cm="1">
        <f t="array" ref="AA584">_xlfn.IFS(Sales_Data_1[[#This Row],[Sales]]&gt;= 1000, "High Value", Sales_Data_1[[#This Row],[Sales]]&gt;= 300, "Mid Value", TRUE, "Low Value")</f>
        <v>High Value</v>
      </c>
    </row>
    <row r="585" spans="1:27" x14ac:dyDescent="0.3">
      <c r="A585" t="s">
        <v>2610</v>
      </c>
      <c r="B585" s="1">
        <v>45496</v>
      </c>
      <c r="C585" t="s">
        <v>30</v>
      </c>
      <c r="D585" t="s">
        <v>56</v>
      </c>
      <c r="E585" t="s">
        <v>67</v>
      </c>
      <c r="F585" t="s">
        <v>33</v>
      </c>
      <c r="G585" t="s">
        <v>44</v>
      </c>
      <c r="H585" t="s">
        <v>64</v>
      </c>
      <c r="I585" t="s">
        <v>1202</v>
      </c>
      <c r="J585">
        <v>7</v>
      </c>
      <c r="K585">
        <v>3208</v>
      </c>
      <c r="L585">
        <v>0.06</v>
      </c>
      <c r="M585">
        <v>3015.52</v>
      </c>
      <c r="N585">
        <v>21108.639999999999</v>
      </c>
      <c r="O585">
        <v>0.35</v>
      </c>
      <c r="P585">
        <v>7388.02</v>
      </c>
      <c r="Q585" t="s">
        <v>27</v>
      </c>
      <c r="R585" t="s">
        <v>48</v>
      </c>
      <c r="S585">
        <v>8</v>
      </c>
      <c r="T585">
        <f>YEAR(Sales_Data_1[[#This Row],[Order_Date]])</f>
        <v>2024</v>
      </c>
      <c r="U585" t="str">
        <f>TEXT(Sales_Data_1[[#This Row],[Order_Date]], "mmm")</f>
        <v>Jul</v>
      </c>
      <c r="V585">
        <f>MONTH(Sales_Data_1[[#This Row],[Order_Date]])</f>
        <v>7</v>
      </c>
      <c r="W585" t="str">
        <f>TEXT(Sales_Data_1[[#This Row],[Order_Date]], "yyyy-mm")</f>
        <v>2024-07</v>
      </c>
      <c r="X585">
        <f>Sales_Data_1[[#This Row],[Sales]]-Sales_Data_1[[#This Row],[Profit_Amount]]</f>
        <v>13720.619999999999</v>
      </c>
      <c r="Y585" t="str" cm="1">
        <f t="array" ref="Y585">_xlfn.IFS(Sales_Data_1[[#This Row],[Delivery_Days]]&lt;=3, "Fast", Sales_Data_1[[#This Row],[Delivery_Days]]&lt;= 7, "Standard", TRUE, "Delayed")</f>
        <v>Delayed</v>
      </c>
      <c r="Z585" t="str" cm="1">
        <f t="array" ref="Z585">_xlfn.IFS(Sales_Data_1[[#This Row],[Profit_Amount]]&gt; 0, "Profitable", Sales_Data_1[[#This Row],[Profit_Amount]] = 0, "Break-Even", TRUE, "Loss")</f>
        <v>Profitable</v>
      </c>
      <c r="AA585" t="str" cm="1">
        <f t="array" ref="AA585">_xlfn.IFS(Sales_Data_1[[#This Row],[Sales]]&gt;= 1000, "High Value", Sales_Data_1[[#This Row],[Sales]]&gt;= 300, "Mid Value", TRUE, "Low Value")</f>
        <v>High Value</v>
      </c>
    </row>
    <row r="586" spans="1:27" x14ac:dyDescent="0.3">
      <c r="A586" t="s">
        <v>2557</v>
      </c>
      <c r="B586" s="1">
        <v>45443</v>
      </c>
      <c r="C586" t="s">
        <v>63</v>
      </c>
      <c r="D586" t="s">
        <v>41</v>
      </c>
      <c r="E586" t="s">
        <v>2040</v>
      </c>
      <c r="F586" t="s">
        <v>43</v>
      </c>
      <c r="G586" t="s">
        <v>57</v>
      </c>
      <c r="H586" t="s">
        <v>81</v>
      </c>
      <c r="I586" t="s">
        <v>1097</v>
      </c>
      <c r="J586">
        <v>6</v>
      </c>
      <c r="K586">
        <v>7179</v>
      </c>
      <c r="L586">
        <v>0.14000000000000001</v>
      </c>
      <c r="M586">
        <v>6173.94</v>
      </c>
      <c r="N586">
        <v>37043.64</v>
      </c>
      <c r="O586">
        <v>0.2</v>
      </c>
      <c r="P586">
        <v>7408.73</v>
      </c>
      <c r="Q586" t="s">
        <v>37</v>
      </c>
      <c r="R586" t="s">
        <v>38</v>
      </c>
      <c r="S586">
        <v>1</v>
      </c>
      <c r="T586">
        <f>YEAR(Sales_Data_1[[#This Row],[Order_Date]])</f>
        <v>2024</v>
      </c>
      <c r="U586" t="str">
        <f>TEXT(Sales_Data_1[[#This Row],[Order_Date]], "mmm")</f>
        <v>May</v>
      </c>
      <c r="V586">
        <f>MONTH(Sales_Data_1[[#This Row],[Order_Date]])</f>
        <v>5</v>
      </c>
      <c r="W586" t="str">
        <f>TEXT(Sales_Data_1[[#This Row],[Order_Date]], "yyyy-mm")</f>
        <v>2024-05</v>
      </c>
      <c r="X586">
        <f>Sales_Data_1[[#This Row],[Sales]]-Sales_Data_1[[#This Row],[Profit_Amount]]</f>
        <v>29634.91</v>
      </c>
      <c r="Y586" t="str" cm="1">
        <f t="array" ref="Y586">_xlfn.IFS(Sales_Data_1[[#This Row],[Delivery_Days]]&lt;=3, "Fast", Sales_Data_1[[#This Row],[Delivery_Days]]&lt;= 7, "Standard", TRUE, "Delayed")</f>
        <v>Fast</v>
      </c>
      <c r="Z586" t="str" cm="1">
        <f t="array" ref="Z586">_xlfn.IFS(Sales_Data_1[[#This Row],[Profit_Amount]]&gt; 0, "Profitable", Sales_Data_1[[#This Row],[Profit_Amount]] = 0, "Break-Even", TRUE, "Loss")</f>
        <v>Profitable</v>
      </c>
      <c r="AA586" t="str" cm="1">
        <f t="array" ref="AA586">_xlfn.IFS(Sales_Data_1[[#This Row],[Sales]]&gt;= 1000, "High Value", Sales_Data_1[[#This Row],[Sales]]&gt;= 300, "Mid Value", TRUE, "Low Value")</f>
        <v>High Value</v>
      </c>
    </row>
    <row r="587" spans="1:27" x14ac:dyDescent="0.3">
      <c r="A587" t="s">
        <v>2171</v>
      </c>
      <c r="B587" s="1">
        <v>45057</v>
      </c>
      <c r="C587" t="s">
        <v>40</v>
      </c>
      <c r="D587" t="s">
        <v>41</v>
      </c>
      <c r="E587" t="s">
        <v>2040</v>
      </c>
      <c r="F587" t="s">
        <v>33</v>
      </c>
      <c r="G587" t="s">
        <v>44</v>
      </c>
      <c r="H587" t="s">
        <v>138</v>
      </c>
      <c r="I587" t="s">
        <v>332</v>
      </c>
      <c r="J587">
        <v>9</v>
      </c>
      <c r="K587">
        <v>2860</v>
      </c>
      <c r="L587">
        <v>0.17</v>
      </c>
      <c r="M587">
        <v>2373.8000000000002</v>
      </c>
      <c r="N587">
        <v>21364.2</v>
      </c>
      <c r="O587">
        <v>0.35</v>
      </c>
      <c r="P587">
        <v>7477.47</v>
      </c>
      <c r="Q587" t="s">
        <v>37</v>
      </c>
      <c r="R587" t="s">
        <v>48</v>
      </c>
      <c r="S587">
        <v>9</v>
      </c>
      <c r="T587">
        <f>YEAR(Sales_Data_1[[#This Row],[Order_Date]])</f>
        <v>2023</v>
      </c>
      <c r="U587" t="str">
        <f>TEXT(Sales_Data_1[[#This Row],[Order_Date]], "mmm")</f>
        <v>May</v>
      </c>
      <c r="V587">
        <f>MONTH(Sales_Data_1[[#This Row],[Order_Date]])</f>
        <v>5</v>
      </c>
      <c r="W587" t="str">
        <f>TEXT(Sales_Data_1[[#This Row],[Order_Date]], "yyyy-mm")</f>
        <v>2023-05</v>
      </c>
      <c r="X587">
        <f>Sales_Data_1[[#This Row],[Sales]]-Sales_Data_1[[#This Row],[Profit_Amount]]</f>
        <v>13886.73</v>
      </c>
      <c r="Y587" t="str" cm="1">
        <f t="array" ref="Y587">_xlfn.IFS(Sales_Data_1[[#This Row],[Delivery_Days]]&lt;=3, "Fast", Sales_Data_1[[#This Row],[Delivery_Days]]&lt;= 7, "Standard", TRUE, "Delayed")</f>
        <v>Delayed</v>
      </c>
      <c r="Z587" t="str" cm="1">
        <f t="array" ref="Z587">_xlfn.IFS(Sales_Data_1[[#This Row],[Profit_Amount]]&gt; 0, "Profitable", Sales_Data_1[[#This Row],[Profit_Amount]] = 0, "Break-Even", TRUE, "Loss")</f>
        <v>Profitable</v>
      </c>
      <c r="AA587" t="str" cm="1">
        <f t="array" ref="AA587">_xlfn.IFS(Sales_Data_1[[#This Row],[Sales]]&gt;= 1000, "High Value", Sales_Data_1[[#This Row],[Sales]]&gt;= 300, "Mid Value", TRUE, "Low Value")</f>
        <v>High Value</v>
      </c>
    </row>
    <row r="588" spans="1:27" x14ac:dyDescent="0.3">
      <c r="A588" t="s">
        <v>2924</v>
      </c>
      <c r="B588" s="1">
        <v>45810</v>
      </c>
      <c r="C588" t="s">
        <v>96</v>
      </c>
      <c r="D588" t="s">
        <v>41</v>
      </c>
      <c r="E588" t="s">
        <v>2042</v>
      </c>
      <c r="F588" t="s">
        <v>43</v>
      </c>
      <c r="G588" t="s">
        <v>44</v>
      </c>
      <c r="H588" t="s">
        <v>138</v>
      </c>
      <c r="I588" t="s">
        <v>1817</v>
      </c>
      <c r="J588">
        <v>7</v>
      </c>
      <c r="K588">
        <v>3753</v>
      </c>
      <c r="L588">
        <v>0.18</v>
      </c>
      <c r="M588">
        <v>3077.46</v>
      </c>
      <c r="N588">
        <v>21542.22</v>
      </c>
      <c r="O588">
        <v>0.35</v>
      </c>
      <c r="P588">
        <v>7539.78</v>
      </c>
      <c r="Q588" t="s">
        <v>27</v>
      </c>
      <c r="R588" t="s">
        <v>48</v>
      </c>
      <c r="S588">
        <v>3</v>
      </c>
      <c r="T588">
        <f>YEAR(Sales_Data_1[[#This Row],[Order_Date]])</f>
        <v>2025</v>
      </c>
      <c r="U588" t="str">
        <f>TEXT(Sales_Data_1[[#This Row],[Order_Date]], "mmm")</f>
        <v>Jun</v>
      </c>
      <c r="V588">
        <f>MONTH(Sales_Data_1[[#This Row],[Order_Date]])</f>
        <v>6</v>
      </c>
      <c r="W588" t="str">
        <f>TEXT(Sales_Data_1[[#This Row],[Order_Date]], "yyyy-mm")</f>
        <v>2025-06</v>
      </c>
      <c r="X588">
        <f>Sales_Data_1[[#This Row],[Sales]]-Sales_Data_1[[#This Row],[Profit_Amount]]</f>
        <v>14002.440000000002</v>
      </c>
      <c r="Y588" t="str" cm="1">
        <f t="array" ref="Y588">_xlfn.IFS(Sales_Data_1[[#This Row],[Delivery_Days]]&lt;=3, "Fast", Sales_Data_1[[#This Row],[Delivery_Days]]&lt;= 7, "Standard", TRUE, "Delayed")</f>
        <v>Fast</v>
      </c>
      <c r="Z588" t="str" cm="1">
        <f t="array" ref="Z588">_xlfn.IFS(Sales_Data_1[[#This Row],[Profit_Amount]]&gt; 0, "Profitable", Sales_Data_1[[#This Row],[Profit_Amount]] = 0, "Break-Even", TRUE, "Loss")</f>
        <v>Profitable</v>
      </c>
      <c r="AA588" t="str" cm="1">
        <f t="array" ref="AA588">_xlfn.IFS(Sales_Data_1[[#This Row],[Sales]]&gt;= 1000, "High Value", Sales_Data_1[[#This Row],[Sales]]&gt;= 300, "Mid Value", TRUE, "Low Value")</f>
        <v>High Value</v>
      </c>
    </row>
    <row r="589" spans="1:27" x14ac:dyDescent="0.3">
      <c r="A589" t="s">
        <v>2917</v>
      </c>
      <c r="B589" s="1">
        <v>45803</v>
      </c>
      <c r="C589" t="s">
        <v>20</v>
      </c>
      <c r="D589" t="s">
        <v>21</v>
      </c>
      <c r="E589" t="s">
        <v>2042</v>
      </c>
      <c r="F589" t="s">
        <v>23</v>
      </c>
      <c r="G589" t="s">
        <v>92</v>
      </c>
      <c r="H589" t="s">
        <v>93</v>
      </c>
      <c r="I589" t="s">
        <v>1803</v>
      </c>
      <c r="J589">
        <v>5</v>
      </c>
      <c r="K589">
        <v>10162</v>
      </c>
      <c r="L589">
        <v>0.01</v>
      </c>
      <c r="M589">
        <v>10060.379999999999</v>
      </c>
      <c r="N589">
        <v>50301.9</v>
      </c>
      <c r="O589">
        <v>0.15</v>
      </c>
      <c r="P589">
        <v>7545.28</v>
      </c>
      <c r="Q589" t="s">
        <v>37</v>
      </c>
      <c r="R589" t="s">
        <v>48</v>
      </c>
      <c r="S589">
        <v>2</v>
      </c>
      <c r="T589">
        <f>YEAR(Sales_Data_1[[#This Row],[Order_Date]])</f>
        <v>2025</v>
      </c>
      <c r="U589" t="str">
        <f>TEXT(Sales_Data_1[[#This Row],[Order_Date]], "mmm")</f>
        <v>May</v>
      </c>
      <c r="V589">
        <f>MONTH(Sales_Data_1[[#This Row],[Order_Date]])</f>
        <v>5</v>
      </c>
      <c r="W589" t="str">
        <f>TEXT(Sales_Data_1[[#This Row],[Order_Date]], "yyyy-mm")</f>
        <v>2025-05</v>
      </c>
      <c r="X589">
        <f>Sales_Data_1[[#This Row],[Sales]]-Sales_Data_1[[#This Row],[Profit_Amount]]</f>
        <v>42756.62</v>
      </c>
      <c r="Y589" t="str" cm="1">
        <f t="array" ref="Y589">_xlfn.IFS(Sales_Data_1[[#This Row],[Delivery_Days]]&lt;=3, "Fast", Sales_Data_1[[#This Row],[Delivery_Days]]&lt;= 7, "Standard", TRUE, "Delayed")</f>
        <v>Fast</v>
      </c>
      <c r="Z589" t="str" cm="1">
        <f t="array" ref="Z589">_xlfn.IFS(Sales_Data_1[[#This Row],[Profit_Amount]]&gt; 0, "Profitable", Sales_Data_1[[#This Row],[Profit_Amount]] = 0, "Break-Even", TRUE, "Loss")</f>
        <v>Profitable</v>
      </c>
      <c r="AA589" t="str" cm="1">
        <f t="array" ref="AA589">_xlfn.IFS(Sales_Data_1[[#This Row],[Sales]]&gt;= 1000, "High Value", Sales_Data_1[[#This Row],[Sales]]&gt;= 300, "Mid Value", TRUE, "Low Value")</f>
        <v>High Value</v>
      </c>
    </row>
    <row r="590" spans="1:27" x14ac:dyDescent="0.3">
      <c r="A590" t="s">
        <v>2079</v>
      </c>
      <c r="B590" s="1">
        <v>44965</v>
      </c>
      <c r="C590" t="s">
        <v>55</v>
      </c>
      <c r="D590" t="s">
        <v>31</v>
      </c>
      <c r="E590" t="s">
        <v>2040</v>
      </c>
      <c r="F590" t="s">
        <v>68</v>
      </c>
      <c r="G590" t="s">
        <v>92</v>
      </c>
      <c r="H590" t="s">
        <v>109</v>
      </c>
      <c r="I590" t="s">
        <v>144</v>
      </c>
      <c r="J590">
        <v>2</v>
      </c>
      <c r="K590">
        <v>30049</v>
      </c>
      <c r="L590">
        <v>0.16</v>
      </c>
      <c r="M590">
        <v>25241.16</v>
      </c>
      <c r="N590">
        <v>50482.32</v>
      </c>
      <c r="O590">
        <v>0.15</v>
      </c>
      <c r="P590">
        <v>7572.35</v>
      </c>
      <c r="Q590" t="s">
        <v>51</v>
      </c>
      <c r="R590" t="s">
        <v>48</v>
      </c>
      <c r="S590">
        <v>3</v>
      </c>
      <c r="T590">
        <f>YEAR(Sales_Data_1[[#This Row],[Order_Date]])</f>
        <v>2023</v>
      </c>
      <c r="U590" t="str">
        <f>TEXT(Sales_Data_1[[#This Row],[Order_Date]], "mmm")</f>
        <v>Feb</v>
      </c>
      <c r="V590">
        <f>MONTH(Sales_Data_1[[#This Row],[Order_Date]])</f>
        <v>2</v>
      </c>
      <c r="W590" t="str">
        <f>TEXT(Sales_Data_1[[#This Row],[Order_Date]], "yyyy-mm")</f>
        <v>2023-02</v>
      </c>
      <c r="X590">
        <f>Sales_Data_1[[#This Row],[Sales]]-Sales_Data_1[[#This Row],[Profit_Amount]]</f>
        <v>42909.97</v>
      </c>
      <c r="Y590" t="str" cm="1">
        <f t="array" ref="Y590">_xlfn.IFS(Sales_Data_1[[#This Row],[Delivery_Days]]&lt;=3, "Fast", Sales_Data_1[[#This Row],[Delivery_Days]]&lt;= 7, "Standard", TRUE, "Delayed")</f>
        <v>Fast</v>
      </c>
      <c r="Z590" t="str" cm="1">
        <f t="array" ref="Z590">_xlfn.IFS(Sales_Data_1[[#This Row],[Profit_Amount]]&gt; 0, "Profitable", Sales_Data_1[[#This Row],[Profit_Amount]] = 0, "Break-Even", TRUE, "Loss")</f>
        <v>Profitable</v>
      </c>
      <c r="AA590" t="str" cm="1">
        <f t="array" ref="AA590">_xlfn.IFS(Sales_Data_1[[#This Row],[Sales]]&gt;= 1000, "High Value", Sales_Data_1[[#This Row],[Sales]]&gt;= 300, "Mid Value", TRUE, "Low Value")</f>
        <v>High Value</v>
      </c>
    </row>
    <row r="591" spans="1:27" x14ac:dyDescent="0.3">
      <c r="A591" t="s">
        <v>2460</v>
      </c>
      <c r="B591" s="1">
        <v>45346</v>
      </c>
      <c r="C591" t="s">
        <v>30</v>
      </c>
      <c r="D591" t="s">
        <v>41</v>
      </c>
      <c r="E591" t="s">
        <v>2042</v>
      </c>
      <c r="F591" t="s">
        <v>43</v>
      </c>
      <c r="G591" t="s">
        <v>24</v>
      </c>
      <c r="H591" t="s">
        <v>121</v>
      </c>
      <c r="I591" t="s">
        <v>906</v>
      </c>
      <c r="J591">
        <v>7</v>
      </c>
      <c r="K591">
        <v>4374</v>
      </c>
      <c r="L591">
        <v>0.01</v>
      </c>
      <c r="M591">
        <v>4330.26</v>
      </c>
      <c r="N591">
        <v>30311.82</v>
      </c>
      <c r="O591">
        <v>0.25</v>
      </c>
      <c r="P591">
        <v>7577.96</v>
      </c>
      <c r="Q591" t="s">
        <v>27</v>
      </c>
      <c r="R591" t="s">
        <v>48</v>
      </c>
      <c r="S591">
        <v>7</v>
      </c>
      <c r="T591">
        <f>YEAR(Sales_Data_1[[#This Row],[Order_Date]])</f>
        <v>2024</v>
      </c>
      <c r="U591" t="str">
        <f>TEXT(Sales_Data_1[[#This Row],[Order_Date]], "mmm")</f>
        <v>Feb</v>
      </c>
      <c r="V591">
        <f>MONTH(Sales_Data_1[[#This Row],[Order_Date]])</f>
        <v>2</v>
      </c>
      <c r="W591" t="str">
        <f>TEXT(Sales_Data_1[[#This Row],[Order_Date]], "yyyy-mm")</f>
        <v>2024-02</v>
      </c>
      <c r="X591">
        <f>Sales_Data_1[[#This Row],[Sales]]-Sales_Data_1[[#This Row],[Profit_Amount]]</f>
        <v>22733.86</v>
      </c>
      <c r="Y591" t="str" cm="1">
        <f t="array" ref="Y591">_xlfn.IFS(Sales_Data_1[[#This Row],[Delivery_Days]]&lt;=3, "Fast", Sales_Data_1[[#This Row],[Delivery_Days]]&lt;= 7, "Standard", TRUE, "Delayed")</f>
        <v>Standard</v>
      </c>
      <c r="Z591" t="str" cm="1">
        <f t="array" ref="Z591">_xlfn.IFS(Sales_Data_1[[#This Row],[Profit_Amount]]&gt; 0, "Profitable", Sales_Data_1[[#This Row],[Profit_Amount]] = 0, "Break-Even", TRUE, "Loss")</f>
        <v>Profitable</v>
      </c>
      <c r="AA591" t="str" cm="1">
        <f t="array" ref="AA591">_xlfn.IFS(Sales_Data_1[[#This Row],[Sales]]&gt;= 1000, "High Value", Sales_Data_1[[#This Row],[Sales]]&gt;= 300, "Mid Value", TRUE, "Low Value")</f>
        <v>High Value</v>
      </c>
    </row>
    <row r="592" spans="1:27" x14ac:dyDescent="0.3">
      <c r="A592" t="s">
        <v>2116</v>
      </c>
      <c r="B592" s="1">
        <v>45002</v>
      </c>
      <c r="C592" t="s">
        <v>20</v>
      </c>
      <c r="D592" t="s">
        <v>31</v>
      </c>
      <c r="E592" t="s">
        <v>2040</v>
      </c>
      <c r="F592" t="s">
        <v>97</v>
      </c>
      <c r="G592" t="s">
        <v>57</v>
      </c>
      <c r="H592" t="s">
        <v>58</v>
      </c>
      <c r="I592" t="s">
        <v>221</v>
      </c>
      <c r="J592">
        <v>3</v>
      </c>
      <c r="K592">
        <v>13171</v>
      </c>
      <c r="L592">
        <v>0.04</v>
      </c>
      <c r="M592">
        <v>12644.16</v>
      </c>
      <c r="N592">
        <v>37932.480000000003</v>
      </c>
      <c r="O592">
        <v>0.2</v>
      </c>
      <c r="P592">
        <v>7586.5</v>
      </c>
      <c r="Q592" t="s">
        <v>47</v>
      </c>
      <c r="R592" t="s">
        <v>48</v>
      </c>
      <c r="S592">
        <v>6</v>
      </c>
      <c r="T592">
        <f>YEAR(Sales_Data_1[[#This Row],[Order_Date]])</f>
        <v>2023</v>
      </c>
      <c r="U592" t="str">
        <f>TEXT(Sales_Data_1[[#This Row],[Order_Date]], "mmm")</f>
        <v>Mar</v>
      </c>
      <c r="V592">
        <f>MONTH(Sales_Data_1[[#This Row],[Order_Date]])</f>
        <v>3</v>
      </c>
      <c r="W592" t="str">
        <f>TEXT(Sales_Data_1[[#This Row],[Order_Date]], "yyyy-mm")</f>
        <v>2023-03</v>
      </c>
      <c r="X592">
        <f>Sales_Data_1[[#This Row],[Sales]]-Sales_Data_1[[#This Row],[Profit_Amount]]</f>
        <v>30345.980000000003</v>
      </c>
      <c r="Y592" t="str" cm="1">
        <f t="array" ref="Y592">_xlfn.IFS(Sales_Data_1[[#This Row],[Delivery_Days]]&lt;=3, "Fast", Sales_Data_1[[#This Row],[Delivery_Days]]&lt;= 7, "Standard", TRUE, "Delayed")</f>
        <v>Standard</v>
      </c>
      <c r="Z592" t="str" cm="1">
        <f t="array" ref="Z592">_xlfn.IFS(Sales_Data_1[[#This Row],[Profit_Amount]]&gt; 0, "Profitable", Sales_Data_1[[#This Row],[Profit_Amount]] = 0, "Break-Even", TRUE, "Loss")</f>
        <v>Profitable</v>
      </c>
      <c r="AA592" t="str" cm="1">
        <f t="array" ref="AA592">_xlfn.IFS(Sales_Data_1[[#This Row],[Sales]]&gt;= 1000, "High Value", Sales_Data_1[[#This Row],[Sales]]&gt;= 300, "Mid Value", TRUE, "Low Value")</f>
        <v>High Value</v>
      </c>
    </row>
    <row r="593" spans="1:27" x14ac:dyDescent="0.3">
      <c r="A593" t="s">
        <v>2585</v>
      </c>
      <c r="B593" s="1">
        <v>45471</v>
      </c>
      <c r="C593" t="s">
        <v>96</v>
      </c>
      <c r="D593" t="s">
        <v>56</v>
      </c>
      <c r="E593" t="s">
        <v>67</v>
      </c>
      <c r="F593" t="s">
        <v>43</v>
      </c>
      <c r="G593" t="s">
        <v>92</v>
      </c>
      <c r="H593" t="s">
        <v>243</v>
      </c>
      <c r="I593" t="s">
        <v>1152</v>
      </c>
      <c r="J593">
        <v>1</v>
      </c>
      <c r="K593">
        <v>51779</v>
      </c>
      <c r="L593">
        <v>0.02</v>
      </c>
      <c r="M593">
        <v>50743.42</v>
      </c>
      <c r="N593">
        <v>50743.42</v>
      </c>
      <c r="O593">
        <v>0.15</v>
      </c>
      <c r="P593">
        <v>7611.51</v>
      </c>
      <c r="Q593" t="s">
        <v>47</v>
      </c>
      <c r="R593" t="s">
        <v>48</v>
      </c>
      <c r="S593">
        <v>7</v>
      </c>
      <c r="T593">
        <f>YEAR(Sales_Data_1[[#This Row],[Order_Date]])</f>
        <v>2024</v>
      </c>
      <c r="U593" t="str">
        <f>TEXT(Sales_Data_1[[#This Row],[Order_Date]], "mmm")</f>
        <v>Jun</v>
      </c>
      <c r="V593">
        <f>MONTH(Sales_Data_1[[#This Row],[Order_Date]])</f>
        <v>6</v>
      </c>
      <c r="W593" t="str">
        <f>TEXT(Sales_Data_1[[#This Row],[Order_Date]], "yyyy-mm")</f>
        <v>2024-06</v>
      </c>
      <c r="X593">
        <f>Sales_Data_1[[#This Row],[Sales]]-Sales_Data_1[[#This Row],[Profit_Amount]]</f>
        <v>43131.909999999996</v>
      </c>
      <c r="Y593" t="str" cm="1">
        <f t="array" ref="Y593">_xlfn.IFS(Sales_Data_1[[#This Row],[Delivery_Days]]&lt;=3, "Fast", Sales_Data_1[[#This Row],[Delivery_Days]]&lt;= 7, "Standard", TRUE, "Delayed")</f>
        <v>Standard</v>
      </c>
      <c r="Z593" t="str" cm="1">
        <f t="array" ref="Z593">_xlfn.IFS(Sales_Data_1[[#This Row],[Profit_Amount]]&gt; 0, "Profitable", Sales_Data_1[[#This Row],[Profit_Amount]] = 0, "Break-Even", TRUE, "Loss")</f>
        <v>Profitable</v>
      </c>
      <c r="AA593" t="str" cm="1">
        <f t="array" ref="AA593">_xlfn.IFS(Sales_Data_1[[#This Row],[Sales]]&gt;= 1000, "High Value", Sales_Data_1[[#This Row],[Sales]]&gt;= 300, "Mid Value", TRUE, "Low Value")</f>
        <v>High Value</v>
      </c>
    </row>
    <row r="594" spans="1:27" x14ac:dyDescent="0.3">
      <c r="A594" t="s">
        <v>2758</v>
      </c>
      <c r="B594" s="1">
        <v>45644</v>
      </c>
      <c r="C594" t="s">
        <v>40</v>
      </c>
      <c r="D594" t="s">
        <v>31</v>
      </c>
      <c r="E594" t="s">
        <v>2040</v>
      </c>
      <c r="F594" t="s">
        <v>33</v>
      </c>
      <c r="G594" t="s">
        <v>57</v>
      </c>
      <c r="H594" t="s">
        <v>81</v>
      </c>
      <c r="I594" t="s">
        <v>1491</v>
      </c>
      <c r="J594">
        <v>3</v>
      </c>
      <c r="K594">
        <v>15718</v>
      </c>
      <c r="L594">
        <v>0.19</v>
      </c>
      <c r="M594">
        <v>12731.58</v>
      </c>
      <c r="N594">
        <v>38194.74</v>
      </c>
      <c r="O594">
        <v>0.2</v>
      </c>
      <c r="P594">
        <v>7638.95</v>
      </c>
      <c r="Q594" t="s">
        <v>51</v>
      </c>
      <c r="R594" t="s">
        <v>48</v>
      </c>
      <c r="S594">
        <v>1</v>
      </c>
      <c r="T594">
        <f>YEAR(Sales_Data_1[[#This Row],[Order_Date]])</f>
        <v>2024</v>
      </c>
      <c r="U594" t="str">
        <f>TEXT(Sales_Data_1[[#This Row],[Order_Date]], "mmm")</f>
        <v>Dec</v>
      </c>
      <c r="V594">
        <f>MONTH(Sales_Data_1[[#This Row],[Order_Date]])</f>
        <v>12</v>
      </c>
      <c r="W594" t="str">
        <f>TEXT(Sales_Data_1[[#This Row],[Order_Date]], "yyyy-mm")</f>
        <v>2024-12</v>
      </c>
      <c r="X594">
        <f>Sales_Data_1[[#This Row],[Sales]]-Sales_Data_1[[#This Row],[Profit_Amount]]</f>
        <v>30555.789999999997</v>
      </c>
      <c r="Y594" t="str" cm="1">
        <f t="array" ref="Y594">_xlfn.IFS(Sales_Data_1[[#This Row],[Delivery_Days]]&lt;=3, "Fast", Sales_Data_1[[#This Row],[Delivery_Days]]&lt;= 7, "Standard", TRUE, "Delayed")</f>
        <v>Fast</v>
      </c>
      <c r="Z594" t="str" cm="1">
        <f t="array" ref="Z594">_xlfn.IFS(Sales_Data_1[[#This Row],[Profit_Amount]]&gt; 0, "Profitable", Sales_Data_1[[#This Row],[Profit_Amount]] = 0, "Break-Even", TRUE, "Loss")</f>
        <v>Profitable</v>
      </c>
      <c r="AA594" t="str" cm="1">
        <f t="array" ref="AA594">_xlfn.IFS(Sales_Data_1[[#This Row],[Sales]]&gt;= 1000, "High Value", Sales_Data_1[[#This Row],[Sales]]&gt;= 300, "Mid Value", TRUE, "Low Value")</f>
        <v>High Value</v>
      </c>
    </row>
    <row r="595" spans="1:27" x14ac:dyDescent="0.3">
      <c r="A595" t="s">
        <v>2805</v>
      </c>
      <c r="B595" s="1">
        <v>45691</v>
      </c>
      <c r="C595" t="s">
        <v>55</v>
      </c>
      <c r="D595" t="s">
        <v>41</v>
      </c>
      <c r="E595" t="s">
        <v>67</v>
      </c>
      <c r="F595" t="s">
        <v>97</v>
      </c>
      <c r="G595" t="s">
        <v>57</v>
      </c>
      <c r="H595" t="s">
        <v>183</v>
      </c>
      <c r="I595" t="s">
        <v>1583</v>
      </c>
      <c r="J595">
        <v>4</v>
      </c>
      <c r="K595">
        <v>11235</v>
      </c>
      <c r="L595">
        <v>0.15</v>
      </c>
      <c r="M595">
        <v>9549.75</v>
      </c>
      <c r="N595">
        <v>38199</v>
      </c>
      <c r="O595">
        <v>0.2</v>
      </c>
      <c r="P595">
        <v>7639.8</v>
      </c>
      <c r="Q595" t="s">
        <v>47</v>
      </c>
      <c r="R595" t="s">
        <v>48</v>
      </c>
      <c r="S595">
        <v>2</v>
      </c>
      <c r="T595">
        <f>YEAR(Sales_Data_1[[#This Row],[Order_Date]])</f>
        <v>2025</v>
      </c>
      <c r="U595" t="str">
        <f>TEXT(Sales_Data_1[[#This Row],[Order_Date]], "mmm")</f>
        <v>Feb</v>
      </c>
      <c r="V595">
        <f>MONTH(Sales_Data_1[[#This Row],[Order_Date]])</f>
        <v>2</v>
      </c>
      <c r="W595" t="str">
        <f>TEXT(Sales_Data_1[[#This Row],[Order_Date]], "yyyy-mm")</f>
        <v>2025-02</v>
      </c>
      <c r="X595">
        <f>Sales_Data_1[[#This Row],[Sales]]-Sales_Data_1[[#This Row],[Profit_Amount]]</f>
        <v>30559.200000000001</v>
      </c>
      <c r="Y595" t="str" cm="1">
        <f t="array" ref="Y595">_xlfn.IFS(Sales_Data_1[[#This Row],[Delivery_Days]]&lt;=3, "Fast", Sales_Data_1[[#This Row],[Delivery_Days]]&lt;= 7, "Standard", TRUE, "Delayed")</f>
        <v>Fast</v>
      </c>
      <c r="Z595" t="str" cm="1">
        <f t="array" ref="Z595">_xlfn.IFS(Sales_Data_1[[#This Row],[Profit_Amount]]&gt; 0, "Profitable", Sales_Data_1[[#This Row],[Profit_Amount]] = 0, "Break-Even", TRUE, "Loss")</f>
        <v>Profitable</v>
      </c>
      <c r="AA595" t="str" cm="1">
        <f t="array" ref="AA595">_xlfn.IFS(Sales_Data_1[[#This Row],[Sales]]&gt;= 1000, "High Value", Sales_Data_1[[#This Row],[Sales]]&gt;= 300, "Mid Value", TRUE, "Low Value")</f>
        <v>High Value</v>
      </c>
    </row>
    <row r="596" spans="1:27" x14ac:dyDescent="0.3">
      <c r="A596" t="s">
        <v>2760</v>
      </c>
      <c r="B596" s="1">
        <v>45646</v>
      </c>
      <c r="C596" t="s">
        <v>63</v>
      </c>
      <c r="D596" t="s">
        <v>21</v>
      </c>
      <c r="E596" t="s">
        <v>67</v>
      </c>
      <c r="F596" t="s">
        <v>33</v>
      </c>
      <c r="G596" t="s">
        <v>57</v>
      </c>
      <c r="H596" t="s">
        <v>100</v>
      </c>
      <c r="I596" t="s">
        <v>1495</v>
      </c>
      <c r="J596">
        <v>8</v>
      </c>
      <c r="K596">
        <v>5754</v>
      </c>
      <c r="L596">
        <v>0.17</v>
      </c>
      <c r="M596">
        <v>4775.82</v>
      </c>
      <c r="N596">
        <v>38206.559999999998</v>
      </c>
      <c r="O596">
        <v>0.2</v>
      </c>
      <c r="P596">
        <v>7641.31</v>
      </c>
      <c r="Q596" t="s">
        <v>27</v>
      </c>
      <c r="R596" t="s">
        <v>48</v>
      </c>
      <c r="S596">
        <v>7</v>
      </c>
      <c r="T596">
        <f>YEAR(Sales_Data_1[[#This Row],[Order_Date]])</f>
        <v>2024</v>
      </c>
      <c r="U596" t="str">
        <f>TEXT(Sales_Data_1[[#This Row],[Order_Date]], "mmm")</f>
        <v>Dec</v>
      </c>
      <c r="V596">
        <f>MONTH(Sales_Data_1[[#This Row],[Order_Date]])</f>
        <v>12</v>
      </c>
      <c r="W596" t="str">
        <f>TEXT(Sales_Data_1[[#This Row],[Order_Date]], "yyyy-mm")</f>
        <v>2024-12</v>
      </c>
      <c r="X596">
        <f>Sales_Data_1[[#This Row],[Sales]]-Sales_Data_1[[#This Row],[Profit_Amount]]</f>
        <v>30565.249999999996</v>
      </c>
      <c r="Y596" t="str" cm="1">
        <f t="array" ref="Y596">_xlfn.IFS(Sales_Data_1[[#This Row],[Delivery_Days]]&lt;=3, "Fast", Sales_Data_1[[#This Row],[Delivery_Days]]&lt;= 7, "Standard", TRUE, "Delayed")</f>
        <v>Standard</v>
      </c>
      <c r="Z596" t="str" cm="1">
        <f t="array" ref="Z596">_xlfn.IFS(Sales_Data_1[[#This Row],[Profit_Amount]]&gt; 0, "Profitable", Sales_Data_1[[#This Row],[Profit_Amount]] = 0, "Break-Even", TRUE, "Loss")</f>
        <v>Profitable</v>
      </c>
      <c r="AA596" t="str" cm="1">
        <f t="array" ref="AA596">_xlfn.IFS(Sales_Data_1[[#This Row],[Sales]]&gt;= 1000, "High Value", Sales_Data_1[[#This Row],[Sales]]&gt;= 300, "Mid Value", TRUE, "Low Value")</f>
        <v>High Value</v>
      </c>
    </row>
    <row r="597" spans="1:27" x14ac:dyDescent="0.3">
      <c r="A597" t="s">
        <v>2889</v>
      </c>
      <c r="B597" s="1">
        <v>45775</v>
      </c>
      <c r="C597" t="s">
        <v>30</v>
      </c>
      <c r="D597" t="s">
        <v>21</v>
      </c>
      <c r="E597" t="s">
        <v>2040</v>
      </c>
      <c r="F597" t="s">
        <v>68</v>
      </c>
      <c r="G597" t="s">
        <v>92</v>
      </c>
      <c r="H597" t="s">
        <v>93</v>
      </c>
      <c r="I597" t="s">
        <v>1748</v>
      </c>
      <c r="J597">
        <v>5</v>
      </c>
      <c r="K597">
        <v>12096</v>
      </c>
      <c r="L597">
        <v>0.15</v>
      </c>
      <c r="M597">
        <v>10281.6</v>
      </c>
      <c r="N597">
        <v>51408</v>
      </c>
      <c r="O597">
        <v>0.15</v>
      </c>
      <c r="P597">
        <v>7711.2</v>
      </c>
      <c r="Q597" t="s">
        <v>47</v>
      </c>
      <c r="R597" t="s">
        <v>48</v>
      </c>
      <c r="S597">
        <v>7</v>
      </c>
      <c r="T597">
        <f>YEAR(Sales_Data_1[[#This Row],[Order_Date]])</f>
        <v>2025</v>
      </c>
      <c r="U597" t="str">
        <f>TEXT(Sales_Data_1[[#This Row],[Order_Date]], "mmm")</f>
        <v>Apr</v>
      </c>
      <c r="V597">
        <f>MONTH(Sales_Data_1[[#This Row],[Order_Date]])</f>
        <v>4</v>
      </c>
      <c r="W597" t="str">
        <f>TEXT(Sales_Data_1[[#This Row],[Order_Date]], "yyyy-mm")</f>
        <v>2025-04</v>
      </c>
      <c r="X597">
        <f>Sales_Data_1[[#This Row],[Sales]]-Sales_Data_1[[#This Row],[Profit_Amount]]</f>
        <v>43696.800000000003</v>
      </c>
      <c r="Y597" t="str" cm="1">
        <f t="array" ref="Y597">_xlfn.IFS(Sales_Data_1[[#This Row],[Delivery_Days]]&lt;=3, "Fast", Sales_Data_1[[#This Row],[Delivery_Days]]&lt;= 7, "Standard", TRUE, "Delayed")</f>
        <v>Standard</v>
      </c>
      <c r="Z597" t="str" cm="1">
        <f t="array" ref="Z597">_xlfn.IFS(Sales_Data_1[[#This Row],[Profit_Amount]]&gt; 0, "Profitable", Sales_Data_1[[#This Row],[Profit_Amount]] = 0, "Break-Even", TRUE, "Loss")</f>
        <v>Profitable</v>
      </c>
      <c r="AA597" t="str" cm="1">
        <f t="array" ref="AA597">_xlfn.IFS(Sales_Data_1[[#This Row],[Sales]]&gt;= 1000, "High Value", Sales_Data_1[[#This Row],[Sales]]&gt;= 300, "Mid Value", TRUE, "Low Value")</f>
        <v>High Value</v>
      </c>
    </row>
    <row r="598" spans="1:27" x14ac:dyDescent="0.3">
      <c r="A598" t="s">
        <v>2522</v>
      </c>
      <c r="B598" s="1">
        <v>45408</v>
      </c>
      <c r="C598" t="s">
        <v>20</v>
      </c>
      <c r="D598" t="s">
        <v>56</v>
      </c>
      <c r="E598" t="s">
        <v>42</v>
      </c>
      <c r="F598" t="s">
        <v>43</v>
      </c>
      <c r="G598" t="s">
        <v>24</v>
      </c>
      <c r="H598" t="s">
        <v>74</v>
      </c>
      <c r="I598" t="s">
        <v>1028</v>
      </c>
      <c r="J598">
        <v>5</v>
      </c>
      <c r="K598">
        <v>7721</v>
      </c>
      <c r="L598">
        <v>0.2</v>
      </c>
      <c r="M598">
        <v>6176.8</v>
      </c>
      <c r="N598">
        <v>30884</v>
      </c>
      <c r="O598">
        <v>0.25</v>
      </c>
      <c r="P598">
        <v>7721</v>
      </c>
      <c r="Q598" t="s">
        <v>51</v>
      </c>
      <c r="R598" t="s">
        <v>48</v>
      </c>
      <c r="S598">
        <v>1</v>
      </c>
      <c r="T598">
        <f>YEAR(Sales_Data_1[[#This Row],[Order_Date]])</f>
        <v>2024</v>
      </c>
      <c r="U598" t="str">
        <f>TEXT(Sales_Data_1[[#This Row],[Order_Date]], "mmm")</f>
        <v>Apr</v>
      </c>
      <c r="V598">
        <f>MONTH(Sales_Data_1[[#This Row],[Order_Date]])</f>
        <v>4</v>
      </c>
      <c r="W598" t="str">
        <f>TEXT(Sales_Data_1[[#This Row],[Order_Date]], "yyyy-mm")</f>
        <v>2024-04</v>
      </c>
      <c r="X598">
        <f>Sales_Data_1[[#This Row],[Sales]]-Sales_Data_1[[#This Row],[Profit_Amount]]</f>
        <v>23163</v>
      </c>
      <c r="Y598" t="str" cm="1">
        <f t="array" ref="Y598">_xlfn.IFS(Sales_Data_1[[#This Row],[Delivery_Days]]&lt;=3, "Fast", Sales_Data_1[[#This Row],[Delivery_Days]]&lt;= 7, "Standard", TRUE, "Delayed")</f>
        <v>Fast</v>
      </c>
      <c r="Z598" t="str" cm="1">
        <f t="array" ref="Z598">_xlfn.IFS(Sales_Data_1[[#This Row],[Profit_Amount]]&gt; 0, "Profitable", Sales_Data_1[[#This Row],[Profit_Amount]] = 0, "Break-Even", TRUE, "Loss")</f>
        <v>Profitable</v>
      </c>
      <c r="AA598" t="str" cm="1">
        <f t="array" ref="AA598">_xlfn.IFS(Sales_Data_1[[#This Row],[Sales]]&gt;= 1000, "High Value", Sales_Data_1[[#This Row],[Sales]]&gt;= 300, "Mid Value", TRUE, "Low Value")</f>
        <v>High Value</v>
      </c>
    </row>
    <row r="599" spans="1:27" x14ac:dyDescent="0.3">
      <c r="A599" t="s">
        <v>2066</v>
      </c>
      <c r="B599" s="1">
        <v>44952</v>
      </c>
      <c r="C599" t="s">
        <v>40</v>
      </c>
      <c r="D599" t="s">
        <v>56</v>
      </c>
      <c r="E599" t="s">
        <v>67</v>
      </c>
      <c r="F599" t="s">
        <v>97</v>
      </c>
      <c r="G599" t="s">
        <v>44</v>
      </c>
      <c r="H599" t="s">
        <v>64</v>
      </c>
      <c r="I599" t="s">
        <v>114</v>
      </c>
      <c r="J599">
        <v>5</v>
      </c>
      <c r="K599">
        <v>4609</v>
      </c>
      <c r="L599">
        <v>0.04</v>
      </c>
      <c r="M599">
        <v>4424.6400000000003</v>
      </c>
      <c r="N599">
        <v>22123.200000000001</v>
      </c>
      <c r="O599">
        <v>0.35</v>
      </c>
      <c r="P599">
        <v>7743.12</v>
      </c>
      <c r="Q599" t="s">
        <v>51</v>
      </c>
      <c r="R599" t="s">
        <v>48</v>
      </c>
      <c r="S599">
        <v>2</v>
      </c>
      <c r="T599">
        <f>YEAR(Sales_Data_1[[#This Row],[Order_Date]])</f>
        <v>2023</v>
      </c>
      <c r="U599" t="str">
        <f>TEXT(Sales_Data_1[[#This Row],[Order_Date]], "mmm")</f>
        <v>Jan</v>
      </c>
      <c r="V599">
        <f>MONTH(Sales_Data_1[[#This Row],[Order_Date]])</f>
        <v>1</v>
      </c>
      <c r="W599" t="str">
        <f>TEXT(Sales_Data_1[[#This Row],[Order_Date]], "yyyy-mm")</f>
        <v>2023-01</v>
      </c>
      <c r="X599">
        <f>Sales_Data_1[[#This Row],[Sales]]-Sales_Data_1[[#This Row],[Profit_Amount]]</f>
        <v>14380.080000000002</v>
      </c>
      <c r="Y599" t="str" cm="1">
        <f t="array" ref="Y599">_xlfn.IFS(Sales_Data_1[[#This Row],[Delivery_Days]]&lt;=3, "Fast", Sales_Data_1[[#This Row],[Delivery_Days]]&lt;= 7, "Standard", TRUE, "Delayed")</f>
        <v>Fast</v>
      </c>
      <c r="Z599" t="str" cm="1">
        <f t="array" ref="Z599">_xlfn.IFS(Sales_Data_1[[#This Row],[Profit_Amount]]&gt; 0, "Profitable", Sales_Data_1[[#This Row],[Profit_Amount]] = 0, "Break-Even", TRUE, "Loss")</f>
        <v>Profitable</v>
      </c>
      <c r="AA599" t="str" cm="1">
        <f t="array" ref="AA599">_xlfn.IFS(Sales_Data_1[[#This Row],[Sales]]&gt;= 1000, "High Value", Sales_Data_1[[#This Row],[Sales]]&gt;= 300, "Mid Value", TRUE, "Low Value")</f>
        <v>High Value</v>
      </c>
    </row>
    <row r="600" spans="1:27" x14ac:dyDescent="0.3">
      <c r="A600" t="s">
        <v>2749</v>
      </c>
      <c r="B600" s="1">
        <v>45635</v>
      </c>
      <c r="C600" t="s">
        <v>40</v>
      </c>
      <c r="D600" t="s">
        <v>31</v>
      </c>
      <c r="E600" t="s">
        <v>2042</v>
      </c>
      <c r="F600" t="s">
        <v>68</v>
      </c>
      <c r="G600" t="s">
        <v>92</v>
      </c>
      <c r="H600" t="s">
        <v>93</v>
      </c>
      <c r="I600" t="s">
        <v>1473</v>
      </c>
      <c r="J600">
        <v>1</v>
      </c>
      <c r="K600">
        <v>53541</v>
      </c>
      <c r="L600">
        <v>0.03</v>
      </c>
      <c r="M600">
        <v>51934.77</v>
      </c>
      <c r="N600">
        <v>51934.77</v>
      </c>
      <c r="O600">
        <v>0.15</v>
      </c>
      <c r="P600">
        <v>7790.22</v>
      </c>
      <c r="Q600" t="s">
        <v>37</v>
      </c>
      <c r="R600" t="s">
        <v>28</v>
      </c>
      <c r="S600">
        <v>6</v>
      </c>
      <c r="T600">
        <f>YEAR(Sales_Data_1[[#This Row],[Order_Date]])</f>
        <v>2024</v>
      </c>
      <c r="U600" t="str">
        <f>TEXT(Sales_Data_1[[#This Row],[Order_Date]], "mmm")</f>
        <v>Dec</v>
      </c>
      <c r="V600">
        <f>MONTH(Sales_Data_1[[#This Row],[Order_Date]])</f>
        <v>12</v>
      </c>
      <c r="W600" t="str">
        <f>TEXT(Sales_Data_1[[#This Row],[Order_Date]], "yyyy-mm")</f>
        <v>2024-12</v>
      </c>
      <c r="X600">
        <f>Sales_Data_1[[#This Row],[Sales]]-Sales_Data_1[[#This Row],[Profit_Amount]]</f>
        <v>44144.549999999996</v>
      </c>
      <c r="Y600" t="str" cm="1">
        <f t="array" ref="Y600">_xlfn.IFS(Sales_Data_1[[#This Row],[Delivery_Days]]&lt;=3, "Fast", Sales_Data_1[[#This Row],[Delivery_Days]]&lt;= 7, "Standard", TRUE, "Delayed")</f>
        <v>Standard</v>
      </c>
      <c r="Z600" t="str" cm="1">
        <f t="array" ref="Z600">_xlfn.IFS(Sales_Data_1[[#This Row],[Profit_Amount]]&gt; 0, "Profitable", Sales_Data_1[[#This Row],[Profit_Amount]] = 0, "Break-Even", TRUE, "Loss")</f>
        <v>Profitable</v>
      </c>
      <c r="AA600" t="str" cm="1">
        <f t="array" ref="AA600">_xlfn.IFS(Sales_Data_1[[#This Row],[Sales]]&gt;= 1000, "High Value", Sales_Data_1[[#This Row],[Sales]]&gt;= 300, "Mid Value", TRUE, "Low Value")</f>
        <v>High Value</v>
      </c>
    </row>
    <row r="601" spans="1:27" x14ac:dyDescent="0.3">
      <c r="A601" t="s">
        <v>2677</v>
      </c>
      <c r="B601" s="1">
        <v>45563</v>
      </c>
      <c r="C601" t="s">
        <v>30</v>
      </c>
      <c r="D601" t="s">
        <v>56</v>
      </c>
      <c r="E601" t="s">
        <v>42</v>
      </c>
      <c r="F601" t="s">
        <v>23</v>
      </c>
      <c r="G601" t="s">
        <v>92</v>
      </c>
      <c r="H601" t="s">
        <v>93</v>
      </c>
      <c r="I601" t="s">
        <v>1334</v>
      </c>
      <c r="J601">
        <v>3</v>
      </c>
      <c r="K601">
        <v>20142</v>
      </c>
      <c r="L601">
        <v>0.14000000000000001</v>
      </c>
      <c r="M601">
        <v>17322.12</v>
      </c>
      <c r="N601">
        <v>51966.36</v>
      </c>
      <c r="O601">
        <v>0.15</v>
      </c>
      <c r="P601">
        <v>7794.95</v>
      </c>
      <c r="Q601" t="s">
        <v>27</v>
      </c>
      <c r="R601" t="s">
        <v>48</v>
      </c>
      <c r="S601">
        <v>7</v>
      </c>
      <c r="T601">
        <f>YEAR(Sales_Data_1[[#This Row],[Order_Date]])</f>
        <v>2024</v>
      </c>
      <c r="U601" t="str">
        <f>TEXT(Sales_Data_1[[#This Row],[Order_Date]], "mmm")</f>
        <v>Sep</v>
      </c>
      <c r="V601">
        <f>MONTH(Sales_Data_1[[#This Row],[Order_Date]])</f>
        <v>9</v>
      </c>
      <c r="W601" t="str">
        <f>TEXT(Sales_Data_1[[#This Row],[Order_Date]], "yyyy-mm")</f>
        <v>2024-09</v>
      </c>
      <c r="X601">
        <f>Sales_Data_1[[#This Row],[Sales]]-Sales_Data_1[[#This Row],[Profit_Amount]]</f>
        <v>44171.41</v>
      </c>
      <c r="Y601" t="str" cm="1">
        <f t="array" ref="Y601">_xlfn.IFS(Sales_Data_1[[#This Row],[Delivery_Days]]&lt;=3, "Fast", Sales_Data_1[[#This Row],[Delivery_Days]]&lt;= 7, "Standard", TRUE, "Delayed")</f>
        <v>Standard</v>
      </c>
      <c r="Z601" t="str" cm="1">
        <f t="array" ref="Z601">_xlfn.IFS(Sales_Data_1[[#This Row],[Profit_Amount]]&gt; 0, "Profitable", Sales_Data_1[[#This Row],[Profit_Amount]] = 0, "Break-Even", TRUE, "Loss")</f>
        <v>Profitable</v>
      </c>
      <c r="AA601" t="str" cm="1">
        <f t="array" ref="AA601">_xlfn.IFS(Sales_Data_1[[#This Row],[Sales]]&gt;= 1000, "High Value", Sales_Data_1[[#This Row],[Sales]]&gt;= 300, "Mid Value", TRUE, "Low Value")</f>
        <v>High Value</v>
      </c>
    </row>
    <row r="602" spans="1:27" x14ac:dyDescent="0.3">
      <c r="A602" t="s">
        <v>2407</v>
      </c>
      <c r="B602" s="1">
        <v>45293</v>
      </c>
      <c r="C602" t="s">
        <v>30</v>
      </c>
      <c r="D602" t="s">
        <v>56</v>
      </c>
      <c r="E602" t="s">
        <v>2042</v>
      </c>
      <c r="F602" t="s">
        <v>23</v>
      </c>
      <c r="G602" t="s">
        <v>24</v>
      </c>
      <c r="H602" t="s">
        <v>121</v>
      </c>
      <c r="I602" t="s">
        <v>800</v>
      </c>
      <c r="J602">
        <v>4</v>
      </c>
      <c r="K602">
        <v>9632</v>
      </c>
      <c r="L602">
        <v>0.19</v>
      </c>
      <c r="M602">
        <v>7801.92</v>
      </c>
      <c r="N602">
        <v>31207.68</v>
      </c>
      <c r="O602">
        <v>0.25</v>
      </c>
      <c r="P602">
        <v>7801.92</v>
      </c>
      <c r="Q602" t="s">
        <v>37</v>
      </c>
      <c r="R602" t="s">
        <v>48</v>
      </c>
      <c r="S602">
        <v>1</v>
      </c>
      <c r="T602">
        <f>YEAR(Sales_Data_1[[#This Row],[Order_Date]])</f>
        <v>2024</v>
      </c>
      <c r="U602" t="str">
        <f>TEXT(Sales_Data_1[[#This Row],[Order_Date]], "mmm")</f>
        <v>Jan</v>
      </c>
      <c r="V602">
        <f>MONTH(Sales_Data_1[[#This Row],[Order_Date]])</f>
        <v>1</v>
      </c>
      <c r="W602" t="str">
        <f>TEXT(Sales_Data_1[[#This Row],[Order_Date]], "yyyy-mm")</f>
        <v>2024-01</v>
      </c>
      <c r="X602">
        <f>Sales_Data_1[[#This Row],[Sales]]-Sales_Data_1[[#This Row],[Profit_Amount]]</f>
        <v>23405.760000000002</v>
      </c>
      <c r="Y602" t="str" cm="1">
        <f t="array" ref="Y602">_xlfn.IFS(Sales_Data_1[[#This Row],[Delivery_Days]]&lt;=3, "Fast", Sales_Data_1[[#This Row],[Delivery_Days]]&lt;= 7, "Standard", TRUE, "Delayed")</f>
        <v>Fast</v>
      </c>
      <c r="Z602" t="str" cm="1">
        <f t="array" ref="Z602">_xlfn.IFS(Sales_Data_1[[#This Row],[Profit_Amount]]&gt; 0, "Profitable", Sales_Data_1[[#This Row],[Profit_Amount]] = 0, "Break-Even", TRUE, "Loss")</f>
        <v>Profitable</v>
      </c>
      <c r="AA602" t="str" cm="1">
        <f t="array" ref="AA602">_xlfn.IFS(Sales_Data_1[[#This Row],[Sales]]&gt;= 1000, "High Value", Sales_Data_1[[#This Row],[Sales]]&gt;= 300, "Mid Value", TRUE, "Low Value")</f>
        <v>High Value</v>
      </c>
    </row>
    <row r="603" spans="1:27" x14ac:dyDescent="0.3">
      <c r="A603" t="s">
        <v>2487</v>
      </c>
      <c r="B603" s="1">
        <v>45373</v>
      </c>
      <c r="C603" t="s">
        <v>55</v>
      </c>
      <c r="D603" t="s">
        <v>41</v>
      </c>
      <c r="E603" t="s">
        <v>67</v>
      </c>
      <c r="F603" t="s">
        <v>33</v>
      </c>
      <c r="G603" t="s">
        <v>44</v>
      </c>
      <c r="H603" t="s">
        <v>116</v>
      </c>
      <c r="I603" t="s">
        <v>959</v>
      </c>
      <c r="J603">
        <v>7</v>
      </c>
      <c r="K603">
        <v>3285</v>
      </c>
      <c r="L603">
        <v>0.03</v>
      </c>
      <c r="M603">
        <v>3186.45</v>
      </c>
      <c r="N603">
        <v>22305.15</v>
      </c>
      <c r="O603">
        <v>0.35</v>
      </c>
      <c r="P603">
        <v>7806.8</v>
      </c>
      <c r="Q603" t="s">
        <v>51</v>
      </c>
      <c r="R603" t="s">
        <v>28</v>
      </c>
      <c r="S603">
        <v>5</v>
      </c>
      <c r="T603">
        <f>YEAR(Sales_Data_1[[#This Row],[Order_Date]])</f>
        <v>2024</v>
      </c>
      <c r="U603" t="str">
        <f>TEXT(Sales_Data_1[[#This Row],[Order_Date]], "mmm")</f>
        <v>Mar</v>
      </c>
      <c r="V603">
        <f>MONTH(Sales_Data_1[[#This Row],[Order_Date]])</f>
        <v>3</v>
      </c>
      <c r="W603" t="str">
        <f>TEXT(Sales_Data_1[[#This Row],[Order_Date]], "yyyy-mm")</f>
        <v>2024-03</v>
      </c>
      <c r="X603">
        <f>Sales_Data_1[[#This Row],[Sales]]-Sales_Data_1[[#This Row],[Profit_Amount]]</f>
        <v>14498.350000000002</v>
      </c>
      <c r="Y603" t="str" cm="1">
        <f t="array" ref="Y603">_xlfn.IFS(Sales_Data_1[[#This Row],[Delivery_Days]]&lt;=3, "Fast", Sales_Data_1[[#This Row],[Delivery_Days]]&lt;= 7, "Standard", TRUE, "Delayed")</f>
        <v>Standard</v>
      </c>
      <c r="Z603" t="str" cm="1">
        <f t="array" ref="Z603">_xlfn.IFS(Sales_Data_1[[#This Row],[Profit_Amount]]&gt; 0, "Profitable", Sales_Data_1[[#This Row],[Profit_Amount]] = 0, "Break-Even", TRUE, "Loss")</f>
        <v>Profitable</v>
      </c>
      <c r="AA603" t="str" cm="1">
        <f t="array" ref="AA603">_xlfn.IFS(Sales_Data_1[[#This Row],[Sales]]&gt;= 1000, "High Value", Sales_Data_1[[#This Row],[Sales]]&gt;= 300, "Mid Value", TRUE, "Low Value")</f>
        <v>High Value</v>
      </c>
    </row>
    <row r="604" spans="1:27" x14ac:dyDescent="0.3">
      <c r="A604" t="s">
        <v>2372</v>
      </c>
      <c r="B604" s="1">
        <v>45258</v>
      </c>
      <c r="C604" t="s">
        <v>20</v>
      </c>
      <c r="D604" t="s">
        <v>41</v>
      </c>
      <c r="E604" t="s">
        <v>42</v>
      </c>
      <c r="F604" t="s">
        <v>43</v>
      </c>
      <c r="G604" t="s">
        <v>57</v>
      </c>
      <c r="H604" t="s">
        <v>81</v>
      </c>
      <c r="I604" t="s">
        <v>732</v>
      </c>
      <c r="J604">
        <v>6</v>
      </c>
      <c r="K604">
        <v>7752</v>
      </c>
      <c r="L604">
        <v>0.16</v>
      </c>
      <c r="M604">
        <v>6511.68</v>
      </c>
      <c r="N604">
        <v>39070.080000000002</v>
      </c>
      <c r="O604">
        <v>0.2</v>
      </c>
      <c r="P604">
        <v>7814.02</v>
      </c>
      <c r="Q604" t="s">
        <v>47</v>
      </c>
      <c r="R604" t="s">
        <v>48</v>
      </c>
      <c r="S604">
        <v>5</v>
      </c>
      <c r="T604">
        <f>YEAR(Sales_Data_1[[#This Row],[Order_Date]])</f>
        <v>2023</v>
      </c>
      <c r="U604" t="str">
        <f>TEXT(Sales_Data_1[[#This Row],[Order_Date]], "mmm")</f>
        <v>Nov</v>
      </c>
      <c r="V604">
        <f>MONTH(Sales_Data_1[[#This Row],[Order_Date]])</f>
        <v>11</v>
      </c>
      <c r="W604" t="str">
        <f>TEXT(Sales_Data_1[[#This Row],[Order_Date]], "yyyy-mm")</f>
        <v>2023-11</v>
      </c>
      <c r="X604">
        <f>Sales_Data_1[[#This Row],[Sales]]-Sales_Data_1[[#This Row],[Profit_Amount]]</f>
        <v>31256.06</v>
      </c>
      <c r="Y604" t="str" cm="1">
        <f t="array" ref="Y604">_xlfn.IFS(Sales_Data_1[[#This Row],[Delivery_Days]]&lt;=3, "Fast", Sales_Data_1[[#This Row],[Delivery_Days]]&lt;= 7, "Standard", TRUE, "Delayed")</f>
        <v>Standard</v>
      </c>
      <c r="Z604" t="str" cm="1">
        <f t="array" ref="Z604">_xlfn.IFS(Sales_Data_1[[#This Row],[Profit_Amount]]&gt; 0, "Profitable", Sales_Data_1[[#This Row],[Profit_Amount]] = 0, "Break-Even", TRUE, "Loss")</f>
        <v>Profitable</v>
      </c>
      <c r="AA604" t="str" cm="1">
        <f t="array" ref="AA604">_xlfn.IFS(Sales_Data_1[[#This Row],[Sales]]&gt;= 1000, "High Value", Sales_Data_1[[#This Row],[Sales]]&gt;= 300, "Mid Value", TRUE, "Low Value")</f>
        <v>High Value</v>
      </c>
    </row>
    <row r="605" spans="1:27" x14ac:dyDescent="0.3">
      <c r="A605" t="s">
        <v>2452</v>
      </c>
      <c r="B605" s="1">
        <v>45338</v>
      </c>
      <c r="C605" t="s">
        <v>96</v>
      </c>
      <c r="D605" t="s">
        <v>21</v>
      </c>
      <c r="E605" t="s">
        <v>67</v>
      </c>
      <c r="F605" t="s">
        <v>23</v>
      </c>
      <c r="G605" t="s">
        <v>57</v>
      </c>
      <c r="H605" t="s">
        <v>100</v>
      </c>
      <c r="I605" t="s">
        <v>890</v>
      </c>
      <c r="J605">
        <v>3</v>
      </c>
      <c r="K605">
        <v>16109</v>
      </c>
      <c r="L605">
        <v>0.19</v>
      </c>
      <c r="M605">
        <v>13048.29</v>
      </c>
      <c r="N605">
        <v>39144.870000000003</v>
      </c>
      <c r="O605">
        <v>0.2</v>
      </c>
      <c r="P605">
        <v>7828.97</v>
      </c>
      <c r="Q605" t="s">
        <v>27</v>
      </c>
      <c r="R605" t="s">
        <v>48</v>
      </c>
      <c r="S605">
        <v>8</v>
      </c>
      <c r="T605">
        <f>YEAR(Sales_Data_1[[#This Row],[Order_Date]])</f>
        <v>2024</v>
      </c>
      <c r="U605" t="str">
        <f>TEXT(Sales_Data_1[[#This Row],[Order_Date]], "mmm")</f>
        <v>Feb</v>
      </c>
      <c r="V605">
        <f>MONTH(Sales_Data_1[[#This Row],[Order_Date]])</f>
        <v>2</v>
      </c>
      <c r="W605" t="str">
        <f>TEXT(Sales_Data_1[[#This Row],[Order_Date]], "yyyy-mm")</f>
        <v>2024-02</v>
      </c>
      <c r="X605">
        <f>Sales_Data_1[[#This Row],[Sales]]-Sales_Data_1[[#This Row],[Profit_Amount]]</f>
        <v>31315.9</v>
      </c>
      <c r="Y605" t="str" cm="1">
        <f t="array" ref="Y605">_xlfn.IFS(Sales_Data_1[[#This Row],[Delivery_Days]]&lt;=3, "Fast", Sales_Data_1[[#This Row],[Delivery_Days]]&lt;= 7, "Standard", TRUE, "Delayed")</f>
        <v>Delayed</v>
      </c>
      <c r="Z605" t="str" cm="1">
        <f t="array" ref="Z605">_xlfn.IFS(Sales_Data_1[[#This Row],[Profit_Amount]]&gt; 0, "Profitable", Sales_Data_1[[#This Row],[Profit_Amount]] = 0, "Break-Even", TRUE, "Loss")</f>
        <v>Profitable</v>
      </c>
      <c r="AA605" t="str" cm="1">
        <f t="array" ref="AA605">_xlfn.IFS(Sales_Data_1[[#This Row],[Sales]]&gt;= 1000, "High Value", Sales_Data_1[[#This Row],[Sales]]&gt;= 300, "Mid Value", TRUE, "Low Value")</f>
        <v>High Value</v>
      </c>
    </row>
    <row r="606" spans="1:27" x14ac:dyDescent="0.3">
      <c r="A606" t="s">
        <v>2499</v>
      </c>
      <c r="B606" s="1">
        <v>45385</v>
      </c>
      <c r="C606" t="s">
        <v>96</v>
      </c>
      <c r="D606" t="s">
        <v>31</v>
      </c>
      <c r="E606" t="s">
        <v>42</v>
      </c>
      <c r="F606" t="s">
        <v>33</v>
      </c>
      <c r="G606" t="s">
        <v>57</v>
      </c>
      <c r="H606" t="s">
        <v>183</v>
      </c>
      <c r="I606" t="s">
        <v>983</v>
      </c>
      <c r="J606">
        <v>2</v>
      </c>
      <c r="K606">
        <v>19826</v>
      </c>
      <c r="L606">
        <v>0.01</v>
      </c>
      <c r="M606">
        <v>19627.740000000002</v>
      </c>
      <c r="N606">
        <v>39255.480000000003</v>
      </c>
      <c r="O606">
        <v>0.2</v>
      </c>
      <c r="P606">
        <v>7851.1</v>
      </c>
      <c r="Q606" t="s">
        <v>37</v>
      </c>
      <c r="R606" t="s">
        <v>48</v>
      </c>
      <c r="S606">
        <v>5</v>
      </c>
      <c r="T606">
        <f>YEAR(Sales_Data_1[[#This Row],[Order_Date]])</f>
        <v>2024</v>
      </c>
      <c r="U606" t="str">
        <f>TEXT(Sales_Data_1[[#This Row],[Order_Date]], "mmm")</f>
        <v>Apr</v>
      </c>
      <c r="V606">
        <f>MONTH(Sales_Data_1[[#This Row],[Order_Date]])</f>
        <v>4</v>
      </c>
      <c r="W606" t="str">
        <f>TEXT(Sales_Data_1[[#This Row],[Order_Date]], "yyyy-mm")</f>
        <v>2024-04</v>
      </c>
      <c r="X606">
        <f>Sales_Data_1[[#This Row],[Sales]]-Sales_Data_1[[#This Row],[Profit_Amount]]</f>
        <v>31404.380000000005</v>
      </c>
      <c r="Y606" t="str" cm="1">
        <f t="array" ref="Y606">_xlfn.IFS(Sales_Data_1[[#This Row],[Delivery_Days]]&lt;=3, "Fast", Sales_Data_1[[#This Row],[Delivery_Days]]&lt;= 7, "Standard", TRUE, "Delayed")</f>
        <v>Standard</v>
      </c>
      <c r="Z606" t="str" cm="1">
        <f t="array" ref="Z606">_xlfn.IFS(Sales_Data_1[[#This Row],[Profit_Amount]]&gt; 0, "Profitable", Sales_Data_1[[#This Row],[Profit_Amount]] = 0, "Break-Even", TRUE, "Loss")</f>
        <v>Profitable</v>
      </c>
      <c r="AA606" t="str" cm="1">
        <f t="array" ref="AA606">_xlfn.IFS(Sales_Data_1[[#This Row],[Sales]]&gt;= 1000, "High Value", Sales_Data_1[[#This Row],[Sales]]&gt;= 300, "Mid Value", TRUE, "Low Value")</f>
        <v>High Value</v>
      </c>
    </row>
    <row r="607" spans="1:27" x14ac:dyDescent="0.3">
      <c r="A607" t="s">
        <v>2901</v>
      </c>
      <c r="B607" s="1">
        <v>45787</v>
      </c>
      <c r="C607" t="s">
        <v>40</v>
      </c>
      <c r="D607" t="s">
        <v>31</v>
      </c>
      <c r="E607" t="s">
        <v>42</v>
      </c>
      <c r="F607" t="s">
        <v>33</v>
      </c>
      <c r="G607" t="s">
        <v>92</v>
      </c>
      <c r="H607" t="s">
        <v>243</v>
      </c>
      <c r="I607" t="s">
        <v>1772</v>
      </c>
      <c r="J607">
        <v>1</v>
      </c>
      <c r="K607">
        <v>53619</v>
      </c>
      <c r="L607">
        <v>0.02</v>
      </c>
      <c r="M607">
        <v>52546.62</v>
      </c>
      <c r="N607">
        <v>52546.62</v>
      </c>
      <c r="O607">
        <v>0.15</v>
      </c>
      <c r="P607">
        <v>7881.99</v>
      </c>
      <c r="Q607" t="s">
        <v>51</v>
      </c>
      <c r="R607" t="s">
        <v>48</v>
      </c>
      <c r="S607">
        <v>3</v>
      </c>
      <c r="T607">
        <f>YEAR(Sales_Data_1[[#This Row],[Order_Date]])</f>
        <v>2025</v>
      </c>
      <c r="U607" t="str">
        <f>TEXT(Sales_Data_1[[#This Row],[Order_Date]], "mmm")</f>
        <v>May</v>
      </c>
      <c r="V607">
        <f>MONTH(Sales_Data_1[[#This Row],[Order_Date]])</f>
        <v>5</v>
      </c>
      <c r="W607" t="str">
        <f>TEXT(Sales_Data_1[[#This Row],[Order_Date]], "yyyy-mm")</f>
        <v>2025-05</v>
      </c>
      <c r="X607">
        <f>Sales_Data_1[[#This Row],[Sales]]-Sales_Data_1[[#This Row],[Profit_Amount]]</f>
        <v>44664.630000000005</v>
      </c>
      <c r="Y607" t="str" cm="1">
        <f t="array" ref="Y607">_xlfn.IFS(Sales_Data_1[[#This Row],[Delivery_Days]]&lt;=3, "Fast", Sales_Data_1[[#This Row],[Delivery_Days]]&lt;= 7, "Standard", TRUE, "Delayed")</f>
        <v>Fast</v>
      </c>
      <c r="Z607" t="str" cm="1">
        <f t="array" ref="Z607">_xlfn.IFS(Sales_Data_1[[#This Row],[Profit_Amount]]&gt; 0, "Profitable", Sales_Data_1[[#This Row],[Profit_Amount]] = 0, "Break-Even", TRUE, "Loss")</f>
        <v>Profitable</v>
      </c>
      <c r="AA607" t="str" cm="1">
        <f t="array" ref="AA607">_xlfn.IFS(Sales_Data_1[[#This Row],[Sales]]&gt;= 1000, "High Value", Sales_Data_1[[#This Row],[Sales]]&gt;= 300, "Mid Value", TRUE, "Low Value")</f>
        <v>High Value</v>
      </c>
    </row>
    <row r="608" spans="1:27" x14ac:dyDescent="0.3">
      <c r="A608" t="s">
        <v>2440</v>
      </c>
      <c r="B608" s="1">
        <v>45326</v>
      </c>
      <c r="C608" t="s">
        <v>30</v>
      </c>
      <c r="D608" t="s">
        <v>21</v>
      </c>
      <c r="E608" t="s">
        <v>42</v>
      </c>
      <c r="F608" t="s">
        <v>33</v>
      </c>
      <c r="G608" t="s">
        <v>57</v>
      </c>
      <c r="H608" t="s">
        <v>81</v>
      </c>
      <c r="I608" t="s">
        <v>866</v>
      </c>
      <c r="J608">
        <v>5</v>
      </c>
      <c r="K608">
        <v>10258</v>
      </c>
      <c r="L608">
        <v>0.23</v>
      </c>
      <c r="M608">
        <v>7898.66</v>
      </c>
      <c r="N608">
        <v>39493.300000000003</v>
      </c>
      <c r="O608">
        <v>0.2</v>
      </c>
      <c r="P608">
        <v>7898.66</v>
      </c>
      <c r="Q608" t="s">
        <v>37</v>
      </c>
      <c r="R608" t="s">
        <v>48</v>
      </c>
      <c r="S608">
        <v>5</v>
      </c>
      <c r="T608">
        <f>YEAR(Sales_Data_1[[#This Row],[Order_Date]])</f>
        <v>2024</v>
      </c>
      <c r="U608" t="str">
        <f>TEXT(Sales_Data_1[[#This Row],[Order_Date]], "mmm")</f>
        <v>Feb</v>
      </c>
      <c r="V608">
        <f>MONTH(Sales_Data_1[[#This Row],[Order_Date]])</f>
        <v>2</v>
      </c>
      <c r="W608" t="str">
        <f>TEXT(Sales_Data_1[[#This Row],[Order_Date]], "yyyy-mm")</f>
        <v>2024-02</v>
      </c>
      <c r="X608">
        <f>Sales_Data_1[[#This Row],[Sales]]-Sales_Data_1[[#This Row],[Profit_Amount]]</f>
        <v>31594.640000000003</v>
      </c>
      <c r="Y608" t="str" cm="1">
        <f t="array" ref="Y608">_xlfn.IFS(Sales_Data_1[[#This Row],[Delivery_Days]]&lt;=3, "Fast", Sales_Data_1[[#This Row],[Delivery_Days]]&lt;= 7, "Standard", TRUE, "Delayed")</f>
        <v>Standard</v>
      </c>
      <c r="Z608" t="str" cm="1">
        <f t="array" ref="Z608">_xlfn.IFS(Sales_Data_1[[#This Row],[Profit_Amount]]&gt; 0, "Profitable", Sales_Data_1[[#This Row],[Profit_Amount]] = 0, "Break-Even", TRUE, "Loss")</f>
        <v>Profitable</v>
      </c>
      <c r="AA608" t="str" cm="1">
        <f t="array" ref="AA608">_xlfn.IFS(Sales_Data_1[[#This Row],[Sales]]&gt;= 1000, "High Value", Sales_Data_1[[#This Row],[Sales]]&gt;= 300, "Mid Value", TRUE, "Low Value")</f>
        <v>High Value</v>
      </c>
    </row>
    <row r="609" spans="1:27" x14ac:dyDescent="0.3">
      <c r="A609" t="s">
        <v>2874</v>
      </c>
      <c r="B609" s="1">
        <v>45760</v>
      </c>
      <c r="C609" t="s">
        <v>30</v>
      </c>
      <c r="D609" t="s">
        <v>21</v>
      </c>
      <c r="E609" t="s">
        <v>2040</v>
      </c>
      <c r="F609" t="s">
        <v>33</v>
      </c>
      <c r="G609" t="s">
        <v>92</v>
      </c>
      <c r="H609" t="s">
        <v>109</v>
      </c>
      <c r="I609" t="s">
        <v>1718</v>
      </c>
      <c r="J609">
        <v>3</v>
      </c>
      <c r="K609">
        <v>18329</v>
      </c>
      <c r="L609">
        <v>0.04</v>
      </c>
      <c r="M609">
        <v>17595.84</v>
      </c>
      <c r="N609">
        <v>52787.519999999997</v>
      </c>
      <c r="O609">
        <v>0.15</v>
      </c>
      <c r="P609">
        <v>7918.13</v>
      </c>
      <c r="Q609" t="s">
        <v>37</v>
      </c>
      <c r="R609" t="s">
        <v>48</v>
      </c>
      <c r="S609">
        <v>3</v>
      </c>
      <c r="T609">
        <f>YEAR(Sales_Data_1[[#This Row],[Order_Date]])</f>
        <v>2025</v>
      </c>
      <c r="U609" t="str">
        <f>TEXT(Sales_Data_1[[#This Row],[Order_Date]], "mmm")</f>
        <v>Apr</v>
      </c>
      <c r="V609">
        <f>MONTH(Sales_Data_1[[#This Row],[Order_Date]])</f>
        <v>4</v>
      </c>
      <c r="W609" t="str">
        <f>TEXT(Sales_Data_1[[#This Row],[Order_Date]], "yyyy-mm")</f>
        <v>2025-04</v>
      </c>
      <c r="X609">
        <f>Sales_Data_1[[#This Row],[Sales]]-Sales_Data_1[[#This Row],[Profit_Amount]]</f>
        <v>44869.39</v>
      </c>
      <c r="Y609" t="str" cm="1">
        <f t="array" ref="Y609">_xlfn.IFS(Sales_Data_1[[#This Row],[Delivery_Days]]&lt;=3, "Fast", Sales_Data_1[[#This Row],[Delivery_Days]]&lt;= 7, "Standard", TRUE, "Delayed")</f>
        <v>Fast</v>
      </c>
      <c r="Z609" t="str" cm="1">
        <f t="array" ref="Z609">_xlfn.IFS(Sales_Data_1[[#This Row],[Profit_Amount]]&gt; 0, "Profitable", Sales_Data_1[[#This Row],[Profit_Amount]] = 0, "Break-Even", TRUE, "Loss")</f>
        <v>Profitable</v>
      </c>
      <c r="AA609" t="str" cm="1">
        <f t="array" ref="AA609">_xlfn.IFS(Sales_Data_1[[#This Row],[Sales]]&gt;= 1000, "High Value", Sales_Data_1[[#This Row],[Sales]]&gt;= 300, "Mid Value", TRUE, "Low Value")</f>
        <v>High Value</v>
      </c>
    </row>
    <row r="610" spans="1:27" x14ac:dyDescent="0.3">
      <c r="A610" t="s">
        <v>2287</v>
      </c>
      <c r="B610" s="1">
        <v>45173</v>
      </c>
      <c r="C610" t="s">
        <v>30</v>
      </c>
      <c r="D610" t="s">
        <v>41</v>
      </c>
      <c r="E610" t="s">
        <v>67</v>
      </c>
      <c r="F610" t="s">
        <v>23</v>
      </c>
      <c r="G610" t="s">
        <v>24</v>
      </c>
      <c r="H610" t="s">
        <v>25</v>
      </c>
      <c r="I610" t="s">
        <v>564</v>
      </c>
      <c r="J610">
        <v>3</v>
      </c>
      <c r="K610">
        <v>12760</v>
      </c>
      <c r="L610">
        <v>0.17</v>
      </c>
      <c r="M610">
        <v>10590.8</v>
      </c>
      <c r="N610">
        <v>31772.400000000001</v>
      </c>
      <c r="O610">
        <v>0.25</v>
      </c>
      <c r="P610">
        <v>7943.1</v>
      </c>
      <c r="Q610" t="s">
        <v>51</v>
      </c>
      <c r="R610" t="s">
        <v>48</v>
      </c>
      <c r="S610">
        <v>3</v>
      </c>
      <c r="T610">
        <f>YEAR(Sales_Data_1[[#This Row],[Order_Date]])</f>
        <v>2023</v>
      </c>
      <c r="U610" t="str">
        <f>TEXT(Sales_Data_1[[#This Row],[Order_Date]], "mmm")</f>
        <v>Sep</v>
      </c>
      <c r="V610">
        <f>MONTH(Sales_Data_1[[#This Row],[Order_Date]])</f>
        <v>9</v>
      </c>
      <c r="W610" t="str">
        <f>TEXT(Sales_Data_1[[#This Row],[Order_Date]], "yyyy-mm")</f>
        <v>2023-09</v>
      </c>
      <c r="X610">
        <f>Sales_Data_1[[#This Row],[Sales]]-Sales_Data_1[[#This Row],[Profit_Amount]]</f>
        <v>23829.300000000003</v>
      </c>
      <c r="Y610" t="str" cm="1">
        <f t="array" ref="Y610">_xlfn.IFS(Sales_Data_1[[#This Row],[Delivery_Days]]&lt;=3, "Fast", Sales_Data_1[[#This Row],[Delivery_Days]]&lt;= 7, "Standard", TRUE, "Delayed")</f>
        <v>Fast</v>
      </c>
      <c r="Z610" t="str" cm="1">
        <f t="array" ref="Z610">_xlfn.IFS(Sales_Data_1[[#This Row],[Profit_Amount]]&gt; 0, "Profitable", Sales_Data_1[[#This Row],[Profit_Amount]] = 0, "Break-Even", TRUE, "Loss")</f>
        <v>Profitable</v>
      </c>
      <c r="AA610" t="str" cm="1">
        <f t="array" ref="AA610">_xlfn.IFS(Sales_Data_1[[#This Row],[Sales]]&gt;= 1000, "High Value", Sales_Data_1[[#This Row],[Sales]]&gt;= 300, "Mid Value", TRUE, "Low Value")</f>
        <v>High Value</v>
      </c>
    </row>
    <row r="611" spans="1:27" x14ac:dyDescent="0.3">
      <c r="A611" t="s">
        <v>2369</v>
      </c>
      <c r="B611" s="1">
        <v>45255</v>
      </c>
      <c r="C611" t="s">
        <v>30</v>
      </c>
      <c r="D611" t="s">
        <v>21</v>
      </c>
      <c r="E611" t="s">
        <v>67</v>
      </c>
      <c r="F611" t="s">
        <v>103</v>
      </c>
      <c r="G611" t="s">
        <v>57</v>
      </c>
      <c r="H611" t="s">
        <v>81</v>
      </c>
      <c r="I611" t="s">
        <v>726</v>
      </c>
      <c r="J611">
        <v>7</v>
      </c>
      <c r="K611">
        <v>6616</v>
      </c>
      <c r="L611">
        <v>0.14000000000000001</v>
      </c>
      <c r="M611">
        <v>5689.76</v>
      </c>
      <c r="N611">
        <v>39828.32</v>
      </c>
      <c r="O611">
        <v>0.2</v>
      </c>
      <c r="P611">
        <v>7965.66</v>
      </c>
      <c r="Q611" t="s">
        <v>47</v>
      </c>
      <c r="R611" t="s">
        <v>48</v>
      </c>
      <c r="S611">
        <v>3</v>
      </c>
      <c r="T611">
        <f>YEAR(Sales_Data_1[[#This Row],[Order_Date]])</f>
        <v>2023</v>
      </c>
      <c r="U611" t="str">
        <f>TEXT(Sales_Data_1[[#This Row],[Order_Date]], "mmm")</f>
        <v>Nov</v>
      </c>
      <c r="V611">
        <f>MONTH(Sales_Data_1[[#This Row],[Order_Date]])</f>
        <v>11</v>
      </c>
      <c r="W611" t="str">
        <f>TEXT(Sales_Data_1[[#This Row],[Order_Date]], "yyyy-mm")</f>
        <v>2023-11</v>
      </c>
      <c r="X611">
        <f>Sales_Data_1[[#This Row],[Sales]]-Sales_Data_1[[#This Row],[Profit_Amount]]</f>
        <v>31862.66</v>
      </c>
      <c r="Y611" t="str" cm="1">
        <f t="array" ref="Y611">_xlfn.IFS(Sales_Data_1[[#This Row],[Delivery_Days]]&lt;=3, "Fast", Sales_Data_1[[#This Row],[Delivery_Days]]&lt;= 7, "Standard", TRUE, "Delayed")</f>
        <v>Fast</v>
      </c>
      <c r="Z611" t="str" cm="1">
        <f t="array" ref="Z611">_xlfn.IFS(Sales_Data_1[[#This Row],[Profit_Amount]]&gt; 0, "Profitable", Sales_Data_1[[#This Row],[Profit_Amount]] = 0, "Break-Even", TRUE, "Loss")</f>
        <v>Profitable</v>
      </c>
      <c r="AA611" t="str" cm="1">
        <f t="array" ref="AA611">_xlfn.IFS(Sales_Data_1[[#This Row],[Sales]]&gt;= 1000, "High Value", Sales_Data_1[[#This Row],[Sales]]&gt;= 300, "Mid Value", TRUE, "Low Value")</f>
        <v>High Value</v>
      </c>
    </row>
    <row r="612" spans="1:27" x14ac:dyDescent="0.3">
      <c r="A612" t="s">
        <v>2491</v>
      </c>
      <c r="B612" s="1">
        <v>45377</v>
      </c>
      <c r="C612" t="s">
        <v>63</v>
      </c>
      <c r="D612" t="s">
        <v>21</v>
      </c>
      <c r="E612" t="s">
        <v>67</v>
      </c>
      <c r="F612" t="s">
        <v>103</v>
      </c>
      <c r="G612" t="s">
        <v>44</v>
      </c>
      <c r="H612" t="s">
        <v>64</v>
      </c>
      <c r="I612" t="s">
        <v>967</v>
      </c>
      <c r="J612">
        <v>8</v>
      </c>
      <c r="K612">
        <v>3317</v>
      </c>
      <c r="L612">
        <v>0.14000000000000001</v>
      </c>
      <c r="M612">
        <v>2852.62</v>
      </c>
      <c r="N612">
        <v>22820.959999999999</v>
      </c>
      <c r="O612">
        <v>0.35</v>
      </c>
      <c r="P612">
        <v>7987.34</v>
      </c>
      <c r="Q612" t="s">
        <v>37</v>
      </c>
      <c r="R612" t="s">
        <v>48</v>
      </c>
      <c r="S612">
        <v>9</v>
      </c>
      <c r="T612">
        <f>YEAR(Sales_Data_1[[#This Row],[Order_Date]])</f>
        <v>2024</v>
      </c>
      <c r="U612" t="str">
        <f>TEXT(Sales_Data_1[[#This Row],[Order_Date]], "mmm")</f>
        <v>Mar</v>
      </c>
      <c r="V612">
        <f>MONTH(Sales_Data_1[[#This Row],[Order_Date]])</f>
        <v>3</v>
      </c>
      <c r="W612" t="str">
        <f>TEXT(Sales_Data_1[[#This Row],[Order_Date]], "yyyy-mm")</f>
        <v>2024-03</v>
      </c>
      <c r="X612">
        <f>Sales_Data_1[[#This Row],[Sales]]-Sales_Data_1[[#This Row],[Profit_Amount]]</f>
        <v>14833.619999999999</v>
      </c>
      <c r="Y612" t="str" cm="1">
        <f t="array" ref="Y612">_xlfn.IFS(Sales_Data_1[[#This Row],[Delivery_Days]]&lt;=3, "Fast", Sales_Data_1[[#This Row],[Delivery_Days]]&lt;= 7, "Standard", TRUE, "Delayed")</f>
        <v>Delayed</v>
      </c>
      <c r="Z612" t="str" cm="1">
        <f t="array" ref="Z612">_xlfn.IFS(Sales_Data_1[[#This Row],[Profit_Amount]]&gt; 0, "Profitable", Sales_Data_1[[#This Row],[Profit_Amount]] = 0, "Break-Even", TRUE, "Loss")</f>
        <v>Profitable</v>
      </c>
      <c r="AA612" t="str" cm="1">
        <f t="array" ref="AA612">_xlfn.IFS(Sales_Data_1[[#This Row],[Sales]]&gt;= 1000, "High Value", Sales_Data_1[[#This Row],[Sales]]&gt;= 300, "Mid Value", TRUE, "Low Value")</f>
        <v>High Value</v>
      </c>
    </row>
    <row r="613" spans="1:27" x14ac:dyDescent="0.3">
      <c r="A613" t="s">
        <v>2623</v>
      </c>
      <c r="B613" s="1">
        <v>45509</v>
      </c>
      <c r="C613" t="s">
        <v>40</v>
      </c>
      <c r="D613" t="s">
        <v>31</v>
      </c>
      <c r="E613" t="s">
        <v>42</v>
      </c>
      <c r="F613" t="s">
        <v>97</v>
      </c>
      <c r="G613" t="s">
        <v>92</v>
      </c>
      <c r="H613" t="s">
        <v>93</v>
      </c>
      <c r="I613" t="s">
        <v>1228</v>
      </c>
      <c r="J613">
        <v>6</v>
      </c>
      <c r="K613">
        <v>10163</v>
      </c>
      <c r="L613">
        <v>0.12</v>
      </c>
      <c r="M613">
        <v>8943.44</v>
      </c>
      <c r="N613">
        <v>53660.639999999999</v>
      </c>
      <c r="O613">
        <v>0.15</v>
      </c>
      <c r="P613">
        <v>8049.1</v>
      </c>
      <c r="Q613" t="s">
        <v>47</v>
      </c>
      <c r="R613" t="s">
        <v>48</v>
      </c>
      <c r="S613">
        <v>8</v>
      </c>
      <c r="T613">
        <f>YEAR(Sales_Data_1[[#This Row],[Order_Date]])</f>
        <v>2024</v>
      </c>
      <c r="U613" t="str">
        <f>TEXT(Sales_Data_1[[#This Row],[Order_Date]], "mmm")</f>
        <v>Aug</v>
      </c>
      <c r="V613">
        <f>MONTH(Sales_Data_1[[#This Row],[Order_Date]])</f>
        <v>8</v>
      </c>
      <c r="W613" t="str">
        <f>TEXT(Sales_Data_1[[#This Row],[Order_Date]], "yyyy-mm")</f>
        <v>2024-08</v>
      </c>
      <c r="X613">
        <f>Sales_Data_1[[#This Row],[Sales]]-Sales_Data_1[[#This Row],[Profit_Amount]]</f>
        <v>45611.54</v>
      </c>
      <c r="Y613" t="str" cm="1">
        <f t="array" ref="Y613">_xlfn.IFS(Sales_Data_1[[#This Row],[Delivery_Days]]&lt;=3, "Fast", Sales_Data_1[[#This Row],[Delivery_Days]]&lt;= 7, "Standard", TRUE, "Delayed")</f>
        <v>Delayed</v>
      </c>
      <c r="Z613" t="str" cm="1">
        <f t="array" ref="Z613">_xlfn.IFS(Sales_Data_1[[#This Row],[Profit_Amount]]&gt; 0, "Profitable", Sales_Data_1[[#This Row],[Profit_Amount]] = 0, "Break-Even", TRUE, "Loss")</f>
        <v>Profitable</v>
      </c>
      <c r="AA613" t="str" cm="1">
        <f t="array" ref="AA613">_xlfn.IFS(Sales_Data_1[[#This Row],[Sales]]&gt;= 1000, "High Value", Sales_Data_1[[#This Row],[Sales]]&gt;= 300, "Mid Value", TRUE, "Low Value")</f>
        <v>High Value</v>
      </c>
    </row>
    <row r="614" spans="1:27" x14ac:dyDescent="0.3">
      <c r="A614" t="s">
        <v>2108</v>
      </c>
      <c r="B614" s="1">
        <v>44994</v>
      </c>
      <c r="C614" t="s">
        <v>55</v>
      </c>
      <c r="D614" t="s">
        <v>41</v>
      </c>
      <c r="E614" t="s">
        <v>67</v>
      </c>
      <c r="F614" t="s">
        <v>68</v>
      </c>
      <c r="G614" t="s">
        <v>57</v>
      </c>
      <c r="H614" t="s">
        <v>100</v>
      </c>
      <c r="I614" t="s">
        <v>205</v>
      </c>
      <c r="J614">
        <v>6</v>
      </c>
      <c r="K614">
        <v>8295</v>
      </c>
      <c r="L614">
        <v>0.19</v>
      </c>
      <c r="M614">
        <v>6718.95</v>
      </c>
      <c r="N614">
        <v>40313.699999999997</v>
      </c>
      <c r="O614">
        <v>0.2</v>
      </c>
      <c r="P614">
        <v>8062.74</v>
      </c>
      <c r="Q614" t="s">
        <v>27</v>
      </c>
      <c r="R614" t="s">
        <v>48</v>
      </c>
      <c r="S614">
        <v>3</v>
      </c>
      <c r="T614">
        <f>YEAR(Sales_Data_1[[#This Row],[Order_Date]])</f>
        <v>2023</v>
      </c>
      <c r="U614" t="str">
        <f>TEXT(Sales_Data_1[[#This Row],[Order_Date]], "mmm")</f>
        <v>Mar</v>
      </c>
      <c r="V614">
        <f>MONTH(Sales_Data_1[[#This Row],[Order_Date]])</f>
        <v>3</v>
      </c>
      <c r="W614" t="str">
        <f>TEXT(Sales_Data_1[[#This Row],[Order_Date]], "yyyy-mm")</f>
        <v>2023-03</v>
      </c>
      <c r="X614">
        <f>Sales_Data_1[[#This Row],[Sales]]-Sales_Data_1[[#This Row],[Profit_Amount]]</f>
        <v>32250.959999999999</v>
      </c>
      <c r="Y614" t="str" cm="1">
        <f t="array" ref="Y614">_xlfn.IFS(Sales_Data_1[[#This Row],[Delivery_Days]]&lt;=3, "Fast", Sales_Data_1[[#This Row],[Delivery_Days]]&lt;= 7, "Standard", TRUE, "Delayed")</f>
        <v>Fast</v>
      </c>
      <c r="Z614" t="str" cm="1">
        <f t="array" ref="Z614">_xlfn.IFS(Sales_Data_1[[#This Row],[Profit_Amount]]&gt; 0, "Profitable", Sales_Data_1[[#This Row],[Profit_Amount]] = 0, "Break-Even", TRUE, "Loss")</f>
        <v>Profitable</v>
      </c>
      <c r="AA614" t="str" cm="1">
        <f t="array" ref="AA614">_xlfn.IFS(Sales_Data_1[[#This Row],[Sales]]&gt;= 1000, "High Value", Sales_Data_1[[#This Row],[Sales]]&gt;= 300, "Mid Value", TRUE, "Low Value")</f>
        <v>High Value</v>
      </c>
    </row>
    <row r="615" spans="1:27" x14ac:dyDescent="0.3">
      <c r="A615" t="s">
        <v>2589</v>
      </c>
      <c r="B615" s="1">
        <v>45475</v>
      </c>
      <c r="C615" t="s">
        <v>55</v>
      </c>
      <c r="D615" t="s">
        <v>56</v>
      </c>
      <c r="E615" t="s">
        <v>42</v>
      </c>
      <c r="F615" t="s">
        <v>68</v>
      </c>
      <c r="G615" t="s">
        <v>92</v>
      </c>
      <c r="H615" t="s">
        <v>178</v>
      </c>
      <c r="I615" t="s">
        <v>1160</v>
      </c>
      <c r="J615">
        <v>3</v>
      </c>
      <c r="K615">
        <v>22411</v>
      </c>
      <c r="L615">
        <v>0.2</v>
      </c>
      <c r="M615">
        <v>17928.8</v>
      </c>
      <c r="N615">
        <v>53786.400000000001</v>
      </c>
      <c r="O615">
        <v>0.15</v>
      </c>
      <c r="P615">
        <v>8067.96</v>
      </c>
      <c r="Q615" t="s">
        <v>27</v>
      </c>
      <c r="R615" t="s">
        <v>48</v>
      </c>
      <c r="S615">
        <v>8</v>
      </c>
      <c r="T615">
        <f>YEAR(Sales_Data_1[[#This Row],[Order_Date]])</f>
        <v>2024</v>
      </c>
      <c r="U615" t="str">
        <f>TEXT(Sales_Data_1[[#This Row],[Order_Date]], "mmm")</f>
        <v>Jul</v>
      </c>
      <c r="V615">
        <f>MONTH(Sales_Data_1[[#This Row],[Order_Date]])</f>
        <v>7</v>
      </c>
      <c r="W615" t="str">
        <f>TEXT(Sales_Data_1[[#This Row],[Order_Date]], "yyyy-mm")</f>
        <v>2024-07</v>
      </c>
      <c r="X615">
        <f>Sales_Data_1[[#This Row],[Sales]]-Sales_Data_1[[#This Row],[Profit_Amount]]</f>
        <v>45718.44</v>
      </c>
      <c r="Y615" t="str" cm="1">
        <f t="array" ref="Y615">_xlfn.IFS(Sales_Data_1[[#This Row],[Delivery_Days]]&lt;=3, "Fast", Sales_Data_1[[#This Row],[Delivery_Days]]&lt;= 7, "Standard", TRUE, "Delayed")</f>
        <v>Delayed</v>
      </c>
      <c r="Z615" t="str" cm="1">
        <f t="array" ref="Z615">_xlfn.IFS(Sales_Data_1[[#This Row],[Profit_Amount]]&gt; 0, "Profitable", Sales_Data_1[[#This Row],[Profit_Amount]] = 0, "Break-Even", TRUE, "Loss")</f>
        <v>Profitable</v>
      </c>
      <c r="AA615" t="str" cm="1">
        <f t="array" ref="AA615">_xlfn.IFS(Sales_Data_1[[#This Row],[Sales]]&gt;= 1000, "High Value", Sales_Data_1[[#This Row],[Sales]]&gt;= 300, "Mid Value", TRUE, "Low Value")</f>
        <v>High Value</v>
      </c>
    </row>
    <row r="616" spans="1:27" x14ac:dyDescent="0.3">
      <c r="A616" t="s">
        <v>2711</v>
      </c>
      <c r="B616" s="1">
        <v>45597</v>
      </c>
      <c r="C616" t="s">
        <v>30</v>
      </c>
      <c r="D616" t="s">
        <v>31</v>
      </c>
      <c r="E616" t="s">
        <v>42</v>
      </c>
      <c r="F616" t="s">
        <v>43</v>
      </c>
      <c r="G616" t="s">
        <v>44</v>
      </c>
      <c r="H616" t="s">
        <v>116</v>
      </c>
      <c r="I616" t="s">
        <v>1398</v>
      </c>
      <c r="J616">
        <v>9</v>
      </c>
      <c r="K616">
        <v>2921</v>
      </c>
      <c r="L616">
        <v>0.12</v>
      </c>
      <c r="M616">
        <v>2570.48</v>
      </c>
      <c r="N616">
        <v>23134.32</v>
      </c>
      <c r="O616">
        <v>0.35</v>
      </c>
      <c r="P616">
        <v>8097.01</v>
      </c>
      <c r="Q616" t="s">
        <v>51</v>
      </c>
      <c r="R616" t="s">
        <v>38</v>
      </c>
      <c r="S616">
        <v>4</v>
      </c>
      <c r="T616">
        <f>YEAR(Sales_Data_1[[#This Row],[Order_Date]])</f>
        <v>2024</v>
      </c>
      <c r="U616" t="str">
        <f>TEXT(Sales_Data_1[[#This Row],[Order_Date]], "mmm")</f>
        <v>Nov</v>
      </c>
      <c r="V616">
        <f>MONTH(Sales_Data_1[[#This Row],[Order_Date]])</f>
        <v>11</v>
      </c>
      <c r="W616" t="str">
        <f>TEXT(Sales_Data_1[[#This Row],[Order_Date]], "yyyy-mm")</f>
        <v>2024-11</v>
      </c>
      <c r="X616">
        <f>Sales_Data_1[[#This Row],[Sales]]-Sales_Data_1[[#This Row],[Profit_Amount]]</f>
        <v>15037.31</v>
      </c>
      <c r="Y616" t="str" cm="1">
        <f t="array" ref="Y616">_xlfn.IFS(Sales_Data_1[[#This Row],[Delivery_Days]]&lt;=3, "Fast", Sales_Data_1[[#This Row],[Delivery_Days]]&lt;= 7, "Standard", TRUE, "Delayed")</f>
        <v>Standard</v>
      </c>
      <c r="Z616" t="str" cm="1">
        <f t="array" ref="Z616">_xlfn.IFS(Sales_Data_1[[#This Row],[Profit_Amount]]&gt; 0, "Profitable", Sales_Data_1[[#This Row],[Profit_Amount]] = 0, "Break-Even", TRUE, "Loss")</f>
        <v>Profitable</v>
      </c>
      <c r="AA616" t="str" cm="1">
        <f t="array" ref="AA616">_xlfn.IFS(Sales_Data_1[[#This Row],[Sales]]&gt;= 1000, "High Value", Sales_Data_1[[#This Row],[Sales]]&gt;= 300, "Mid Value", TRUE, "Low Value")</f>
        <v>High Value</v>
      </c>
    </row>
    <row r="617" spans="1:27" x14ac:dyDescent="0.3">
      <c r="A617" t="s">
        <v>2609</v>
      </c>
      <c r="B617" s="1">
        <v>45495</v>
      </c>
      <c r="C617" t="s">
        <v>30</v>
      </c>
      <c r="D617" t="s">
        <v>56</v>
      </c>
      <c r="E617" t="s">
        <v>42</v>
      </c>
      <c r="F617" t="s">
        <v>103</v>
      </c>
      <c r="G617" t="s">
        <v>24</v>
      </c>
      <c r="H617" t="s">
        <v>121</v>
      </c>
      <c r="I617" t="s">
        <v>1200</v>
      </c>
      <c r="J617">
        <v>4</v>
      </c>
      <c r="K617">
        <v>8758</v>
      </c>
      <c r="L617">
        <v>7.0000000000000007E-2</v>
      </c>
      <c r="M617">
        <v>8144.94</v>
      </c>
      <c r="N617">
        <v>32579.759999999998</v>
      </c>
      <c r="O617">
        <v>0.25</v>
      </c>
      <c r="P617">
        <v>8144.94</v>
      </c>
      <c r="Q617" t="s">
        <v>27</v>
      </c>
      <c r="R617" t="s">
        <v>38</v>
      </c>
      <c r="S617">
        <v>1</v>
      </c>
      <c r="T617">
        <f>YEAR(Sales_Data_1[[#This Row],[Order_Date]])</f>
        <v>2024</v>
      </c>
      <c r="U617" t="str">
        <f>TEXT(Sales_Data_1[[#This Row],[Order_Date]], "mmm")</f>
        <v>Jul</v>
      </c>
      <c r="V617">
        <f>MONTH(Sales_Data_1[[#This Row],[Order_Date]])</f>
        <v>7</v>
      </c>
      <c r="W617" t="str">
        <f>TEXT(Sales_Data_1[[#This Row],[Order_Date]], "yyyy-mm")</f>
        <v>2024-07</v>
      </c>
      <c r="X617">
        <f>Sales_Data_1[[#This Row],[Sales]]-Sales_Data_1[[#This Row],[Profit_Amount]]</f>
        <v>24434.82</v>
      </c>
      <c r="Y617" t="str" cm="1">
        <f t="array" ref="Y617">_xlfn.IFS(Sales_Data_1[[#This Row],[Delivery_Days]]&lt;=3, "Fast", Sales_Data_1[[#This Row],[Delivery_Days]]&lt;= 7, "Standard", TRUE, "Delayed")</f>
        <v>Fast</v>
      </c>
      <c r="Z617" t="str" cm="1">
        <f t="array" ref="Z617">_xlfn.IFS(Sales_Data_1[[#This Row],[Profit_Amount]]&gt; 0, "Profitable", Sales_Data_1[[#This Row],[Profit_Amount]] = 0, "Break-Even", TRUE, "Loss")</f>
        <v>Profitable</v>
      </c>
      <c r="AA617" t="str" cm="1">
        <f t="array" ref="AA617">_xlfn.IFS(Sales_Data_1[[#This Row],[Sales]]&gt;= 1000, "High Value", Sales_Data_1[[#This Row],[Sales]]&gt;= 300, "Mid Value", TRUE, "Low Value")</f>
        <v>High Value</v>
      </c>
    </row>
    <row r="618" spans="1:27" x14ac:dyDescent="0.3">
      <c r="A618" t="s">
        <v>2951</v>
      </c>
      <c r="B618" s="1">
        <v>45837</v>
      </c>
      <c r="C618" t="s">
        <v>55</v>
      </c>
      <c r="D618" t="s">
        <v>31</v>
      </c>
      <c r="E618" t="s">
        <v>2040</v>
      </c>
      <c r="F618" t="s">
        <v>43</v>
      </c>
      <c r="G618" t="s">
        <v>24</v>
      </c>
      <c r="H618" t="s">
        <v>121</v>
      </c>
      <c r="I618" t="s">
        <v>1265</v>
      </c>
      <c r="J618">
        <v>4</v>
      </c>
      <c r="K618">
        <v>9100</v>
      </c>
      <c r="L618">
        <v>0.1</v>
      </c>
      <c r="M618">
        <v>8190</v>
      </c>
      <c r="N618">
        <v>32760</v>
      </c>
      <c r="O618">
        <v>0.25</v>
      </c>
      <c r="P618">
        <v>8190</v>
      </c>
      <c r="Q618" t="s">
        <v>27</v>
      </c>
      <c r="R618" t="s">
        <v>48</v>
      </c>
      <c r="S618">
        <v>5</v>
      </c>
      <c r="T618">
        <f>YEAR(Sales_Data_1[[#This Row],[Order_Date]])</f>
        <v>2025</v>
      </c>
      <c r="U618" t="str">
        <f>TEXT(Sales_Data_1[[#This Row],[Order_Date]], "mmm")</f>
        <v>Jun</v>
      </c>
      <c r="V618">
        <f>MONTH(Sales_Data_1[[#This Row],[Order_Date]])</f>
        <v>6</v>
      </c>
      <c r="W618" t="str">
        <f>TEXT(Sales_Data_1[[#This Row],[Order_Date]], "yyyy-mm")</f>
        <v>2025-06</v>
      </c>
      <c r="X618">
        <f>Sales_Data_1[[#This Row],[Sales]]-Sales_Data_1[[#This Row],[Profit_Amount]]</f>
        <v>24570</v>
      </c>
      <c r="Y618" t="str" cm="1">
        <f t="array" ref="Y618">_xlfn.IFS(Sales_Data_1[[#This Row],[Delivery_Days]]&lt;=3, "Fast", Sales_Data_1[[#This Row],[Delivery_Days]]&lt;= 7, "Standard", TRUE, "Delayed")</f>
        <v>Standard</v>
      </c>
      <c r="Z618" t="str" cm="1">
        <f t="array" ref="Z618">_xlfn.IFS(Sales_Data_1[[#This Row],[Profit_Amount]]&gt; 0, "Profitable", Sales_Data_1[[#This Row],[Profit_Amount]] = 0, "Break-Even", TRUE, "Loss")</f>
        <v>Profitable</v>
      </c>
      <c r="AA618" t="str" cm="1">
        <f t="array" ref="AA618">_xlfn.IFS(Sales_Data_1[[#This Row],[Sales]]&gt;= 1000, "High Value", Sales_Data_1[[#This Row],[Sales]]&gt;= 300, "Mid Value", TRUE, "Low Value")</f>
        <v>High Value</v>
      </c>
    </row>
    <row r="619" spans="1:27" x14ac:dyDescent="0.3">
      <c r="A619" t="s">
        <v>2568</v>
      </c>
      <c r="B619" s="1">
        <v>45454</v>
      </c>
      <c r="C619" t="s">
        <v>55</v>
      </c>
      <c r="D619" t="s">
        <v>56</v>
      </c>
      <c r="E619" t="s">
        <v>2040</v>
      </c>
      <c r="F619" t="s">
        <v>33</v>
      </c>
      <c r="G619" t="s">
        <v>92</v>
      </c>
      <c r="H619" t="s">
        <v>178</v>
      </c>
      <c r="I619" t="s">
        <v>1119</v>
      </c>
      <c r="J619">
        <v>2</v>
      </c>
      <c r="K619">
        <v>35032</v>
      </c>
      <c r="L619">
        <v>0.22</v>
      </c>
      <c r="M619">
        <v>27324.959999999999</v>
      </c>
      <c r="N619">
        <v>54649.919999999998</v>
      </c>
      <c r="O619">
        <v>0.15</v>
      </c>
      <c r="P619">
        <v>8197.49</v>
      </c>
      <c r="Q619" t="s">
        <v>27</v>
      </c>
      <c r="R619" t="s">
        <v>38</v>
      </c>
      <c r="S619">
        <v>1</v>
      </c>
      <c r="T619">
        <f>YEAR(Sales_Data_1[[#This Row],[Order_Date]])</f>
        <v>2024</v>
      </c>
      <c r="U619" t="str">
        <f>TEXT(Sales_Data_1[[#This Row],[Order_Date]], "mmm")</f>
        <v>Jun</v>
      </c>
      <c r="V619">
        <f>MONTH(Sales_Data_1[[#This Row],[Order_Date]])</f>
        <v>6</v>
      </c>
      <c r="W619" t="str">
        <f>TEXT(Sales_Data_1[[#This Row],[Order_Date]], "yyyy-mm")</f>
        <v>2024-06</v>
      </c>
      <c r="X619">
        <f>Sales_Data_1[[#This Row],[Sales]]-Sales_Data_1[[#This Row],[Profit_Amount]]</f>
        <v>46452.43</v>
      </c>
      <c r="Y619" t="str" cm="1">
        <f t="array" ref="Y619">_xlfn.IFS(Sales_Data_1[[#This Row],[Delivery_Days]]&lt;=3, "Fast", Sales_Data_1[[#This Row],[Delivery_Days]]&lt;= 7, "Standard", TRUE, "Delayed")</f>
        <v>Fast</v>
      </c>
      <c r="Z619" t="str" cm="1">
        <f t="array" ref="Z619">_xlfn.IFS(Sales_Data_1[[#This Row],[Profit_Amount]]&gt; 0, "Profitable", Sales_Data_1[[#This Row],[Profit_Amount]] = 0, "Break-Even", TRUE, "Loss")</f>
        <v>Profitable</v>
      </c>
      <c r="AA619" t="str" cm="1">
        <f t="array" ref="AA619">_xlfn.IFS(Sales_Data_1[[#This Row],[Sales]]&gt;= 1000, "High Value", Sales_Data_1[[#This Row],[Sales]]&gt;= 300, "Mid Value", TRUE, "Low Value")</f>
        <v>High Value</v>
      </c>
    </row>
    <row r="620" spans="1:27" x14ac:dyDescent="0.3">
      <c r="A620" t="s">
        <v>2225</v>
      </c>
      <c r="B620" s="1">
        <v>45111</v>
      </c>
      <c r="C620" t="s">
        <v>30</v>
      </c>
      <c r="D620" t="s">
        <v>56</v>
      </c>
      <c r="E620" t="s">
        <v>2040</v>
      </c>
      <c r="F620" t="s">
        <v>68</v>
      </c>
      <c r="G620" t="s">
        <v>57</v>
      </c>
      <c r="H620" t="s">
        <v>183</v>
      </c>
      <c r="I620" t="s">
        <v>440</v>
      </c>
      <c r="J620">
        <v>4</v>
      </c>
      <c r="K620">
        <v>11556</v>
      </c>
      <c r="L620">
        <v>0.11</v>
      </c>
      <c r="M620">
        <v>10284.84</v>
      </c>
      <c r="N620">
        <v>41139.360000000001</v>
      </c>
      <c r="O620">
        <v>0.2</v>
      </c>
      <c r="P620">
        <v>8227.8700000000008</v>
      </c>
      <c r="Q620" t="s">
        <v>27</v>
      </c>
      <c r="R620" t="s">
        <v>48</v>
      </c>
      <c r="S620">
        <v>9</v>
      </c>
      <c r="T620">
        <f>YEAR(Sales_Data_1[[#This Row],[Order_Date]])</f>
        <v>2023</v>
      </c>
      <c r="U620" t="str">
        <f>TEXT(Sales_Data_1[[#This Row],[Order_Date]], "mmm")</f>
        <v>Jul</v>
      </c>
      <c r="V620">
        <f>MONTH(Sales_Data_1[[#This Row],[Order_Date]])</f>
        <v>7</v>
      </c>
      <c r="W620" t="str">
        <f>TEXT(Sales_Data_1[[#This Row],[Order_Date]], "yyyy-mm")</f>
        <v>2023-07</v>
      </c>
      <c r="X620">
        <f>Sales_Data_1[[#This Row],[Sales]]-Sales_Data_1[[#This Row],[Profit_Amount]]</f>
        <v>32911.49</v>
      </c>
      <c r="Y620" t="str" cm="1">
        <f t="array" ref="Y620">_xlfn.IFS(Sales_Data_1[[#This Row],[Delivery_Days]]&lt;=3, "Fast", Sales_Data_1[[#This Row],[Delivery_Days]]&lt;= 7, "Standard", TRUE, "Delayed")</f>
        <v>Delayed</v>
      </c>
      <c r="Z620" t="str" cm="1">
        <f t="array" ref="Z620">_xlfn.IFS(Sales_Data_1[[#This Row],[Profit_Amount]]&gt; 0, "Profitable", Sales_Data_1[[#This Row],[Profit_Amount]] = 0, "Break-Even", TRUE, "Loss")</f>
        <v>Profitable</v>
      </c>
      <c r="AA620" t="str" cm="1">
        <f t="array" ref="AA620">_xlfn.IFS(Sales_Data_1[[#This Row],[Sales]]&gt;= 1000, "High Value", Sales_Data_1[[#This Row],[Sales]]&gt;= 300, "Mid Value", TRUE, "Low Value")</f>
        <v>High Value</v>
      </c>
    </row>
    <row r="621" spans="1:27" x14ac:dyDescent="0.3">
      <c r="A621" t="s">
        <v>2505</v>
      </c>
      <c r="B621" s="1">
        <v>45391</v>
      </c>
      <c r="C621" t="s">
        <v>96</v>
      </c>
      <c r="D621" t="s">
        <v>56</v>
      </c>
      <c r="E621" t="s">
        <v>2040</v>
      </c>
      <c r="F621" t="s">
        <v>23</v>
      </c>
      <c r="G621" t="s">
        <v>57</v>
      </c>
      <c r="H621" t="s">
        <v>183</v>
      </c>
      <c r="I621" t="s">
        <v>995</v>
      </c>
      <c r="J621">
        <v>8</v>
      </c>
      <c r="K621">
        <v>6107</v>
      </c>
      <c r="L621">
        <v>0.15</v>
      </c>
      <c r="M621">
        <v>5190.95</v>
      </c>
      <c r="N621">
        <v>41527.599999999999</v>
      </c>
      <c r="O621">
        <v>0.2</v>
      </c>
      <c r="P621">
        <v>8305.52</v>
      </c>
      <c r="Q621" t="s">
        <v>27</v>
      </c>
      <c r="R621" t="s">
        <v>48</v>
      </c>
      <c r="S621">
        <v>5</v>
      </c>
      <c r="T621">
        <f>YEAR(Sales_Data_1[[#This Row],[Order_Date]])</f>
        <v>2024</v>
      </c>
      <c r="U621" t="str">
        <f>TEXT(Sales_Data_1[[#This Row],[Order_Date]], "mmm")</f>
        <v>Apr</v>
      </c>
      <c r="V621">
        <f>MONTH(Sales_Data_1[[#This Row],[Order_Date]])</f>
        <v>4</v>
      </c>
      <c r="W621" t="str">
        <f>TEXT(Sales_Data_1[[#This Row],[Order_Date]], "yyyy-mm")</f>
        <v>2024-04</v>
      </c>
      <c r="X621">
        <f>Sales_Data_1[[#This Row],[Sales]]-Sales_Data_1[[#This Row],[Profit_Amount]]</f>
        <v>33222.080000000002</v>
      </c>
      <c r="Y621" t="str" cm="1">
        <f t="array" ref="Y621">_xlfn.IFS(Sales_Data_1[[#This Row],[Delivery_Days]]&lt;=3, "Fast", Sales_Data_1[[#This Row],[Delivery_Days]]&lt;= 7, "Standard", TRUE, "Delayed")</f>
        <v>Standard</v>
      </c>
      <c r="Z621" t="str" cm="1">
        <f t="array" ref="Z621">_xlfn.IFS(Sales_Data_1[[#This Row],[Profit_Amount]]&gt; 0, "Profitable", Sales_Data_1[[#This Row],[Profit_Amount]] = 0, "Break-Even", TRUE, "Loss")</f>
        <v>Profitable</v>
      </c>
      <c r="AA621" t="str" cm="1">
        <f t="array" ref="AA621">_xlfn.IFS(Sales_Data_1[[#This Row],[Sales]]&gt;= 1000, "High Value", Sales_Data_1[[#This Row],[Sales]]&gt;= 300, "Mid Value", TRUE, "Low Value")</f>
        <v>High Value</v>
      </c>
    </row>
    <row r="622" spans="1:27" x14ac:dyDescent="0.3">
      <c r="A622" t="s">
        <v>3000</v>
      </c>
      <c r="B622" s="1">
        <v>45886</v>
      </c>
      <c r="C622" t="s">
        <v>96</v>
      </c>
      <c r="D622" t="s">
        <v>21</v>
      </c>
      <c r="E622" t="s">
        <v>2040</v>
      </c>
      <c r="F622" t="s">
        <v>103</v>
      </c>
      <c r="G622" t="s">
        <v>92</v>
      </c>
      <c r="H622" t="s">
        <v>93</v>
      </c>
      <c r="I622" t="s">
        <v>1960</v>
      </c>
      <c r="J622">
        <v>1</v>
      </c>
      <c r="K622">
        <v>73870</v>
      </c>
      <c r="L622">
        <v>0.25</v>
      </c>
      <c r="M622">
        <v>55402.5</v>
      </c>
      <c r="N622">
        <v>55402.5</v>
      </c>
      <c r="O622">
        <v>0.15</v>
      </c>
      <c r="P622">
        <v>8310.3799999999992</v>
      </c>
      <c r="Q622" t="s">
        <v>37</v>
      </c>
      <c r="R622" t="s">
        <v>48</v>
      </c>
      <c r="S622">
        <v>4</v>
      </c>
      <c r="T622">
        <f>YEAR(Sales_Data_1[[#This Row],[Order_Date]])</f>
        <v>2025</v>
      </c>
      <c r="U622" t="str">
        <f>TEXT(Sales_Data_1[[#This Row],[Order_Date]], "mmm")</f>
        <v>Aug</v>
      </c>
      <c r="V622">
        <f>MONTH(Sales_Data_1[[#This Row],[Order_Date]])</f>
        <v>8</v>
      </c>
      <c r="W622" t="str">
        <f>TEXT(Sales_Data_1[[#This Row],[Order_Date]], "yyyy-mm")</f>
        <v>2025-08</v>
      </c>
      <c r="X622">
        <f>Sales_Data_1[[#This Row],[Sales]]-Sales_Data_1[[#This Row],[Profit_Amount]]</f>
        <v>47092.12</v>
      </c>
      <c r="Y622" t="str" cm="1">
        <f t="array" ref="Y622">_xlfn.IFS(Sales_Data_1[[#This Row],[Delivery_Days]]&lt;=3, "Fast", Sales_Data_1[[#This Row],[Delivery_Days]]&lt;= 7, "Standard", TRUE, "Delayed")</f>
        <v>Standard</v>
      </c>
      <c r="Z622" t="str" cm="1">
        <f t="array" ref="Z622">_xlfn.IFS(Sales_Data_1[[#This Row],[Profit_Amount]]&gt; 0, "Profitable", Sales_Data_1[[#This Row],[Profit_Amount]] = 0, "Break-Even", TRUE, "Loss")</f>
        <v>Profitable</v>
      </c>
      <c r="AA622" t="str" cm="1">
        <f t="array" ref="AA622">_xlfn.IFS(Sales_Data_1[[#This Row],[Sales]]&gt;= 1000, "High Value", Sales_Data_1[[#This Row],[Sales]]&gt;= 300, "Mid Value", TRUE, "Low Value")</f>
        <v>High Value</v>
      </c>
    </row>
    <row r="623" spans="1:27" x14ac:dyDescent="0.3">
      <c r="A623" t="s">
        <v>2985</v>
      </c>
      <c r="B623" s="1">
        <v>45871</v>
      </c>
      <c r="C623" t="s">
        <v>30</v>
      </c>
      <c r="D623" t="s">
        <v>21</v>
      </c>
      <c r="E623" t="s">
        <v>2042</v>
      </c>
      <c r="F623" t="s">
        <v>43</v>
      </c>
      <c r="G623" t="s">
        <v>44</v>
      </c>
      <c r="H623" t="s">
        <v>138</v>
      </c>
      <c r="I623" t="s">
        <v>332</v>
      </c>
      <c r="J623">
        <v>7</v>
      </c>
      <c r="K623">
        <v>3715</v>
      </c>
      <c r="L623">
        <v>0.08</v>
      </c>
      <c r="M623">
        <v>3417.8</v>
      </c>
      <c r="N623">
        <v>23924.6</v>
      </c>
      <c r="O623">
        <v>0.35</v>
      </c>
      <c r="P623">
        <v>8373.61</v>
      </c>
      <c r="Q623" t="s">
        <v>27</v>
      </c>
      <c r="R623" t="s">
        <v>48</v>
      </c>
      <c r="S623">
        <v>6</v>
      </c>
      <c r="T623">
        <f>YEAR(Sales_Data_1[[#This Row],[Order_Date]])</f>
        <v>2025</v>
      </c>
      <c r="U623" t="str">
        <f>TEXT(Sales_Data_1[[#This Row],[Order_Date]], "mmm")</f>
        <v>Aug</v>
      </c>
      <c r="V623">
        <f>MONTH(Sales_Data_1[[#This Row],[Order_Date]])</f>
        <v>8</v>
      </c>
      <c r="W623" t="str">
        <f>TEXT(Sales_Data_1[[#This Row],[Order_Date]], "yyyy-mm")</f>
        <v>2025-08</v>
      </c>
      <c r="X623">
        <f>Sales_Data_1[[#This Row],[Sales]]-Sales_Data_1[[#This Row],[Profit_Amount]]</f>
        <v>15550.989999999998</v>
      </c>
      <c r="Y623" t="str" cm="1">
        <f t="array" ref="Y623">_xlfn.IFS(Sales_Data_1[[#This Row],[Delivery_Days]]&lt;=3, "Fast", Sales_Data_1[[#This Row],[Delivery_Days]]&lt;= 7, "Standard", TRUE, "Delayed")</f>
        <v>Standard</v>
      </c>
      <c r="Z623" t="str" cm="1">
        <f t="array" ref="Z623">_xlfn.IFS(Sales_Data_1[[#This Row],[Profit_Amount]]&gt; 0, "Profitable", Sales_Data_1[[#This Row],[Profit_Amount]] = 0, "Break-Even", TRUE, "Loss")</f>
        <v>Profitable</v>
      </c>
      <c r="AA623" t="str" cm="1">
        <f t="array" ref="AA623">_xlfn.IFS(Sales_Data_1[[#This Row],[Sales]]&gt;= 1000, "High Value", Sales_Data_1[[#This Row],[Sales]]&gt;= 300, "Mid Value", TRUE, "Low Value")</f>
        <v>High Value</v>
      </c>
    </row>
    <row r="624" spans="1:27" x14ac:dyDescent="0.3">
      <c r="A624" t="s">
        <v>2929</v>
      </c>
      <c r="B624" s="1">
        <v>45815</v>
      </c>
      <c r="C624" t="s">
        <v>96</v>
      </c>
      <c r="D624" t="s">
        <v>31</v>
      </c>
      <c r="E624" t="s">
        <v>2042</v>
      </c>
      <c r="F624" t="s">
        <v>43</v>
      </c>
      <c r="G624" t="s">
        <v>57</v>
      </c>
      <c r="H624" t="s">
        <v>58</v>
      </c>
      <c r="I624" t="s">
        <v>1827</v>
      </c>
      <c r="J624">
        <v>5</v>
      </c>
      <c r="K624">
        <v>11032</v>
      </c>
      <c r="L624">
        <v>0.23</v>
      </c>
      <c r="M624">
        <v>8494.64</v>
      </c>
      <c r="N624">
        <v>42473.2</v>
      </c>
      <c r="O624">
        <v>0.2</v>
      </c>
      <c r="P624">
        <v>8494.64</v>
      </c>
      <c r="Q624" t="s">
        <v>37</v>
      </c>
      <c r="R624" t="s">
        <v>48</v>
      </c>
      <c r="S624">
        <v>4</v>
      </c>
      <c r="T624">
        <f>YEAR(Sales_Data_1[[#This Row],[Order_Date]])</f>
        <v>2025</v>
      </c>
      <c r="U624" t="str">
        <f>TEXT(Sales_Data_1[[#This Row],[Order_Date]], "mmm")</f>
        <v>Jun</v>
      </c>
      <c r="V624">
        <f>MONTH(Sales_Data_1[[#This Row],[Order_Date]])</f>
        <v>6</v>
      </c>
      <c r="W624" t="str">
        <f>TEXT(Sales_Data_1[[#This Row],[Order_Date]], "yyyy-mm")</f>
        <v>2025-06</v>
      </c>
      <c r="X624">
        <f>Sales_Data_1[[#This Row],[Sales]]-Sales_Data_1[[#This Row],[Profit_Amount]]</f>
        <v>33978.559999999998</v>
      </c>
      <c r="Y624" t="str" cm="1">
        <f t="array" ref="Y624">_xlfn.IFS(Sales_Data_1[[#This Row],[Delivery_Days]]&lt;=3, "Fast", Sales_Data_1[[#This Row],[Delivery_Days]]&lt;= 7, "Standard", TRUE, "Delayed")</f>
        <v>Standard</v>
      </c>
      <c r="Z624" t="str" cm="1">
        <f t="array" ref="Z624">_xlfn.IFS(Sales_Data_1[[#This Row],[Profit_Amount]]&gt; 0, "Profitable", Sales_Data_1[[#This Row],[Profit_Amount]] = 0, "Break-Even", TRUE, "Loss")</f>
        <v>Profitable</v>
      </c>
      <c r="AA624" t="str" cm="1">
        <f t="array" ref="AA624">_xlfn.IFS(Sales_Data_1[[#This Row],[Sales]]&gt;= 1000, "High Value", Sales_Data_1[[#This Row],[Sales]]&gt;= 300, "Mid Value", TRUE, "Low Value")</f>
        <v>High Value</v>
      </c>
    </row>
    <row r="625" spans="1:27" x14ac:dyDescent="0.3">
      <c r="A625" t="s">
        <v>2783</v>
      </c>
      <c r="B625" s="1">
        <v>45669</v>
      </c>
      <c r="C625" t="s">
        <v>63</v>
      </c>
      <c r="D625" t="s">
        <v>31</v>
      </c>
      <c r="E625" t="s">
        <v>2042</v>
      </c>
      <c r="F625" t="s">
        <v>97</v>
      </c>
      <c r="G625" t="s">
        <v>57</v>
      </c>
      <c r="H625" t="s">
        <v>58</v>
      </c>
      <c r="I625" t="s">
        <v>1540</v>
      </c>
      <c r="J625">
        <v>9</v>
      </c>
      <c r="K625">
        <v>5081</v>
      </c>
      <c r="L625">
        <v>7.0000000000000007E-2</v>
      </c>
      <c r="M625">
        <v>4725.33</v>
      </c>
      <c r="N625">
        <v>42527.97</v>
      </c>
      <c r="O625">
        <v>0.2</v>
      </c>
      <c r="P625">
        <v>8505.59</v>
      </c>
      <c r="Q625" t="s">
        <v>37</v>
      </c>
      <c r="R625" t="s">
        <v>48</v>
      </c>
      <c r="S625">
        <v>1</v>
      </c>
      <c r="T625">
        <f>YEAR(Sales_Data_1[[#This Row],[Order_Date]])</f>
        <v>2025</v>
      </c>
      <c r="U625" t="str">
        <f>TEXT(Sales_Data_1[[#This Row],[Order_Date]], "mmm")</f>
        <v>Jan</v>
      </c>
      <c r="V625">
        <f>MONTH(Sales_Data_1[[#This Row],[Order_Date]])</f>
        <v>1</v>
      </c>
      <c r="W625" t="str">
        <f>TEXT(Sales_Data_1[[#This Row],[Order_Date]], "yyyy-mm")</f>
        <v>2025-01</v>
      </c>
      <c r="X625">
        <f>Sales_Data_1[[#This Row],[Sales]]-Sales_Data_1[[#This Row],[Profit_Amount]]</f>
        <v>34022.380000000005</v>
      </c>
      <c r="Y625" t="str" cm="1">
        <f t="array" ref="Y625">_xlfn.IFS(Sales_Data_1[[#This Row],[Delivery_Days]]&lt;=3, "Fast", Sales_Data_1[[#This Row],[Delivery_Days]]&lt;= 7, "Standard", TRUE, "Delayed")</f>
        <v>Fast</v>
      </c>
      <c r="Z625" t="str" cm="1">
        <f t="array" ref="Z625">_xlfn.IFS(Sales_Data_1[[#This Row],[Profit_Amount]]&gt; 0, "Profitable", Sales_Data_1[[#This Row],[Profit_Amount]] = 0, "Break-Even", TRUE, "Loss")</f>
        <v>Profitable</v>
      </c>
      <c r="AA625" t="str" cm="1">
        <f t="array" ref="AA625">_xlfn.IFS(Sales_Data_1[[#This Row],[Sales]]&gt;= 1000, "High Value", Sales_Data_1[[#This Row],[Sales]]&gt;= 300, "Mid Value", TRUE, "Low Value")</f>
        <v>High Value</v>
      </c>
    </row>
    <row r="626" spans="1:27" x14ac:dyDescent="0.3">
      <c r="A626" t="s">
        <v>2248</v>
      </c>
      <c r="B626" s="1">
        <v>45134</v>
      </c>
      <c r="C626" t="s">
        <v>30</v>
      </c>
      <c r="D626" t="s">
        <v>56</v>
      </c>
      <c r="E626" t="s">
        <v>2042</v>
      </c>
      <c r="F626" t="s">
        <v>68</v>
      </c>
      <c r="G626" t="s">
        <v>44</v>
      </c>
      <c r="H626" t="s">
        <v>64</v>
      </c>
      <c r="I626" t="s">
        <v>486</v>
      </c>
      <c r="J626">
        <v>7</v>
      </c>
      <c r="K626">
        <v>3624</v>
      </c>
      <c r="L626">
        <v>0.04</v>
      </c>
      <c r="M626">
        <v>3479.04</v>
      </c>
      <c r="N626">
        <v>24353.279999999999</v>
      </c>
      <c r="O626">
        <v>0.35</v>
      </c>
      <c r="P626">
        <v>8523.65</v>
      </c>
      <c r="Q626" t="s">
        <v>51</v>
      </c>
      <c r="R626" t="s">
        <v>48</v>
      </c>
      <c r="S626">
        <v>8</v>
      </c>
      <c r="T626">
        <f>YEAR(Sales_Data_1[[#This Row],[Order_Date]])</f>
        <v>2023</v>
      </c>
      <c r="U626" t="str">
        <f>TEXT(Sales_Data_1[[#This Row],[Order_Date]], "mmm")</f>
        <v>Jul</v>
      </c>
      <c r="V626">
        <f>MONTH(Sales_Data_1[[#This Row],[Order_Date]])</f>
        <v>7</v>
      </c>
      <c r="W626" t="str">
        <f>TEXT(Sales_Data_1[[#This Row],[Order_Date]], "yyyy-mm")</f>
        <v>2023-07</v>
      </c>
      <c r="X626">
        <f>Sales_Data_1[[#This Row],[Sales]]-Sales_Data_1[[#This Row],[Profit_Amount]]</f>
        <v>15829.63</v>
      </c>
      <c r="Y626" t="str" cm="1">
        <f t="array" ref="Y626">_xlfn.IFS(Sales_Data_1[[#This Row],[Delivery_Days]]&lt;=3, "Fast", Sales_Data_1[[#This Row],[Delivery_Days]]&lt;= 7, "Standard", TRUE, "Delayed")</f>
        <v>Delayed</v>
      </c>
      <c r="Z626" t="str" cm="1">
        <f t="array" ref="Z626">_xlfn.IFS(Sales_Data_1[[#This Row],[Profit_Amount]]&gt; 0, "Profitable", Sales_Data_1[[#This Row],[Profit_Amount]] = 0, "Break-Even", TRUE, "Loss")</f>
        <v>Profitable</v>
      </c>
      <c r="AA626" t="str" cm="1">
        <f t="array" ref="AA626">_xlfn.IFS(Sales_Data_1[[#This Row],[Sales]]&gt;= 1000, "High Value", Sales_Data_1[[#This Row],[Sales]]&gt;= 300, "Mid Value", TRUE, "Low Value")</f>
        <v>High Value</v>
      </c>
    </row>
    <row r="627" spans="1:27" x14ac:dyDescent="0.3">
      <c r="A627" t="s">
        <v>2177</v>
      </c>
      <c r="B627" s="1">
        <v>45063</v>
      </c>
      <c r="C627" t="s">
        <v>96</v>
      </c>
      <c r="D627" t="s">
        <v>31</v>
      </c>
      <c r="E627" t="s">
        <v>2042</v>
      </c>
      <c r="F627" t="s">
        <v>68</v>
      </c>
      <c r="G627" t="s">
        <v>24</v>
      </c>
      <c r="H627" t="s">
        <v>74</v>
      </c>
      <c r="I627" t="s">
        <v>344</v>
      </c>
      <c r="J627">
        <v>6</v>
      </c>
      <c r="K627">
        <v>7116</v>
      </c>
      <c r="L627">
        <v>0.19</v>
      </c>
      <c r="M627">
        <v>5763.96</v>
      </c>
      <c r="N627">
        <v>34583.760000000002</v>
      </c>
      <c r="O627">
        <v>0.25</v>
      </c>
      <c r="P627">
        <v>8645.94</v>
      </c>
      <c r="Q627" t="s">
        <v>37</v>
      </c>
      <c r="R627" t="s">
        <v>48</v>
      </c>
      <c r="S627">
        <v>5</v>
      </c>
      <c r="T627">
        <f>YEAR(Sales_Data_1[[#This Row],[Order_Date]])</f>
        <v>2023</v>
      </c>
      <c r="U627" t="str">
        <f>TEXT(Sales_Data_1[[#This Row],[Order_Date]], "mmm")</f>
        <v>May</v>
      </c>
      <c r="V627">
        <f>MONTH(Sales_Data_1[[#This Row],[Order_Date]])</f>
        <v>5</v>
      </c>
      <c r="W627" t="str">
        <f>TEXT(Sales_Data_1[[#This Row],[Order_Date]], "yyyy-mm")</f>
        <v>2023-05</v>
      </c>
      <c r="X627">
        <f>Sales_Data_1[[#This Row],[Sales]]-Sales_Data_1[[#This Row],[Profit_Amount]]</f>
        <v>25937.82</v>
      </c>
      <c r="Y627" t="str" cm="1">
        <f t="array" ref="Y627">_xlfn.IFS(Sales_Data_1[[#This Row],[Delivery_Days]]&lt;=3, "Fast", Sales_Data_1[[#This Row],[Delivery_Days]]&lt;= 7, "Standard", TRUE, "Delayed")</f>
        <v>Standard</v>
      </c>
      <c r="Z627" t="str" cm="1">
        <f t="array" ref="Z627">_xlfn.IFS(Sales_Data_1[[#This Row],[Profit_Amount]]&gt; 0, "Profitable", Sales_Data_1[[#This Row],[Profit_Amount]] = 0, "Break-Even", TRUE, "Loss")</f>
        <v>Profitable</v>
      </c>
      <c r="AA627" t="str" cm="1">
        <f t="array" ref="AA627">_xlfn.IFS(Sales_Data_1[[#This Row],[Sales]]&gt;= 1000, "High Value", Sales_Data_1[[#This Row],[Sales]]&gt;= 300, "Mid Value", TRUE, "Low Value")</f>
        <v>High Value</v>
      </c>
    </row>
    <row r="628" spans="1:27" x14ac:dyDescent="0.3">
      <c r="A628" t="s">
        <v>2149</v>
      </c>
      <c r="B628" s="1">
        <v>45035</v>
      </c>
      <c r="C628" t="s">
        <v>30</v>
      </c>
      <c r="D628" t="s">
        <v>31</v>
      </c>
      <c r="E628" t="s">
        <v>2040</v>
      </c>
      <c r="F628" t="s">
        <v>103</v>
      </c>
      <c r="G628" t="s">
        <v>44</v>
      </c>
      <c r="H628" t="s">
        <v>64</v>
      </c>
      <c r="I628" t="s">
        <v>288</v>
      </c>
      <c r="J628">
        <v>6</v>
      </c>
      <c r="K628">
        <v>4428</v>
      </c>
      <c r="L628">
        <v>7.0000000000000007E-2</v>
      </c>
      <c r="M628">
        <v>4118.04</v>
      </c>
      <c r="N628">
        <v>24708.240000000002</v>
      </c>
      <c r="O628">
        <v>0.35</v>
      </c>
      <c r="P628">
        <v>8647.8799999999992</v>
      </c>
      <c r="Q628" t="s">
        <v>51</v>
      </c>
      <c r="R628" t="s">
        <v>48</v>
      </c>
      <c r="S628">
        <v>1</v>
      </c>
      <c r="T628">
        <f>YEAR(Sales_Data_1[[#This Row],[Order_Date]])</f>
        <v>2023</v>
      </c>
      <c r="U628" t="str">
        <f>TEXT(Sales_Data_1[[#This Row],[Order_Date]], "mmm")</f>
        <v>Apr</v>
      </c>
      <c r="V628">
        <f>MONTH(Sales_Data_1[[#This Row],[Order_Date]])</f>
        <v>4</v>
      </c>
      <c r="W628" t="str">
        <f>TEXT(Sales_Data_1[[#This Row],[Order_Date]], "yyyy-mm")</f>
        <v>2023-04</v>
      </c>
      <c r="X628">
        <f>Sales_Data_1[[#This Row],[Sales]]-Sales_Data_1[[#This Row],[Profit_Amount]]</f>
        <v>16060.360000000002</v>
      </c>
      <c r="Y628" t="str" cm="1">
        <f t="array" ref="Y628">_xlfn.IFS(Sales_Data_1[[#This Row],[Delivery_Days]]&lt;=3, "Fast", Sales_Data_1[[#This Row],[Delivery_Days]]&lt;= 7, "Standard", TRUE, "Delayed")</f>
        <v>Fast</v>
      </c>
      <c r="Z628" t="str" cm="1">
        <f t="array" ref="Z628">_xlfn.IFS(Sales_Data_1[[#This Row],[Profit_Amount]]&gt; 0, "Profitable", Sales_Data_1[[#This Row],[Profit_Amount]] = 0, "Break-Even", TRUE, "Loss")</f>
        <v>Profitable</v>
      </c>
      <c r="AA628" t="str" cm="1">
        <f t="array" ref="AA628">_xlfn.IFS(Sales_Data_1[[#This Row],[Sales]]&gt;= 1000, "High Value", Sales_Data_1[[#This Row],[Sales]]&gt;= 300, "Mid Value", TRUE, "Low Value")</f>
        <v>High Value</v>
      </c>
    </row>
    <row r="629" spans="1:27" x14ac:dyDescent="0.3">
      <c r="A629" t="s">
        <v>3028</v>
      </c>
      <c r="B629" s="1">
        <v>45914</v>
      </c>
      <c r="C629" t="s">
        <v>96</v>
      </c>
      <c r="D629" t="s">
        <v>31</v>
      </c>
      <c r="E629" t="s">
        <v>42</v>
      </c>
      <c r="F629" t="s">
        <v>97</v>
      </c>
      <c r="G629" t="s">
        <v>24</v>
      </c>
      <c r="H629" t="s">
        <v>74</v>
      </c>
      <c r="I629" t="s">
        <v>2015</v>
      </c>
      <c r="J629">
        <v>7</v>
      </c>
      <c r="K629">
        <v>6546</v>
      </c>
      <c r="L629">
        <v>0.24</v>
      </c>
      <c r="M629">
        <v>4974.96</v>
      </c>
      <c r="N629">
        <v>34824.720000000001</v>
      </c>
      <c r="O629">
        <v>0.25</v>
      </c>
      <c r="P629">
        <v>8706.18</v>
      </c>
      <c r="Q629" t="s">
        <v>27</v>
      </c>
      <c r="R629" t="s">
        <v>48</v>
      </c>
      <c r="S629">
        <v>3</v>
      </c>
      <c r="T629">
        <f>YEAR(Sales_Data_1[[#This Row],[Order_Date]])</f>
        <v>2025</v>
      </c>
      <c r="U629" t="str">
        <f>TEXT(Sales_Data_1[[#This Row],[Order_Date]], "mmm")</f>
        <v>Sep</v>
      </c>
      <c r="V629">
        <f>MONTH(Sales_Data_1[[#This Row],[Order_Date]])</f>
        <v>9</v>
      </c>
      <c r="W629" t="str">
        <f>TEXT(Sales_Data_1[[#This Row],[Order_Date]], "yyyy-mm")</f>
        <v>2025-09</v>
      </c>
      <c r="X629">
        <f>Sales_Data_1[[#This Row],[Sales]]-Sales_Data_1[[#This Row],[Profit_Amount]]</f>
        <v>26118.54</v>
      </c>
      <c r="Y629" t="str" cm="1">
        <f t="array" ref="Y629">_xlfn.IFS(Sales_Data_1[[#This Row],[Delivery_Days]]&lt;=3, "Fast", Sales_Data_1[[#This Row],[Delivery_Days]]&lt;= 7, "Standard", TRUE, "Delayed")</f>
        <v>Fast</v>
      </c>
      <c r="Z629" t="str" cm="1">
        <f t="array" ref="Z629">_xlfn.IFS(Sales_Data_1[[#This Row],[Profit_Amount]]&gt; 0, "Profitable", Sales_Data_1[[#This Row],[Profit_Amount]] = 0, "Break-Even", TRUE, "Loss")</f>
        <v>Profitable</v>
      </c>
      <c r="AA629" t="str" cm="1">
        <f t="array" ref="AA629">_xlfn.IFS(Sales_Data_1[[#This Row],[Sales]]&gt;= 1000, "High Value", Sales_Data_1[[#This Row],[Sales]]&gt;= 300, "Mid Value", TRUE, "Low Value")</f>
        <v>High Value</v>
      </c>
    </row>
    <row r="630" spans="1:27" x14ac:dyDescent="0.3">
      <c r="A630" t="s">
        <v>2792</v>
      </c>
      <c r="B630" s="1">
        <v>45678</v>
      </c>
      <c r="C630" t="s">
        <v>63</v>
      </c>
      <c r="D630" t="s">
        <v>41</v>
      </c>
      <c r="E630" t="s">
        <v>42</v>
      </c>
      <c r="F630" t="s">
        <v>97</v>
      </c>
      <c r="G630" t="s">
        <v>24</v>
      </c>
      <c r="H630" t="s">
        <v>121</v>
      </c>
      <c r="I630" t="s">
        <v>1557</v>
      </c>
      <c r="J630">
        <v>4</v>
      </c>
      <c r="K630">
        <v>9505</v>
      </c>
      <c r="L630">
        <v>0.08</v>
      </c>
      <c r="M630">
        <v>8744.6</v>
      </c>
      <c r="N630">
        <v>34978.400000000001</v>
      </c>
      <c r="O630">
        <v>0.25</v>
      </c>
      <c r="P630">
        <v>8744.6</v>
      </c>
      <c r="Q630" t="s">
        <v>27</v>
      </c>
      <c r="R630" t="s">
        <v>48</v>
      </c>
      <c r="S630">
        <v>3</v>
      </c>
      <c r="T630">
        <f>YEAR(Sales_Data_1[[#This Row],[Order_Date]])</f>
        <v>2025</v>
      </c>
      <c r="U630" t="str">
        <f>TEXT(Sales_Data_1[[#This Row],[Order_Date]], "mmm")</f>
        <v>Jan</v>
      </c>
      <c r="V630">
        <f>MONTH(Sales_Data_1[[#This Row],[Order_Date]])</f>
        <v>1</v>
      </c>
      <c r="W630" t="str">
        <f>TEXT(Sales_Data_1[[#This Row],[Order_Date]], "yyyy-mm")</f>
        <v>2025-01</v>
      </c>
      <c r="X630">
        <f>Sales_Data_1[[#This Row],[Sales]]-Sales_Data_1[[#This Row],[Profit_Amount]]</f>
        <v>26233.800000000003</v>
      </c>
      <c r="Y630" t="str" cm="1">
        <f t="array" ref="Y630">_xlfn.IFS(Sales_Data_1[[#This Row],[Delivery_Days]]&lt;=3, "Fast", Sales_Data_1[[#This Row],[Delivery_Days]]&lt;= 7, "Standard", TRUE, "Delayed")</f>
        <v>Fast</v>
      </c>
      <c r="Z630" t="str" cm="1">
        <f t="array" ref="Z630">_xlfn.IFS(Sales_Data_1[[#This Row],[Profit_Amount]]&gt; 0, "Profitable", Sales_Data_1[[#This Row],[Profit_Amount]] = 0, "Break-Even", TRUE, "Loss")</f>
        <v>Profitable</v>
      </c>
      <c r="AA630" t="str" cm="1">
        <f t="array" ref="AA630">_xlfn.IFS(Sales_Data_1[[#This Row],[Sales]]&gt;= 1000, "High Value", Sales_Data_1[[#This Row],[Sales]]&gt;= 300, "Mid Value", TRUE, "Low Value")</f>
        <v>High Value</v>
      </c>
    </row>
    <row r="631" spans="1:27" x14ac:dyDescent="0.3">
      <c r="A631" t="s">
        <v>2474</v>
      </c>
      <c r="B631" s="1">
        <v>45360</v>
      </c>
      <c r="C631" t="s">
        <v>96</v>
      </c>
      <c r="D631" t="s">
        <v>21</v>
      </c>
      <c r="E631" t="s">
        <v>2040</v>
      </c>
      <c r="F631" t="s">
        <v>43</v>
      </c>
      <c r="G631" t="s">
        <v>44</v>
      </c>
      <c r="H631" t="s">
        <v>116</v>
      </c>
      <c r="I631" t="s">
        <v>934</v>
      </c>
      <c r="J631">
        <v>6</v>
      </c>
      <c r="K631">
        <v>4443</v>
      </c>
      <c r="L631">
        <v>0.06</v>
      </c>
      <c r="M631">
        <v>4176.42</v>
      </c>
      <c r="N631">
        <v>25058.52</v>
      </c>
      <c r="O631">
        <v>0.35</v>
      </c>
      <c r="P631">
        <v>8770.48</v>
      </c>
      <c r="Q631" t="s">
        <v>47</v>
      </c>
      <c r="R631" t="s">
        <v>48</v>
      </c>
      <c r="S631">
        <v>1</v>
      </c>
      <c r="T631">
        <f>YEAR(Sales_Data_1[[#This Row],[Order_Date]])</f>
        <v>2024</v>
      </c>
      <c r="U631" t="str">
        <f>TEXT(Sales_Data_1[[#This Row],[Order_Date]], "mmm")</f>
        <v>Mar</v>
      </c>
      <c r="V631">
        <f>MONTH(Sales_Data_1[[#This Row],[Order_Date]])</f>
        <v>3</v>
      </c>
      <c r="W631" t="str">
        <f>TEXT(Sales_Data_1[[#This Row],[Order_Date]], "yyyy-mm")</f>
        <v>2024-03</v>
      </c>
      <c r="X631">
        <f>Sales_Data_1[[#This Row],[Sales]]-Sales_Data_1[[#This Row],[Profit_Amount]]</f>
        <v>16288.04</v>
      </c>
      <c r="Y631" t="str" cm="1">
        <f t="array" ref="Y631">_xlfn.IFS(Sales_Data_1[[#This Row],[Delivery_Days]]&lt;=3, "Fast", Sales_Data_1[[#This Row],[Delivery_Days]]&lt;= 7, "Standard", TRUE, "Delayed")</f>
        <v>Fast</v>
      </c>
      <c r="Z631" t="str" cm="1">
        <f t="array" ref="Z631">_xlfn.IFS(Sales_Data_1[[#This Row],[Profit_Amount]]&gt; 0, "Profitable", Sales_Data_1[[#This Row],[Profit_Amount]] = 0, "Break-Even", TRUE, "Loss")</f>
        <v>Profitable</v>
      </c>
      <c r="AA631" t="str" cm="1">
        <f t="array" ref="AA631">_xlfn.IFS(Sales_Data_1[[#This Row],[Sales]]&gt;= 1000, "High Value", Sales_Data_1[[#This Row],[Sales]]&gt;= 300, "Mid Value", TRUE, "Low Value")</f>
        <v>High Value</v>
      </c>
    </row>
    <row r="632" spans="1:27" x14ac:dyDescent="0.3">
      <c r="A632" t="s">
        <v>2418</v>
      </c>
      <c r="B632" s="1">
        <v>45304</v>
      </c>
      <c r="C632" t="s">
        <v>30</v>
      </c>
      <c r="D632" t="s">
        <v>56</v>
      </c>
      <c r="E632" t="s">
        <v>2042</v>
      </c>
      <c r="F632" t="s">
        <v>103</v>
      </c>
      <c r="G632" t="s">
        <v>57</v>
      </c>
      <c r="H632" t="s">
        <v>58</v>
      </c>
      <c r="I632" t="s">
        <v>822</v>
      </c>
      <c r="J632">
        <v>6</v>
      </c>
      <c r="K632">
        <v>8764</v>
      </c>
      <c r="L632">
        <v>0.16</v>
      </c>
      <c r="M632">
        <v>7361.76</v>
      </c>
      <c r="N632">
        <v>44170.559999999998</v>
      </c>
      <c r="O632">
        <v>0.2</v>
      </c>
      <c r="P632">
        <v>8834.11</v>
      </c>
      <c r="Q632" t="s">
        <v>27</v>
      </c>
      <c r="R632" t="s">
        <v>38</v>
      </c>
      <c r="S632">
        <v>6</v>
      </c>
      <c r="T632">
        <f>YEAR(Sales_Data_1[[#This Row],[Order_Date]])</f>
        <v>2024</v>
      </c>
      <c r="U632" t="str">
        <f>TEXT(Sales_Data_1[[#This Row],[Order_Date]], "mmm")</f>
        <v>Jan</v>
      </c>
      <c r="V632">
        <f>MONTH(Sales_Data_1[[#This Row],[Order_Date]])</f>
        <v>1</v>
      </c>
      <c r="W632" t="str">
        <f>TEXT(Sales_Data_1[[#This Row],[Order_Date]], "yyyy-mm")</f>
        <v>2024-01</v>
      </c>
      <c r="X632">
        <f>Sales_Data_1[[#This Row],[Sales]]-Sales_Data_1[[#This Row],[Profit_Amount]]</f>
        <v>35336.449999999997</v>
      </c>
      <c r="Y632" t="str" cm="1">
        <f t="array" ref="Y632">_xlfn.IFS(Sales_Data_1[[#This Row],[Delivery_Days]]&lt;=3, "Fast", Sales_Data_1[[#This Row],[Delivery_Days]]&lt;= 7, "Standard", TRUE, "Delayed")</f>
        <v>Standard</v>
      </c>
      <c r="Z632" t="str" cm="1">
        <f t="array" ref="Z632">_xlfn.IFS(Sales_Data_1[[#This Row],[Profit_Amount]]&gt; 0, "Profitable", Sales_Data_1[[#This Row],[Profit_Amount]] = 0, "Break-Even", TRUE, "Loss")</f>
        <v>Profitable</v>
      </c>
      <c r="AA632" t="str" cm="1">
        <f t="array" ref="AA632">_xlfn.IFS(Sales_Data_1[[#This Row],[Sales]]&gt;= 1000, "High Value", Sales_Data_1[[#This Row],[Sales]]&gt;= 300, "Mid Value", TRUE, "Low Value")</f>
        <v>High Value</v>
      </c>
    </row>
    <row r="633" spans="1:27" x14ac:dyDescent="0.3">
      <c r="A633" t="s">
        <v>2202</v>
      </c>
      <c r="B633" s="1">
        <v>45088</v>
      </c>
      <c r="C633" t="s">
        <v>20</v>
      </c>
      <c r="D633" t="s">
        <v>31</v>
      </c>
      <c r="E633" t="s">
        <v>67</v>
      </c>
      <c r="F633" t="s">
        <v>33</v>
      </c>
      <c r="G633" t="s">
        <v>92</v>
      </c>
      <c r="H633" t="s">
        <v>109</v>
      </c>
      <c r="I633" t="s">
        <v>394</v>
      </c>
      <c r="J633">
        <v>2</v>
      </c>
      <c r="K633">
        <v>35611</v>
      </c>
      <c r="L633">
        <v>0.17</v>
      </c>
      <c r="M633">
        <v>29557.13</v>
      </c>
      <c r="N633">
        <v>59114.26</v>
      </c>
      <c r="O633">
        <v>0.15</v>
      </c>
      <c r="P633">
        <v>8867.14</v>
      </c>
      <c r="Q633" t="s">
        <v>37</v>
      </c>
      <c r="R633" t="s">
        <v>48</v>
      </c>
      <c r="S633">
        <v>6</v>
      </c>
      <c r="T633">
        <f>YEAR(Sales_Data_1[[#This Row],[Order_Date]])</f>
        <v>2023</v>
      </c>
      <c r="U633" t="str">
        <f>TEXT(Sales_Data_1[[#This Row],[Order_Date]], "mmm")</f>
        <v>Jun</v>
      </c>
      <c r="V633">
        <f>MONTH(Sales_Data_1[[#This Row],[Order_Date]])</f>
        <v>6</v>
      </c>
      <c r="W633" t="str">
        <f>TEXT(Sales_Data_1[[#This Row],[Order_Date]], "yyyy-mm")</f>
        <v>2023-06</v>
      </c>
      <c r="X633">
        <f>Sales_Data_1[[#This Row],[Sales]]-Sales_Data_1[[#This Row],[Profit_Amount]]</f>
        <v>50247.12</v>
      </c>
      <c r="Y633" t="str" cm="1">
        <f t="array" ref="Y633">_xlfn.IFS(Sales_Data_1[[#This Row],[Delivery_Days]]&lt;=3, "Fast", Sales_Data_1[[#This Row],[Delivery_Days]]&lt;= 7, "Standard", TRUE, "Delayed")</f>
        <v>Standard</v>
      </c>
      <c r="Z633" t="str" cm="1">
        <f t="array" ref="Z633">_xlfn.IFS(Sales_Data_1[[#This Row],[Profit_Amount]]&gt; 0, "Profitable", Sales_Data_1[[#This Row],[Profit_Amount]] = 0, "Break-Even", TRUE, "Loss")</f>
        <v>Profitable</v>
      </c>
      <c r="AA633" t="str" cm="1">
        <f t="array" ref="AA633">_xlfn.IFS(Sales_Data_1[[#This Row],[Sales]]&gt;= 1000, "High Value", Sales_Data_1[[#This Row],[Sales]]&gt;= 300, "Mid Value", TRUE, "Low Value")</f>
        <v>High Value</v>
      </c>
    </row>
    <row r="634" spans="1:27" x14ac:dyDescent="0.3">
      <c r="A634" t="s">
        <v>2176</v>
      </c>
      <c r="B634" s="1">
        <v>45062</v>
      </c>
      <c r="C634" t="s">
        <v>20</v>
      </c>
      <c r="D634" t="s">
        <v>21</v>
      </c>
      <c r="E634" t="s">
        <v>2040</v>
      </c>
      <c r="F634" t="s">
        <v>97</v>
      </c>
      <c r="G634" t="s">
        <v>44</v>
      </c>
      <c r="H634" t="s">
        <v>64</v>
      </c>
      <c r="I634" t="s">
        <v>342</v>
      </c>
      <c r="J634">
        <v>8</v>
      </c>
      <c r="K634">
        <v>3234</v>
      </c>
      <c r="L634">
        <v>0.02</v>
      </c>
      <c r="M634">
        <v>3169.32</v>
      </c>
      <c r="N634">
        <v>25354.560000000001</v>
      </c>
      <c r="O634">
        <v>0.35</v>
      </c>
      <c r="P634">
        <v>8874.1</v>
      </c>
      <c r="Q634" t="s">
        <v>37</v>
      </c>
      <c r="R634" t="s">
        <v>48</v>
      </c>
      <c r="S634">
        <v>8</v>
      </c>
      <c r="T634">
        <f>YEAR(Sales_Data_1[[#This Row],[Order_Date]])</f>
        <v>2023</v>
      </c>
      <c r="U634" t="str">
        <f>TEXT(Sales_Data_1[[#This Row],[Order_Date]], "mmm")</f>
        <v>May</v>
      </c>
      <c r="V634">
        <f>MONTH(Sales_Data_1[[#This Row],[Order_Date]])</f>
        <v>5</v>
      </c>
      <c r="W634" t="str">
        <f>TEXT(Sales_Data_1[[#This Row],[Order_Date]], "yyyy-mm")</f>
        <v>2023-05</v>
      </c>
      <c r="X634">
        <f>Sales_Data_1[[#This Row],[Sales]]-Sales_Data_1[[#This Row],[Profit_Amount]]</f>
        <v>16480.46</v>
      </c>
      <c r="Y634" t="str" cm="1">
        <f t="array" ref="Y634">_xlfn.IFS(Sales_Data_1[[#This Row],[Delivery_Days]]&lt;=3, "Fast", Sales_Data_1[[#This Row],[Delivery_Days]]&lt;= 7, "Standard", TRUE, "Delayed")</f>
        <v>Delayed</v>
      </c>
      <c r="Z634" t="str" cm="1">
        <f t="array" ref="Z634">_xlfn.IFS(Sales_Data_1[[#This Row],[Profit_Amount]]&gt; 0, "Profitable", Sales_Data_1[[#This Row],[Profit_Amount]] = 0, "Break-Even", TRUE, "Loss")</f>
        <v>Profitable</v>
      </c>
      <c r="AA634" t="str" cm="1">
        <f t="array" ref="AA634">_xlfn.IFS(Sales_Data_1[[#This Row],[Sales]]&gt;= 1000, "High Value", Sales_Data_1[[#This Row],[Sales]]&gt;= 300, "Mid Value", TRUE, "Low Value")</f>
        <v>High Value</v>
      </c>
    </row>
    <row r="635" spans="1:27" x14ac:dyDescent="0.3">
      <c r="A635" t="s">
        <v>2728</v>
      </c>
      <c r="B635" s="1">
        <v>45614</v>
      </c>
      <c r="C635" t="s">
        <v>20</v>
      </c>
      <c r="D635" t="s">
        <v>21</v>
      </c>
      <c r="E635" t="s">
        <v>67</v>
      </c>
      <c r="F635" t="s">
        <v>97</v>
      </c>
      <c r="G635" t="s">
        <v>92</v>
      </c>
      <c r="H635" t="s">
        <v>109</v>
      </c>
      <c r="I635" t="s">
        <v>1432</v>
      </c>
      <c r="J635">
        <v>1</v>
      </c>
      <c r="K635">
        <v>74946</v>
      </c>
      <c r="L635">
        <v>0.21</v>
      </c>
      <c r="M635">
        <v>59207.34</v>
      </c>
      <c r="N635">
        <v>59207.34</v>
      </c>
      <c r="O635">
        <v>0.15</v>
      </c>
      <c r="P635">
        <v>8881.1</v>
      </c>
      <c r="Q635" t="s">
        <v>27</v>
      </c>
      <c r="R635" t="s">
        <v>48</v>
      </c>
      <c r="S635">
        <v>4</v>
      </c>
      <c r="T635">
        <f>YEAR(Sales_Data_1[[#This Row],[Order_Date]])</f>
        <v>2024</v>
      </c>
      <c r="U635" t="str">
        <f>TEXT(Sales_Data_1[[#This Row],[Order_Date]], "mmm")</f>
        <v>Nov</v>
      </c>
      <c r="V635">
        <f>MONTH(Sales_Data_1[[#This Row],[Order_Date]])</f>
        <v>11</v>
      </c>
      <c r="W635" t="str">
        <f>TEXT(Sales_Data_1[[#This Row],[Order_Date]], "yyyy-mm")</f>
        <v>2024-11</v>
      </c>
      <c r="X635">
        <f>Sales_Data_1[[#This Row],[Sales]]-Sales_Data_1[[#This Row],[Profit_Amount]]</f>
        <v>50326.239999999998</v>
      </c>
      <c r="Y635" t="str" cm="1">
        <f t="array" ref="Y635">_xlfn.IFS(Sales_Data_1[[#This Row],[Delivery_Days]]&lt;=3, "Fast", Sales_Data_1[[#This Row],[Delivery_Days]]&lt;= 7, "Standard", TRUE, "Delayed")</f>
        <v>Standard</v>
      </c>
      <c r="Z635" t="str" cm="1">
        <f t="array" ref="Z635">_xlfn.IFS(Sales_Data_1[[#This Row],[Profit_Amount]]&gt; 0, "Profitable", Sales_Data_1[[#This Row],[Profit_Amount]] = 0, "Break-Even", TRUE, "Loss")</f>
        <v>Profitable</v>
      </c>
      <c r="AA635" t="str" cm="1">
        <f t="array" ref="AA635">_xlfn.IFS(Sales_Data_1[[#This Row],[Sales]]&gt;= 1000, "High Value", Sales_Data_1[[#This Row],[Sales]]&gt;= 300, "Mid Value", TRUE, "Low Value")</f>
        <v>High Value</v>
      </c>
    </row>
    <row r="636" spans="1:27" x14ac:dyDescent="0.3">
      <c r="A636" t="s">
        <v>2812</v>
      </c>
      <c r="B636" s="1">
        <v>45698</v>
      </c>
      <c r="C636" t="s">
        <v>30</v>
      </c>
      <c r="D636" t="s">
        <v>31</v>
      </c>
      <c r="E636" t="s">
        <v>42</v>
      </c>
      <c r="F636" t="s">
        <v>33</v>
      </c>
      <c r="G636" t="s">
        <v>92</v>
      </c>
      <c r="H636" t="s">
        <v>178</v>
      </c>
      <c r="I636" t="s">
        <v>1596</v>
      </c>
      <c r="J636">
        <v>6</v>
      </c>
      <c r="K636">
        <v>12023</v>
      </c>
      <c r="L636">
        <v>0.17</v>
      </c>
      <c r="M636">
        <v>9979.09</v>
      </c>
      <c r="N636">
        <v>59874.54</v>
      </c>
      <c r="O636">
        <v>0.15</v>
      </c>
      <c r="P636">
        <v>8981.18</v>
      </c>
      <c r="Q636" t="s">
        <v>37</v>
      </c>
      <c r="R636" t="s">
        <v>38</v>
      </c>
      <c r="S636">
        <v>8</v>
      </c>
      <c r="T636">
        <f>YEAR(Sales_Data_1[[#This Row],[Order_Date]])</f>
        <v>2025</v>
      </c>
      <c r="U636" t="str">
        <f>TEXT(Sales_Data_1[[#This Row],[Order_Date]], "mmm")</f>
        <v>Feb</v>
      </c>
      <c r="V636">
        <f>MONTH(Sales_Data_1[[#This Row],[Order_Date]])</f>
        <v>2</v>
      </c>
      <c r="W636" t="str">
        <f>TEXT(Sales_Data_1[[#This Row],[Order_Date]], "yyyy-mm")</f>
        <v>2025-02</v>
      </c>
      <c r="X636">
        <f>Sales_Data_1[[#This Row],[Sales]]-Sales_Data_1[[#This Row],[Profit_Amount]]</f>
        <v>50893.36</v>
      </c>
      <c r="Y636" t="str" cm="1">
        <f t="array" ref="Y636">_xlfn.IFS(Sales_Data_1[[#This Row],[Delivery_Days]]&lt;=3, "Fast", Sales_Data_1[[#This Row],[Delivery_Days]]&lt;= 7, "Standard", TRUE, "Delayed")</f>
        <v>Delayed</v>
      </c>
      <c r="Z636" t="str" cm="1">
        <f t="array" ref="Z636">_xlfn.IFS(Sales_Data_1[[#This Row],[Profit_Amount]]&gt; 0, "Profitable", Sales_Data_1[[#This Row],[Profit_Amount]] = 0, "Break-Even", TRUE, "Loss")</f>
        <v>Profitable</v>
      </c>
      <c r="AA636" t="str" cm="1">
        <f t="array" ref="AA636">_xlfn.IFS(Sales_Data_1[[#This Row],[Sales]]&gt;= 1000, "High Value", Sales_Data_1[[#This Row],[Sales]]&gt;= 300, "Mid Value", TRUE, "Low Value")</f>
        <v>High Value</v>
      </c>
    </row>
    <row r="637" spans="1:27" x14ac:dyDescent="0.3">
      <c r="A637" t="s">
        <v>2657</v>
      </c>
      <c r="B637" s="1">
        <v>45543</v>
      </c>
      <c r="C637" t="s">
        <v>30</v>
      </c>
      <c r="D637" t="s">
        <v>56</v>
      </c>
      <c r="E637" t="s">
        <v>2040</v>
      </c>
      <c r="F637" t="s">
        <v>43</v>
      </c>
      <c r="G637" t="s">
        <v>24</v>
      </c>
      <c r="H637" t="s">
        <v>74</v>
      </c>
      <c r="I637" t="s">
        <v>1294</v>
      </c>
      <c r="J637">
        <v>5</v>
      </c>
      <c r="K637">
        <v>9123</v>
      </c>
      <c r="L637">
        <v>0.21</v>
      </c>
      <c r="M637">
        <v>7207.17</v>
      </c>
      <c r="N637">
        <v>36035.85</v>
      </c>
      <c r="O637">
        <v>0.25</v>
      </c>
      <c r="P637">
        <v>9008.9599999999991</v>
      </c>
      <c r="Q637" t="s">
        <v>51</v>
      </c>
      <c r="R637" t="s">
        <v>48</v>
      </c>
      <c r="S637">
        <v>7</v>
      </c>
      <c r="T637">
        <f>YEAR(Sales_Data_1[[#This Row],[Order_Date]])</f>
        <v>2024</v>
      </c>
      <c r="U637" t="str">
        <f>TEXT(Sales_Data_1[[#This Row],[Order_Date]], "mmm")</f>
        <v>Sep</v>
      </c>
      <c r="V637">
        <f>MONTH(Sales_Data_1[[#This Row],[Order_Date]])</f>
        <v>9</v>
      </c>
      <c r="W637" t="str">
        <f>TEXT(Sales_Data_1[[#This Row],[Order_Date]], "yyyy-mm")</f>
        <v>2024-09</v>
      </c>
      <c r="X637">
        <f>Sales_Data_1[[#This Row],[Sales]]-Sales_Data_1[[#This Row],[Profit_Amount]]</f>
        <v>27026.89</v>
      </c>
      <c r="Y637" t="str" cm="1">
        <f t="array" ref="Y637">_xlfn.IFS(Sales_Data_1[[#This Row],[Delivery_Days]]&lt;=3, "Fast", Sales_Data_1[[#This Row],[Delivery_Days]]&lt;= 7, "Standard", TRUE, "Delayed")</f>
        <v>Standard</v>
      </c>
      <c r="Z637" t="str" cm="1">
        <f t="array" ref="Z637">_xlfn.IFS(Sales_Data_1[[#This Row],[Profit_Amount]]&gt; 0, "Profitable", Sales_Data_1[[#This Row],[Profit_Amount]] = 0, "Break-Even", TRUE, "Loss")</f>
        <v>Profitable</v>
      </c>
      <c r="AA637" t="str" cm="1">
        <f t="array" ref="AA637">_xlfn.IFS(Sales_Data_1[[#This Row],[Sales]]&gt;= 1000, "High Value", Sales_Data_1[[#This Row],[Sales]]&gt;= 300, "Mid Value", TRUE, "Low Value")</f>
        <v>High Value</v>
      </c>
    </row>
    <row r="638" spans="1:27" x14ac:dyDescent="0.3">
      <c r="A638" t="s">
        <v>3037</v>
      </c>
      <c r="B638" s="1">
        <v>45923</v>
      </c>
      <c r="C638" t="s">
        <v>30</v>
      </c>
      <c r="D638" t="s">
        <v>21</v>
      </c>
      <c r="E638" t="s">
        <v>2042</v>
      </c>
      <c r="F638" t="s">
        <v>68</v>
      </c>
      <c r="G638" t="s">
        <v>92</v>
      </c>
      <c r="H638" t="s">
        <v>243</v>
      </c>
      <c r="I638" t="s">
        <v>2032</v>
      </c>
      <c r="J638">
        <v>4</v>
      </c>
      <c r="K638">
        <v>16710</v>
      </c>
      <c r="L638">
        <v>0.1</v>
      </c>
      <c r="M638">
        <v>15039</v>
      </c>
      <c r="N638">
        <v>60156</v>
      </c>
      <c r="O638">
        <v>0.15</v>
      </c>
      <c r="P638">
        <v>9023.4</v>
      </c>
      <c r="Q638" t="s">
        <v>47</v>
      </c>
      <c r="R638" t="s">
        <v>38</v>
      </c>
      <c r="S638">
        <v>7</v>
      </c>
      <c r="T638">
        <f>YEAR(Sales_Data_1[[#This Row],[Order_Date]])</f>
        <v>2025</v>
      </c>
      <c r="U638" t="str">
        <f>TEXT(Sales_Data_1[[#This Row],[Order_Date]], "mmm")</f>
        <v>Sep</v>
      </c>
      <c r="V638">
        <f>MONTH(Sales_Data_1[[#This Row],[Order_Date]])</f>
        <v>9</v>
      </c>
      <c r="W638" t="str">
        <f>TEXT(Sales_Data_1[[#This Row],[Order_Date]], "yyyy-mm")</f>
        <v>2025-09</v>
      </c>
      <c r="X638">
        <f>Sales_Data_1[[#This Row],[Sales]]-Sales_Data_1[[#This Row],[Profit_Amount]]</f>
        <v>51132.6</v>
      </c>
      <c r="Y638" t="str" cm="1">
        <f t="array" ref="Y638">_xlfn.IFS(Sales_Data_1[[#This Row],[Delivery_Days]]&lt;=3, "Fast", Sales_Data_1[[#This Row],[Delivery_Days]]&lt;= 7, "Standard", TRUE, "Delayed")</f>
        <v>Standard</v>
      </c>
      <c r="Z638" t="str" cm="1">
        <f t="array" ref="Z638">_xlfn.IFS(Sales_Data_1[[#This Row],[Profit_Amount]]&gt; 0, "Profitable", Sales_Data_1[[#This Row],[Profit_Amount]] = 0, "Break-Even", TRUE, "Loss")</f>
        <v>Profitable</v>
      </c>
      <c r="AA638" t="str" cm="1">
        <f t="array" ref="AA638">_xlfn.IFS(Sales_Data_1[[#This Row],[Sales]]&gt;= 1000, "High Value", Sales_Data_1[[#This Row],[Sales]]&gt;= 300, "Mid Value", TRUE, "Low Value")</f>
        <v>High Value</v>
      </c>
    </row>
    <row r="639" spans="1:27" x14ac:dyDescent="0.3">
      <c r="A639" t="s">
        <v>2371</v>
      </c>
      <c r="B639" s="1">
        <v>45257</v>
      </c>
      <c r="C639" t="s">
        <v>20</v>
      </c>
      <c r="D639" t="s">
        <v>56</v>
      </c>
      <c r="E639" t="s">
        <v>2042</v>
      </c>
      <c r="F639" t="s">
        <v>23</v>
      </c>
      <c r="G639" t="s">
        <v>44</v>
      </c>
      <c r="H639" t="s">
        <v>45</v>
      </c>
      <c r="I639" t="s">
        <v>730</v>
      </c>
      <c r="J639">
        <v>9</v>
      </c>
      <c r="K639">
        <v>2925</v>
      </c>
      <c r="L639">
        <v>0.02</v>
      </c>
      <c r="M639">
        <v>2866.5</v>
      </c>
      <c r="N639">
        <v>25798.5</v>
      </c>
      <c r="O639">
        <v>0.35</v>
      </c>
      <c r="P639">
        <v>9029.4699999999993</v>
      </c>
      <c r="Q639" t="s">
        <v>51</v>
      </c>
      <c r="R639" t="s">
        <v>48</v>
      </c>
      <c r="S639">
        <v>3</v>
      </c>
      <c r="T639">
        <f>YEAR(Sales_Data_1[[#This Row],[Order_Date]])</f>
        <v>2023</v>
      </c>
      <c r="U639" t="str">
        <f>TEXT(Sales_Data_1[[#This Row],[Order_Date]], "mmm")</f>
        <v>Nov</v>
      </c>
      <c r="V639">
        <f>MONTH(Sales_Data_1[[#This Row],[Order_Date]])</f>
        <v>11</v>
      </c>
      <c r="W639" t="str">
        <f>TEXT(Sales_Data_1[[#This Row],[Order_Date]], "yyyy-mm")</f>
        <v>2023-11</v>
      </c>
      <c r="X639">
        <f>Sales_Data_1[[#This Row],[Sales]]-Sales_Data_1[[#This Row],[Profit_Amount]]</f>
        <v>16769.03</v>
      </c>
      <c r="Y639" t="str" cm="1">
        <f t="array" ref="Y639">_xlfn.IFS(Sales_Data_1[[#This Row],[Delivery_Days]]&lt;=3, "Fast", Sales_Data_1[[#This Row],[Delivery_Days]]&lt;= 7, "Standard", TRUE, "Delayed")</f>
        <v>Fast</v>
      </c>
      <c r="Z639" t="str" cm="1">
        <f t="array" ref="Z639">_xlfn.IFS(Sales_Data_1[[#This Row],[Profit_Amount]]&gt; 0, "Profitable", Sales_Data_1[[#This Row],[Profit_Amount]] = 0, "Break-Even", TRUE, "Loss")</f>
        <v>Profitable</v>
      </c>
      <c r="AA639" t="str" cm="1">
        <f t="array" ref="AA639">_xlfn.IFS(Sales_Data_1[[#This Row],[Sales]]&gt;= 1000, "High Value", Sales_Data_1[[#This Row],[Sales]]&gt;= 300, "Mid Value", TRUE, "Low Value")</f>
        <v>High Value</v>
      </c>
    </row>
    <row r="640" spans="1:27" x14ac:dyDescent="0.3">
      <c r="A640" t="s">
        <v>2916</v>
      </c>
      <c r="B640" s="1">
        <v>45802</v>
      </c>
      <c r="C640" t="s">
        <v>40</v>
      </c>
      <c r="D640" t="s">
        <v>21</v>
      </c>
      <c r="E640" t="s">
        <v>2042</v>
      </c>
      <c r="F640" t="s">
        <v>43</v>
      </c>
      <c r="G640" t="s">
        <v>24</v>
      </c>
      <c r="H640" t="s">
        <v>121</v>
      </c>
      <c r="I640" t="s">
        <v>1801</v>
      </c>
      <c r="J640">
        <v>4</v>
      </c>
      <c r="K640">
        <v>10435</v>
      </c>
      <c r="L640">
        <v>0.13</v>
      </c>
      <c r="M640">
        <v>9078.4500000000007</v>
      </c>
      <c r="N640">
        <v>36313.800000000003</v>
      </c>
      <c r="O640">
        <v>0.25</v>
      </c>
      <c r="P640">
        <v>9078.4500000000007</v>
      </c>
      <c r="Q640" t="s">
        <v>51</v>
      </c>
      <c r="R640" t="s">
        <v>48</v>
      </c>
      <c r="S640">
        <v>5</v>
      </c>
      <c r="T640">
        <f>YEAR(Sales_Data_1[[#This Row],[Order_Date]])</f>
        <v>2025</v>
      </c>
      <c r="U640" t="str">
        <f>TEXT(Sales_Data_1[[#This Row],[Order_Date]], "mmm")</f>
        <v>May</v>
      </c>
      <c r="V640">
        <f>MONTH(Sales_Data_1[[#This Row],[Order_Date]])</f>
        <v>5</v>
      </c>
      <c r="W640" t="str">
        <f>TEXT(Sales_Data_1[[#This Row],[Order_Date]], "yyyy-mm")</f>
        <v>2025-05</v>
      </c>
      <c r="X640">
        <f>Sales_Data_1[[#This Row],[Sales]]-Sales_Data_1[[#This Row],[Profit_Amount]]</f>
        <v>27235.350000000002</v>
      </c>
      <c r="Y640" t="str" cm="1">
        <f t="array" ref="Y640">_xlfn.IFS(Sales_Data_1[[#This Row],[Delivery_Days]]&lt;=3, "Fast", Sales_Data_1[[#This Row],[Delivery_Days]]&lt;= 7, "Standard", TRUE, "Delayed")</f>
        <v>Standard</v>
      </c>
      <c r="Z640" t="str" cm="1">
        <f t="array" ref="Z640">_xlfn.IFS(Sales_Data_1[[#This Row],[Profit_Amount]]&gt; 0, "Profitable", Sales_Data_1[[#This Row],[Profit_Amount]] = 0, "Break-Even", TRUE, "Loss")</f>
        <v>Profitable</v>
      </c>
      <c r="AA640" t="str" cm="1">
        <f t="array" ref="AA640">_xlfn.IFS(Sales_Data_1[[#This Row],[Sales]]&gt;= 1000, "High Value", Sales_Data_1[[#This Row],[Sales]]&gt;= 300, "Mid Value", TRUE, "Low Value")</f>
        <v>High Value</v>
      </c>
    </row>
    <row r="641" spans="1:27" x14ac:dyDescent="0.3">
      <c r="A641" t="s">
        <v>2736</v>
      </c>
      <c r="B641" s="1">
        <v>45622</v>
      </c>
      <c r="C641" t="s">
        <v>63</v>
      </c>
      <c r="D641" t="s">
        <v>31</v>
      </c>
      <c r="E641" t="s">
        <v>2040</v>
      </c>
      <c r="F641" t="s">
        <v>33</v>
      </c>
      <c r="G641" t="s">
        <v>57</v>
      </c>
      <c r="H641" t="s">
        <v>58</v>
      </c>
      <c r="I641" t="s">
        <v>1448</v>
      </c>
      <c r="J641">
        <v>4</v>
      </c>
      <c r="K641">
        <v>13182</v>
      </c>
      <c r="L641">
        <v>0.13</v>
      </c>
      <c r="M641">
        <v>11468.34</v>
      </c>
      <c r="N641">
        <v>45873.36</v>
      </c>
      <c r="O641">
        <v>0.2</v>
      </c>
      <c r="P641">
        <v>9174.67</v>
      </c>
      <c r="Q641" t="s">
        <v>51</v>
      </c>
      <c r="R641" t="s">
        <v>48</v>
      </c>
      <c r="S641">
        <v>2</v>
      </c>
      <c r="T641">
        <f>YEAR(Sales_Data_1[[#This Row],[Order_Date]])</f>
        <v>2024</v>
      </c>
      <c r="U641" t="str">
        <f>TEXT(Sales_Data_1[[#This Row],[Order_Date]], "mmm")</f>
        <v>Nov</v>
      </c>
      <c r="V641">
        <f>MONTH(Sales_Data_1[[#This Row],[Order_Date]])</f>
        <v>11</v>
      </c>
      <c r="W641" t="str">
        <f>TEXT(Sales_Data_1[[#This Row],[Order_Date]], "yyyy-mm")</f>
        <v>2024-11</v>
      </c>
      <c r="X641">
        <f>Sales_Data_1[[#This Row],[Sales]]-Sales_Data_1[[#This Row],[Profit_Amount]]</f>
        <v>36698.69</v>
      </c>
      <c r="Y641" t="str" cm="1">
        <f t="array" ref="Y641">_xlfn.IFS(Sales_Data_1[[#This Row],[Delivery_Days]]&lt;=3, "Fast", Sales_Data_1[[#This Row],[Delivery_Days]]&lt;= 7, "Standard", TRUE, "Delayed")</f>
        <v>Fast</v>
      </c>
      <c r="Z641" t="str" cm="1">
        <f t="array" ref="Z641">_xlfn.IFS(Sales_Data_1[[#This Row],[Profit_Amount]]&gt; 0, "Profitable", Sales_Data_1[[#This Row],[Profit_Amount]] = 0, "Break-Even", TRUE, "Loss")</f>
        <v>Profitable</v>
      </c>
      <c r="AA641" t="str" cm="1">
        <f t="array" ref="AA641">_xlfn.IFS(Sales_Data_1[[#This Row],[Sales]]&gt;= 1000, "High Value", Sales_Data_1[[#This Row],[Sales]]&gt;= 300, "Mid Value", TRUE, "Low Value")</f>
        <v>High Value</v>
      </c>
    </row>
    <row r="642" spans="1:27" x14ac:dyDescent="0.3">
      <c r="A642" t="s">
        <v>2831</v>
      </c>
      <c r="B642" s="1">
        <v>45717</v>
      </c>
      <c r="C642" t="s">
        <v>30</v>
      </c>
      <c r="D642" t="s">
        <v>21</v>
      </c>
      <c r="E642" t="s">
        <v>2040</v>
      </c>
      <c r="F642" t="s">
        <v>97</v>
      </c>
      <c r="G642" t="s">
        <v>44</v>
      </c>
      <c r="H642" t="s">
        <v>116</v>
      </c>
      <c r="I642" t="s">
        <v>1633</v>
      </c>
      <c r="J642">
        <v>9</v>
      </c>
      <c r="K642">
        <v>3083</v>
      </c>
      <c r="L642">
        <v>0.05</v>
      </c>
      <c r="M642">
        <v>2928.85</v>
      </c>
      <c r="N642">
        <v>26359.65</v>
      </c>
      <c r="O642">
        <v>0.35</v>
      </c>
      <c r="P642">
        <v>9225.8799999999992</v>
      </c>
      <c r="Q642" t="s">
        <v>51</v>
      </c>
      <c r="R642" t="s">
        <v>48</v>
      </c>
      <c r="S642">
        <v>6</v>
      </c>
      <c r="T642">
        <f>YEAR(Sales_Data_1[[#This Row],[Order_Date]])</f>
        <v>2025</v>
      </c>
      <c r="U642" t="str">
        <f>TEXT(Sales_Data_1[[#This Row],[Order_Date]], "mmm")</f>
        <v>Mar</v>
      </c>
      <c r="V642">
        <f>MONTH(Sales_Data_1[[#This Row],[Order_Date]])</f>
        <v>3</v>
      </c>
      <c r="W642" t="str">
        <f>TEXT(Sales_Data_1[[#This Row],[Order_Date]], "yyyy-mm")</f>
        <v>2025-03</v>
      </c>
      <c r="X642">
        <f>Sales_Data_1[[#This Row],[Sales]]-Sales_Data_1[[#This Row],[Profit_Amount]]</f>
        <v>17133.770000000004</v>
      </c>
      <c r="Y642" t="str" cm="1">
        <f t="array" ref="Y642">_xlfn.IFS(Sales_Data_1[[#This Row],[Delivery_Days]]&lt;=3, "Fast", Sales_Data_1[[#This Row],[Delivery_Days]]&lt;= 7, "Standard", TRUE, "Delayed")</f>
        <v>Standard</v>
      </c>
      <c r="Z642" t="str" cm="1">
        <f t="array" ref="Z642">_xlfn.IFS(Sales_Data_1[[#This Row],[Profit_Amount]]&gt; 0, "Profitable", Sales_Data_1[[#This Row],[Profit_Amount]] = 0, "Break-Even", TRUE, "Loss")</f>
        <v>Profitable</v>
      </c>
      <c r="AA642" t="str" cm="1">
        <f t="array" ref="AA642">_xlfn.IFS(Sales_Data_1[[#This Row],[Sales]]&gt;= 1000, "High Value", Sales_Data_1[[#This Row],[Sales]]&gt;= 300, "Mid Value", TRUE, "Low Value")</f>
        <v>High Value</v>
      </c>
    </row>
    <row r="643" spans="1:27" x14ac:dyDescent="0.3">
      <c r="A643" t="s">
        <v>2572</v>
      </c>
      <c r="B643" s="1">
        <v>45458</v>
      </c>
      <c r="C643" t="s">
        <v>40</v>
      </c>
      <c r="D643" t="s">
        <v>21</v>
      </c>
      <c r="E643" t="s">
        <v>42</v>
      </c>
      <c r="F643" t="s">
        <v>23</v>
      </c>
      <c r="G643" t="s">
        <v>57</v>
      </c>
      <c r="H643" t="s">
        <v>58</v>
      </c>
      <c r="I643" t="s">
        <v>1127</v>
      </c>
      <c r="J643">
        <v>8</v>
      </c>
      <c r="K643">
        <v>7448</v>
      </c>
      <c r="L643">
        <v>0.22</v>
      </c>
      <c r="M643">
        <v>5809.44</v>
      </c>
      <c r="N643">
        <v>46475.519999999997</v>
      </c>
      <c r="O643">
        <v>0.2</v>
      </c>
      <c r="P643">
        <v>9295.1</v>
      </c>
      <c r="Q643" t="s">
        <v>37</v>
      </c>
      <c r="R643" t="s">
        <v>48</v>
      </c>
      <c r="S643">
        <v>4</v>
      </c>
      <c r="T643">
        <f>YEAR(Sales_Data_1[[#This Row],[Order_Date]])</f>
        <v>2024</v>
      </c>
      <c r="U643" t="str">
        <f>TEXT(Sales_Data_1[[#This Row],[Order_Date]], "mmm")</f>
        <v>Jun</v>
      </c>
      <c r="V643">
        <f>MONTH(Sales_Data_1[[#This Row],[Order_Date]])</f>
        <v>6</v>
      </c>
      <c r="W643" t="str">
        <f>TEXT(Sales_Data_1[[#This Row],[Order_Date]], "yyyy-mm")</f>
        <v>2024-06</v>
      </c>
      <c r="X643">
        <f>Sales_Data_1[[#This Row],[Sales]]-Sales_Data_1[[#This Row],[Profit_Amount]]</f>
        <v>37180.42</v>
      </c>
      <c r="Y643" t="str" cm="1">
        <f t="array" ref="Y643">_xlfn.IFS(Sales_Data_1[[#This Row],[Delivery_Days]]&lt;=3, "Fast", Sales_Data_1[[#This Row],[Delivery_Days]]&lt;= 7, "Standard", TRUE, "Delayed")</f>
        <v>Standard</v>
      </c>
      <c r="Z643" t="str" cm="1">
        <f t="array" ref="Z643">_xlfn.IFS(Sales_Data_1[[#This Row],[Profit_Amount]]&gt; 0, "Profitable", Sales_Data_1[[#This Row],[Profit_Amount]] = 0, "Break-Even", TRUE, "Loss")</f>
        <v>Profitable</v>
      </c>
      <c r="AA643" t="str" cm="1">
        <f t="array" ref="AA643">_xlfn.IFS(Sales_Data_1[[#This Row],[Sales]]&gt;= 1000, "High Value", Sales_Data_1[[#This Row],[Sales]]&gt;= 300, "Mid Value", TRUE, "Low Value")</f>
        <v>High Value</v>
      </c>
    </row>
    <row r="644" spans="1:27" x14ac:dyDescent="0.3">
      <c r="A644" t="s">
        <v>2186</v>
      </c>
      <c r="B644" s="1">
        <v>45072</v>
      </c>
      <c r="C644" t="s">
        <v>40</v>
      </c>
      <c r="D644" t="s">
        <v>21</v>
      </c>
      <c r="E644" t="s">
        <v>42</v>
      </c>
      <c r="F644" t="s">
        <v>43</v>
      </c>
      <c r="G644" t="s">
        <v>24</v>
      </c>
      <c r="H644" t="s">
        <v>186</v>
      </c>
      <c r="I644" t="s">
        <v>362</v>
      </c>
      <c r="J644">
        <v>9</v>
      </c>
      <c r="K644">
        <v>4953</v>
      </c>
      <c r="L644">
        <v>0.16</v>
      </c>
      <c r="M644">
        <v>4160.5200000000004</v>
      </c>
      <c r="N644">
        <v>37444.68</v>
      </c>
      <c r="O644">
        <v>0.25</v>
      </c>
      <c r="P644">
        <v>9361.17</v>
      </c>
      <c r="Q644" t="s">
        <v>37</v>
      </c>
      <c r="R644" t="s">
        <v>38</v>
      </c>
      <c r="S644">
        <v>4</v>
      </c>
      <c r="T644">
        <f>YEAR(Sales_Data_1[[#This Row],[Order_Date]])</f>
        <v>2023</v>
      </c>
      <c r="U644" t="str">
        <f>TEXT(Sales_Data_1[[#This Row],[Order_Date]], "mmm")</f>
        <v>May</v>
      </c>
      <c r="V644">
        <f>MONTH(Sales_Data_1[[#This Row],[Order_Date]])</f>
        <v>5</v>
      </c>
      <c r="W644" t="str">
        <f>TEXT(Sales_Data_1[[#This Row],[Order_Date]], "yyyy-mm")</f>
        <v>2023-05</v>
      </c>
      <c r="X644">
        <f>Sales_Data_1[[#This Row],[Sales]]-Sales_Data_1[[#This Row],[Profit_Amount]]</f>
        <v>28083.510000000002</v>
      </c>
      <c r="Y644" t="str" cm="1">
        <f t="array" ref="Y644">_xlfn.IFS(Sales_Data_1[[#This Row],[Delivery_Days]]&lt;=3, "Fast", Sales_Data_1[[#This Row],[Delivery_Days]]&lt;= 7, "Standard", TRUE, "Delayed")</f>
        <v>Standard</v>
      </c>
      <c r="Z644" t="str" cm="1">
        <f t="array" ref="Z644">_xlfn.IFS(Sales_Data_1[[#This Row],[Profit_Amount]]&gt; 0, "Profitable", Sales_Data_1[[#This Row],[Profit_Amount]] = 0, "Break-Even", TRUE, "Loss")</f>
        <v>Profitable</v>
      </c>
      <c r="AA644" t="str" cm="1">
        <f t="array" ref="AA644">_xlfn.IFS(Sales_Data_1[[#This Row],[Sales]]&gt;= 1000, "High Value", Sales_Data_1[[#This Row],[Sales]]&gt;= 300, "Mid Value", TRUE, "Low Value")</f>
        <v>High Value</v>
      </c>
    </row>
    <row r="645" spans="1:27" x14ac:dyDescent="0.3">
      <c r="A645" t="s">
        <v>2582</v>
      </c>
      <c r="B645" s="1">
        <v>45468</v>
      </c>
      <c r="C645" t="s">
        <v>63</v>
      </c>
      <c r="D645" t="s">
        <v>31</v>
      </c>
      <c r="E645" t="s">
        <v>2042</v>
      </c>
      <c r="F645" t="s">
        <v>23</v>
      </c>
      <c r="G645" t="s">
        <v>57</v>
      </c>
      <c r="H645" t="s">
        <v>58</v>
      </c>
      <c r="I645" t="s">
        <v>1146</v>
      </c>
      <c r="J645">
        <v>5</v>
      </c>
      <c r="K645">
        <v>12340</v>
      </c>
      <c r="L645">
        <v>0.24</v>
      </c>
      <c r="M645">
        <v>9378.4</v>
      </c>
      <c r="N645">
        <v>46892</v>
      </c>
      <c r="O645">
        <v>0.2</v>
      </c>
      <c r="P645">
        <v>9378.4</v>
      </c>
      <c r="Q645" t="s">
        <v>47</v>
      </c>
      <c r="R645" t="s">
        <v>48</v>
      </c>
      <c r="S645">
        <v>5</v>
      </c>
      <c r="T645">
        <f>YEAR(Sales_Data_1[[#This Row],[Order_Date]])</f>
        <v>2024</v>
      </c>
      <c r="U645" t="str">
        <f>TEXT(Sales_Data_1[[#This Row],[Order_Date]], "mmm")</f>
        <v>Jun</v>
      </c>
      <c r="V645">
        <f>MONTH(Sales_Data_1[[#This Row],[Order_Date]])</f>
        <v>6</v>
      </c>
      <c r="W645" t="str">
        <f>TEXT(Sales_Data_1[[#This Row],[Order_Date]], "yyyy-mm")</f>
        <v>2024-06</v>
      </c>
      <c r="X645">
        <f>Sales_Data_1[[#This Row],[Sales]]-Sales_Data_1[[#This Row],[Profit_Amount]]</f>
        <v>37513.599999999999</v>
      </c>
      <c r="Y645" t="str" cm="1">
        <f t="array" ref="Y645">_xlfn.IFS(Sales_Data_1[[#This Row],[Delivery_Days]]&lt;=3, "Fast", Sales_Data_1[[#This Row],[Delivery_Days]]&lt;= 7, "Standard", TRUE, "Delayed")</f>
        <v>Standard</v>
      </c>
      <c r="Z645" t="str" cm="1">
        <f t="array" ref="Z645">_xlfn.IFS(Sales_Data_1[[#This Row],[Profit_Amount]]&gt; 0, "Profitable", Sales_Data_1[[#This Row],[Profit_Amount]] = 0, "Break-Even", TRUE, "Loss")</f>
        <v>Profitable</v>
      </c>
      <c r="AA645" t="str" cm="1">
        <f t="array" ref="AA645">_xlfn.IFS(Sales_Data_1[[#This Row],[Sales]]&gt;= 1000, "High Value", Sales_Data_1[[#This Row],[Sales]]&gt;= 300, "Mid Value", TRUE, "Low Value")</f>
        <v>High Value</v>
      </c>
    </row>
    <row r="646" spans="1:27" x14ac:dyDescent="0.3">
      <c r="A646" t="s">
        <v>2229</v>
      </c>
      <c r="B646" s="1">
        <v>45115</v>
      </c>
      <c r="C646" t="s">
        <v>40</v>
      </c>
      <c r="D646" t="s">
        <v>56</v>
      </c>
      <c r="E646" t="s">
        <v>2042</v>
      </c>
      <c r="F646" t="s">
        <v>103</v>
      </c>
      <c r="G646" t="s">
        <v>92</v>
      </c>
      <c r="H646" t="s">
        <v>243</v>
      </c>
      <c r="I646" t="s">
        <v>448</v>
      </c>
      <c r="J646">
        <v>3</v>
      </c>
      <c r="K646">
        <v>23669</v>
      </c>
      <c r="L646">
        <v>0.11</v>
      </c>
      <c r="M646">
        <v>21065.41</v>
      </c>
      <c r="N646">
        <v>63196.23</v>
      </c>
      <c r="O646">
        <v>0.15</v>
      </c>
      <c r="P646">
        <v>9479.43</v>
      </c>
      <c r="Q646" t="s">
        <v>47</v>
      </c>
      <c r="R646" t="s">
        <v>48</v>
      </c>
      <c r="S646">
        <v>8</v>
      </c>
      <c r="T646">
        <f>YEAR(Sales_Data_1[[#This Row],[Order_Date]])</f>
        <v>2023</v>
      </c>
      <c r="U646" t="str">
        <f>TEXT(Sales_Data_1[[#This Row],[Order_Date]], "mmm")</f>
        <v>Jul</v>
      </c>
      <c r="V646">
        <f>MONTH(Sales_Data_1[[#This Row],[Order_Date]])</f>
        <v>7</v>
      </c>
      <c r="W646" t="str">
        <f>TEXT(Sales_Data_1[[#This Row],[Order_Date]], "yyyy-mm")</f>
        <v>2023-07</v>
      </c>
      <c r="X646">
        <f>Sales_Data_1[[#This Row],[Sales]]-Sales_Data_1[[#This Row],[Profit_Amount]]</f>
        <v>53716.800000000003</v>
      </c>
      <c r="Y646" t="str" cm="1">
        <f t="array" ref="Y646">_xlfn.IFS(Sales_Data_1[[#This Row],[Delivery_Days]]&lt;=3, "Fast", Sales_Data_1[[#This Row],[Delivery_Days]]&lt;= 7, "Standard", TRUE, "Delayed")</f>
        <v>Delayed</v>
      </c>
      <c r="Z646" t="str" cm="1">
        <f t="array" ref="Z646">_xlfn.IFS(Sales_Data_1[[#This Row],[Profit_Amount]]&gt; 0, "Profitable", Sales_Data_1[[#This Row],[Profit_Amount]] = 0, "Break-Even", TRUE, "Loss")</f>
        <v>Profitable</v>
      </c>
      <c r="AA646" t="str" cm="1">
        <f t="array" ref="AA646">_xlfn.IFS(Sales_Data_1[[#This Row],[Sales]]&gt;= 1000, "High Value", Sales_Data_1[[#This Row],[Sales]]&gt;= 300, "Mid Value", TRUE, "Low Value")</f>
        <v>High Value</v>
      </c>
    </row>
    <row r="647" spans="1:27" x14ac:dyDescent="0.3">
      <c r="A647" t="s">
        <v>2141</v>
      </c>
      <c r="B647" s="1">
        <v>45027</v>
      </c>
      <c r="C647" t="s">
        <v>55</v>
      </c>
      <c r="D647" t="s">
        <v>41</v>
      </c>
      <c r="E647" t="s">
        <v>42</v>
      </c>
      <c r="F647" t="s">
        <v>23</v>
      </c>
      <c r="G647" t="s">
        <v>24</v>
      </c>
      <c r="H647" t="s">
        <v>25</v>
      </c>
      <c r="I647" t="s">
        <v>272</v>
      </c>
      <c r="J647">
        <v>3</v>
      </c>
      <c r="K647">
        <v>13668</v>
      </c>
      <c r="L647">
        <v>7.0000000000000007E-2</v>
      </c>
      <c r="M647">
        <v>12711.24</v>
      </c>
      <c r="N647">
        <v>38133.72</v>
      </c>
      <c r="O647">
        <v>0.25</v>
      </c>
      <c r="P647">
        <v>9533.43</v>
      </c>
      <c r="Q647" t="s">
        <v>51</v>
      </c>
      <c r="R647" t="s">
        <v>48</v>
      </c>
      <c r="S647">
        <v>3</v>
      </c>
      <c r="T647">
        <f>YEAR(Sales_Data_1[[#This Row],[Order_Date]])</f>
        <v>2023</v>
      </c>
      <c r="U647" t="str">
        <f>TEXT(Sales_Data_1[[#This Row],[Order_Date]], "mmm")</f>
        <v>Apr</v>
      </c>
      <c r="V647">
        <f>MONTH(Sales_Data_1[[#This Row],[Order_Date]])</f>
        <v>4</v>
      </c>
      <c r="W647" t="str">
        <f>TEXT(Sales_Data_1[[#This Row],[Order_Date]], "yyyy-mm")</f>
        <v>2023-04</v>
      </c>
      <c r="X647">
        <f>Sales_Data_1[[#This Row],[Sales]]-Sales_Data_1[[#This Row],[Profit_Amount]]</f>
        <v>28600.29</v>
      </c>
      <c r="Y647" t="str" cm="1">
        <f t="array" ref="Y647">_xlfn.IFS(Sales_Data_1[[#This Row],[Delivery_Days]]&lt;=3, "Fast", Sales_Data_1[[#This Row],[Delivery_Days]]&lt;= 7, "Standard", TRUE, "Delayed")</f>
        <v>Fast</v>
      </c>
      <c r="Z647" t="str" cm="1">
        <f t="array" ref="Z647">_xlfn.IFS(Sales_Data_1[[#This Row],[Profit_Amount]]&gt; 0, "Profitable", Sales_Data_1[[#This Row],[Profit_Amount]] = 0, "Break-Even", TRUE, "Loss")</f>
        <v>Profitable</v>
      </c>
      <c r="AA647" t="str" cm="1">
        <f t="array" ref="AA647">_xlfn.IFS(Sales_Data_1[[#This Row],[Sales]]&gt;= 1000, "High Value", Sales_Data_1[[#This Row],[Sales]]&gt;= 300, "Mid Value", TRUE, "Low Value")</f>
        <v>High Value</v>
      </c>
    </row>
    <row r="648" spans="1:27" x14ac:dyDescent="0.3">
      <c r="A648" t="s">
        <v>2217</v>
      </c>
      <c r="B648" s="1">
        <v>45103</v>
      </c>
      <c r="C648" t="s">
        <v>40</v>
      </c>
      <c r="D648" t="s">
        <v>31</v>
      </c>
      <c r="E648" t="s">
        <v>42</v>
      </c>
      <c r="F648" t="s">
        <v>68</v>
      </c>
      <c r="G648" t="s">
        <v>44</v>
      </c>
      <c r="H648" t="s">
        <v>138</v>
      </c>
      <c r="I648" t="s">
        <v>424</v>
      </c>
      <c r="J648">
        <v>8</v>
      </c>
      <c r="K648">
        <v>4423</v>
      </c>
      <c r="L648">
        <v>0.23</v>
      </c>
      <c r="M648">
        <v>3405.71</v>
      </c>
      <c r="N648">
        <v>27245.68</v>
      </c>
      <c r="O648">
        <v>0.35</v>
      </c>
      <c r="P648">
        <v>9535.99</v>
      </c>
      <c r="Q648" t="s">
        <v>37</v>
      </c>
      <c r="R648" t="s">
        <v>48</v>
      </c>
      <c r="S648">
        <v>5</v>
      </c>
      <c r="T648">
        <f>YEAR(Sales_Data_1[[#This Row],[Order_Date]])</f>
        <v>2023</v>
      </c>
      <c r="U648" t="str">
        <f>TEXT(Sales_Data_1[[#This Row],[Order_Date]], "mmm")</f>
        <v>Jun</v>
      </c>
      <c r="V648">
        <f>MONTH(Sales_Data_1[[#This Row],[Order_Date]])</f>
        <v>6</v>
      </c>
      <c r="W648" t="str">
        <f>TEXT(Sales_Data_1[[#This Row],[Order_Date]], "yyyy-mm")</f>
        <v>2023-06</v>
      </c>
      <c r="X648">
        <f>Sales_Data_1[[#This Row],[Sales]]-Sales_Data_1[[#This Row],[Profit_Amount]]</f>
        <v>17709.690000000002</v>
      </c>
      <c r="Y648" t="str" cm="1">
        <f t="array" ref="Y648">_xlfn.IFS(Sales_Data_1[[#This Row],[Delivery_Days]]&lt;=3, "Fast", Sales_Data_1[[#This Row],[Delivery_Days]]&lt;= 7, "Standard", TRUE, "Delayed")</f>
        <v>Standard</v>
      </c>
      <c r="Z648" t="str" cm="1">
        <f t="array" ref="Z648">_xlfn.IFS(Sales_Data_1[[#This Row],[Profit_Amount]]&gt; 0, "Profitable", Sales_Data_1[[#This Row],[Profit_Amount]] = 0, "Break-Even", TRUE, "Loss")</f>
        <v>Profitable</v>
      </c>
      <c r="AA648" t="str" cm="1">
        <f t="array" ref="AA648">_xlfn.IFS(Sales_Data_1[[#This Row],[Sales]]&gt;= 1000, "High Value", Sales_Data_1[[#This Row],[Sales]]&gt;= 300, "Mid Value", TRUE, "Low Value")</f>
        <v>High Value</v>
      </c>
    </row>
    <row r="649" spans="1:27" x14ac:dyDescent="0.3">
      <c r="A649" t="s">
        <v>3018</v>
      </c>
      <c r="B649" s="1">
        <v>45904</v>
      </c>
      <c r="C649" t="s">
        <v>20</v>
      </c>
      <c r="D649" t="s">
        <v>31</v>
      </c>
      <c r="E649" t="s">
        <v>2040</v>
      </c>
      <c r="F649" t="s">
        <v>103</v>
      </c>
      <c r="G649" t="s">
        <v>57</v>
      </c>
      <c r="H649" t="s">
        <v>58</v>
      </c>
      <c r="I649" t="s">
        <v>1995</v>
      </c>
      <c r="J649">
        <v>4</v>
      </c>
      <c r="K649">
        <v>12183</v>
      </c>
      <c r="L649">
        <v>0.02</v>
      </c>
      <c r="M649">
        <v>11939.34</v>
      </c>
      <c r="N649">
        <v>47757.36</v>
      </c>
      <c r="O649">
        <v>0.2</v>
      </c>
      <c r="P649">
        <v>9551.4699999999993</v>
      </c>
      <c r="Q649" t="s">
        <v>27</v>
      </c>
      <c r="R649" t="s">
        <v>48</v>
      </c>
      <c r="S649">
        <v>7</v>
      </c>
      <c r="T649">
        <f>YEAR(Sales_Data_1[[#This Row],[Order_Date]])</f>
        <v>2025</v>
      </c>
      <c r="U649" t="str">
        <f>TEXT(Sales_Data_1[[#This Row],[Order_Date]], "mmm")</f>
        <v>Sep</v>
      </c>
      <c r="V649">
        <f>MONTH(Sales_Data_1[[#This Row],[Order_Date]])</f>
        <v>9</v>
      </c>
      <c r="W649" t="str">
        <f>TEXT(Sales_Data_1[[#This Row],[Order_Date]], "yyyy-mm")</f>
        <v>2025-09</v>
      </c>
      <c r="X649">
        <f>Sales_Data_1[[#This Row],[Sales]]-Sales_Data_1[[#This Row],[Profit_Amount]]</f>
        <v>38205.89</v>
      </c>
      <c r="Y649" t="str" cm="1">
        <f t="array" ref="Y649">_xlfn.IFS(Sales_Data_1[[#This Row],[Delivery_Days]]&lt;=3, "Fast", Sales_Data_1[[#This Row],[Delivery_Days]]&lt;= 7, "Standard", TRUE, "Delayed")</f>
        <v>Standard</v>
      </c>
      <c r="Z649" t="str" cm="1">
        <f t="array" ref="Z649">_xlfn.IFS(Sales_Data_1[[#This Row],[Profit_Amount]]&gt; 0, "Profitable", Sales_Data_1[[#This Row],[Profit_Amount]] = 0, "Break-Even", TRUE, "Loss")</f>
        <v>Profitable</v>
      </c>
      <c r="AA649" t="str" cm="1">
        <f t="array" ref="AA649">_xlfn.IFS(Sales_Data_1[[#This Row],[Sales]]&gt;= 1000, "High Value", Sales_Data_1[[#This Row],[Sales]]&gt;= 300, "Mid Value", TRUE, "Low Value")</f>
        <v>High Value</v>
      </c>
    </row>
    <row r="650" spans="1:27" x14ac:dyDescent="0.3">
      <c r="A650" t="s">
        <v>2365</v>
      </c>
      <c r="B650" s="1">
        <v>45251</v>
      </c>
      <c r="C650" t="s">
        <v>30</v>
      </c>
      <c r="D650" t="s">
        <v>41</v>
      </c>
      <c r="E650" t="s">
        <v>67</v>
      </c>
      <c r="F650" t="s">
        <v>43</v>
      </c>
      <c r="G650" t="s">
        <v>92</v>
      </c>
      <c r="H650" t="s">
        <v>178</v>
      </c>
      <c r="I650" t="s">
        <v>718</v>
      </c>
      <c r="J650">
        <v>2</v>
      </c>
      <c r="K650">
        <v>33669</v>
      </c>
      <c r="L650">
        <v>0.05</v>
      </c>
      <c r="M650">
        <v>31985.55</v>
      </c>
      <c r="N650">
        <v>63971.1</v>
      </c>
      <c r="O650">
        <v>0.15</v>
      </c>
      <c r="P650">
        <v>9595.66</v>
      </c>
      <c r="Q650" t="s">
        <v>27</v>
      </c>
      <c r="R650" t="s">
        <v>38</v>
      </c>
      <c r="S650">
        <v>4</v>
      </c>
      <c r="T650">
        <f>YEAR(Sales_Data_1[[#This Row],[Order_Date]])</f>
        <v>2023</v>
      </c>
      <c r="U650" t="str">
        <f>TEXT(Sales_Data_1[[#This Row],[Order_Date]], "mmm")</f>
        <v>Nov</v>
      </c>
      <c r="V650">
        <f>MONTH(Sales_Data_1[[#This Row],[Order_Date]])</f>
        <v>11</v>
      </c>
      <c r="W650" t="str">
        <f>TEXT(Sales_Data_1[[#This Row],[Order_Date]], "yyyy-mm")</f>
        <v>2023-11</v>
      </c>
      <c r="X650">
        <f>Sales_Data_1[[#This Row],[Sales]]-Sales_Data_1[[#This Row],[Profit_Amount]]</f>
        <v>54375.44</v>
      </c>
      <c r="Y650" t="str" cm="1">
        <f t="array" ref="Y650">_xlfn.IFS(Sales_Data_1[[#This Row],[Delivery_Days]]&lt;=3, "Fast", Sales_Data_1[[#This Row],[Delivery_Days]]&lt;= 7, "Standard", TRUE, "Delayed")</f>
        <v>Standard</v>
      </c>
      <c r="Z650" t="str" cm="1">
        <f t="array" ref="Z650">_xlfn.IFS(Sales_Data_1[[#This Row],[Profit_Amount]]&gt; 0, "Profitable", Sales_Data_1[[#This Row],[Profit_Amount]] = 0, "Break-Even", TRUE, "Loss")</f>
        <v>Profitable</v>
      </c>
      <c r="AA650" t="str" cm="1">
        <f t="array" ref="AA650">_xlfn.IFS(Sales_Data_1[[#This Row],[Sales]]&gt;= 1000, "High Value", Sales_Data_1[[#This Row],[Sales]]&gt;= 300, "Mid Value", TRUE, "Low Value")</f>
        <v>High Value</v>
      </c>
    </row>
    <row r="651" spans="1:27" x14ac:dyDescent="0.3">
      <c r="A651" t="s">
        <v>2073</v>
      </c>
      <c r="B651" s="1">
        <v>44959</v>
      </c>
      <c r="C651" t="s">
        <v>63</v>
      </c>
      <c r="D651" t="s">
        <v>31</v>
      </c>
      <c r="E651" t="s">
        <v>2040</v>
      </c>
      <c r="F651" t="s">
        <v>43</v>
      </c>
      <c r="G651" t="s">
        <v>24</v>
      </c>
      <c r="H651" t="s">
        <v>74</v>
      </c>
      <c r="I651" t="s">
        <v>130</v>
      </c>
      <c r="J651">
        <v>9</v>
      </c>
      <c r="K651">
        <v>4638</v>
      </c>
      <c r="L651">
        <v>0.08</v>
      </c>
      <c r="M651">
        <v>4266.96</v>
      </c>
      <c r="N651">
        <v>38402.639999999999</v>
      </c>
      <c r="O651">
        <v>0.25</v>
      </c>
      <c r="P651">
        <v>9600.66</v>
      </c>
      <c r="Q651" t="s">
        <v>51</v>
      </c>
      <c r="R651" t="s">
        <v>48</v>
      </c>
      <c r="S651">
        <v>8</v>
      </c>
      <c r="T651">
        <f>YEAR(Sales_Data_1[[#This Row],[Order_Date]])</f>
        <v>2023</v>
      </c>
      <c r="U651" t="str">
        <f>TEXT(Sales_Data_1[[#This Row],[Order_Date]], "mmm")</f>
        <v>Feb</v>
      </c>
      <c r="V651">
        <f>MONTH(Sales_Data_1[[#This Row],[Order_Date]])</f>
        <v>2</v>
      </c>
      <c r="W651" t="str">
        <f>TEXT(Sales_Data_1[[#This Row],[Order_Date]], "yyyy-mm")</f>
        <v>2023-02</v>
      </c>
      <c r="X651">
        <f>Sales_Data_1[[#This Row],[Sales]]-Sales_Data_1[[#This Row],[Profit_Amount]]</f>
        <v>28801.98</v>
      </c>
      <c r="Y651" t="str" cm="1">
        <f t="array" ref="Y651">_xlfn.IFS(Sales_Data_1[[#This Row],[Delivery_Days]]&lt;=3, "Fast", Sales_Data_1[[#This Row],[Delivery_Days]]&lt;= 7, "Standard", TRUE, "Delayed")</f>
        <v>Delayed</v>
      </c>
      <c r="Z651" t="str" cm="1">
        <f t="array" ref="Z651">_xlfn.IFS(Sales_Data_1[[#This Row],[Profit_Amount]]&gt; 0, "Profitable", Sales_Data_1[[#This Row],[Profit_Amount]] = 0, "Break-Even", TRUE, "Loss")</f>
        <v>Profitable</v>
      </c>
      <c r="AA651" t="str" cm="1">
        <f t="array" ref="AA651">_xlfn.IFS(Sales_Data_1[[#This Row],[Sales]]&gt;= 1000, "High Value", Sales_Data_1[[#This Row],[Sales]]&gt;= 300, "Mid Value", TRUE, "Low Value")</f>
        <v>High Value</v>
      </c>
    </row>
    <row r="652" spans="1:27" x14ac:dyDescent="0.3">
      <c r="A652" t="s">
        <v>2233</v>
      </c>
      <c r="B652" s="1">
        <v>45119</v>
      </c>
      <c r="C652" t="s">
        <v>96</v>
      </c>
      <c r="D652" t="s">
        <v>31</v>
      </c>
      <c r="E652" t="s">
        <v>2040</v>
      </c>
      <c r="F652" t="s">
        <v>33</v>
      </c>
      <c r="G652" t="s">
        <v>24</v>
      </c>
      <c r="H652" t="s">
        <v>186</v>
      </c>
      <c r="I652" t="s">
        <v>456</v>
      </c>
      <c r="J652">
        <v>3</v>
      </c>
      <c r="K652">
        <v>13065</v>
      </c>
      <c r="L652">
        <v>0.02</v>
      </c>
      <c r="M652">
        <v>12803.7</v>
      </c>
      <c r="N652">
        <v>38411.1</v>
      </c>
      <c r="O652">
        <v>0.25</v>
      </c>
      <c r="P652">
        <v>9602.7800000000007</v>
      </c>
      <c r="Q652" t="s">
        <v>37</v>
      </c>
      <c r="R652" t="s">
        <v>38</v>
      </c>
      <c r="S652">
        <v>3</v>
      </c>
      <c r="T652">
        <f>YEAR(Sales_Data_1[[#This Row],[Order_Date]])</f>
        <v>2023</v>
      </c>
      <c r="U652" t="str">
        <f>TEXT(Sales_Data_1[[#This Row],[Order_Date]], "mmm")</f>
        <v>Jul</v>
      </c>
      <c r="V652">
        <f>MONTH(Sales_Data_1[[#This Row],[Order_Date]])</f>
        <v>7</v>
      </c>
      <c r="W652" t="str">
        <f>TEXT(Sales_Data_1[[#This Row],[Order_Date]], "yyyy-mm")</f>
        <v>2023-07</v>
      </c>
      <c r="X652">
        <f>Sales_Data_1[[#This Row],[Sales]]-Sales_Data_1[[#This Row],[Profit_Amount]]</f>
        <v>28808.32</v>
      </c>
      <c r="Y652" t="str" cm="1">
        <f t="array" ref="Y652">_xlfn.IFS(Sales_Data_1[[#This Row],[Delivery_Days]]&lt;=3, "Fast", Sales_Data_1[[#This Row],[Delivery_Days]]&lt;= 7, "Standard", TRUE, "Delayed")</f>
        <v>Fast</v>
      </c>
      <c r="Z652" t="str" cm="1">
        <f t="array" ref="Z652">_xlfn.IFS(Sales_Data_1[[#This Row],[Profit_Amount]]&gt; 0, "Profitable", Sales_Data_1[[#This Row],[Profit_Amount]] = 0, "Break-Even", TRUE, "Loss")</f>
        <v>Profitable</v>
      </c>
      <c r="AA652" t="str" cm="1">
        <f t="array" ref="AA652">_xlfn.IFS(Sales_Data_1[[#This Row],[Sales]]&gt;= 1000, "High Value", Sales_Data_1[[#This Row],[Sales]]&gt;= 300, "Mid Value", TRUE, "Low Value")</f>
        <v>High Value</v>
      </c>
    </row>
    <row r="653" spans="1:27" x14ac:dyDescent="0.3">
      <c r="A653" t="s">
        <v>2231</v>
      </c>
      <c r="B653" s="1">
        <v>45117</v>
      </c>
      <c r="C653" t="s">
        <v>40</v>
      </c>
      <c r="D653" t="s">
        <v>31</v>
      </c>
      <c r="E653" t="s">
        <v>2042</v>
      </c>
      <c r="F653" t="s">
        <v>43</v>
      </c>
      <c r="G653" t="s">
        <v>57</v>
      </c>
      <c r="H653" t="s">
        <v>100</v>
      </c>
      <c r="I653" t="s">
        <v>452</v>
      </c>
      <c r="J653">
        <v>4</v>
      </c>
      <c r="K653">
        <v>14373</v>
      </c>
      <c r="L653">
        <v>0.16</v>
      </c>
      <c r="M653">
        <v>12073.32</v>
      </c>
      <c r="N653">
        <v>48293.279999999999</v>
      </c>
      <c r="O653">
        <v>0.2</v>
      </c>
      <c r="P653">
        <v>9658.66</v>
      </c>
      <c r="Q653" t="s">
        <v>37</v>
      </c>
      <c r="R653" t="s">
        <v>48</v>
      </c>
      <c r="S653">
        <v>7</v>
      </c>
      <c r="T653">
        <f>YEAR(Sales_Data_1[[#This Row],[Order_Date]])</f>
        <v>2023</v>
      </c>
      <c r="U653" t="str">
        <f>TEXT(Sales_Data_1[[#This Row],[Order_Date]], "mmm")</f>
        <v>Jul</v>
      </c>
      <c r="V653">
        <f>MONTH(Sales_Data_1[[#This Row],[Order_Date]])</f>
        <v>7</v>
      </c>
      <c r="W653" t="str">
        <f>TEXT(Sales_Data_1[[#This Row],[Order_Date]], "yyyy-mm")</f>
        <v>2023-07</v>
      </c>
      <c r="X653">
        <f>Sales_Data_1[[#This Row],[Sales]]-Sales_Data_1[[#This Row],[Profit_Amount]]</f>
        <v>38634.619999999995</v>
      </c>
      <c r="Y653" t="str" cm="1">
        <f t="array" ref="Y653">_xlfn.IFS(Sales_Data_1[[#This Row],[Delivery_Days]]&lt;=3, "Fast", Sales_Data_1[[#This Row],[Delivery_Days]]&lt;= 7, "Standard", TRUE, "Delayed")</f>
        <v>Standard</v>
      </c>
      <c r="Z653" t="str" cm="1">
        <f t="array" ref="Z653">_xlfn.IFS(Sales_Data_1[[#This Row],[Profit_Amount]]&gt; 0, "Profitable", Sales_Data_1[[#This Row],[Profit_Amount]] = 0, "Break-Even", TRUE, "Loss")</f>
        <v>Profitable</v>
      </c>
      <c r="AA653" t="str" cm="1">
        <f t="array" ref="AA653">_xlfn.IFS(Sales_Data_1[[#This Row],[Sales]]&gt;= 1000, "High Value", Sales_Data_1[[#This Row],[Sales]]&gt;= 300, "Mid Value", TRUE, "Low Value")</f>
        <v>High Value</v>
      </c>
    </row>
    <row r="654" spans="1:27" x14ac:dyDescent="0.3">
      <c r="A654" t="s">
        <v>2904</v>
      </c>
      <c r="B654" s="1">
        <v>45790</v>
      </c>
      <c r="C654" t="s">
        <v>55</v>
      </c>
      <c r="D654" t="s">
        <v>56</v>
      </c>
      <c r="E654" t="s">
        <v>42</v>
      </c>
      <c r="F654" t="s">
        <v>43</v>
      </c>
      <c r="G654" t="s">
        <v>57</v>
      </c>
      <c r="H654" t="s">
        <v>58</v>
      </c>
      <c r="I654" t="s">
        <v>1778</v>
      </c>
      <c r="J654">
        <v>4</v>
      </c>
      <c r="K654">
        <v>15493</v>
      </c>
      <c r="L654">
        <v>0.21</v>
      </c>
      <c r="M654">
        <v>12239.47</v>
      </c>
      <c r="N654">
        <v>48957.88</v>
      </c>
      <c r="O654">
        <v>0.2</v>
      </c>
      <c r="P654">
        <v>9791.58</v>
      </c>
      <c r="Q654" t="s">
        <v>51</v>
      </c>
      <c r="R654" t="s">
        <v>48</v>
      </c>
      <c r="S654">
        <v>5</v>
      </c>
      <c r="T654">
        <f>YEAR(Sales_Data_1[[#This Row],[Order_Date]])</f>
        <v>2025</v>
      </c>
      <c r="U654" t="str">
        <f>TEXT(Sales_Data_1[[#This Row],[Order_Date]], "mmm")</f>
        <v>May</v>
      </c>
      <c r="V654">
        <f>MONTH(Sales_Data_1[[#This Row],[Order_Date]])</f>
        <v>5</v>
      </c>
      <c r="W654" t="str">
        <f>TEXT(Sales_Data_1[[#This Row],[Order_Date]], "yyyy-mm")</f>
        <v>2025-05</v>
      </c>
      <c r="X654">
        <f>Sales_Data_1[[#This Row],[Sales]]-Sales_Data_1[[#This Row],[Profit_Amount]]</f>
        <v>39166.299999999996</v>
      </c>
      <c r="Y654" t="str" cm="1">
        <f t="array" ref="Y654">_xlfn.IFS(Sales_Data_1[[#This Row],[Delivery_Days]]&lt;=3, "Fast", Sales_Data_1[[#This Row],[Delivery_Days]]&lt;= 7, "Standard", TRUE, "Delayed")</f>
        <v>Standard</v>
      </c>
      <c r="Z654" t="str" cm="1">
        <f t="array" ref="Z654">_xlfn.IFS(Sales_Data_1[[#This Row],[Profit_Amount]]&gt; 0, "Profitable", Sales_Data_1[[#This Row],[Profit_Amount]] = 0, "Break-Even", TRUE, "Loss")</f>
        <v>Profitable</v>
      </c>
      <c r="AA654" t="str" cm="1">
        <f t="array" ref="AA654">_xlfn.IFS(Sales_Data_1[[#This Row],[Sales]]&gt;= 1000, "High Value", Sales_Data_1[[#This Row],[Sales]]&gt;= 300, "Mid Value", TRUE, "Low Value")</f>
        <v>High Value</v>
      </c>
    </row>
    <row r="655" spans="1:27" x14ac:dyDescent="0.3">
      <c r="A655" t="s">
        <v>2987</v>
      </c>
      <c r="B655" s="1">
        <v>45873</v>
      </c>
      <c r="C655" t="s">
        <v>30</v>
      </c>
      <c r="D655" t="s">
        <v>31</v>
      </c>
      <c r="E655" t="s">
        <v>67</v>
      </c>
      <c r="F655" t="s">
        <v>97</v>
      </c>
      <c r="G655" t="s">
        <v>57</v>
      </c>
      <c r="H655" t="s">
        <v>100</v>
      </c>
      <c r="I655" t="s">
        <v>1936</v>
      </c>
      <c r="J655">
        <v>5</v>
      </c>
      <c r="K655">
        <v>10535</v>
      </c>
      <c r="L655">
        <v>7.0000000000000007E-2</v>
      </c>
      <c r="M655">
        <v>9797.5499999999993</v>
      </c>
      <c r="N655">
        <v>48987.75</v>
      </c>
      <c r="O655">
        <v>0.2</v>
      </c>
      <c r="P655">
        <v>9797.5499999999993</v>
      </c>
      <c r="Q655" t="s">
        <v>47</v>
      </c>
      <c r="R655" t="s">
        <v>48</v>
      </c>
      <c r="S655">
        <v>6</v>
      </c>
      <c r="T655">
        <f>YEAR(Sales_Data_1[[#This Row],[Order_Date]])</f>
        <v>2025</v>
      </c>
      <c r="U655" t="str">
        <f>TEXT(Sales_Data_1[[#This Row],[Order_Date]], "mmm")</f>
        <v>Aug</v>
      </c>
      <c r="V655">
        <f>MONTH(Sales_Data_1[[#This Row],[Order_Date]])</f>
        <v>8</v>
      </c>
      <c r="W655" t="str">
        <f>TEXT(Sales_Data_1[[#This Row],[Order_Date]], "yyyy-mm")</f>
        <v>2025-08</v>
      </c>
      <c r="X655">
        <f>Sales_Data_1[[#This Row],[Sales]]-Sales_Data_1[[#This Row],[Profit_Amount]]</f>
        <v>39190.199999999997</v>
      </c>
      <c r="Y655" t="str" cm="1">
        <f t="array" ref="Y655">_xlfn.IFS(Sales_Data_1[[#This Row],[Delivery_Days]]&lt;=3, "Fast", Sales_Data_1[[#This Row],[Delivery_Days]]&lt;= 7, "Standard", TRUE, "Delayed")</f>
        <v>Standard</v>
      </c>
      <c r="Z655" t="str" cm="1">
        <f t="array" ref="Z655">_xlfn.IFS(Sales_Data_1[[#This Row],[Profit_Amount]]&gt; 0, "Profitable", Sales_Data_1[[#This Row],[Profit_Amount]] = 0, "Break-Even", TRUE, "Loss")</f>
        <v>Profitable</v>
      </c>
      <c r="AA655" t="str" cm="1">
        <f t="array" ref="AA655">_xlfn.IFS(Sales_Data_1[[#This Row],[Sales]]&gt;= 1000, "High Value", Sales_Data_1[[#This Row],[Sales]]&gt;= 300, "Mid Value", TRUE, "Low Value")</f>
        <v>High Value</v>
      </c>
    </row>
    <row r="656" spans="1:27" x14ac:dyDescent="0.3">
      <c r="A656" t="s">
        <v>2339</v>
      </c>
      <c r="B656" s="1">
        <v>45225</v>
      </c>
      <c r="C656" t="s">
        <v>96</v>
      </c>
      <c r="D656" t="s">
        <v>41</v>
      </c>
      <c r="E656" t="s">
        <v>2040</v>
      </c>
      <c r="F656" t="s">
        <v>103</v>
      </c>
      <c r="G656" t="s">
        <v>24</v>
      </c>
      <c r="H656" t="s">
        <v>74</v>
      </c>
      <c r="I656" t="s">
        <v>667</v>
      </c>
      <c r="J656">
        <v>6</v>
      </c>
      <c r="K656">
        <v>6539</v>
      </c>
      <c r="L656">
        <v>0</v>
      </c>
      <c r="M656">
        <v>6539</v>
      </c>
      <c r="N656">
        <v>39234</v>
      </c>
      <c r="O656">
        <v>0.25</v>
      </c>
      <c r="P656">
        <v>9808.5</v>
      </c>
      <c r="Q656" t="s">
        <v>51</v>
      </c>
      <c r="R656" t="s">
        <v>48</v>
      </c>
      <c r="S656">
        <v>8</v>
      </c>
      <c r="T656">
        <f>YEAR(Sales_Data_1[[#This Row],[Order_Date]])</f>
        <v>2023</v>
      </c>
      <c r="U656" t="str">
        <f>TEXT(Sales_Data_1[[#This Row],[Order_Date]], "mmm")</f>
        <v>Oct</v>
      </c>
      <c r="V656">
        <f>MONTH(Sales_Data_1[[#This Row],[Order_Date]])</f>
        <v>10</v>
      </c>
      <c r="W656" t="str">
        <f>TEXT(Sales_Data_1[[#This Row],[Order_Date]], "yyyy-mm")</f>
        <v>2023-10</v>
      </c>
      <c r="X656">
        <f>Sales_Data_1[[#This Row],[Sales]]-Sales_Data_1[[#This Row],[Profit_Amount]]</f>
        <v>29425.5</v>
      </c>
      <c r="Y656" t="str" cm="1">
        <f t="array" ref="Y656">_xlfn.IFS(Sales_Data_1[[#This Row],[Delivery_Days]]&lt;=3, "Fast", Sales_Data_1[[#This Row],[Delivery_Days]]&lt;= 7, "Standard", TRUE, "Delayed")</f>
        <v>Delayed</v>
      </c>
      <c r="Z656" t="str" cm="1">
        <f t="array" ref="Z656">_xlfn.IFS(Sales_Data_1[[#This Row],[Profit_Amount]]&gt; 0, "Profitable", Sales_Data_1[[#This Row],[Profit_Amount]] = 0, "Break-Even", TRUE, "Loss")</f>
        <v>Profitable</v>
      </c>
      <c r="AA656" t="str" cm="1">
        <f t="array" ref="AA656">_xlfn.IFS(Sales_Data_1[[#This Row],[Sales]]&gt;= 1000, "High Value", Sales_Data_1[[#This Row],[Sales]]&gt;= 300, "Mid Value", TRUE, "Low Value")</f>
        <v>High Value</v>
      </c>
    </row>
    <row r="657" spans="1:27" x14ac:dyDescent="0.3">
      <c r="A657" t="s">
        <v>2675</v>
      </c>
      <c r="B657" s="1">
        <v>45561</v>
      </c>
      <c r="C657" t="s">
        <v>55</v>
      </c>
      <c r="D657" t="s">
        <v>31</v>
      </c>
      <c r="E657" t="s">
        <v>42</v>
      </c>
      <c r="F657" t="s">
        <v>103</v>
      </c>
      <c r="G657" t="s">
        <v>92</v>
      </c>
      <c r="H657" t="s">
        <v>109</v>
      </c>
      <c r="I657" t="s">
        <v>1330</v>
      </c>
      <c r="J657">
        <v>3</v>
      </c>
      <c r="K657">
        <v>26531</v>
      </c>
      <c r="L657">
        <v>0.17</v>
      </c>
      <c r="M657">
        <v>22020.73</v>
      </c>
      <c r="N657">
        <v>66062.19</v>
      </c>
      <c r="O657">
        <v>0.15</v>
      </c>
      <c r="P657">
        <v>9909.33</v>
      </c>
      <c r="Q657" t="s">
        <v>27</v>
      </c>
      <c r="R657" t="s">
        <v>48</v>
      </c>
      <c r="S657">
        <v>7</v>
      </c>
      <c r="T657">
        <f>YEAR(Sales_Data_1[[#This Row],[Order_Date]])</f>
        <v>2024</v>
      </c>
      <c r="U657" t="str">
        <f>TEXT(Sales_Data_1[[#This Row],[Order_Date]], "mmm")</f>
        <v>Sep</v>
      </c>
      <c r="V657">
        <f>MONTH(Sales_Data_1[[#This Row],[Order_Date]])</f>
        <v>9</v>
      </c>
      <c r="W657" t="str">
        <f>TEXT(Sales_Data_1[[#This Row],[Order_Date]], "yyyy-mm")</f>
        <v>2024-09</v>
      </c>
      <c r="X657">
        <f>Sales_Data_1[[#This Row],[Sales]]-Sales_Data_1[[#This Row],[Profit_Amount]]</f>
        <v>56152.86</v>
      </c>
      <c r="Y657" t="str" cm="1">
        <f t="array" ref="Y657">_xlfn.IFS(Sales_Data_1[[#This Row],[Delivery_Days]]&lt;=3, "Fast", Sales_Data_1[[#This Row],[Delivery_Days]]&lt;= 7, "Standard", TRUE, "Delayed")</f>
        <v>Standard</v>
      </c>
      <c r="Z657" t="str" cm="1">
        <f t="array" ref="Z657">_xlfn.IFS(Sales_Data_1[[#This Row],[Profit_Amount]]&gt; 0, "Profitable", Sales_Data_1[[#This Row],[Profit_Amount]] = 0, "Break-Even", TRUE, "Loss")</f>
        <v>Profitable</v>
      </c>
      <c r="AA657" t="str" cm="1">
        <f t="array" ref="AA657">_xlfn.IFS(Sales_Data_1[[#This Row],[Sales]]&gt;= 1000, "High Value", Sales_Data_1[[#This Row],[Sales]]&gt;= 300, "Mid Value", TRUE, "Low Value")</f>
        <v>High Value</v>
      </c>
    </row>
    <row r="658" spans="1:27" x14ac:dyDescent="0.3">
      <c r="A658" t="s">
        <v>2725</v>
      </c>
      <c r="B658" s="1">
        <v>45611</v>
      </c>
      <c r="C658" t="s">
        <v>30</v>
      </c>
      <c r="D658" t="s">
        <v>56</v>
      </c>
      <c r="E658" t="s">
        <v>67</v>
      </c>
      <c r="F658" t="s">
        <v>103</v>
      </c>
      <c r="G658" t="s">
        <v>44</v>
      </c>
      <c r="H658" t="s">
        <v>45</v>
      </c>
      <c r="I658" t="s">
        <v>1426</v>
      </c>
      <c r="J658">
        <v>9</v>
      </c>
      <c r="K658">
        <v>4197</v>
      </c>
      <c r="L658">
        <v>0.25</v>
      </c>
      <c r="M658">
        <v>3147.75</v>
      </c>
      <c r="N658">
        <v>28329.75</v>
      </c>
      <c r="O658">
        <v>0.35</v>
      </c>
      <c r="P658">
        <v>9915.41</v>
      </c>
      <c r="Q658" t="s">
        <v>37</v>
      </c>
      <c r="R658" t="s">
        <v>28</v>
      </c>
      <c r="S658">
        <v>3</v>
      </c>
      <c r="T658">
        <f>YEAR(Sales_Data_1[[#This Row],[Order_Date]])</f>
        <v>2024</v>
      </c>
      <c r="U658" t="str">
        <f>TEXT(Sales_Data_1[[#This Row],[Order_Date]], "mmm")</f>
        <v>Nov</v>
      </c>
      <c r="V658">
        <f>MONTH(Sales_Data_1[[#This Row],[Order_Date]])</f>
        <v>11</v>
      </c>
      <c r="W658" t="str">
        <f>TEXT(Sales_Data_1[[#This Row],[Order_Date]], "yyyy-mm")</f>
        <v>2024-11</v>
      </c>
      <c r="X658">
        <f>Sales_Data_1[[#This Row],[Sales]]-Sales_Data_1[[#This Row],[Profit_Amount]]</f>
        <v>18414.34</v>
      </c>
      <c r="Y658" t="str" cm="1">
        <f t="array" ref="Y658">_xlfn.IFS(Sales_Data_1[[#This Row],[Delivery_Days]]&lt;=3, "Fast", Sales_Data_1[[#This Row],[Delivery_Days]]&lt;= 7, "Standard", TRUE, "Delayed")</f>
        <v>Fast</v>
      </c>
      <c r="Z658" t="str" cm="1">
        <f t="array" ref="Z658">_xlfn.IFS(Sales_Data_1[[#This Row],[Profit_Amount]]&gt; 0, "Profitable", Sales_Data_1[[#This Row],[Profit_Amount]] = 0, "Break-Even", TRUE, "Loss")</f>
        <v>Profitable</v>
      </c>
      <c r="AA658" t="str" cm="1">
        <f t="array" ref="AA658">_xlfn.IFS(Sales_Data_1[[#This Row],[Sales]]&gt;= 1000, "High Value", Sales_Data_1[[#This Row],[Sales]]&gt;= 300, "Mid Value", TRUE, "Low Value")</f>
        <v>High Value</v>
      </c>
    </row>
    <row r="659" spans="1:27" x14ac:dyDescent="0.3">
      <c r="A659" t="s">
        <v>2377</v>
      </c>
      <c r="B659" s="1">
        <v>45263</v>
      </c>
      <c r="C659" t="s">
        <v>30</v>
      </c>
      <c r="D659" t="s">
        <v>31</v>
      </c>
      <c r="E659" t="s">
        <v>2042</v>
      </c>
      <c r="F659" t="s">
        <v>23</v>
      </c>
      <c r="G659" t="s">
        <v>92</v>
      </c>
      <c r="H659" t="s">
        <v>178</v>
      </c>
      <c r="I659" t="s">
        <v>742</v>
      </c>
      <c r="J659">
        <v>2</v>
      </c>
      <c r="K659">
        <v>44084</v>
      </c>
      <c r="L659">
        <v>0.25</v>
      </c>
      <c r="M659">
        <v>33063</v>
      </c>
      <c r="N659">
        <v>66126</v>
      </c>
      <c r="O659">
        <v>0.15</v>
      </c>
      <c r="P659">
        <v>9918.9</v>
      </c>
      <c r="Q659" t="s">
        <v>37</v>
      </c>
      <c r="R659" t="s">
        <v>48</v>
      </c>
      <c r="S659">
        <v>6</v>
      </c>
      <c r="T659">
        <f>YEAR(Sales_Data_1[[#This Row],[Order_Date]])</f>
        <v>2023</v>
      </c>
      <c r="U659" t="str">
        <f>TEXT(Sales_Data_1[[#This Row],[Order_Date]], "mmm")</f>
        <v>Dec</v>
      </c>
      <c r="V659">
        <f>MONTH(Sales_Data_1[[#This Row],[Order_Date]])</f>
        <v>12</v>
      </c>
      <c r="W659" t="str">
        <f>TEXT(Sales_Data_1[[#This Row],[Order_Date]], "yyyy-mm")</f>
        <v>2023-12</v>
      </c>
      <c r="X659">
        <f>Sales_Data_1[[#This Row],[Sales]]-Sales_Data_1[[#This Row],[Profit_Amount]]</f>
        <v>56207.1</v>
      </c>
      <c r="Y659" t="str" cm="1">
        <f t="array" ref="Y659">_xlfn.IFS(Sales_Data_1[[#This Row],[Delivery_Days]]&lt;=3, "Fast", Sales_Data_1[[#This Row],[Delivery_Days]]&lt;= 7, "Standard", TRUE, "Delayed")</f>
        <v>Standard</v>
      </c>
      <c r="Z659" t="str" cm="1">
        <f t="array" ref="Z659">_xlfn.IFS(Sales_Data_1[[#This Row],[Profit_Amount]]&gt; 0, "Profitable", Sales_Data_1[[#This Row],[Profit_Amount]] = 0, "Break-Even", TRUE, "Loss")</f>
        <v>Profitable</v>
      </c>
      <c r="AA659" t="str" cm="1">
        <f t="array" ref="AA659">_xlfn.IFS(Sales_Data_1[[#This Row],[Sales]]&gt;= 1000, "High Value", Sales_Data_1[[#This Row],[Sales]]&gt;= 300, "Mid Value", TRUE, "Low Value")</f>
        <v>High Value</v>
      </c>
    </row>
    <row r="660" spans="1:27" x14ac:dyDescent="0.3">
      <c r="A660" t="s">
        <v>2260</v>
      </c>
      <c r="B660" s="1">
        <v>45146</v>
      </c>
      <c r="C660" t="s">
        <v>40</v>
      </c>
      <c r="D660" t="s">
        <v>21</v>
      </c>
      <c r="E660" t="s">
        <v>42</v>
      </c>
      <c r="F660" t="s">
        <v>33</v>
      </c>
      <c r="G660" t="s">
        <v>92</v>
      </c>
      <c r="H660" t="s">
        <v>93</v>
      </c>
      <c r="I660" t="s">
        <v>510</v>
      </c>
      <c r="J660">
        <v>1</v>
      </c>
      <c r="K660">
        <v>76024</v>
      </c>
      <c r="L660">
        <v>0.13</v>
      </c>
      <c r="M660">
        <v>66140.88</v>
      </c>
      <c r="N660">
        <v>66140.88</v>
      </c>
      <c r="O660">
        <v>0.15</v>
      </c>
      <c r="P660">
        <v>9921.1299999999992</v>
      </c>
      <c r="Q660" t="s">
        <v>27</v>
      </c>
      <c r="R660" t="s">
        <v>48</v>
      </c>
      <c r="S660">
        <v>4</v>
      </c>
      <c r="T660">
        <f>YEAR(Sales_Data_1[[#This Row],[Order_Date]])</f>
        <v>2023</v>
      </c>
      <c r="U660" t="str">
        <f>TEXT(Sales_Data_1[[#This Row],[Order_Date]], "mmm")</f>
        <v>Aug</v>
      </c>
      <c r="V660">
        <f>MONTH(Sales_Data_1[[#This Row],[Order_Date]])</f>
        <v>8</v>
      </c>
      <c r="W660" t="str">
        <f>TEXT(Sales_Data_1[[#This Row],[Order_Date]], "yyyy-mm")</f>
        <v>2023-08</v>
      </c>
      <c r="X660">
        <f>Sales_Data_1[[#This Row],[Sales]]-Sales_Data_1[[#This Row],[Profit_Amount]]</f>
        <v>56219.750000000007</v>
      </c>
      <c r="Y660" t="str" cm="1">
        <f t="array" ref="Y660">_xlfn.IFS(Sales_Data_1[[#This Row],[Delivery_Days]]&lt;=3, "Fast", Sales_Data_1[[#This Row],[Delivery_Days]]&lt;= 7, "Standard", TRUE, "Delayed")</f>
        <v>Standard</v>
      </c>
      <c r="Z660" t="str" cm="1">
        <f t="array" ref="Z660">_xlfn.IFS(Sales_Data_1[[#This Row],[Profit_Amount]]&gt; 0, "Profitable", Sales_Data_1[[#This Row],[Profit_Amount]] = 0, "Break-Even", TRUE, "Loss")</f>
        <v>Profitable</v>
      </c>
      <c r="AA660" t="str" cm="1">
        <f t="array" ref="AA660">_xlfn.IFS(Sales_Data_1[[#This Row],[Sales]]&gt;= 1000, "High Value", Sales_Data_1[[#This Row],[Sales]]&gt;= 300, "Mid Value", TRUE, "Low Value")</f>
        <v>High Value</v>
      </c>
    </row>
    <row r="661" spans="1:27" x14ac:dyDescent="0.3">
      <c r="A661" t="s">
        <v>2658</v>
      </c>
      <c r="B661" s="1">
        <v>45544</v>
      </c>
      <c r="C661" t="s">
        <v>40</v>
      </c>
      <c r="D661" t="s">
        <v>31</v>
      </c>
      <c r="E661" t="s">
        <v>67</v>
      </c>
      <c r="F661" t="s">
        <v>97</v>
      </c>
      <c r="G661" t="s">
        <v>57</v>
      </c>
      <c r="H661" t="s">
        <v>58</v>
      </c>
      <c r="I661" t="s">
        <v>1296</v>
      </c>
      <c r="J661">
        <v>5</v>
      </c>
      <c r="K661">
        <v>10906</v>
      </c>
      <c r="L661">
        <v>0.09</v>
      </c>
      <c r="M661">
        <v>9924.4599999999991</v>
      </c>
      <c r="N661">
        <v>49622.3</v>
      </c>
      <c r="O661">
        <v>0.2</v>
      </c>
      <c r="P661">
        <v>9924.4599999999991</v>
      </c>
      <c r="Q661" t="s">
        <v>37</v>
      </c>
      <c r="R661" t="s">
        <v>38</v>
      </c>
      <c r="S661">
        <v>4</v>
      </c>
      <c r="T661">
        <f>YEAR(Sales_Data_1[[#This Row],[Order_Date]])</f>
        <v>2024</v>
      </c>
      <c r="U661" t="str">
        <f>TEXT(Sales_Data_1[[#This Row],[Order_Date]], "mmm")</f>
        <v>Sep</v>
      </c>
      <c r="V661">
        <f>MONTH(Sales_Data_1[[#This Row],[Order_Date]])</f>
        <v>9</v>
      </c>
      <c r="W661" t="str">
        <f>TEXT(Sales_Data_1[[#This Row],[Order_Date]], "yyyy-mm")</f>
        <v>2024-09</v>
      </c>
      <c r="X661">
        <f>Sales_Data_1[[#This Row],[Sales]]-Sales_Data_1[[#This Row],[Profit_Amount]]</f>
        <v>39697.840000000004</v>
      </c>
      <c r="Y661" t="str" cm="1">
        <f t="array" ref="Y661">_xlfn.IFS(Sales_Data_1[[#This Row],[Delivery_Days]]&lt;=3, "Fast", Sales_Data_1[[#This Row],[Delivery_Days]]&lt;= 7, "Standard", TRUE, "Delayed")</f>
        <v>Standard</v>
      </c>
      <c r="Z661" t="str" cm="1">
        <f t="array" ref="Z661">_xlfn.IFS(Sales_Data_1[[#This Row],[Profit_Amount]]&gt; 0, "Profitable", Sales_Data_1[[#This Row],[Profit_Amount]] = 0, "Break-Even", TRUE, "Loss")</f>
        <v>Profitable</v>
      </c>
      <c r="AA661" t="str" cm="1">
        <f t="array" ref="AA661">_xlfn.IFS(Sales_Data_1[[#This Row],[Sales]]&gt;= 1000, "High Value", Sales_Data_1[[#This Row],[Sales]]&gt;= 300, "Mid Value", TRUE, "Low Value")</f>
        <v>High Value</v>
      </c>
    </row>
    <row r="662" spans="1:27" x14ac:dyDescent="0.3">
      <c r="A662" t="s">
        <v>3023</v>
      </c>
      <c r="B662" s="1">
        <v>45909</v>
      </c>
      <c r="C662" t="s">
        <v>55</v>
      </c>
      <c r="D662" t="s">
        <v>56</v>
      </c>
      <c r="E662" t="s">
        <v>2042</v>
      </c>
      <c r="F662" t="s">
        <v>68</v>
      </c>
      <c r="G662" t="s">
        <v>24</v>
      </c>
      <c r="H662" t="s">
        <v>121</v>
      </c>
      <c r="I662" t="s">
        <v>2005</v>
      </c>
      <c r="J662">
        <v>8</v>
      </c>
      <c r="K662">
        <v>5869</v>
      </c>
      <c r="L662">
        <v>0.15</v>
      </c>
      <c r="M662">
        <v>4988.6499999999996</v>
      </c>
      <c r="N662">
        <v>39909.199999999997</v>
      </c>
      <c r="O662">
        <v>0.25</v>
      </c>
      <c r="P662">
        <v>9977.2999999999993</v>
      </c>
      <c r="Q662" t="s">
        <v>47</v>
      </c>
      <c r="R662" t="s">
        <v>48</v>
      </c>
      <c r="S662">
        <v>9</v>
      </c>
      <c r="T662">
        <f>YEAR(Sales_Data_1[[#This Row],[Order_Date]])</f>
        <v>2025</v>
      </c>
      <c r="U662" t="str">
        <f>TEXT(Sales_Data_1[[#This Row],[Order_Date]], "mmm")</f>
        <v>Sep</v>
      </c>
      <c r="V662">
        <f>MONTH(Sales_Data_1[[#This Row],[Order_Date]])</f>
        <v>9</v>
      </c>
      <c r="W662" t="str">
        <f>TEXT(Sales_Data_1[[#This Row],[Order_Date]], "yyyy-mm")</f>
        <v>2025-09</v>
      </c>
      <c r="X662">
        <f>Sales_Data_1[[#This Row],[Sales]]-Sales_Data_1[[#This Row],[Profit_Amount]]</f>
        <v>29931.899999999998</v>
      </c>
      <c r="Y662" t="str" cm="1">
        <f t="array" ref="Y662">_xlfn.IFS(Sales_Data_1[[#This Row],[Delivery_Days]]&lt;=3, "Fast", Sales_Data_1[[#This Row],[Delivery_Days]]&lt;= 7, "Standard", TRUE, "Delayed")</f>
        <v>Delayed</v>
      </c>
      <c r="Z662" t="str" cm="1">
        <f t="array" ref="Z662">_xlfn.IFS(Sales_Data_1[[#This Row],[Profit_Amount]]&gt; 0, "Profitable", Sales_Data_1[[#This Row],[Profit_Amount]] = 0, "Break-Even", TRUE, "Loss")</f>
        <v>Profitable</v>
      </c>
      <c r="AA662" t="str" cm="1">
        <f t="array" ref="AA662">_xlfn.IFS(Sales_Data_1[[#This Row],[Sales]]&gt;= 1000, "High Value", Sales_Data_1[[#This Row],[Sales]]&gt;= 300, "Mid Value", TRUE, "Low Value")</f>
        <v>High Value</v>
      </c>
    </row>
    <row r="663" spans="1:27" x14ac:dyDescent="0.3">
      <c r="A663" t="s">
        <v>2294</v>
      </c>
      <c r="B663" s="1">
        <v>45180</v>
      </c>
      <c r="C663" t="s">
        <v>63</v>
      </c>
      <c r="D663" t="s">
        <v>21</v>
      </c>
      <c r="E663" t="s">
        <v>67</v>
      </c>
      <c r="F663" t="s">
        <v>43</v>
      </c>
      <c r="G663" t="s">
        <v>44</v>
      </c>
      <c r="H663" t="s">
        <v>138</v>
      </c>
      <c r="I663" t="s">
        <v>578</v>
      </c>
      <c r="J663">
        <v>8</v>
      </c>
      <c r="K663">
        <v>4348</v>
      </c>
      <c r="L663">
        <v>0.18</v>
      </c>
      <c r="M663">
        <v>3565.36</v>
      </c>
      <c r="N663">
        <v>28522.880000000001</v>
      </c>
      <c r="O663">
        <v>0.35</v>
      </c>
      <c r="P663">
        <v>9983.01</v>
      </c>
      <c r="Q663" t="s">
        <v>51</v>
      </c>
      <c r="R663" t="s">
        <v>48</v>
      </c>
      <c r="S663">
        <v>2</v>
      </c>
      <c r="T663">
        <f>YEAR(Sales_Data_1[[#This Row],[Order_Date]])</f>
        <v>2023</v>
      </c>
      <c r="U663" t="str">
        <f>TEXT(Sales_Data_1[[#This Row],[Order_Date]], "mmm")</f>
        <v>Sep</v>
      </c>
      <c r="V663">
        <f>MONTH(Sales_Data_1[[#This Row],[Order_Date]])</f>
        <v>9</v>
      </c>
      <c r="W663" t="str">
        <f>TEXT(Sales_Data_1[[#This Row],[Order_Date]], "yyyy-mm")</f>
        <v>2023-09</v>
      </c>
      <c r="X663">
        <f>Sales_Data_1[[#This Row],[Sales]]-Sales_Data_1[[#This Row],[Profit_Amount]]</f>
        <v>18539.870000000003</v>
      </c>
      <c r="Y663" t="str" cm="1">
        <f t="array" ref="Y663">_xlfn.IFS(Sales_Data_1[[#This Row],[Delivery_Days]]&lt;=3, "Fast", Sales_Data_1[[#This Row],[Delivery_Days]]&lt;= 7, "Standard", TRUE, "Delayed")</f>
        <v>Fast</v>
      </c>
      <c r="Z663" t="str" cm="1">
        <f t="array" ref="Z663">_xlfn.IFS(Sales_Data_1[[#This Row],[Profit_Amount]]&gt; 0, "Profitable", Sales_Data_1[[#This Row],[Profit_Amount]] = 0, "Break-Even", TRUE, "Loss")</f>
        <v>Profitable</v>
      </c>
      <c r="AA663" t="str" cm="1">
        <f t="array" ref="AA663">_xlfn.IFS(Sales_Data_1[[#This Row],[Sales]]&gt;= 1000, "High Value", Sales_Data_1[[#This Row],[Sales]]&gt;= 300, "Mid Value", TRUE, "Low Value")</f>
        <v>High Value</v>
      </c>
    </row>
    <row r="664" spans="1:27" x14ac:dyDescent="0.3">
      <c r="A664" t="s">
        <v>2086</v>
      </c>
      <c r="B664" s="1">
        <v>44972</v>
      </c>
      <c r="C664" t="s">
        <v>30</v>
      </c>
      <c r="D664" t="s">
        <v>41</v>
      </c>
      <c r="E664" t="s">
        <v>42</v>
      </c>
      <c r="F664" t="s">
        <v>43</v>
      </c>
      <c r="G664" t="s">
        <v>92</v>
      </c>
      <c r="H664" t="s">
        <v>93</v>
      </c>
      <c r="I664" t="s">
        <v>158</v>
      </c>
      <c r="J664">
        <v>6</v>
      </c>
      <c r="K664">
        <v>12920</v>
      </c>
      <c r="L664">
        <v>0.14000000000000001</v>
      </c>
      <c r="M664">
        <v>11111.2</v>
      </c>
      <c r="N664">
        <v>66667.199999999997</v>
      </c>
      <c r="O664">
        <v>0.15</v>
      </c>
      <c r="P664">
        <v>10000.08</v>
      </c>
      <c r="Q664" t="s">
        <v>47</v>
      </c>
      <c r="R664" t="s">
        <v>48</v>
      </c>
      <c r="S664">
        <v>3</v>
      </c>
      <c r="T664">
        <f>YEAR(Sales_Data_1[[#This Row],[Order_Date]])</f>
        <v>2023</v>
      </c>
      <c r="U664" t="str">
        <f>TEXT(Sales_Data_1[[#This Row],[Order_Date]], "mmm")</f>
        <v>Feb</v>
      </c>
      <c r="V664">
        <f>MONTH(Sales_Data_1[[#This Row],[Order_Date]])</f>
        <v>2</v>
      </c>
      <c r="W664" t="str">
        <f>TEXT(Sales_Data_1[[#This Row],[Order_Date]], "yyyy-mm")</f>
        <v>2023-02</v>
      </c>
      <c r="X664">
        <f>Sales_Data_1[[#This Row],[Sales]]-Sales_Data_1[[#This Row],[Profit_Amount]]</f>
        <v>56667.119999999995</v>
      </c>
      <c r="Y664" t="str" cm="1">
        <f t="array" ref="Y664">_xlfn.IFS(Sales_Data_1[[#This Row],[Delivery_Days]]&lt;=3, "Fast", Sales_Data_1[[#This Row],[Delivery_Days]]&lt;= 7, "Standard", TRUE, "Delayed")</f>
        <v>Fast</v>
      </c>
      <c r="Z664" t="str" cm="1">
        <f t="array" ref="Z664">_xlfn.IFS(Sales_Data_1[[#This Row],[Profit_Amount]]&gt; 0, "Profitable", Sales_Data_1[[#This Row],[Profit_Amount]] = 0, "Break-Even", TRUE, "Loss")</f>
        <v>Profitable</v>
      </c>
      <c r="AA664" t="str" cm="1">
        <f t="array" ref="AA664">_xlfn.IFS(Sales_Data_1[[#This Row],[Sales]]&gt;= 1000, "High Value", Sales_Data_1[[#This Row],[Sales]]&gt;= 300, "Mid Value", TRUE, "Low Value")</f>
        <v>High Value</v>
      </c>
    </row>
    <row r="665" spans="1:27" x14ac:dyDescent="0.3">
      <c r="A665" t="s">
        <v>2779</v>
      </c>
      <c r="B665" s="1">
        <v>45665</v>
      </c>
      <c r="C665" t="s">
        <v>20</v>
      </c>
      <c r="D665" t="s">
        <v>41</v>
      </c>
      <c r="E665" t="s">
        <v>2040</v>
      </c>
      <c r="F665" t="s">
        <v>23</v>
      </c>
      <c r="G665" t="s">
        <v>24</v>
      </c>
      <c r="H665" t="s">
        <v>25</v>
      </c>
      <c r="I665" t="s">
        <v>1532</v>
      </c>
      <c r="J665">
        <v>8</v>
      </c>
      <c r="K665">
        <v>6343</v>
      </c>
      <c r="L665">
        <v>0.21</v>
      </c>
      <c r="M665">
        <v>5010.97</v>
      </c>
      <c r="N665">
        <v>40087.760000000002</v>
      </c>
      <c r="O665">
        <v>0.25</v>
      </c>
      <c r="P665">
        <v>10021.94</v>
      </c>
      <c r="Q665" t="s">
        <v>37</v>
      </c>
      <c r="R665" t="s">
        <v>48</v>
      </c>
      <c r="S665">
        <v>9</v>
      </c>
      <c r="T665">
        <f>YEAR(Sales_Data_1[[#This Row],[Order_Date]])</f>
        <v>2025</v>
      </c>
      <c r="U665" t="str">
        <f>TEXT(Sales_Data_1[[#This Row],[Order_Date]], "mmm")</f>
        <v>Jan</v>
      </c>
      <c r="V665">
        <f>MONTH(Sales_Data_1[[#This Row],[Order_Date]])</f>
        <v>1</v>
      </c>
      <c r="W665" t="str">
        <f>TEXT(Sales_Data_1[[#This Row],[Order_Date]], "yyyy-mm")</f>
        <v>2025-01</v>
      </c>
      <c r="X665">
        <f>Sales_Data_1[[#This Row],[Sales]]-Sales_Data_1[[#This Row],[Profit_Amount]]</f>
        <v>30065.82</v>
      </c>
      <c r="Y665" t="str" cm="1">
        <f t="array" ref="Y665">_xlfn.IFS(Sales_Data_1[[#This Row],[Delivery_Days]]&lt;=3, "Fast", Sales_Data_1[[#This Row],[Delivery_Days]]&lt;= 7, "Standard", TRUE, "Delayed")</f>
        <v>Delayed</v>
      </c>
      <c r="Z665" t="str" cm="1">
        <f t="array" ref="Z665">_xlfn.IFS(Sales_Data_1[[#This Row],[Profit_Amount]]&gt; 0, "Profitable", Sales_Data_1[[#This Row],[Profit_Amount]] = 0, "Break-Even", TRUE, "Loss")</f>
        <v>Profitable</v>
      </c>
      <c r="AA665" t="str" cm="1">
        <f t="array" ref="AA665">_xlfn.IFS(Sales_Data_1[[#This Row],[Sales]]&gt;= 1000, "High Value", Sales_Data_1[[#This Row],[Sales]]&gt;= 300, "Mid Value", TRUE, "Low Value")</f>
        <v>High Value</v>
      </c>
    </row>
    <row r="666" spans="1:27" x14ac:dyDescent="0.3">
      <c r="A666" t="s">
        <v>2087</v>
      </c>
      <c r="B666" s="1">
        <v>44973</v>
      </c>
      <c r="C666" t="s">
        <v>55</v>
      </c>
      <c r="D666" t="s">
        <v>31</v>
      </c>
      <c r="E666" t="s">
        <v>42</v>
      </c>
      <c r="F666" t="s">
        <v>68</v>
      </c>
      <c r="G666" t="s">
        <v>57</v>
      </c>
      <c r="H666" t="s">
        <v>58</v>
      </c>
      <c r="I666" t="s">
        <v>160</v>
      </c>
      <c r="J666">
        <v>3</v>
      </c>
      <c r="K666">
        <v>18002</v>
      </c>
      <c r="L666">
        <v>7.0000000000000007E-2</v>
      </c>
      <c r="M666">
        <v>16741.86</v>
      </c>
      <c r="N666">
        <v>50225.58</v>
      </c>
      <c r="O666">
        <v>0.2</v>
      </c>
      <c r="P666">
        <v>10045.120000000001</v>
      </c>
      <c r="Q666" t="s">
        <v>37</v>
      </c>
      <c r="R666" t="s">
        <v>48</v>
      </c>
      <c r="S666">
        <v>9</v>
      </c>
      <c r="T666">
        <f>YEAR(Sales_Data_1[[#This Row],[Order_Date]])</f>
        <v>2023</v>
      </c>
      <c r="U666" t="str">
        <f>TEXT(Sales_Data_1[[#This Row],[Order_Date]], "mmm")</f>
        <v>Feb</v>
      </c>
      <c r="V666">
        <f>MONTH(Sales_Data_1[[#This Row],[Order_Date]])</f>
        <v>2</v>
      </c>
      <c r="W666" t="str">
        <f>TEXT(Sales_Data_1[[#This Row],[Order_Date]], "yyyy-mm")</f>
        <v>2023-02</v>
      </c>
      <c r="X666">
        <f>Sales_Data_1[[#This Row],[Sales]]-Sales_Data_1[[#This Row],[Profit_Amount]]</f>
        <v>40180.46</v>
      </c>
      <c r="Y666" t="str" cm="1">
        <f t="array" ref="Y666">_xlfn.IFS(Sales_Data_1[[#This Row],[Delivery_Days]]&lt;=3, "Fast", Sales_Data_1[[#This Row],[Delivery_Days]]&lt;= 7, "Standard", TRUE, "Delayed")</f>
        <v>Delayed</v>
      </c>
      <c r="Z666" t="str" cm="1">
        <f t="array" ref="Z666">_xlfn.IFS(Sales_Data_1[[#This Row],[Profit_Amount]]&gt; 0, "Profitable", Sales_Data_1[[#This Row],[Profit_Amount]] = 0, "Break-Even", TRUE, "Loss")</f>
        <v>Profitable</v>
      </c>
      <c r="AA666" t="str" cm="1">
        <f t="array" ref="AA666">_xlfn.IFS(Sales_Data_1[[#This Row],[Sales]]&gt;= 1000, "High Value", Sales_Data_1[[#This Row],[Sales]]&gt;= 300, "Mid Value", TRUE, "Low Value")</f>
        <v>High Value</v>
      </c>
    </row>
    <row r="667" spans="1:27" x14ac:dyDescent="0.3">
      <c r="A667" t="s">
        <v>2210</v>
      </c>
      <c r="B667" s="1">
        <v>45096</v>
      </c>
      <c r="C667" t="s">
        <v>40</v>
      </c>
      <c r="D667" t="s">
        <v>21</v>
      </c>
      <c r="E667" t="s">
        <v>2042</v>
      </c>
      <c r="F667" t="s">
        <v>68</v>
      </c>
      <c r="G667" t="s">
        <v>24</v>
      </c>
      <c r="H667" t="s">
        <v>186</v>
      </c>
      <c r="I667" t="s">
        <v>410</v>
      </c>
      <c r="J667">
        <v>5</v>
      </c>
      <c r="K667">
        <v>8473</v>
      </c>
      <c r="L667">
        <v>0.05</v>
      </c>
      <c r="M667">
        <v>8049.35</v>
      </c>
      <c r="N667">
        <v>40246.75</v>
      </c>
      <c r="O667">
        <v>0.25</v>
      </c>
      <c r="P667">
        <v>10061.69</v>
      </c>
      <c r="Q667" t="s">
        <v>51</v>
      </c>
      <c r="R667" t="s">
        <v>48</v>
      </c>
      <c r="S667">
        <v>7</v>
      </c>
      <c r="T667">
        <f>YEAR(Sales_Data_1[[#This Row],[Order_Date]])</f>
        <v>2023</v>
      </c>
      <c r="U667" t="str">
        <f>TEXT(Sales_Data_1[[#This Row],[Order_Date]], "mmm")</f>
        <v>Jun</v>
      </c>
      <c r="V667">
        <f>MONTH(Sales_Data_1[[#This Row],[Order_Date]])</f>
        <v>6</v>
      </c>
      <c r="W667" t="str">
        <f>TEXT(Sales_Data_1[[#This Row],[Order_Date]], "yyyy-mm")</f>
        <v>2023-06</v>
      </c>
      <c r="X667">
        <f>Sales_Data_1[[#This Row],[Sales]]-Sales_Data_1[[#This Row],[Profit_Amount]]</f>
        <v>30185.059999999998</v>
      </c>
      <c r="Y667" t="str" cm="1">
        <f t="array" ref="Y667">_xlfn.IFS(Sales_Data_1[[#This Row],[Delivery_Days]]&lt;=3, "Fast", Sales_Data_1[[#This Row],[Delivery_Days]]&lt;= 7, "Standard", TRUE, "Delayed")</f>
        <v>Standard</v>
      </c>
      <c r="Z667" t="str" cm="1">
        <f t="array" ref="Z667">_xlfn.IFS(Sales_Data_1[[#This Row],[Profit_Amount]]&gt; 0, "Profitable", Sales_Data_1[[#This Row],[Profit_Amount]] = 0, "Break-Even", TRUE, "Loss")</f>
        <v>Profitable</v>
      </c>
      <c r="AA667" t="str" cm="1">
        <f t="array" ref="AA667">_xlfn.IFS(Sales_Data_1[[#This Row],[Sales]]&gt;= 1000, "High Value", Sales_Data_1[[#This Row],[Sales]]&gt;= 300, "Mid Value", TRUE, "Low Value")</f>
        <v>High Value</v>
      </c>
    </row>
    <row r="668" spans="1:27" x14ac:dyDescent="0.3">
      <c r="A668" t="s">
        <v>3032</v>
      </c>
      <c r="B668" s="1">
        <v>45918</v>
      </c>
      <c r="C668" t="s">
        <v>55</v>
      </c>
      <c r="D668" t="s">
        <v>21</v>
      </c>
      <c r="E668" t="s">
        <v>2040</v>
      </c>
      <c r="F668" t="s">
        <v>68</v>
      </c>
      <c r="G668" t="s">
        <v>44</v>
      </c>
      <c r="H668" t="s">
        <v>116</v>
      </c>
      <c r="I668" t="s">
        <v>934</v>
      </c>
      <c r="J668">
        <v>9</v>
      </c>
      <c r="K668">
        <v>4157</v>
      </c>
      <c r="L668">
        <v>0.23</v>
      </c>
      <c r="M668">
        <v>3200.89</v>
      </c>
      <c r="N668">
        <v>28808.01</v>
      </c>
      <c r="O668">
        <v>0.35</v>
      </c>
      <c r="P668">
        <v>10082.799999999999</v>
      </c>
      <c r="Q668" t="s">
        <v>27</v>
      </c>
      <c r="R668" t="s">
        <v>48</v>
      </c>
      <c r="S668">
        <v>5</v>
      </c>
      <c r="T668">
        <f>YEAR(Sales_Data_1[[#This Row],[Order_Date]])</f>
        <v>2025</v>
      </c>
      <c r="U668" t="str">
        <f>TEXT(Sales_Data_1[[#This Row],[Order_Date]], "mmm")</f>
        <v>Sep</v>
      </c>
      <c r="V668">
        <f>MONTH(Sales_Data_1[[#This Row],[Order_Date]])</f>
        <v>9</v>
      </c>
      <c r="W668" t="str">
        <f>TEXT(Sales_Data_1[[#This Row],[Order_Date]], "yyyy-mm")</f>
        <v>2025-09</v>
      </c>
      <c r="X668">
        <f>Sales_Data_1[[#This Row],[Sales]]-Sales_Data_1[[#This Row],[Profit_Amount]]</f>
        <v>18725.21</v>
      </c>
      <c r="Y668" t="str" cm="1">
        <f t="array" ref="Y668">_xlfn.IFS(Sales_Data_1[[#This Row],[Delivery_Days]]&lt;=3, "Fast", Sales_Data_1[[#This Row],[Delivery_Days]]&lt;= 7, "Standard", TRUE, "Delayed")</f>
        <v>Standard</v>
      </c>
      <c r="Z668" t="str" cm="1">
        <f t="array" ref="Z668">_xlfn.IFS(Sales_Data_1[[#This Row],[Profit_Amount]]&gt; 0, "Profitable", Sales_Data_1[[#This Row],[Profit_Amount]] = 0, "Break-Even", TRUE, "Loss")</f>
        <v>Profitable</v>
      </c>
      <c r="AA668" t="str" cm="1">
        <f t="array" ref="AA668">_xlfn.IFS(Sales_Data_1[[#This Row],[Sales]]&gt;= 1000, "High Value", Sales_Data_1[[#This Row],[Sales]]&gt;= 300, "Mid Value", TRUE, "Low Value")</f>
        <v>High Value</v>
      </c>
    </row>
    <row r="669" spans="1:27" x14ac:dyDescent="0.3">
      <c r="A669" t="s">
        <v>2629</v>
      </c>
      <c r="B669" s="1">
        <v>45515</v>
      </c>
      <c r="C669" t="s">
        <v>40</v>
      </c>
      <c r="D669" t="s">
        <v>41</v>
      </c>
      <c r="E669" t="s">
        <v>2040</v>
      </c>
      <c r="F669" t="s">
        <v>33</v>
      </c>
      <c r="G669" t="s">
        <v>24</v>
      </c>
      <c r="H669" t="s">
        <v>25</v>
      </c>
      <c r="I669" t="s">
        <v>1240</v>
      </c>
      <c r="J669">
        <v>8</v>
      </c>
      <c r="K669">
        <v>5798</v>
      </c>
      <c r="L669">
        <v>0.13</v>
      </c>
      <c r="M669">
        <v>5044.26</v>
      </c>
      <c r="N669">
        <v>40354.080000000002</v>
      </c>
      <c r="O669">
        <v>0.25</v>
      </c>
      <c r="P669">
        <v>10088.52</v>
      </c>
      <c r="Q669" t="s">
        <v>37</v>
      </c>
      <c r="R669" t="s">
        <v>48</v>
      </c>
      <c r="S669">
        <v>2</v>
      </c>
      <c r="T669">
        <f>YEAR(Sales_Data_1[[#This Row],[Order_Date]])</f>
        <v>2024</v>
      </c>
      <c r="U669" t="str">
        <f>TEXT(Sales_Data_1[[#This Row],[Order_Date]], "mmm")</f>
        <v>Aug</v>
      </c>
      <c r="V669">
        <f>MONTH(Sales_Data_1[[#This Row],[Order_Date]])</f>
        <v>8</v>
      </c>
      <c r="W669" t="str">
        <f>TEXT(Sales_Data_1[[#This Row],[Order_Date]], "yyyy-mm")</f>
        <v>2024-08</v>
      </c>
      <c r="X669">
        <f>Sales_Data_1[[#This Row],[Sales]]-Sales_Data_1[[#This Row],[Profit_Amount]]</f>
        <v>30265.56</v>
      </c>
      <c r="Y669" t="str" cm="1">
        <f t="array" ref="Y669">_xlfn.IFS(Sales_Data_1[[#This Row],[Delivery_Days]]&lt;=3, "Fast", Sales_Data_1[[#This Row],[Delivery_Days]]&lt;= 7, "Standard", TRUE, "Delayed")</f>
        <v>Fast</v>
      </c>
      <c r="Z669" t="str" cm="1">
        <f t="array" ref="Z669">_xlfn.IFS(Sales_Data_1[[#This Row],[Profit_Amount]]&gt; 0, "Profitable", Sales_Data_1[[#This Row],[Profit_Amount]] = 0, "Break-Even", TRUE, "Loss")</f>
        <v>Profitable</v>
      </c>
      <c r="AA669" t="str" cm="1">
        <f t="array" ref="AA669">_xlfn.IFS(Sales_Data_1[[#This Row],[Sales]]&gt;= 1000, "High Value", Sales_Data_1[[#This Row],[Sales]]&gt;= 300, "Mid Value", TRUE, "Low Value")</f>
        <v>High Value</v>
      </c>
    </row>
    <row r="670" spans="1:27" x14ac:dyDescent="0.3">
      <c r="A670" t="s">
        <v>2723</v>
      </c>
      <c r="B670" s="1">
        <v>45609</v>
      </c>
      <c r="C670" t="s">
        <v>20</v>
      </c>
      <c r="D670" t="s">
        <v>31</v>
      </c>
      <c r="E670" t="s">
        <v>2042</v>
      </c>
      <c r="F670" t="s">
        <v>68</v>
      </c>
      <c r="G670" t="s">
        <v>57</v>
      </c>
      <c r="H670" t="s">
        <v>100</v>
      </c>
      <c r="I670" t="s">
        <v>1422</v>
      </c>
      <c r="J670">
        <v>4</v>
      </c>
      <c r="K670">
        <v>14232</v>
      </c>
      <c r="L670">
        <v>0.11</v>
      </c>
      <c r="M670">
        <v>12666.48</v>
      </c>
      <c r="N670">
        <v>50665.919999999998</v>
      </c>
      <c r="O670">
        <v>0.2</v>
      </c>
      <c r="P670">
        <v>10133.18</v>
      </c>
      <c r="Q670" t="s">
        <v>27</v>
      </c>
      <c r="R670" t="s">
        <v>48</v>
      </c>
      <c r="S670">
        <v>5</v>
      </c>
      <c r="T670">
        <f>YEAR(Sales_Data_1[[#This Row],[Order_Date]])</f>
        <v>2024</v>
      </c>
      <c r="U670" t="str">
        <f>TEXT(Sales_Data_1[[#This Row],[Order_Date]], "mmm")</f>
        <v>Nov</v>
      </c>
      <c r="V670">
        <f>MONTH(Sales_Data_1[[#This Row],[Order_Date]])</f>
        <v>11</v>
      </c>
      <c r="W670" t="str">
        <f>TEXT(Sales_Data_1[[#This Row],[Order_Date]], "yyyy-mm")</f>
        <v>2024-11</v>
      </c>
      <c r="X670">
        <f>Sales_Data_1[[#This Row],[Sales]]-Sales_Data_1[[#This Row],[Profit_Amount]]</f>
        <v>40532.74</v>
      </c>
      <c r="Y670" t="str" cm="1">
        <f t="array" ref="Y670">_xlfn.IFS(Sales_Data_1[[#This Row],[Delivery_Days]]&lt;=3, "Fast", Sales_Data_1[[#This Row],[Delivery_Days]]&lt;= 7, "Standard", TRUE, "Delayed")</f>
        <v>Standard</v>
      </c>
      <c r="Z670" t="str" cm="1">
        <f t="array" ref="Z670">_xlfn.IFS(Sales_Data_1[[#This Row],[Profit_Amount]]&gt; 0, "Profitable", Sales_Data_1[[#This Row],[Profit_Amount]] = 0, "Break-Even", TRUE, "Loss")</f>
        <v>Profitable</v>
      </c>
      <c r="AA670" t="str" cm="1">
        <f t="array" ref="AA670">_xlfn.IFS(Sales_Data_1[[#This Row],[Sales]]&gt;= 1000, "High Value", Sales_Data_1[[#This Row],[Sales]]&gt;= 300, "Mid Value", TRUE, "Low Value")</f>
        <v>High Value</v>
      </c>
    </row>
    <row r="671" spans="1:27" x14ac:dyDescent="0.3">
      <c r="A671" t="s">
        <v>2235</v>
      </c>
      <c r="B671" s="1">
        <v>45121</v>
      </c>
      <c r="C671" t="s">
        <v>40</v>
      </c>
      <c r="D671" t="s">
        <v>21</v>
      </c>
      <c r="E671" t="s">
        <v>2042</v>
      </c>
      <c r="F671" t="s">
        <v>97</v>
      </c>
      <c r="G671" t="s">
        <v>24</v>
      </c>
      <c r="H671" t="s">
        <v>25</v>
      </c>
      <c r="I671" t="s">
        <v>460</v>
      </c>
      <c r="J671">
        <v>7</v>
      </c>
      <c r="K671">
        <v>6238</v>
      </c>
      <c r="L671">
        <v>7.0000000000000007E-2</v>
      </c>
      <c r="M671">
        <v>5801.34</v>
      </c>
      <c r="N671">
        <v>40609.379999999997</v>
      </c>
      <c r="O671">
        <v>0.25</v>
      </c>
      <c r="P671">
        <v>10152.34</v>
      </c>
      <c r="Q671" t="s">
        <v>27</v>
      </c>
      <c r="R671" t="s">
        <v>38</v>
      </c>
      <c r="S671">
        <v>9</v>
      </c>
      <c r="T671">
        <f>YEAR(Sales_Data_1[[#This Row],[Order_Date]])</f>
        <v>2023</v>
      </c>
      <c r="U671" t="str">
        <f>TEXT(Sales_Data_1[[#This Row],[Order_Date]], "mmm")</f>
        <v>Jul</v>
      </c>
      <c r="V671">
        <f>MONTH(Sales_Data_1[[#This Row],[Order_Date]])</f>
        <v>7</v>
      </c>
      <c r="W671" t="str">
        <f>TEXT(Sales_Data_1[[#This Row],[Order_Date]], "yyyy-mm")</f>
        <v>2023-07</v>
      </c>
      <c r="X671">
        <f>Sales_Data_1[[#This Row],[Sales]]-Sales_Data_1[[#This Row],[Profit_Amount]]</f>
        <v>30457.039999999997</v>
      </c>
      <c r="Y671" t="str" cm="1">
        <f t="array" ref="Y671">_xlfn.IFS(Sales_Data_1[[#This Row],[Delivery_Days]]&lt;=3, "Fast", Sales_Data_1[[#This Row],[Delivery_Days]]&lt;= 7, "Standard", TRUE, "Delayed")</f>
        <v>Delayed</v>
      </c>
      <c r="Z671" t="str" cm="1">
        <f t="array" ref="Z671">_xlfn.IFS(Sales_Data_1[[#This Row],[Profit_Amount]]&gt; 0, "Profitable", Sales_Data_1[[#This Row],[Profit_Amount]] = 0, "Break-Even", TRUE, "Loss")</f>
        <v>Profitable</v>
      </c>
      <c r="AA671" t="str" cm="1">
        <f t="array" ref="AA671">_xlfn.IFS(Sales_Data_1[[#This Row],[Sales]]&gt;= 1000, "High Value", Sales_Data_1[[#This Row],[Sales]]&gt;= 300, "Mid Value", TRUE, "Low Value")</f>
        <v>High Value</v>
      </c>
    </row>
    <row r="672" spans="1:27" x14ac:dyDescent="0.3">
      <c r="A672" t="s">
        <v>2158</v>
      </c>
      <c r="B672" s="1">
        <v>45044</v>
      </c>
      <c r="C672" t="s">
        <v>40</v>
      </c>
      <c r="D672" t="s">
        <v>21</v>
      </c>
      <c r="E672" t="s">
        <v>67</v>
      </c>
      <c r="F672" t="s">
        <v>103</v>
      </c>
      <c r="G672" t="s">
        <v>44</v>
      </c>
      <c r="H672" t="s">
        <v>116</v>
      </c>
      <c r="I672" t="s">
        <v>306</v>
      </c>
      <c r="J672">
        <v>8</v>
      </c>
      <c r="K672">
        <v>3874</v>
      </c>
      <c r="L672">
        <v>0.05</v>
      </c>
      <c r="M672">
        <v>3680.3</v>
      </c>
      <c r="N672">
        <v>29442.400000000001</v>
      </c>
      <c r="O672">
        <v>0.35</v>
      </c>
      <c r="P672">
        <v>10304.84</v>
      </c>
      <c r="Q672" t="s">
        <v>47</v>
      </c>
      <c r="R672" t="s">
        <v>48</v>
      </c>
      <c r="S672">
        <v>7</v>
      </c>
      <c r="T672">
        <f>YEAR(Sales_Data_1[[#This Row],[Order_Date]])</f>
        <v>2023</v>
      </c>
      <c r="U672" t="str">
        <f>TEXT(Sales_Data_1[[#This Row],[Order_Date]], "mmm")</f>
        <v>Apr</v>
      </c>
      <c r="V672">
        <f>MONTH(Sales_Data_1[[#This Row],[Order_Date]])</f>
        <v>4</v>
      </c>
      <c r="W672" t="str">
        <f>TEXT(Sales_Data_1[[#This Row],[Order_Date]], "yyyy-mm")</f>
        <v>2023-04</v>
      </c>
      <c r="X672">
        <f>Sales_Data_1[[#This Row],[Sales]]-Sales_Data_1[[#This Row],[Profit_Amount]]</f>
        <v>19137.560000000001</v>
      </c>
      <c r="Y672" t="str" cm="1">
        <f t="array" ref="Y672">_xlfn.IFS(Sales_Data_1[[#This Row],[Delivery_Days]]&lt;=3, "Fast", Sales_Data_1[[#This Row],[Delivery_Days]]&lt;= 7, "Standard", TRUE, "Delayed")</f>
        <v>Standard</v>
      </c>
      <c r="Z672" t="str" cm="1">
        <f t="array" ref="Z672">_xlfn.IFS(Sales_Data_1[[#This Row],[Profit_Amount]]&gt; 0, "Profitable", Sales_Data_1[[#This Row],[Profit_Amount]] = 0, "Break-Even", TRUE, "Loss")</f>
        <v>Profitable</v>
      </c>
      <c r="AA672" t="str" cm="1">
        <f t="array" ref="AA672">_xlfn.IFS(Sales_Data_1[[#This Row],[Sales]]&gt;= 1000, "High Value", Sales_Data_1[[#This Row],[Sales]]&gt;= 300, "Mid Value", TRUE, "Low Value")</f>
        <v>High Value</v>
      </c>
    </row>
    <row r="673" spans="1:27" x14ac:dyDescent="0.3">
      <c r="A673" t="s">
        <v>2181</v>
      </c>
      <c r="B673" s="1">
        <v>45067</v>
      </c>
      <c r="C673" t="s">
        <v>40</v>
      </c>
      <c r="D673" t="s">
        <v>56</v>
      </c>
      <c r="E673" t="s">
        <v>42</v>
      </c>
      <c r="F673" t="s">
        <v>97</v>
      </c>
      <c r="G673" t="s">
        <v>92</v>
      </c>
      <c r="H673" t="s">
        <v>109</v>
      </c>
      <c r="I673" t="s">
        <v>352</v>
      </c>
      <c r="J673">
        <v>1</v>
      </c>
      <c r="K673">
        <v>77278</v>
      </c>
      <c r="L673">
        <v>0.11</v>
      </c>
      <c r="M673">
        <v>68777.42</v>
      </c>
      <c r="N673">
        <v>68777.42</v>
      </c>
      <c r="O673">
        <v>0.15</v>
      </c>
      <c r="P673">
        <v>10316.61</v>
      </c>
      <c r="Q673" t="s">
        <v>51</v>
      </c>
      <c r="R673" t="s">
        <v>48</v>
      </c>
      <c r="S673">
        <v>8</v>
      </c>
      <c r="T673">
        <f>YEAR(Sales_Data_1[[#This Row],[Order_Date]])</f>
        <v>2023</v>
      </c>
      <c r="U673" t="str">
        <f>TEXT(Sales_Data_1[[#This Row],[Order_Date]], "mmm")</f>
        <v>May</v>
      </c>
      <c r="V673">
        <f>MONTH(Sales_Data_1[[#This Row],[Order_Date]])</f>
        <v>5</v>
      </c>
      <c r="W673" t="str">
        <f>TEXT(Sales_Data_1[[#This Row],[Order_Date]], "yyyy-mm")</f>
        <v>2023-05</v>
      </c>
      <c r="X673">
        <f>Sales_Data_1[[#This Row],[Sales]]-Sales_Data_1[[#This Row],[Profit_Amount]]</f>
        <v>58460.81</v>
      </c>
      <c r="Y673" t="str" cm="1">
        <f t="array" ref="Y673">_xlfn.IFS(Sales_Data_1[[#This Row],[Delivery_Days]]&lt;=3, "Fast", Sales_Data_1[[#This Row],[Delivery_Days]]&lt;= 7, "Standard", TRUE, "Delayed")</f>
        <v>Delayed</v>
      </c>
      <c r="Z673" t="str" cm="1">
        <f t="array" ref="Z673">_xlfn.IFS(Sales_Data_1[[#This Row],[Profit_Amount]]&gt; 0, "Profitable", Sales_Data_1[[#This Row],[Profit_Amount]] = 0, "Break-Even", TRUE, "Loss")</f>
        <v>Profitable</v>
      </c>
      <c r="AA673" t="str" cm="1">
        <f t="array" ref="AA673">_xlfn.IFS(Sales_Data_1[[#This Row],[Sales]]&gt;= 1000, "High Value", Sales_Data_1[[#This Row],[Sales]]&gt;= 300, "Mid Value", TRUE, "Low Value")</f>
        <v>High Value</v>
      </c>
    </row>
    <row r="674" spans="1:27" x14ac:dyDescent="0.3">
      <c r="A674" t="s">
        <v>2606</v>
      </c>
      <c r="B674" s="1">
        <v>45492</v>
      </c>
      <c r="C674" t="s">
        <v>20</v>
      </c>
      <c r="D674" t="s">
        <v>21</v>
      </c>
      <c r="E674" t="s">
        <v>2042</v>
      </c>
      <c r="F674" t="s">
        <v>68</v>
      </c>
      <c r="G674" t="s">
        <v>24</v>
      </c>
      <c r="H674" t="s">
        <v>186</v>
      </c>
      <c r="I674" t="s">
        <v>1194</v>
      </c>
      <c r="J674">
        <v>5</v>
      </c>
      <c r="K674">
        <v>8898</v>
      </c>
      <c r="L674">
        <v>7.0000000000000007E-2</v>
      </c>
      <c r="M674">
        <v>8275.14</v>
      </c>
      <c r="N674">
        <v>41375.699999999997</v>
      </c>
      <c r="O674">
        <v>0.25</v>
      </c>
      <c r="P674">
        <v>10343.92</v>
      </c>
      <c r="Q674" t="s">
        <v>51</v>
      </c>
      <c r="R674" t="s">
        <v>48</v>
      </c>
      <c r="S674">
        <v>1</v>
      </c>
      <c r="T674">
        <f>YEAR(Sales_Data_1[[#This Row],[Order_Date]])</f>
        <v>2024</v>
      </c>
      <c r="U674" t="str">
        <f>TEXT(Sales_Data_1[[#This Row],[Order_Date]], "mmm")</f>
        <v>Jul</v>
      </c>
      <c r="V674">
        <f>MONTH(Sales_Data_1[[#This Row],[Order_Date]])</f>
        <v>7</v>
      </c>
      <c r="W674" t="str">
        <f>TEXT(Sales_Data_1[[#This Row],[Order_Date]], "yyyy-mm")</f>
        <v>2024-07</v>
      </c>
      <c r="X674">
        <f>Sales_Data_1[[#This Row],[Sales]]-Sales_Data_1[[#This Row],[Profit_Amount]]</f>
        <v>31031.78</v>
      </c>
      <c r="Y674" t="str" cm="1">
        <f t="array" ref="Y674">_xlfn.IFS(Sales_Data_1[[#This Row],[Delivery_Days]]&lt;=3, "Fast", Sales_Data_1[[#This Row],[Delivery_Days]]&lt;= 7, "Standard", TRUE, "Delayed")</f>
        <v>Fast</v>
      </c>
      <c r="Z674" t="str" cm="1">
        <f t="array" ref="Z674">_xlfn.IFS(Sales_Data_1[[#This Row],[Profit_Amount]]&gt; 0, "Profitable", Sales_Data_1[[#This Row],[Profit_Amount]] = 0, "Break-Even", TRUE, "Loss")</f>
        <v>Profitable</v>
      </c>
      <c r="AA674" t="str" cm="1">
        <f t="array" ref="AA674">_xlfn.IFS(Sales_Data_1[[#This Row],[Sales]]&gt;= 1000, "High Value", Sales_Data_1[[#This Row],[Sales]]&gt;= 300, "Mid Value", TRUE, "Low Value")</f>
        <v>High Value</v>
      </c>
    </row>
    <row r="675" spans="1:27" x14ac:dyDescent="0.3">
      <c r="A675" t="s">
        <v>2383</v>
      </c>
      <c r="B675" s="1">
        <v>45269</v>
      </c>
      <c r="C675" t="s">
        <v>30</v>
      </c>
      <c r="D675" t="s">
        <v>41</v>
      </c>
      <c r="E675" t="s">
        <v>2040</v>
      </c>
      <c r="F675" t="s">
        <v>43</v>
      </c>
      <c r="G675" t="s">
        <v>44</v>
      </c>
      <c r="H675" t="s">
        <v>138</v>
      </c>
      <c r="I675" t="s">
        <v>754</v>
      </c>
      <c r="J675">
        <v>8</v>
      </c>
      <c r="K675">
        <v>3773</v>
      </c>
      <c r="L675">
        <v>0.02</v>
      </c>
      <c r="M675">
        <v>3697.54</v>
      </c>
      <c r="N675">
        <v>29580.32</v>
      </c>
      <c r="O675">
        <v>0.35</v>
      </c>
      <c r="P675">
        <v>10353.11</v>
      </c>
      <c r="Q675" t="s">
        <v>47</v>
      </c>
      <c r="R675" t="s">
        <v>48</v>
      </c>
      <c r="S675">
        <v>7</v>
      </c>
      <c r="T675">
        <f>YEAR(Sales_Data_1[[#This Row],[Order_Date]])</f>
        <v>2023</v>
      </c>
      <c r="U675" t="str">
        <f>TEXT(Sales_Data_1[[#This Row],[Order_Date]], "mmm")</f>
        <v>Dec</v>
      </c>
      <c r="V675">
        <f>MONTH(Sales_Data_1[[#This Row],[Order_Date]])</f>
        <v>12</v>
      </c>
      <c r="W675" t="str">
        <f>TEXT(Sales_Data_1[[#This Row],[Order_Date]], "yyyy-mm")</f>
        <v>2023-12</v>
      </c>
      <c r="X675">
        <f>Sales_Data_1[[#This Row],[Sales]]-Sales_Data_1[[#This Row],[Profit_Amount]]</f>
        <v>19227.21</v>
      </c>
      <c r="Y675" t="str" cm="1">
        <f t="array" ref="Y675">_xlfn.IFS(Sales_Data_1[[#This Row],[Delivery_Days]]&lt;=3, "Fast", Sales_Data_1[[#This Row],[Delivery_Days]]&lt;= 7, "Standard", TRUE, "Delayed")</f>
        <v>Standard</v>
      </c>
      <c r="Z675" t="str" cm="1">
        <f t="array" ref="Z675">_xlfn.IFS(Sales_Data_1[[#This Row],[Profit_Amount]]&gt; 0, "Profitable", Sales_Data_1[[#This Row],[Profit_Amount]] = 0, "Break-Even", TRUE, "Loss")</f>
        <v>Profitable</v>
      </c>
      <c r="AA675" t="str" cm="1">
        <f t="array" ref="AA675">_xlfn.IFS(Sales_Data_1[[#This Row],[Sales]]&gt;= 1000, "High Value", Sales_Data_1[[#This Row],[Sales]]&gt;= 300, "Mid Value", TRUE, "Low Value")</f>
        <v>High Value</v>
      </c>
    </row>
    <row r="676" spans="1:27" x14ac:dyDescent="0.3">
      <c r="A676" t="s">
        <v>2937</v>
      </c>
      <c r="B676" s="1">
        <v>45823</v>
      </c>
      <c r="C676" t="s">
        <v>55</v>
      </c>
      <c r="D676" t="s">
        <v>41</v>
      </c>
      <c r="E676" t="s">
        <v>2040</v>
      </c>
      <c r="F676" t="s">
        <v>103</v>
      </c>
      <c r="G676" t="s">
        <v>92</v>
      </c>
      <c r="H676" t="s">
        <v>178</v>
      </c>
      <c r="I676" t="s">
        <v>1842</v>
      </c>
      <c r="J676">
        <v>3</v>
      </c>
      <c r="K676">
        <v>27073</v>
      </c>
      <c r="L676">
        <v>0.15</v>
      </c>
      <c r="M676">
        <v>23012.05</v>
      </c>
      <c r="N676">
        <v>69036.149999999994</v>
      </c>
      <c r="O676">
        <v>0.15</v>
      </c>
      <c r="P676">
        <v>10355.42</v>
      </c>
      <c r="Q676" t="s">
        <v>37</v>
      </c>
      <c r="R676" t="s">
        <v>48</v>
      </c>
      <c r="S676">
        <v>5</v>
      </c>
      <c r="T676">
        <f>YEAR(Sales_Data_1[[#This Row],[Order_Date]])</f>
        <v>2025</v>
      </c>
      <c r="U676" t="str">
        <f>TEXT(Sales_Data_1[[#This Row],[Order_Date]], "mmm")</f>
        <v>Jun</v>
      </c>
      <c r="V676">
        <f>MONTH(Sales_Data_1[[#This Row],[Order_Date]])</f>
        <v>6</v>
      </c>
      <c r="W676" t="str">
        <f>TEXT(Sales_Data_1[[#This Row],[Order_Date]], "yyyy-mm")</f>
        <v>2025-06</v>
      </c>
      <c r="X676">
        <f>Sales_Data_1[[#This Row],[Sales]]-Sales_Data_1[[#This Row],[Profit_Amount]]</f>
        <v>58680.729999999996</v>
      </c>
      <c r="Y676" t="str" cm="1">
        <f t="array" ref="Y676">_xlfn.IFS(Sales_Data_1[[#This Row],[Delivery_Days]]&lt;=3, "Fast", Sales_Data_1[[#This Row],[Delivery_Days]]&lt;= 7, "Standard", TRUE, "Delayed")</f>
        <v>Standard</v>
      </c>
      <c r="Z676" t="str" cm="1">
        <f t="array" ref="Z676">_xlfn.IFS(Sales_Data_1[[#This Row],[Profit_Amount]]&gt; 0, "Profitable", Sales_Data_1[[#This Row],[Profit_Amount]] = 0, "Break-Even", TRUE, "Loss")</f>
        <v>Profitable</v>
      </c>
      <c r="AA676" t="str" cm="1">
        <f t="array" ref="AA676">_xlfn.IFS(Sales_Data_1[[#This Row],[Sales]]&gt;= 1000, "High Value", Sales_Data_1[[#This Row],[Sales]]&gt;= 300, "Mid Value", TRUE, "Low Value")</f>
        <v>High Value</v>
      </c>
    </row>
    <row r="677" spans="1:27" x14ac:dyDescent="0.3">
      <c r="A677" t="s">
        <v>2290</v>
      </c>
      <c r="B677" s="1">
        <v>45176</v>
      </c>
      <c r="C677" t="s">
        <v>20</v>
      </c>
      <c r="D677" t="s">
        <v>21</v>
      </c>
      <c r="E677" t="s">
        <v>42</v>
      </c>
      <c r="F677" t="s">
        <v>68</v>
      </c>
      <c r="G677" t="s">
        <v>44</v>
      </c>
      <c r="H677" t="s">
        <v>116</v>
      </c>
      <c r="I677" t="s">
        <v>570</v>
      </c>
      <c r="J677">
        <v>9</v>
      </c>
      <c r="K677">
        <v>3515</v>
      </c>
      <c r="L677">
        <v>0.06</v>
      </c>
      <c r="M677">
        <v>3304.1</v>
      </c>
      <c r="N677">
        <v>29736.9</v>
      </c>
      <c r="O677">
        <v>0.35</v>
      </c>
      <c r="P677">
        <v>10407.91</v>
      </c>
      <c r="Q677" t="s">
        <v>47</v>
      </c>
      <c r="R677" t="s">
        <v>48</v>
      </c>
      <c r="S677">
        <v>1</v>
      </c>
      <c r="T677">
        <f>YEAR(Sales_Data_1[[#This Row],[Order_Date]])</f>
        <v>2023</v>
      </c>
      <c r="U677" t="str">
        <f>TEXT(Sales_Data_1[[#This Row],[Order_Date]], "mmm")</f>
        <v>Sep</v>
      </c>
      <c r="V677">
        <f>MONTH(Sales_Data_1[[#This Row],[Order_Date]])</f>
        <v>9</v>
      </c>
      <c r="W677" t="str">
        <f>TEXT(Sales_Data_1[[#This Row],[Order_Date]], "yyyy-mm")</f>
        <v>2023-09</v>
      </c>
      <c r="X677">
        <f>Sales_Data_1[[#This Row],[Sales]]-Sales_Data_1[[#This Row],[Profit_Amount]]</f>
        <v>19328.990000000002</v>
      </c>
      <c r="Y677" t="str" cm="1">
        <f t="array" ref="Y677">_xlfn.IFS(Sales_Data_1[[#This Row],[Delivery_Days]]&lt;=3, "Fast", Sales_Data_1[[#This Row],[Delivery_Days]]&lt;= 7, "Standard", TRUE, "Delayed")</f>
        <v>Fast</v>
      </c>
      <c r="Z677" t="str" cm="1">
        <f t="array" ref="Z677">_xlfn.IFS(Sales_Data_1[[#This Row],[Profit_Amount]]&gt; 0, "Profitable", Sales_Data_1[[#This Row],[Profit_Amount]] = 0, "Break-Even", TRUE, "Loss")</f>
        <v>Profitable</v>
      </c>
      <c r="AA677" t="str" cm="1">
        <f t="array" ref="AA677">_xlfn.IFS(Sales_Data_1[[#This Row],[Sales]]&gt;= 1000, "High Value", Sales_Data_1[[#This Row],[Sales]]&gt;= 300, "Mid Value", TRUE, "Low Value")</f>
        <v>High Value</v>
      </c>
    </row>
    <row r="678" spans="1:27" x14ac:dyDescent="0.3">
      <c r="A678" t="s">
        <v>2504</v>
      </c>
      <c r="B678" s="1">
        <v>45390</v>
      </c>
      <c r="C678" t="s">
        <v>96</v>
      </c>
      <c r="D678" t="s">
        <v>56</v>
      </c>
      <c r="E678" t="s">
        <v>42</v>
      </c>
      <c r="F678" t="s">
        <v>43</v>
      </c>
      <c r="G678" t="s">
        <v>57</v>
      </c>
      <c r="H678" t="s">
        <v>81</v>
      </c>
      <c r="I678" t="s">
        <v>993</v>
      </c>
      <c r="J678">
        <v>9</v>
      </c>
      <c r="K678">
        <v>7435</v>
      </c>
      <c r="L678">
        <v>0.22</v>
      </c>
      <c r="M678">
        <v>5799.3</v>
      </c>
      <c r="N678">
        <v>52193.7</v>
      </c>
      <c r="O678">
        <v>0.2</v>
      </c>
      <c r="P678">
        <v>10438.74</v>
      </c>
      <c r="Q678" t="s">
        <v>47</v>
      </c>
      <c r="R678" t="s">
        <v>48</v>
      </c>
      <c r="S678">
        <v>4</v>
      </c>
      <c r="T678">
        <f>YEAR(Sales_Data_1[[#This Row],[Order_Date]])</f>
        <v>2024</v>
      </c>
      <c r="U678" t="str">
        <f>TEXT(Sales_Data_1[[#This Row],[Order_Date]], "mmm")</f>
        <v>Apr</v>
      </c>
      <c r="V678">
        <f>MONTH(Sales_Data_1[[#This Row],[Order_Date]])</f>
        <v>4</v>
      </c>
      <c r="W678" t="str">
        <f>TEXT(Sales_Data_1[[#This Row],[Order_Date]], "yyyy-mm")</f>
        <v>2024-04</v>
      </c>
      <c r="X678">
        <f>Sales_Data_1[[#This Row],[Sales]]-Sales_Data_1[[#This Row],[Profit_Amount]]</f>
        <v>41754.959999999999</v>
      </c>
      <c r="Y678" t="str" cm="1">
        <f t="array" ref="Y678">_xlfn.IFS(Sales_Data_1[[#This Row],[Delivery_Days]]&lt;=3, "Fast", Sales_Data_1[[#This Row],[Delivery_Days]]&lt;= 7, "Standard", TRUE, "Delayed")</f>
        <v>Standard</v>
      </c>
      <c r="Z678" t="str" cm="1">
        <f t="array" ref="Z678">_xlfn.IFS(Sales_Data_1[[#This Row],[Profit_Amount]]&gt; 0, "Profitable", Sales_Data_1[[#This Row],[Profit_Amount]] = 0, "Break-Even", TRUE, "Loss")</f>
        <v>Profitable</v>
      </c>
      <c r="AA678" t="str" cm="1">
        <f t="array" ref="AA678">_xlfn.IFS(Sales_Data_1[[#This Row],[Sales]]&gt;= 1000, "High Value", Sales_Data_1[[#This Row],[Sales]]&gt;= 300, "Mid Value", TRUE, "Low Value")</f>
        <v>High Value</v>
      </c>
    </row>
    <row r="679" spans="1:27" x14ac:dyDescent="0.3">
      <c r="A679" t="s">
        <v>2544</v>
      </c>
      <c r="B679" s="1">
        <v>45430</v>
      </c>
      <c r="C679" t="s">
        <v>20</v>
      </c>
      <c r="D679" t="s">
        <v>21</v>
      </c>
      <c r="E679" t="s">
        <v>2042</v>
      </c>
      <c r="F679" t="s">
        <v>103</v>
      </c>
      <c r="G679" t="s">
        <v>44</v>
      </c>
      <c r="H679" t="s">
        <v>138</v>
      </c>
      <c r="I679" t="s">
        <v>1071</v>
      </c>
      <c r="J679">
        <v>8</v>
      </c>
      <c r="K679">
        <v>4723</v>
      </c>
      <c r="L679">
        <v>0.21</v>
      </c>
      <c r="M679">
        <v>3731.17</v>
      </c>
      <c r="N679">
        <v>29849.360000000001</v>
      </c>
      <c r="O679">
        <v>0.35</v>
      </c>
      <c r="P679">
        <v>10447.280000000001</v>
      </c>
      <c r="Q679" t="s">
        <v>47</v>
      </c>
      <c r="R679" t="s">
        <v>48</v>
      </c>
      <c r="S679">
        <v>7</v>
      </c>
      <c r="T679">
        <f>YEAR(Sales_Data_1[[#This Row],[Order_Date]])</f>
        <v>2024</v>
      </c>
      <c r="U679" t="str">
        <f>TEXT(Sales_Data_1[[#This Row],[Order_Date]], "mmm")</f>
        <v>May</v>
      </c>
      <c r="V679">
        <f>MONTH(Sales_Data_1[[#This Row],[Order_Date]])</f>
        <v>5</v>
      </c>
      <c r="W679" t="str">
        <f>TEXT(Sales_Data_1[[#This Row],[Order_Date]], "yyyy-mm")</f>
        <v>2024-05</v>
      </c>
      <c r="X679">
        <f>Sales_Data_1[[#This Row],[Sales]]-Sales_Data_1[[#This Row],[Profit_Amount]]</f>
        <v>19402.080000000002</v>
      </c>
      <c r="Y679" t="str" cm="1">
        <f t="array" ref="Y679">_xlfn.IFS(Sales_Data_1[[#This Row],[Delivery_Days]]&lt;=3, "Fast", Sales_Data_1[[#This Row],[Delivery_Days]]&lt;= 7, "Standard", TRUE, "Delayed")</f>
        <v>Standard</v>
      </c>
      <c r="Z679" t="str" cm="1">
        <f t="array" ref="Z679">_xlfn.IFS(Sales_Data_1[[#This Row],[Profit_Amount]]&gt; 0, "Profitable", Sales_Data_1[[#This Row],[Profit_Amount]] = 0, "Break-Even", TRUE, "Loss")</f>
        <v>Profitable</v>
      </c>
      <c r="AA679" t="str" cm="1">
        <f t="array" ref="AA679">_xlfn.IFS(Sales_Data_1[[#This Row],[Sales]]&gt;= 1000, "High Value", Sales_Data_1[[#This Row],[Sales]]&gt;= 300, "Mid Value", TRUE, "Low Value")</f>
        <v>High Value</v>
      </c>
    </row>
    <row r="680" spans="1:27" x14ac:dyDescent="0.3">
      <c r="A680" t="s">
        <v>2080</v>
      </c>
      <c r="B680" s="1">
        <v>44966</v>
      </c>
      <c r="C680" t="s">
        <v>55</v>
      </c>
      <c r="D680" t="s">
        <v>41</v>
      </c>
      <c r="E680" t="s">
        <v>2042</v>
      </c>
      <c r="F680" t="s">
        <v>68</v>
      </c>
      <c r="G680" t="s">
        <v>57</v>
      </c>
      <c r="H680" t="s">
        <v>81</v>
      </c>
      <c r="I680" t="s">
        <v>146</v>
      </c>
      <c r="J680">
        <v>5</v>
      </c>
      <c r="K680">
        <v>12181</v>
      </c>
      <c r="L680">
        <v>0.14000000000000001</v>
      </c>
      <c r="M680">
        <v>10475.66</v>
      </c>
      <c r="N680">
        <v>52378.3</v>
      </c>
      <c r="O680">
        <v>0.2</v>
      </c>
      <c r="P680">
        <v>10475.66</v>
      </c>
      <c r="Q680" t="s">
        <v>37</v>
      </c>
      <c r="R680" t="s">
        <v>48</v>
      </c>
      <c r="S680">
        <v>7</v>
      </c>
      <c r="T680">
        <f>YEAR(Sales_Data_1[[#This Row],[Order_Date]])</f>
        <v>2023</v>
      </c>
      <c r="U680" t="str">
        <f>TEXT(Sales_Data_1[[#This Row],[Order_Date]], "mmm")</f>
        <v>Feb</v>
      </c>
      <c r="V680">
        <f>MONTH(Sales_Data_1[[#This Row],[Order_Date]])</f>
        <v>2</v>
      </c>
      <c r="W680" t="str">
        <f>TEXT(Sales_Data_1[[#This Row],[Order_Date]], "yyyy-mm")</f>
        <v>2023-02</v>
      </c>
      <c r="X680">
        <f>Sales_Data_1[[#This Row],[Sales]]-Sales_Data_1[[#This Row],[Profit_Amount]]</f>
        <v>41902.639999999999</v>
      </c>
      <c r="Y680" t="str" cm="1">
        <f t="array" ref="Y680">_xlfn.IFS(Sales_Data_1[[#This Row],[Delivery_Days]]&lt;=3, "Fast", Sales_Data_1[[#This Row],[Delivery_Days]]&lt;= 7, "Standard", TRUE, "Delayed")</f>
        <v>Standard</v>
      </c>
      <c r="Z680" t="str" cm="1">
        <f t="array" ref="Z680">_xlfn.IFS(Sales_Data_1[[#This Row],[Profit_Amount]]&gt; 0, "Profitable", Sales_Data_1[[#This Row],[Profit_Amount]] = 0, "Break-Even", TRUE, "Loss")</f>
        <v>Profitable</v>
      </c>
      <c r="AA680" t="str" cm="1">
        <f t="array" ref="AA680">_xlfn.IFS(Sales_Data_1[[#This Row],[Sales]]&gt;= 1000, "High Value", Sales_Data_1[[#This Row],[Sales]]&gt;= 300, "Mid Value", TRUE, "Low Value")</f>
        <v>High Value</v>
      </c>
    </row>
    <row r="681" spans="1:27" x14ac:dyDescent="0.3">
      <c r="A681" t="s">
        <v>2692</v>
      </c>
      <c r="B681" s="1">
        <v>45578</v>
      </c>
      <c r="C681" t="s">
        <v>40</v>
      </c>
      <c r="D681" t="s">
        <v>21</v>
      </c>
      <c r="E681" t="s">
        <v>67</v>
      </c>
      <c r="F681" t="s">
        <v>97</v>
      </c>
      <c r="G681" t="s">
        <v>57</v>
      </c>
      <c r="H681" t="s">
        <v>183</v>
      </c>
      <c r="I681" t="s">
        <v>189</v>
      </c>
      <c r="J681">
        <v>4</v>
      </c>
      <c r="K681">
        <v>15279</v>
      </c>
      <c r="L681">
        <v>0.14000000000000001</v>
      </c>
      <c r="M681">
        <v>13139.94</v>
      </c>
      <c r="N681">
        <v>52559.76</v>
      </c>
      <c r="O681">
        <v>0.2</v>
      </c>
      <c r="P681">
        <v>10511.95</v>
      </c>
      <c r="Q681" t="s">
        <v>51</v>
      </c>
      <c r="R681" t="s">
        <v>48</v>
      </c>
      <c r="S681">
        <v>5</v>
      </c>
      <c r="T681">
        <f>YEAR(Sales_Data_1[[#This Row],[Order_Date]])</f>
        <v>2024</v>
      </c>
      <c r="U681" t="str">
        <f>TEXT(Sales_Data_1[[#This Row],[Order_Date]], "mmm")</f>
        <v>Oct</v>
      </c>
      <c r="V681">
        <f>MONTH(Sales_Data_1[[#This Row],[Order_Date]])</f>
        <v>10</v>
      </c>
      <c r="W681" t="str">
        <f>TEXT(Sales_Data_1[[#This Row],[Order_Date]], "yyyy-mm")</f>
        <v>2024-10</v>
      </c>
      <c r="X681">
        <f>Sales_Data_1[[#This Row],[Sales]]-Sales_Data_1[[#This Row],[Profit_Amount]]</f>
        <v>42047.81</v>
      </c>
      <c r="Y681" t="str" cm="1">
        <f t="array" ref="Y681">_xlfn.IFS(Sales_Data_1[[#This Row],[Delivery_Days]]&lt;=3, "Fast", Sales_Data_1[[#This Row],[Delivery_Days]]&lt;= 7, "Standard", TRUE, "Delayed")</f>
        <v>Standard</v>
      </c>
      <c r="Z681" t="str" cm="1">
        <f t="array" ref="Z681">_xlfn.IFS(Sales_Data_1[[#This Row],[Profit_Amount]]&gt; 0, "Profitable", Sales_Data_1[[#This Row],[Profit_Amount]] = 0, "Break-Even", TRUE, "Loss")</f>
        <v>Profitable</v>
      </c>
      <c r="AA681" t="str" cm="1">
        <f t="array" ref="AA681">_xlfn.IFS(Sales_Data_1[[#This Row],[Sales]]&gt;= 1000, "High Value", Sales_Data_1[[#This Row],[Sales]]&gt;= 300, "Mid Value", TRUE, "Low Value")</f>
        <v>High Value</v>
      </c>
    </row>
    <row r="682" spans="1:27" x14ac:dyDescent="0.3">
      <c r="A682" t="s">
        <v>2981</v>
      </c>
      <c r="B682" s="1">
        <v>45867</v>
      </c>
      <c r="C682" t="s">
        <v>40</v>
      </c>
      <c r="D682" t="s">
        <v>21</v>
      </c>
      <c r="E682" t="s">
        <v>42</v>
      </c>
      <c r="F682" t="s">
        <v>68</v>
      </c>
      <c r="G682" t="s">
        <v>57</v>
      </c>
      <c r="H682" t="s">
        <v>100</v>
      </c>
      <c r="I682" t="s">
        <v>1925</v>
      </c>
      <c r="J682">
        <v>3</v>
      </c>
      <c r="K682">
        <v>19921</v>
      </c>
      <c r="L682">
        <v>0.12</v>
      </c>
      <c r="M682">
        <v>17530.48</v>
      </c>
      <c r="N682">
        <v>52591.44</v>
      </c>
      <c r="O682">
        <v>0.2</v>
      </c>
      <c r="P682">
        <v>10518.29</v>
      </c>
      <c r="Q682" t="s">
        <v>47</v>
      </c>
      <c r="R682" t="s">
        <v>48</v>
      </c>
      <c r="S682">
        <v>6</v>
      </c>
      <c r="T682">
        <f>YEAR(Sales_Data_1[[#This Row],[Order_Date]])</f>
        <v>2025</v>
      </c>
      <c r="U682" t="str">
        <f>TEXT(Sales_Data_1[[#This Row],[Order_Date]], "mmm")</f>
        <v>Jul</v>
      </c>
      <c r="V682">
        <f>MONTH(Sales_Data_1[[#This Row],[Order_Date]])</f>
        <v>7</v>
      </c>
      <c r="W682" t="str">
        <f>TEXT(Sales_Data_1[[#This Row],[Order_Date]], "yyyy-mm")</f>
        <v>2025-07</v>
      </c>
      <c r="X682">
        <f>Sales_Data_1[[#This Row],[Sales]]-Sales_Data_1[[#This Row],[Profit_Amount]]</f>
        <v>42073.15</v>
      </c>
      <c r="Y682" t="str" cm="1">
        <f t="array" ref="Y682">_xlfn.IFS(Sales_Data_1[[#This Row],[Delivery_Days]]&lt;=3, "Fast", Sales_Data_1[[#This Row],[Delivery_Days]]&lt;= 7, "Standard", TRUE, "Delayed")</f>
        <v>Standard</v>
      </c>
      <c r="Z682" t="str" cm="1">
        <f t="array" ref="Z682">_xlfn.IFS(Sales_Data_1[[#This Row],[Profit_Amount]]&gt; 0, "Profitable", Sales_Data_1[[#This Row],[Profit_Amount]] = 0, "Break-Even", TRUE, "Loss")</f>
        <v>Profitable</v>
      </c>
      <c r="AA682" t="str" cm="1">
        <f t="array" ref="AA682">_xlfn.IFS(Sales_Data_1[[#This Row],[Sales]]&gt;= 1000, "High Value", Sales_Data_1[[#This Row],[Sales]]&gt;= 300, "Mid Value", TRUE, "Low Value")</f>
        <v>High Value</v>
      </c>
    </row>
    <row r="683" spans="1:27" x14ac:dyDescent="0.3">
      <c r="A683" t="s">
        <v>2983</v>
      </c>
      <c r="B683" s="1">
        <v>45869</v>
      </c>
      <c r="C683" t="s">
        <v>40</v>
      </c>
      <c r="D683" t="s">
        <v>21</v>
      </c>
      <c r="E683" t="s">
        <v>2040</v>
      </c>
      <c r="F683" t="s">
        <v>97</v>
      </c>
      <c r="G683" t="s">
        <v>44</v>
      </c>
      <c r="H683" t="s">
        <v>116</v>
      </c>
      <c r="I683" t="s">
        <v>1929</v>
      </c>
      <c r="J683">
        <v>9</v>
      </c>
      <c r="K683">
        <v>3637</v>
      </c>
      <c r="L683">
        <v>0.08</v>
      </c>
      <c r="M683">
        <v>3346.04</v>
      </c>
      <c r="N683">
        <v>30114.36</v>
      </c>
      <c r="O683">
        <v>0.35</v>
      </c>
      <c r="P683">
        <v>10540.03</v>
      </c>
      <c r="Q683" t="s">
        <v>47</v>
      </c>
      <c r="R683" t="s">
        <v>48</v>
      </c>
      <c r="S683">
        <v>3</v>
      </c>
      <c r="T683">
        <f>YEAR(Sales_Data_1[[#This Row],[Order_Date]])</f>
        <v>2025</v>
      </c>
      <c r="U683" t="str">
        <f>TEXT(Sales_Data_1[[#This Row],[Order_Date]], "mmm")</f>
        <v>Jul</v>
      </c>
      <c r="V683">
        <f>MONTH(Sales_Data_1[[#This Row],[Order_Date]])</f>
        <v>7</v>
      </c>
      <c r="W683" t="str">
        <f>TEXT(Sales_Data_1[[#This Row],[Order_Date]], "yyyy-mm")</f>
        <v>2025-07</v>
      </c>
      <c r="X683">
        <f>Sales_Data_1[[#This Row],[Sales]]-Sales_Data_1[[#This Row],[Profit_Amount]]</f>
        <v>19574.330000000002</v>
      </c>
      <c r="Y683" t="str" cm="1">
        <f t="array" ref="Y683">_xlfn.IFS(Sales_Data_1[[#This Row],[Delivery_Days]]&lt;=3, "Fast", Sales_Data_1[[#This Row],[Delivery_Days]]&lt;= 7, "Standard", TRUE, "Delayed")</f>
        <v>Fast</v>
      </c>
      <c r="Z683" t="str" cm="1">
        <f t="array" ref="Z683">_xlfn.IFS(Sales_Data_1[[#This Row],[Profit_Amount]]&gt; 0, "Profitable", Sales_Data_1[[#This Row],[Profit_Amount]] = 0, "Break-Even", TRUE, "Loss")</f>
        <v>Profitable</v>
      </c>
      <c r="AA683" t="str" cm="1">
        <f t="array" ref="AA683">_xlfn.IFS(Sales_Data_1[[#This Row],[Sales]]&gt;= 1000, "High Value", Sales_Data_1[[#This Row],[Sales]]&gt;= 300, "Mid Value", TRUE, "Low Value")</f>
        <v>High Value</v>
      </c>
    </row>
    <row r="684" spans="1:27" x14ac:dyDescent="0.3">
      <c r="A684" t="s">
        <v>2458</v>
      </c>
      <c r="B684" s="1">
        <v>45344</v>
      </c>
      <c r="C684" t="s">
        <v>63</v>
      </c>
      <c r="D684" t="s">
        <v>56</v>
      </c>
      <c r="E684" t="s">
        <v>67</v>
      </c>
      <c r="F684" t="s">
        <v>33</v>
      </c>
      <c r="G684" t="s">
        <v>57</v>
      </c>
      <c r="H684" t="s">
        <v>58</v>
      </c>
      <c r="I684" t="s">
        <v>902</v>
      </c>
      <c r="J684">
        <v>3</v>
      </c>
      <c r="K684">
        <v>17836</v>
      </c>
      <c r="L684">
        <v>0.01</v>
      </c>
      <c r="M684">
        <v>17657.64</v>
      </c>
      <c r="N684">
        <v>52972.92</v>
      </c>
      <c r="O684">
        <v>0.2</v>
      </c>
      <c r="P684">
        <v>10594.58</v>
      </c>
      <c r="Q684" t="s">
        <v>27</v>
      </c>
      <c r="R684" t="s">
        <v>48</v>
      </c>
      <c r="S684">
        <v>5</v>
      </c>
      <c r="T684">
        <f>YEAR(Sales_Data_1[[#This Row],[Order_Date]])</f>
        <v>2024</v>
      </c>
      <c r="U684" t="str">
        <f>TEXT(Sales_Data_1[[#This Row],[Order_Date]], "mmm")</f>
        <v>Feb</v>
      </c>
      <c r="V684">
        <f>MONTH(Sales_Data_1[[#This Row],[Order_Date]])</f>
        <v>2</v>
      </c>
      <c r="W684" t="str">
        <f>TEXT(Sales_Data_1[[#This Row],[Order_Date]], "yyyy-mm")</f>
        <v>2024-02</v>
      </c>
      <c r="X684">
        <f>Sales_Data_1[[#This Row],[Sales]]-Sales_Data_1[[#This Row],[Profit_Amount]]</f>
        <v>42378.34</v>
      </c>
      <c r="Y684" t="str" cm="1">
        <f t="array" ref="Y684">_xlfn.IFS(Sales_Data_1[[#This Row],[Delivery_Days]]&lt;=3, "Fast", Sales_Data_1[[#This Row],[Delivery_Days]]&lt;= 7, "Standard", TRUE, "Delayed")</f>
        <v>Standard</v>
      </c>
      <c r="Z684" t="str" cm="1">
        <f t="array" ref="Z684">_xlfn.IFS(Sales_Data_1[[#This Row],[Profit_Amount]]&gt; 0, "Profitable", Sales_Data_1[[#This Row],[Profit_Amount]] = 0, "Break-Even", TRUE, "Loss")</f>
        <v>Profitable</v>
      </c>
      <c r="AA684" t="str" cm="1">
        <f t="array" ref="AA684">_xlfn.IFS(Sales_Data_1[[#This Row],[Sales]]&gt;= 1000, "High Value", Sales_Data_1[[#This Row],[Sales]]&gt;= 300, "Mid Value", TRUE, "Low Value")</f>
        <v>High Value</v>
      </c>
    </row>
    <row r="685" spans="1:27" x14ac:dyDescent="0.3">
      <c r="A685" t="s">
        <v>2473</v>
      </c>
      <c r="B685" s="1">
        <v>45359</v>
      </c>
      <c r="C685" t="s">
        <v>30</v>
      </c>
      <c r="D685" t="s">
        <v>56</v>
      </c>
      <c r="E685" t="s">
        <v>2042</v>
      </c>
      <c r="F685" t="s">
        <v>68</v>
      </c>
      <c r="G685" t="s">
        <v>24</v>
      </c>
      <c r="H685" t="s">
        <v>121</v>
      </c>
      <c r="I685" t="s">
        <v>932</v>
      </c>
      <c r="J685">
        <v>5</v>
      </c>
      <c r="K685">
        <v>10732</v>
      </c>
      <c r="L685">
        <v>0.21</v>
      </c>
      <c r="M685">
        <v>8478.2800000000007</v>
      </c>
      <c r="N685">
        <v>42391.4</v>
      </c>
      <c r="O685">
        <v>0.25</v>
      </c>
      <c r="P685">
        <v>10597.85</v>
      </c>
      <c r="Q685" t="s">
        <v>37</v>
      </c>
      <c r="R685" t="s">
        <v>48</v>
      </c>
      <c r="S685">
        <v>6</v>
      </c>
      <c r="T685">
        <f>YEAR(Sales_Data_1[[#This Row],[Order_Date]])</f>
        <v>2024</v>
      </c>
      <c r="U685" t="str">
        <f>TEXT(Sales_Data_1[[#This Row],[Order_Date]], "mmm")</f>
        <v>Mar</v>
      </c>
      <c r="V685">
        <f>MONTH(Sales_Data_1[[#This Row],[Order_Date]])</f>
        <v>3</v>
      </c>
      <c r="W685" t="str">
        <f>TEXT(Sales_Data_1[[#This Row],[Order_Date]], "yyyy-mm")</f>
        <v>2024-03</v>
      </c>
      <c r="X685">
        <f>Sales_Data_1[[#This Row],[Sales]]-Sales_Data_1[[#This Row],[Profit_Amount]]</f>
        <v>31793.550000000003</v>
      </c>
      <c r="Y685" t="str" cm="1">
        <f t="array" ref="Y685">_xlfn.IFS(Sales_Data_1[[#This Row],[Delivery_Days]]&lt;=3, "Fast", Sales_Data_1[[#This Row],[Delivery_Days]]&lt;= 7, "Standard", TRUE, "Delayed")</f>
        <v>Standard</v>
      </c>
      <c r="Z685" t="str" cm="1">
        <f t="array" ref="Z685">_xlfn.IFS(Sales_Data_1[[#This Row],[Profit_Amount]]&gt; 0, "Profitable", Sales_Data_1[[#This Row],[Profit_Amount]] = 0, "Break-Even", TRUE, "Loss")</f>
        <v>Profitable</v>
      </c>
      <c r="AA685" t="str" cm="1">
        <f t="array" ref="AA685">_xlfn.IFS(Sales_Data_1[[#This Row],[Sales]]&gt;= 1000, "High Value", Sales_Data_1[[#This Row],[Sales]]&gt;= 300, "Mid Value", TRUE, "Low Value")</f>
        <v>High Value</v>
      </c>
    </row>
    <row r="686" spans="1:27" x14ac:dyDescent="0.3">
      <c r="A686" t="s">
        <v>2296</v>
      </c>
      <c r="B686" s="1">
        <v>45182</v>
      </c>
      <c r="C686" t="s">
        <v>20</v>
      </c>
      <c r="D686" t="s">
        <v>31</v>
      </c>
      <c r="E686" t="s">
        <v>42</v>
      </c>
      <c r="F686" t="s">
        <v>43</v>
      </c>
      <c r="G686" t="s">
        <v>44</v>
      </c>
      <c r="H686" t="s">
        <v>45</v>
      </c>
      <c r="I686" t="s">
        <v>582</v>
      </c>
      <c r="J686">
        <v>8</v>
      </c>
      <c r="K686">
        <v>4365</v>
      </c>
      <c r="L686">
        <v>0.13</v>
      </c>
      <c r="M686">
        <v>3797.55</v>
      </c>
      <c r="N686">
        <v>30380.400000000001</v>
      </c>
      <c r="O686">
        <v>0.35</v>
      </c>
      <c r="P686">
        <v>10633.14</v>
      </c>
      <c r="Q686" t="s">
        <v>51</v>
      </c>
      <c r="R686" t="s">
        <v>48</v>
      </c>
      <c r="S686">
        <v>9</v>
      </c>
      <c r="T686">
        <f>YEAR(Sales_Data_1[[#This Row],[Order_Date]])</f>
        <v>2023</v>
      </c>
      <c r="U686" t="str">
        <f>TEXT(Sales_Data_1[[#This Row],[Order_Date]], "mmm")</f>
        <v>Sep</v>
      </c>
      <c r="V686">
        <f>MONTH(Sales_Data_1[[#This Row],[Order_Date]])</f>
        <v>9</v>
      </c>
      <c r="W686" t="str">
        <f>TEXT(Sales_Data_1[[#This Row],[Order_Date]], "yyyy-mm")</f>
        <v>2023-09</v>
      </c>
      <c r="X686">
        <f>Sales_Data_1[[#This Row],[Sales]]-Sales_Data_1[[#This Row],[Profit_Amount]]</f>
        <v>19747.260000000002</v>
      </c>
      <c r="Y686" t="str" cm="1">
        <f t="array" ref="Y686">_xlfn.IFS(Sales_Data_1[[#This Row],[Delivery_Days]]&lt;=3, "Fast", Sales_Data_1[[#This Row],[Delivery_Days]]&lt;= 7, "Standard", TRUE, "Delayed")</f>
        <v>Delayed</v>
      </c>
      <c r="Z686" t="str" cm="1">
        <f t="array" ref="Z686">_xlfn.IFS(Sales_Data_1[[#This Row],[Profit_Amount]]&gt; 0, "Profitable", Sales_Data_1[[#This Row],[Profit_Amount]] = 0, "Break-Even", TRUE, "Loss")</f>
        <v>Profitable</v>
      </c>
      <c r="AA686" t="str" cm="1">
        <f t="array" ref="AA686">_xlfn.IFS(Sales_Data_1[[#This Row],[Sales]]&gt;= 1000, "High Value", Sales_Data_1[[#This Row],[Sales]]&gt;= 300, "Mid Value", TRUE, "Low Value")</f>
        <v>High Value</v>
      </c>
    </row>
    <row r="687" spans="1:27" x14ac:dyDescent="0.3">
      <c r="A687" t="s">
        <v>2266</v>
      </c>
      <c r="B687" s="1">
        <v>45152</v>
      </c>
      <c r="C687" t="s">
        <v>40</v>
      </c>
      <c r="D687" t="s">
        <v>21</v>
      </c>
      <c r="E687" t="s">
        <v>67</v>
      </c>
      <c r="F687" t="s">
        <v>103</v>
      </c>
      <c r="G687" t="s">
        <v>92</v>
      </c>
      <c r="H687" t="s">
        <v>109</v>
      </c>
      <c r="I687" t="s">
        <v>522</v>
      </c>
      <c r="J687">
        <v>1</v>
      </c>
      <c r="K687">
        <v>77203</v>
      </c>
      <c r="L687">
        <v>0.08</v>
      </c>
      <c r="M687">
        <v>71026.759999999995</v>
      </c>
      <c r="N687">
        <v>71026.759999999995</v>
      </c>
      <c r="O687">
        <v>0.15</v>
      </c>
      <c r="P687">
        <v>10654.01</v>
      </c>
      <c r="Q687" t="s">
        <v>27</v>
      </c>
      <c r="R687" t="s">
        <v>48</v>
      </c>
      <c r="S687">
        <v>7</v>
      </c>
      <c r="T687">
        <f>YEAR(Sales_Data_1[[#This Row],[Order_Date]])</f>
        <v>2023</v>
      </c>
      <c r="U687" t="str">
        <f>TEXT(Sales_Data_1[[#This Row],[Order_Date]], "mmm")</f>
        <v>Aug</v>
      </c>
      <c r="V687">
        <f>MONTH(Sales_Data_1[[#This Row],[Order_Date]])</f>
        <v>8</v>
      </c>
      <c r="W687" t="str">
        <f>TEXT(Sales_Data_1[[#This Row],[Order_Date]], "yyyy-mm")</f>
        <v>2023-08</v>
      </c>
      <c r="X687">
        <f>Sales_Data_1[[#This Row],[Sales]]-Sales_Data_1[[#This Row],[Profit_Amount]]</f>
        <v>60372.749999999993</v>
      </c>
      <c r="Y687" t="str" cm="1">
        <f t="array" ref="Y687">_xlfn.IFS(Sales_Data_1[[#This Row],[Delivery_Days]]&lt;=3, "Fast", Sales_Data_1[[#This Row],[Delivery_Days]]&lt;= 7, "Standard", TRUE, "Delayed")</f>
        <v>Standard</v>
      </c>
      <c r="Z687" t="str" cm="1">
        <f t="array" ref="Z687">_xlfn.IFS(Sales_Data_1[[#This Row],[Profit_Amount]]&gt; 0, "Profitable", Sales_Data_1[[#This Row],[Profit_Amount]] = 0, "Break-Even", TRUE, "Loss")</f>
        <v>Profitable</v>
      </c>
      <c r="AA687" t="str" cm="1">
        <f t="array" ref="AA687">_xlfn.IFS(Sales_Data_1[[#This Row],[Sales]]&gt;= 1000, "High Value", Sales_Data_1[[#This Row],[Sales]]&gt;= 300, "Mid Value", TRUE, "Low Value")</f>
        <v>High Value</v>
      </c>
    </row>
    <row r="688" spans="1:27" x14ac:dyDescent="0.3">
      <c r="A688" t="s">
        <v>2307</v>
      </c>
      <c r="B688" s="1">
        <v>45193</v>
      </c>
      <c r="C688" t="s">
        <v>40</v>
      </c>
      <c r="D688" t="s">
        <v>56</v>
      </c>
      <c r="E688" t="s">
        <v>42</v>
      </c>
      <c r="F688" t="s">
        <v>103</v>
      </c>
      <c r="G688" t="s">
        <v>24</v>
      </c>
      <c r="H688" t="s">
        <v>186</v>
      </c>
      <c r="I688" t="s">
        <v>604</v>
      </c>
      <c r="J688">
        <v>4</v>
      </c>
      <c r="K688">
        <v>12563</v>
      </c>
      <c r="L688">
        <v>0.15</v>
      </c>
      <c r="M688">
        <v>10678.55</v>
      </c>
      <c r="N688">
        <v>42714.2</v>
      </c>
      <c r="O688">
        <v>0.25</v>
      </c>
      <c r="P688">
        <v>10678.55</v>
      </c>
      <c r="Q688" t="s">
        <v>37</v>
      </c>
      <c r="R688" t="s">
        <v>48</v>
      </c>
      <c r="S688">
        <v>1</v>
      </c>
      <c r="T688">
        <f>YEAR(Sales_Data_1[[#This Row],[Order_Date]])</f>
        <v>2023</v>
      </c>
      <c r="U688" t="str">
        <f>TEXT(Sales_Data_1[[#This Row],[Order_Date]], "mmm")</f>
        <v>Sep</v>
      </c>
      <c r="V688">
        <f>MONTH(Sales_Data_1[[#This Row],[Order_Date]])</f>
        <v>9</v>
      </c>
      <c r="W688" t="str">
        <f>TEXT(Sales_Data_1[[#This Row],[Order_Date]], "yyyy-mm")</f>
        <v>2023-09</v>
      </c>
      <c r="X688">
        <f>Sales_Data_1[[#This Row],[Sales]]-Sales_Data_1[[#This Row],[Profit_Amount]]</f>
        <v>32035.649999999998</v>
      </c>
      <c r="Y688" t="str" cm="1">
        <f t="array" ref="Y688">_xlfn.IFS(Sales_Data_1[[#This Row],[Delivery_Days]]&lt;=3, "Fast", Sales_Data_1[[#This Row],[Delivery_Days]]&lt;= 7, "Standard", TRUE, "Delayed")</f>
        <v>Fast</v>
      </c>
      <c r="Z688" t="str" cm="1">
        <f t="array" ref="Z688">_xlfn.IFS(Sales_Data_1[[#This Row],[Profit_Amount]]&gt; 0, "Profitable", Sales_Data_1[[#This Row],[Profit_Amount]] = 0, "Break-Even", TRUE, "Loss")</f>
        <v>Profitable</v>
      </c>
      <c r="AA688" t="str" cm="1">
        <f t="array" ref="AA688">_xlfn.IFS(Sales_Data_1[[#This Row],[Sales]]&gt;= 1000, "High Value", Sales_Data_1[[#This Row],[Sales]]&gt;= 300, "Mid Value", TRUE, "Low Value")</f>
        <v>High Value</v>
      </c>
    </row>
    <row r="689" spans="1:27" x14ac:dyDescent="0.3">
      <c r="A689" t="s">
        <v>2946</v>
      </c>
      <c r="B689" s="1">
        <v>45832</v>
      </c>
      <c r="C689" t="s">
        <v>96</v>
      </c>
      <c r="D689" t="s">
        <v>21</v>
      </c>
      <c r="E689" t="s">
        <v>67</v>
      </c>
      <c r="F689" t="s">
        <v>103</v>
      </c>
      <c r="G689" t="s">
        <v>57</v>
      </c>
      <c r="H689" t="s">
        <v>183</v>
      </c>
      <c r="I689" t="s">
        <v>1860</v>
      </c>
      <c r="J689">
        <v>8</v>
      </c>
      <c r="K689">
        <v>7432</v>
      </c>
      <c r="L689">
        <v>0.1</v>
      </c>
      <c r="M689">
        <v>6688.8</v>
      </c>
      <c r="N689">
        <v>53510.400000000001</v>
      </c>
      <c r="O689">
        <v>0.2</v>
      </c>
      <c r="P689">
        <v>10702.08</v>
      </c>
      <c r="Q689" t="s">
        <v>51</v>
      </c>
      <c r="R689" t="s">
        <v>48</v>
      </c>
      <c r="S689">
        <v>8</v>
      </c>
      <c r="T689">
        <f>YEAR(Sales_Data_1[[#This Row],[Order_Date]])</f>
        <v>2025</v>
      </c>
      <c r="U689" t="str">
        <f>TEXT(Sales_Data_1[[#This Row],[Order_Date]], "mmm")</f>
        <v>Jun</v>
      </c>
      <c r="V689">
        <f>MONTH(Sales_Data_1[[#This Row],[Order_Date]])</f>
        <v>6</v>
      </c>
      <c r="W689" t="str">
        <f>TEXT(Sales_Data_1[[#This Row],[Order_Date]], "yyyy-mm")</f>
        <v>2025-06</v>
      </c>
      <c r="X689">
        <f>Sales_Data_1[[#This Row],[Sales]]-Sales_Data_1[[#This Row],[Profit_Amount]]</f>
        <v>42808.32</v>
      </c>
      <c r="Y689" t="str" cm="1">
        <f t="array" ref="Y689">_xlfn.IFS(Sales_Data_1[[#This Row],[Delivery_Days]]&lt;=3, "Fast", Sales_Data_1[[#This Row],[Delivery_Days]]&lt;= 7, "Standard", TRUE, "Delayed")</f>
        <v>Delayed</v>
      </c>
      <c r="Z689" t="str" cm="1">
        <f t="array" ref="Z689">_xlfn.IFS(Sales_Data_1[[#This Row],[Profit_Amount]]&gt; 0, "Profitable", Sales_Data_1[[#This Row],[Profit_Amount]] = 0, "Break-Even", TRUE, "Loss")</f>
        <v>Profitable</v>
      </c>
      <c r="AA689" t="str" cm="1">
        <f t="array" ref="AA689">_xlfn.IFS(Sales_Data_1[[#This Row],[Sales]]&gt;= 1000, "High Value", Sales_Data_1[[#This Row],[Sales]]&gt;= 300, "Mid Value", TRUE, "Low Value")</f>
        <v>High Value</v>
      </c>
    </row>
    <row r="690" spans="1:27" x14ac:dyDescent="0.3">
      <c r="A690" t="s">
        <v>2704</v>
      </c>
      <c r="B690" s="1">
        <v>45590</v>
      </c>
      <c r="C690" t="s">
        <v>63</v>
      </c>
      <c r="D690" t="s">
        <v>56</v>
      </c>
      <c r="E690" t="s">
        <v>42</v>
      </c>
      <c r="F690" t="s">
        <v>68</v>
      </c>
      <c r="G690" t="s">
        <v>44</v>
      </c>
      <c r="H690" t="s">
        <v>45</v>
      </c>
      <c r="I690" t="s">
        <v>1386</v>
      </c>
      <c r="J690">
        <v>8</v>
      </c>
      <c r="K690">
        <v>4785</v>
      </c>
      <c r="L690">
        <v>0.2</v>
      </c>
      <c r="M690">
        <v>3828</v>
      </c>
      <c r="N690">
        <v>30624</v>
      </c>
      <c r="O690">
        <v>0.35</v>
      </c>
      <c r="P690">
        <v>10718.4</v>
      </c>
      <c r="Q690" t="s">
        <v>51</v>
      </c>
      <c r="R690" t="s">
        <v>38</v>
      </c>
      <c r="S690">
        <v>6</v>
      </c>
      <c r="T690">
        <f>YEAR(Sales_Data_1[[#This Row],[Order_Date]])</f>
        <v>2024</v>
      </c>
      <c r="U690" t="str">
        <f>TEXT(Sales_Data_1[[#This Row],[Order_Date]], "mmm")</f>
        <v>Oct</v>
      </c>
      <c r="V690">
        <f>MONTH(Sales_Data_1[[#This Row],[Order_Date]])</f>
        <v>10</v>
      </c>
      <c r="W690" t="str">
        <f>TEXT(Sales_Data_1[[#This Row],[Order_Date]], "yyyy-mm")</f>
        <v>2024-10</v>
      </c>
      <c r="X690">
        <f>Sales_Data_1[[#This Row],[Sales]]-Sales_Data_1[[#This Row],[Profit_Amount]]</f>
        <v>19905.599999999999</v>
      </c>
      <c r="Y690" t="str" cm="1">
        <f t="array" ref="Y690">_xlfn.IFS(Sales_Data_1[[#This Row],[Delivery_Days]]&lt;=3, "Fast", Sales_Data_1[[#This Row],[Delivery_Days]]&lt;= 7, "Standard", TRUE, "Delayed")</f>
        <v>Standard</v>
      </c>
      <c r="Z690" t="str" cm="1">
        <f t="array" ref="Z690">_xlfn.IFS(Sales_Data_1[[#This Row],[Profit_Amount]]&gt; 0, "Profitable", Sales_Data_1[[#This Row],[Profit_Amount]] = 0, "Break-Even", TRUE, "Loss")</f>
        <v>Profitable</v>
      </c>
      <c r="AA690" t="str" cm="1">
        <f t="array" ref="AA690">_xlfn.IFS(Sales_Data_1[[#This Row],[Sales]]&gt;= 1000, "High Value", Sales_Data_1[[#This Row],[Sales]]&gt;= 300, "Mid Value", TRUE, "Low Value")</f>
        <v>High Value</v>
      </c>
    </row>
    <row r="691" spans="1:27" x14ac:dyDescent="0.3">
      <c r="A691" t="s">
        <v>2481</v>
      </c>
      <c r="B691" s="1">
        <v>45367</v>
      </c>
      <c r="C691" t="s">
        <v>96</v>
      </c>
      <c r="D691" t="s">
        <v>41</v>
      </c>
      <c r="E691" t="s">
        <v>2042</v>
      </c>
      <c r="F691" t="s">
        <v>103</v>
      </c>
      <c r="G691" t="s">
        <v>92</v>
      </c>
      <c r="H691" t="s">
        <v>109</v>
      </c>
      <c r="I691" t="s">
        <v>947</v>
      </c>
      <c r="J691">
        <v>6</v>
      </c>
      <c r="K691">
        <v>14895</v>
      </c>
      <c r="L691">
        <v>0.2</v>
      </c>
      <c r="M691">
        <v>11916</v>
      </c>
      <c r="N691">
        <v>71496</v>
      </c>
      <c r="O691">
        <v>0.15</v>
      </c>
      <c r="P691">
        <v>10724.4</v>
      </c>
      <c r="Q691" t="s">
        <v>37</v>
      </c>
      <c r="R691" t="s">
        <v>38</v>
      </c>
      <c r="S691">
        <v>6</v>
      </c>
      <c r="T691">
        <f>YEAR(Sales_Data_1[[#This Row],[Order_Date]])</f>
        <v>2024</v>
      </c>
      <c r="U691" t="str">
        <f>TEXT(Sales_Data_1[[#This Row],[Order_Date]], "mmm")</f>
        <v>Mar</v>
      </c>
      <c r="V691">
        <f>MONTH(Sales_Data_1[[#This Row],[Order_Date]])</f>
        <v>3</v>
      </c>
      <c r="W691" t="str">
        <f>TEXT(Sales_Data_1[[#This Row],[Order_Date]], "yyyy-mm")</f>
        <v>2024-03</v>
      </c>
      <c r="X691">
        <f>Sales_Data_1[[#This Row],[Sales]]-Sales_Data_1[[#This Row],[Profit_Amount]]</f>
        <v>60771.6</v>
      </c>
      <c r="Y691" t="str" cm="1">
        <f t="array" ref="Y691">_xlfn.IFS(Sales_Data_1[[#This Row],[Delivery_Days]]&lt;=3, "Fast", Sales_Data_1[[#This Row],[Delivery_Days]]&lt;= 7, "Standard", TRUE, "Delayed")</f>
        <v>Standard</v>
      </c>
      <c r="Z691" t="str" cm="1">
        <f t="array" ref="Z691">_xlfn.IFS(Sales_Data_1[[#This Row],[Profit_Amount]]&gt; 0, "Profitable", Sales_Data_1[[#This Row],[Profit_Amount]] = 0, "Break-Even", TRUE, "Loss")</f>
        <v>Profitable</v>
      </c>
      <c r="AA691" t="str" cm="1">
        <f t="array" ref="AA691">_xlfn.IFS(Sales_Data_1[[#This Row],[Sales]]&gt;= 1000, "High Value", Sales_Data_1[[#This Row],[Sales]]&gt;= 300, "Mid Value", TRUE, "Low Value")</f>
        <v>High Value</v>
      </c>
    </row>
    <row r="692" spans="1:27" x14ac:dyDescent="0.3">
      <c r="A692" t="s">
        <v>2427</v>
      </c>
      <c r="B692" s="1">
        <v>45313</v>
      </c>
      <c r="C692" t="s">
        <v>30</v>
      </c>
      <c r="D692" t="s">
        <v>21</v>
      </c>
      <c r="E692" t="s">
        <v>2042</v>
      </c>
      <c r="F692" t="s">
        <v>103</v>
      </c>
      <c r="G692" t="s">
        <v>57</v>
      </c>
      <c r="H692" t="s">
        <v>81</v>
      </c>
      <c r="I692" t="s">
        <v>840</v>
      </c>
      <c r="J692">
        <v>5</v>
      </c>
      <c r="K692">
        <v>12106</v>
      </c>
      <c r="L692">
        <v>0.11</v>
      </c>
      <c r="M692">
        <v>10774.34</v>
      </c>
      <c r="N692">
        <v>53871.7</v>
      </c>
      <c r="O692">
        <v>0.2</v>
      </c>
      <c r="P692">
        <v>10774.34</v>
      </c>
      <c r="Q692" t="s">
        <v>51</v>
      </c>
      <c r="R692" t="s">
        <v>48</v>
      </c>
      <c r="S692">
        <v>2</v>
      </c>
      <c r="T692">
        <f>YEAR(Sales_Data_1[[#This Row],[Order_Date]])</f>
        <v>2024</v>
      </c>
      <c r="U692" t="str">
        <f>TEXT(Sales_Data_1[[#This Row],[Order_Date]], "mmm")</f>
        <v>Jan</v>
      </c>
      <c r="V692">
        <f>MONTH(Sales_Data_1[[#This Row],[Order_Date]])</f>
        <v>1</v>
      </c>
      <c r="W692" t="str">
        <f>TEXT(Sales_Data_1[[#This Row],[Order_Date]], "yyyy-mm")</f>
        <v>2024-01</v>
      </c>
      <c r="X692">
        <f>Sales_Data_1[[#This Row],[Sales]]-Sales_Data_1[[#This Row],[Profit_Amount]]</f>
        <v>43097.36</v>
      </c>
      <c r="Y692" t="str" cm="1">
        <f t="array" ref="Y692">_xlfn.IFS(Sales_Data_1[[#This Row],[Delivery_Days]]&lt;=3, "Fast", Sales_Data_1[[#This Row],[Delivery_Days]]&lt;= 7, "Standard", TRUE, "Delayed")</f>
        <v>Fast</v>
      </c>
      <c r="Z692" t="str" cm="1">
        <f t="array" ref="Z692">_xlfn.IFS(Sales_Data_1[[#This Row],[Profit_Amount]]&gt; 0, "Profitable", Sales_Data_1[[#This Row],[Profit_Amount]] = 0, "Break-Even", TRUE, "Loss")</f>
        <v>Profitable</v>
      </c>
      <c r="AA692" t="str" cm="1">
        <f t="array" ref="AA692">_xlfn.IFS(Sales_Data_1[[#This Row],[Sales]]&gt;= 1000, "High Value", Sales_Data_1[[#This Row],[Sales]]&gt;= 300, "Mid Value", TRUE, "Low Value")</f>
        <v>High Value</v>
      </c>
    </row>
    <row r="693" spans="1:27" x14ac:dyDescent="0.3">
      <c r="A693" t="s">
        <v>2155</v>
      </c>
      <c r="B693" s="1">
        <v>45041</v>
      </c>
      <c r="C693" t="s">
        <v>40</v>
      </c>
      <c r="D693" t="s">
        <v>56</v>
      </c>
      <c r="E693" t="s">
        <v>2040</v>
      </c>
      <c r="F693" t="s">
        <v>103</v>
      </c>
      <c r="G693" t="s">
        <v>92</v>
      </c>
      <c r="H693" t="s">
        <v>109</v>
      </c>
      <c r="I693" t="s">
        <v>300</v>
      </c>
      <c r="J693">
        <v>4</v>
      </c>
      <c r="K693">
        <v>23760</v>
      </c>
      <c r="L693">
        <v>0.24</v>
      </c>
      <c r="M693">
        <v>18057.599999999999</v>
      </c>
      <c r="N693">
        <v>72230.399999999994</v>
      </c>
      <c r="O693">
        <v>0.15</v>
      </c>
      <c r="P693">
        <v>10834.56</v>
      </c>
      <c r="Q693" t="s">
        <v>27</v>
      </c>
      <c r="R693" t="s">
        <v>38</v>
      </c>
      <c r="S693">
        <v>7</v>
      </c>
      <c r="T693">
        <f>YEAR(Sales_Data_1[[#This Row],[Order_Date]])</f>
        <v>2023</v>
      </c>
      <c r="U693" t="str">
        <f>TEXT(Sales_Data_1[[#This Row],[Order_Date]], "mmm")</f>
        <v>Apr</v>
      </c>
      <c r="V693">
        <f>MONTH(Sales_Data_1[[#This Row],[Order_Date]])</f>
        <v>4</v>
      </c>
      <c r="W693" t="str">
        <f>TEXT(Sales_Data_1[[#This Row],[Order_Date]], "yyyy-mm")</f>
        <v>2023-04</v>
      </c>
      <c r="X693">
        <f>Sales_Data_1[[#This Row],[Sales]]-Sales_Data_1[[#This Row],[Profit_Amount]]</f>
        <v>61395.839999999997</v>
      </c>
      <c r="Y693" t="str" cm="1">
        <f t="array" ref="Y693">_xlfn.IFS(Sales_Data_1[[#This Row],[Delivery_Days]]&lt;=3, "Fast", Sales_Data_1[[#This Row],[Delivery_Days]]&lt;= 7, "Standard", TRUE, "Delayed")</f>
        <v>Standard</v>
      </c>
      <c r="Z693" t="str" cm="1">
        <f t="array" ref="Z693">_xlfn.IFS(Sales_Data_1[[#This Row],[Profit_Amount]]&gt; 0, "Profitable", Sales_Data_1[[#This Row],[Profit_Amount]] = 0, "Break-Even", TRUE, "Loss")</f>
        <v>Profitable</v>
      </c>
      <c r="AA693" t="str" cm="1">
        <f t="array" ref="AA693">_xlfn.IFS(Sales_Data_1[[#This Row],[Sales]]&gt;= 1000, "High Value", Sales_Data_1[[#This Row],[Sales]]&gt;= 300, "Mid Value", TRUE, "Low Value")</f>
        <v>High Value</v>
      </c>
    </row>
    <row r="694" spans="1:27" x14ac:dyDescent="0.3">
      <c r="A694" t="s">
        <v>2069</v>
      </c>
      <c r="B694" s="1">
        <v>44955</v>
      </c>
      <c r="C694" t="s">
        <v>63</v>
      </c>
      <c r="D694" t="s">
        <v>41</v>
      </c>
      <c r="E694" t="s">
        <v>67</v>
      </c>
      <c r="F694" t="s">
        <v>23</v>
      </c>
      <c r="G694" t="s">
        <v>24</v>
      </c>
      <c r="H694" t="s">
        <v>121</v>
      </c>
      <c r="I694" t="s">
        <v>122</v>
      </c>
      <c r="J694">
        <v>4</v>
      </c>
      <c r="K694">
        <v>12148</v>
      </c>
      <c r="L694">
        <v>0.1</v>
      </c>
      <c r="M694">
        <v>10933.2</v>
      </c>
      <c r="N694">
        <v>43732.800000000003</v>
      </c>
      <c r="O694">
        <v>0.25</v>
      </c>
      <c r="P694">
        <v>10933.2</v>
      </c>
      <c r="Q694" t="s">
        <v>27</v>
      </c>
      <c r="R694" t="s">
        <v>48</v>
      </c>
      <c r="S694">
        <v>7</v>
      </c>
      <c r="T694">
        <f>YEAR(Sales_Data_1[[#This Row],[Order_Date]])</f>
        <v>2023</v>
      </c>
      <c r="U694" t="str">
        <f>TEXT(Sales_Data_1[[#This Row],[Order_Date]], "mmm")</f>
        <v>Jan</v>
      </c>
      <c r="V694">
        <f>MONTH(Sales_Data_1[[#This Row],[Order_Date]])</f>
        <v>1</v>
      </c>
      <c r="W694" t="str">
        <f>TEXT(Sales_Data_1[[#This Row],[Order_Date]], "yyyy-mm")</f>
        <v>2023-01</v>
      </c>
      <c r="X694">
        <f>Sales_Data_1[[#This Row],[Sales]]-Sales_Data_1[[#This Row],[Profit_Amount]]</f>
        <v>32799.600000000006</v>
      </c>
      <c r="Y694" t="str" cm="1">
        <f t="array" ref="Y694">_xlfn.IFS(Sales_Data_1[[#This Row],[Delivery_Days]]&lt;=3, "Fast", Sales_Data_1[[#This Row],[Delivery_Days]]&lt;= 7, "Standard", TRUE, "Delayed")</f>
        <v>Standard</v>
      </c>
      <c r="Z694" t="str" cm="1">
        <f t="array" ref="Z694">_xlfn.IFS(Sales_Data_1[[#This Row],[Profit_Amount]]&gt; 0, "Profitable", Sales_Data_1[[#This Row],[Profit_Amount]] = 0, "Break-Even", TRUE, "Loss")</f>
        <v>Profitable</v>
      </c>
      <c r="AA694" t="str" cm="1">
        <f t="array" ref="AA694">_xlfn.IFS(Sales_Data_1[[#This Row],[Sales]]&gt;= 1000, "High Value", Sales_Data_1[[#This Row],[Sales]]&gt;= 300, "Mid Value", TRUE, "Low Value")</f>
        <v>High Value</v>
      </c>
    </row>
    <row r="695" spans="1:27" x14ac:dyDescent="0.3">
      <c r="A695" t="s">
        <v>2419</v>
      </c>
      <c r="B695" s="1">
        <v>45305</v>
      </c>
      <c r="C695" t="s">
        <v>63</v>
      </c>
      <c r="D695" t="s">
        <v>41</v>
      </c>
      <c r="E695" t="s">
        <v>2040</v>
      </c>
      <c r="F695" t="s">
        <v>23</v>
      </c>
      <c r="G695" t="s">
        <v>57</v>
      </c>
      <c r="H695" t="s">
        <v>58</v>
      </c>
      <c r="I695" t="s">
        <v>824</v>
      </c>
      <c r="J695">
        <v>4</v>
      </c>
      <c r="K695">
        <v>14323</v>
      </c>
      <c r="L695">
        <v>0.04</v>
      </c>
      <c r="M695">
        <v>13750.08</v>
      </c>
      <c r="N695">
        <v>55000.32</v>
      </c>
      <c r="O695">
        <v>0.2</v>
      </c>
      <c r="P695">
        <v>11000.06</v>
      </c>
      <c r="Q695" t="s">
        <v>51</v>
      </c>
      <c r="R695" t="s">
        <v>48</v>
      </c>
      <c r="S695">
        <v>6</v>
      </c>
      <c r="T695">
        <f>YEAR(Sales_Data_1[[#This Row],[Order_Date]])</f>
        <v>2024</v>
      </c>
      <c r="U695" t="str">
        <f>TEXT(Sales_Data_1[[#This Row],[Order_Date]], "mmm")</f>
        <v>Jan</v>
      </c>
      <c r="V695">
        <f>MONTH(Sales_Data_1[[#This Row],[Order_Date]])</f>
        <v>1</v>
      </c>
      <c r="W695" t="str">
        <f>TEXT(Sales_Data_1[[#This Row],[Order_Date]], "yyyy-mm")</f>
        <v>2024-01</v>
      </c>
      <c r="X695">
        <f>Sales_Data_1[[#This Row],[Sales]]-Sales_Data_1[[#This Row],[Profit_Amount]]</f>
        <v>44000.26</v>
      </c>
      <c r="Y695" t="str" cm="1">
        <f t="array" ref="Y695">_xlfn.IFS(Sales_Data_1[[#This Row],[Delivery_Days]]&lt;=3, "Fast", Sales_Data_1[[#This Row],[Delivery_Days]]&lt;= 7, "Standard", TRUE, "Delayed")</f>
        <v>Standard</v>
      </c>
      <c r="Z695" t="str" cm="1">
        <f t="array" ref="Z695">_xlfn.IFS(Sales_Data_1[[#This Row],[Profit_Amount]]&gt; 0, "Profitable", Sales_Data_1[[#This Row],[Profit_Amount]] = 0, "Break-Even", TRUE, "Loss")</f>
        <v>Profitable</v>
      </c>
      <c r="AA695" t="str" cm="1">
        <f t="array" ref="AA695">_xlfn.IFS(Sales_Data_1[[#This Row],[Sales]]&gt;= 1000, "High Value", Sales_Data_1[[#This Row],[Sales]]&gt;= 300, "Mid Value", TRUE, "Low Value")</f>
        <v>High Value</v>
      </c>
    </row>
    <row r="696" spans="1:27" x14ac:dyDescent="0.3">
      <c r="A696" t="s">
        <v>2245</v>
      </c>
      <c r="B696" s="1">
        <v>45131</v>
      </c>
      <c r="C696" t="s">
        <v>20</v>
      </c>
      <c r="D696" t="s">
        <v>56</v>
      </c>
      <c r="E696" t="s">
        <v>67</v>
      </c>
      <c r="F696" t="s">
        <v>103</v>
      </c>
      <c r="G696" t="s">
        <v>24</v>
      </c>
      <c r="H696" t="s">
        <v>186</v>
      </c>
      <c r="I696" t="s">
        <v>480</v>
      </c>
      <c r="J696">
        <v>9</v>
      </c>
      <c r="K696">
        <v>5440</v>
      </c>
      <c r="L696">
        <v>0.1</v>
      </c>
      <c r="M696">
        <v>4896</v>
      </c>
      <c r="N696">
        <v>44064</v>
      </c>
      <c r="O696">
        <v>0.25</v>
      </c>
      <c r="P696">
        <v>11016</v>
      </c>
      <c r="Q696" t="s">
        <v>27</v>
      </c>
      <c r="R696" t="s">
        <v>48</v>
      </c>
      <c r="S696">
        <v>5</v>
      </c>
      <c r="T696">
        <f>YEAR(Sales_Data_1[[#This Row],[Order_Date]])</f>
        <v>2023</v>
      </c>
      <c r="U696" t="str">
        <f>TEXT(Sales_Data_1[[#This Row],[Order_Date]], "mmm")</f>
        <v>Jul</v>
      </c>
      <c r="V696">
        <f>MONTH(Sales_Data_1[[#This Row],[Order_Date]])</f>
        <v>7</v>
      </c>
      <c r="W696" t="str">
        <f>TEXT(Sales_Data_1[[#This Row],[Order_Date]], "yyyy-mm")</f>
        <v>2023-07</v>
      </c>
      <c r="X696">
        <f>Sales_Data_1[[#This Row],[Sales]]-Sales_Data_1[[#This Row],[Profit_Amount]]</f>
        <v>33048</v>
      </c>
      <c r="Y696" t="str" cm="1">
        <f t="array" ref="Y696">_xlfn.IFS(Sales_Data_1[[#This Row],[Delivery_Days]]&lt;=3, "Fast", Sales_Data_1[[#This Row],[Delivery_Days]]&lt;= 7, "Standard", TRUE, "Delayed")</f>
        <v>Standard</v>
      </c>
      <c r="Z696" t="str" cm="1">
        <f t="array" ref="Z696">_xlfn.IFS(Sales_Data_1[[#This Row],[Profit_Amount]]&gt; 0, "Profitable", Sales_Data_1[[#This Row],[Profit_Amount]] = 0, "Break-Even", TRUE, "Loss")</f>
        <v>Profitable</v>
      </c>
      <c r="AA696" t="str" cm="1">
        <f t="array" ref="AA696">_xlfn.IFS(Sales_Data_1[[#This Row],[Sales]]&gt;= 1000, "High Value", Sales_Data_1[[#This Row],[Sales]]&gt;= 300, "Mid Value", TRUE, "Low Value")</f>
        <v>High Value</v>
      </c>
    </row>
    <row r="697" spans="1:27" x14ac:dyDescent="0.3">
      <c r="A697" t="s">
        <v>2403</v>
      </c>
      <c r="B697" s="1">
        <v>45289</v>
      </c>
      <c r="C697" t="s">
        <v>20</v>
      </c>
      <c r="D697" t="s">
        <v>31</v>
      </c>
      <c r="E697" t="s">
        <v>2042</v>
      </c>
      <c r="F697" t="s">
        <v>43</v>
      </c>
      <c r="G697" t="s">
        <v>24</v>
      </c>
      <c r="H697" t="s">
        <v>186</v>
      </c>
      <c r="I697" t="s">
        <v>792</v>
      </c>
      <c r="J697">
        <v>5</v>
      </c>
      <c r="K697">
        <v>10160</v>
      </c>
      <c r="L697">
        <v>0.13</v>
      </c>
      <c r="M697">
        <v>8839.2000000000007</v>
      </c>
      <c r="N697">
        <v>44196</v>
      </c>
      <c r="O697">
        <v>0.25</v>
      </c>
      <c r="P697">
        <v>11049</v>
      </c>
      <c r="Q697" t="s">
        <v>37</v>
      </c>
      <c r="R697" t="s">
        <v>48</v>
      </c>
      <c r="S697">
        <v>7</v>
      </c>
      <c r="T697">
        <f>YEAR(Sales_Data_1[[#This Row],[Order_Date]])</f>
        <v>2023</v>
      </c>
      <c r="U697" t="str">
        <f>TEXT(Sales_Data_1[[#This Row],[Order_Date]], "mmm")</f>
        <v>Dec</v>
      </c>
      <c r="V697">
        <f>MONTH(Sales_Data_1[[#This Row],[Order_Date]])</f>
        <v>12</v>
      </c>
      <c r="W697" t="str">
        <f>TEXT(Sales_Data_1[[#This Row],[Order_Date]], "yyyy-mm")</f>
        <v>2023-12</v>
      </c>
      <c r="X697">
        <f>Sales_Data_1[[#This Row],[Sales]]-Sales_Data_1[[#This Row],[Profit_Amount]]</f>
        <v>33147</v>
      </c>
      <c r="Y697" t="str" cm="1">
        <f t="array" ref="Y697">_xlfn.IFS(Sales_Data_1[[#This Row],[Delivery_Days]]&lt;=3, "Fast", Sales_Data_1[[#This Row],[Delivery_Days]]&lt;= 7, "Standard", TRUE, "Delayed")</f>
        <v>Standard</v>
      </c>
      <c r="Z697" t="str" cm="1">
        <f t="array" ref="Z697">_xlfn.IFS(Sales_Data_1[[#This Row],[Profit_Amount]]&gt; 0, "Profitable", Sales_Data_1[[#This Row],[Profit_Amount]] = 0, "Break-Even", TRUE, "Loss")</f>
        <v>Profitable</v>
      </c>
      <c r="AA697" t="str" cm="1">
        <f t="array" ref="AA697">_xlfn.IFS(Sales_Data_1[[#This Row],[Sales]]&gt;= 1000, "High Value", Sales_Data_1[[#This Row],[Sales]]&gt;= 300, "Mid Value", TRUE, "Low Value")</f>
        <v>High Value</v>
      </c>
    </row>
    <row r="698" spans="1:27" x14ac:dyDescent="0.3">
      <c r="A698" t="s">
        <v>2234</v>
      </c>
      <c r="B698" s="1">
        <v>45120</v>
      </c>
      <c r="C698" t="s">
        <v>20</v>
      </c>
      <c r="D698" t="s">
        <v>21</v>
      </c>
      <c r="E698" t="s">
        <v>2040</v>
      </c>
      <c r="F698" t="s">
        <v>43</v>
      </c>
      <c r="G698" t="s">
        <v>57</v>
      </c>
      <c r="H698" t="s">
        <v>100</v>
      </c>
      <c r="I698" t="s">
        <v>458</v>
      </c>
      <c r="J698">
        <v>4</v>
      </c>
      <c r="K698">
        <v>17552</v>
      </c>
      <c r="L698">
        <v>0.21</v>
      </c>
      <c r="M698">
        <v>13866.08</v>
      </c>
      <c r="N698">
        <v>55464.32</v>
      </c>
      <c r="O698">
        <v>0.2</v>
      </c>
      <c r="P698">
        <v>11092.86</v>
      </c>
      <c r="Q698" t="s">
        <v>37</v>
      </c>
      <c r="R698" t="s">
        <v>48</v>
      </c>
      <c r="S698">
        <v>1</v>
      </c>
      <c r="T698">
        <f>YEAR(Sales_Data_1[[#This Row],[Order_Date]])</f>
        <v>2023</v>
      </c>
      <c r="U698" t="str">
        <f>TEXT(Sales_Data_1[[#This Row],[Order_Date]], "mmm")</f>
        <v>Jul</v>
      </c>
      <c r="V698">
        <f>MONTH(Sales_Data_1[[#This Row],[Order_Date]])</f>
        <v>7</v>
      </c>
      <c r="W698" t="str">
        <f>TEXT(Sales_Data_1[[#This Row],[Order_Date]], "yyyy-mm")</f>
        <v>2023-07</v>
      </c>
      <c r="X698">
        <f>Sales_Data_1[[#This Row],[Sales]]-Sales_Data_1[[#This Row],[Profit_Amount]]</f>
        <v>44371.46</v>
      </c>
      <c r="Y698" t="str" cm="1">
        <f t="array" ref="Y698">_xlfn.IFS(Sales_Data_1[[#This Row],[Delivery_Days]]&lt;=3, "Fast", Sales_Data_1[[#This Row],[Delivery_Days]]&lt;= 7, "Standard", TRUE, "Delayed")</f>
        <v>Fast</v>
      </c>
      <c r="Z698" t="str" cm="1">
        <f t="array" ref="Z698">_xlfn.IFS(Sales_Data_1[[#This Row],[Profit_Amount]]&gt; 0, "Profitable", Sales_Data_1[[#This Row],[Profit_Amount]] = 0, "Break-Even", TRUE, "Loss")</f>
        <v>Profitable</v>
      </c>
      <c r="AA698" t="str" cm="1">
        <f t="array" ref="AA698">_xlfn.IFS(Sales_Data_1[[#This Row],[Sales]]&gt;= 1000, "High Value", Sales_Data_1[[#This Row],[Sales]]&gt;= 300, "Mid Value", TRUE, "Low Value")</f>
        <v>High Value</v>
      </c>
    </row>
    <row r="699" spans="1:27" x14ac:dyDescent="0.3">
      <c r="A699" t="s">
        <v>2274</v>
      </c>
      <c r="B699" s="1">
        <v>45160</v>
      </c>
      <c r="C699" t="s">
        <v>63</v>
      </c>
      <c r="D699" t="s">
        <v>56</v>
      </c>
      <c r="E699" t="s">
        <v>2042</v>
      </c>
      <c r="F699" t="s">
        <v>103</v>
      </c>
      <c r="G699" t="s">
        <v>24</v>
      </c>
      <c r="H699" t="s">
        <v>121</v>
      </c>
      <c r="I699" t="s">
        <v>538</v>
      </c>
      <c r="J699">
        <v>5</v>
      </c>
      <c r="K699">
        <v>9189</v>
      </c>
      <c r="L699">
        <v>0.03</v>
      </c>
      <c r="M699">
        <v>8913.33</v>
      </c>
      <c r="N699">
        <v>44566.65</v>
      </c>
      <c r="O699">
        <v>0.25</v>
      </c>
      <c r="P699">
        <v>11141.66</v>
      </c>
      <c r="Q699" t="s">
        <v>47</v>
      </c>
      <c r="R699" t="s">
        <v>48</v>
      </c>
      <c r="S699">
        <v>4</v>
      </c>
      <c r="T699">
        <f>YEAR(Sales_Data_1[[#This Row],[Order_Date]])</f>
        <v>2023</v>
      </c>
      <c r="U699" t="str">
        <f>TEXT(Sales_Data_1[[#This Row],[Order_Date]], "mmm")</f>
        <v>Aug</v>
      </c>
      <c r="V699">
        <f>MONTH(Sales_Data_1[[#This Row],[Order_Date]])</f>
        <v>8</v>
      </c>
      <c r="W699" t="str">
        <f>TEXT(Sales_Data_1[[#This Row],[Order_Date]], "yyyy-mm")</f>
        <v>2023-08</v>
      </c>
      <c r="X699">
        <f>Sales_Data_1[[#This Row],[Sales]]-Sales_Data_1[[#This Row],[Profit_Amount]]</f>
        <v>33424.990000000005</v>
      </c>
      <c r="Y699" t="str" cm="1">
        <f t="array" ref="Y699">_xlfn.IFS(Sales_Data_1[[#This Row],[Delivery_Days]]&lt;=3, "Fast", Sales_Data_1[[#This Row],[Delivery_Days]]&lt;= 7, "Standard", TRUE, "Delayed")</f>
        <v>Standard</v>
      </c>
      <c r="Z699" t="str" cm="1">
        <f t="array" ref="Z699">_xlfn.IFS(Sales_Data_1[[#This Row],[Profit_Amount]]&gt; 0, "Profitable", Sales_Data_1[[#This Row],[Profit_Amount]] = 0, "Break-Even", TRUE, "Loss")</f>
        <v>Profitable</v>
      </c>
      <c r="AA699" t="str" cm="1">
        <f t="array" ref="AA699">_xlfn.IFS(Sales_Data_1[[#This Row],[Sales]]&gt;= 1000, "High Value", Sales_Data_1[[#This Row],[Sales]]&gt;= 300, "Mid Value", TRUE, "Low Value")</f>
        <v>High Value</v>
      </c>
    </row>
    <row r="700" spans="1:27" x14ac:dyDescent="0.3">
      <c r="A700" t="s">
        <v>2650</v>
      </c>
      <c r="B700" s="1">
        <v>45536</v>
      </c>
      <c r="C700" t="s">
        <v>30</v>
      </c>
      <c r="D700" t="s">
        <v>56</v>
      </c>
      <c r="E700" t="s">
        <v>2042</v>
      </c>
      <c r="F700" t="s">
        <v>33</v>
      </c>
      <c r="G700" t="s">
        <v>92</v>
      </c>
      <c r="H700" t="s">
        <v>243</v>
      </c>
      <c r="I700" t="s">
        <v>1280</v>
      </c>
      <c r="J700">
        <v>7</v>
      </c>
      <c r="K700">
        <v>13631</v>
      </c>
      <c r="L700">
        <v>0.22</v>
      </c>
      <c r="M700">
        <v>10632.18</v>
      </c>
      <c r="N700">
        <v>74425.259999999995</v>
      </c>
      <c r="O700">
        <v>0.15</v>
      </c>
      <c r="P700">
        <v>11163.79</v>
      </c>
      <c r="Q700" t="s">
        <v>47</v>
      </c>
      <c r="R700" t="s">
        <v>48</v>
      </c>
      <c r="S700">
        <v>9</v>
      </c>
      <c r="T700">
        <f>YEAR(Sales_Data_1[[#This Row],[Order_Date]])</f>
        <v>2024</v>
      </c>
      <c r="U700" t="str">
        <f>TEXT(Sales_Data_1[[#This Row],[Order_Date]], "mmm")</f>
        <v>Sep</v>
      </c>
      <c r="V700">
        <f>MONTH(Sales_Data_1[[#This Row],[Order_Date]])</f>
        <v>9</v>
      </c>
      <c r="W700" t="str">
        <f>TEXT(Sales_Data_1[[#This Row],[Order_Date]], "yyyy-mm")</f>
        <v>2024-09</v>
      </c>
      <c r="X700">
        <f>Sales_Data_1[[#This Row],[Sales]]-Sales_Data_1[[#This Row],[Profit_Amount]]</f>
        <v>63261.469999999994</v>
      </c>
      <c r="Y700" t="str" cm="1">
        <f t="array" ref="Y700">_xlfn.IFS(Sales_Data_1[[#This Row],[Delivery_Days]]&lt;=3, "Fast", Sales_Data_1[[#This Row],[Delivery_Days]]&lt;= 7, "Standard", TRUE, "Delayed")</f>
        <v>Delayed</v>
      </c>
      <c r="Z700" t="str" cm="1">
        <f t="array" ref="Z700">_xlfn.IFS(Sales_Data_1[[#This Row],[Profit_Amount]]&gt; 0, "Profitable", Sales_Data_1[[#This Row],[Profit_Amount]] = 0, "Break-Even", TRUE, "Loss")</f>
        <v>Profitable</v>
      </c>
      <c r="AA700" t="str" cm="1">
        <f t="array" ref="AA700">_xlfn.IFS(Sales_Data_1[[#This Row],[Sales]]&gt;= 1000, "High Value", Sales_Data_1[[#This Row],[Sales]]&gt;= 300, "Mid Value", TRUE, "Low Value")</f>
        <v>High Value</v>
      </c>
    </row>
    <row r="701" spans="1:27" x14ac:dyDescent="0.3">
      <c r="A701" t="s">
        <v>2828</v>
      </c>
      <c r="B701" s="1">
        <v>45714</v>
      </c>
      <c r="C701" t="s">
        <v>20</v>
      </c>
      <c r="D701" t="s">
        <v>21</v>
      </c>
      <c r="E701" t="s">
        <v>67</v>
      </c>
      <c r="F701" t="s">
        <v>33</v>
      </c>
      <c r="G701" t="s">
        <v>24</v>
      </c>
      <c r="H701" t="s">
        <v>25</v>
      </c>
      <c r="I701" t="s">
        <v>1627</v>
      </c>
      <c r="J701">
        <v>4</v>
      </c>
      <c r="K701">
        <v>12139</v>
      </c>
      <c r="L701">
        <v>0.08</v>
      </c>
      <c r="M701">
        <v>11167.88</v>
      </c>
      <c r="N701">
        <v>44671.519999999997</v>
      </c>
      <c r="O701">
        <v>0.25</v>
      </c>
      <c r="P701">
        <v>11167.88</v>
      </c>
      <c r="Q701" t="s">
        <v>37</v>
      </c>
      <c r="R701" t="s">
        <v>48</v>
      </c>
      <c r="S701">
        <v>1</v>
      </c>
      <c r="T701">
        <f>YEAR(Sales_Data_1[[#This Row],[Order_Date]])</f>
        <v>2025</v>
      </c>
      <c r="U701" t="str">
        <f>TEXT(Sales_Data_1[[#This Row],[Order_Date]], "mmm")</f>
        <v>Feb</v>
      </c>
      <c r="V701">
        <f>MONTH(Sales_Data_1[[#This Row],[Order_Date]])</f>
        <v>2</v>
      </c>
      <c r="W701" t="str">
        <f>TEXT(Sales_Data_1[[#This Row],[Order_Date]], "yyyy-mm")</f>
        <v>2025-02</v>
      </c>
      <c r="X701">
        <f>Sales_Data_1[[#This Row],[Sales]]-Sales_Data_1[[#This Row],[Profit_Amount]]</f>
        <v>33503.64</v>
      </c>
      <c r="Y701" t="str" cm="1">
        <f t="array" ref="Y701">_xlfn.IFS(Sales_Data_1[[#This Row],[Delivery_Days]]&lt;=3, "Fast", Sales_Data_1[[#This Row],[Delivery_Days]]&lt;= 7, "Standard", TRUE, "Delayed")</f>
        <v>Fast</v>
      </c>
      <c r="Z701" t="str" cm="1">
        <f t="array" ref="Z701">_xlfn.IFS(Sales_Data_1[[#This Row],[Profit_Amount]]&gt; 0, "Profitable", Sales_Data_1[[#This Row],[Profit_Amount]] = 0, "Break-Even", TRUE, "Loss")</f>
        <v>Profitable</v>
      </c>
      <c r="AA701" t="str" cm="1">
        <f t="array" ref="AA701">_xlfn.IFS(Sales_Data_1[[#This Row],[Sales]]&gt;= 1000, "High Value", Sales_Data_1[[#This Row],[Sales]]&gt;= 300, "Mid Value", TRUE, "Low Value")</f>
        <v>High Value</v>
      </c>
    </row>
    <row r="702" spans="1:27" x14ac:dyDescent="0.3">
      <c r="A702" t="s">
        <v>2447</v>
      </c>
      <c r="B702" s="1">
        <v>45333</v>
      </c>
      <c r="C702" t="s">
        <v>55</v>
      </c>
      <c r="D702" t="s">
        <v>56</v>
      </c>
      <c r="E702" t="s">
        <v>2042</v>
      </c>
      <c r="F702" t="s">
        <v>68</v>
      </c>
      <c r="G702" t="s">
        <v>92</v>
      </c>
      <c r="H702" t="s">
        <v>109</v>
      </c>
      <c r="I702" t="s">
        <v>880</v>
      </c>
      <c r="J702">
        <v>3</v>
      </c>
      <c r="K702">
        <v>29201</v>
      </c>
      <c r="L702">
        <v>0.15</v>
      </c>
      <c r="M702">
        <v>24820.85</v>
      </c>
      <c r="N702">
        <v>74462.55</v>
      </c>
      <c r="O702">
        <v>0.15</v>
      </c>
      <c r="P702">
        <v>11169.38</v>
      </c>
      <c r="Q702" t="s">
        <v>47</v>
      </c>
      <c r="R702" t="s">
        <v>48</v>
      </c>
      <c r="S702">
        <v>8</v>
      </c>
      <c r="T702">
        <f>YEAR(Sales_Data_1[[#This Row],[Order_Date]])</f>
        <v>2024</v>
      </c>
      <c r="U702" t="str">
        <f>TEXT(Sales_Data_1[[#This Row],[Order_Date]], "mmm")</f>
        <v>Feb</v>
      </c>
      <c r="V702">
        <f>MONTH(Sales_Data_1[[#This Row],[Order_Date]])</f>
        <v>2</v>
      </c>
      <c r="W702" t="str">
        <f>TEXT(Sales_Data_1[[#This Row],[Order_Date]], "yyyy-mm")</f>
        <v>2024-02</v>
      </c>
      <c r="X702">
        <f>Sales_Data_1[[#This Row],[Sales]]-Sales_Data_1[[#This Row],[Profit_Amount]]</f>
        <v>63293.170000000006</v>
      </c>
      <c r="Y702" t="str" cm="1">
        <f t="array" ref="Y702">_xlfn.IFS(Sales_Data_1[[#This Row],[Delivery_Days]]&lt;=3, "Fast", Sales_Data_1[[#This Row],[Delivery_Days]]&lt;= 7, "Standard", TRUE, "Delayed")</f>
        <v>Delayed</v>
      </c>
      <c r="Z702" t="str" cm="1">
        <f t="array" ref="Z702">_xlfn.IFS(Sales_Data_1[[#This Row],[Profit_Amount]]&gt; 0, "Profitable", Sales_Data_1[[#This Row],[Profit_Amount]] = 0, "Break-Even", TRUE, "Loss")</f>
        <v>Profitable</v>
      </c>
      <c r="AA702" t="str" cm="1">
        <f t="array" ref="AA702">_xlfn.IFS(Sales_Data_1[[#This Row],[Sales]]&gt;= 1000, "High Value", Sales_Data_1[[#This Row],[Sales]]&gt;= 300, "Mid Value", TRUE, "Low Value")</f>
        <v>High Value</v>
      </c>
    </row>
    <row r="703" spans="1:27" x14ac:dyDescent="0.3">
      <c r="A703" t="s">
        <v>2355</v>
      </c>
      <c r="B703" s="1">
        <v>45241</v>
      </c>
      <c r="C703" t="s">
        <v>55</v>
      </c>
      <c r="D703" t="s">
        <v>56</v>
      </c>
      <c r="E703" t="s">
        <v>42</v>
      </c>
      <c r="F703" t="s">
        <v>33</v>
      </c>
      <c r="G703" t="s">
        <v>57</v>
      </c>
      <c r="H703" t="s">
        <v>58</v>
      </c>
      <c r="I703" t="s">
        <v>698</v>
      </c>
      <c r="J703">
        <v>6</v>
      </c>
      <c r="K703">
        <v>11667</v>
      </c>
      <c r="L703">
        <v>0.2</v>
      </c>
      <c r="M703">
        <v>9333.6</v>
      </c>
      <c r="N703">
        <v>56001.599999999999</v>
      </c>
      <c r="O703">
        <v>0.2</v>
      </c>
      <c r="P703">
        <v>11200.32</v>
      </c>
      <c r="Q703" t="s">
        <v>47</v>
      </c>
      <c r="R703" t="s">
        <v>48</v>
      </c>
      <c r="S703">
        <v>8</v>
      </c>
      <c r="T703">
        <f>YEAR(Sales_Data_1[[#This Row],[Order_Date]])</f>
        <v>2023</v>
      </c>
      <c r="U703" t="str">
        <f>TEXT(Sales_Data_1[[#This Row],[Order_Date]], "mmm")</f>
        <v>Nov</v>
      </c>
      <c r="V703">
        <f>MONTH(Sales_Data_1[[#This Row],[Order_Date]])</f>
        <v>11</v>
      </c>
      <c r="W703" t="str">
        <f>TEXT(Sales_Data_1[[#This Row],[Order_Date]], "yyyy-mm")</f>
        <v>2023-11</v>
      </c>
      <c r="X703">
        <f>Sales_Data_1[[#This Row],[Sales]]-Sales_Data_1[[#This Row],[Profit_Amount]]</f>
        <v>44801.279999999999</v>
      </c>
      <c r="Y703" t="str" cm="1">
        <f t="array" ref="Y703">_xlfn.IFS(Sales_Data_1[[#This Row],[Delivery_Days]]&lt;=3, "Fast", Sales_Data_1[[#This Row],[Delivery_Days]]&lt;= 7, "Standard", TRUE, "Delayed")</f>
        <v>Delayed</v>
      </c>
      <c r="Z703" t="str" cm="1">
        <f t="array" ref="Z703">_xlfn.IFS(Sales_Data_1[[#This Row],[Profit_Amount]]&gt; 0, "Profitable", Sales_Data_1[[#This Row],[Profit_Amount]] = 0, "Break-Even", TRUE, "Loss")</f>
        <v>Profitable</v>
      </c>
      <c r="AA703" t="str" cm="1">
        <f t="array" ref="AA703">_xlfn.IFS(Sales_Data_1[[#This Row],[Sales]]&gt;= 1000, "High Value", Sales_Data_1[[#This Row],[Sales]]&gt;= 300, "Mid Value", TRUE, "Low Value")</f>
        <v>High Value</v>
      </c>
    </row>
    <row r="704" spans="1:27" x14ac:dyDescent="0.3">
      <c r="A704" t="s">
        <v>2545</v>
      </c>
      <c r="B704" s="1">
        <v>45431</v>
      </c>
      <c r="C704" t="s">
        <v>20</v>
      </c>
      <c r="D704" t="s">
        <v>21</v>
      </c>
      <c r="E704" t="s">
        <v>2042</v>
      </c>
      <c r="F704" t="s">
        <v>68</v>
      </c>
      <c r="G704" t="s">
        <v>44</v>
      </c>
      <c r="H704" t="s">
        <v>116</v>
      </c>
      <c r="I704" t="s">
        <v>1073</v>
      </c>
      <c r="J704">
        <v>8</v>
      </c>
      <c r="K704">
        <v>4179</v>
      </c>
      <c r="L704">
        <v>0.04</v>
      </c>
      <c r="M704">
        <v>4011.84</v>
      </c>
      <c r="N704">
        <v>32094.720000000001</v>
      </c>
      <c r="O704">
        <v>0.35</v>
      </c>
      <c r="P704">
        <v>11233.15</v>
      </c>
      <c r="Q704" t="s">
        <v>37</v>
      </c>
      <c r="R704" t="s">
        <v>48</v>
      </c>
      <c r="S704">
        <v>3</v>
      </c>
      <c r="T704">
        <f>YEAR(Sales_Data_1[[#This Row],[Order_Date]])</f>
        <v>2024</v>
      </c>
      <c r="U704" t="str">
        <f>TEXT(Sales_Data_1[[#This Row],[Order_Date]], "mmm")</f>
        <v>May</v>
      </c>
      <c r="V704">
        <f>MONTH(Sales_Data_1[[#This Row],[Order_Date]])</f>
        <v>5</v>
      </c>
      <c r="W704" t="str">
        <f>TEXT(Sales_Data_1[[#This Row],[Order_Date]], "yyyy-mm")</f>
        <v>2024-05</v>
      </c>
      <c r="X704">
        <f>Sales_Data_1[[#This Row],[Sales]]-Sales_Data_1[[#This Row],[Profit_Amount]]</f>
        <v>20861.57</v>
      </c>
      <c r="Y704" t="str" cm="1">
        <f t="array" ref="Y704">_xlfn.IFS(Sales_Data_1[[#This Row],[Delivery_Days]]&lt;=3, "Fast", Sales_Data_1[[#This Row],[Delivery_Days]]&lt;= 7, "Standard", TRUE, "Delayed")</f>
        <v>Fast</v>
      </c>
      <c r="Z704" t="str" cm="1">
        <f t="array" ref="Z704">_xlfn.IFS(Sales_Data_1[[#This Row],[Profit_Amount]]&gt; 0, "Profitable", Sales_Data_1[[#This Row],[Profit_Amount]] = 0, "Break-Even", TRUE, "Loss")</f>
        <v>Profitable</v>
      </c>
      <c r="AA704" t="str" cm="1">
        <f t="array" ref="AA704">_xlfn.IFS(Sales_Data_1[[#This Row],[Sales]]&gt;= 1000, "High Value", Sales_Data_1[[#This Row],[Sales]]&gt;= 300, "Mid Value", TRUE, "Low Value")</f>
        <v>High Value</v>
      </c>
    </row>
    <row r="705" spans="1:27" x14ac:dyDescent="0.3">
      <c r="A705" t="s">
        <v>2627</v>
      </c>
      <c r="B705" s="1">
        <v>45513</v>
      </c>
      <c r="C705" t="s">
        <v>55</v>
      </c>
      <c r="D705" t="s">
        <v>56</v>
      </c>
      <c r="E705" t="s">
        <v>2040</v>
      </c>
      <c r="F705" t="s">
        <v>23</v>
      </c>
      <c r="G705" t="s">
        <v>24</v>
      </c>
      <c r="H705" t="s">
        <v>186</v>
      </c>
      <c r="I705" t="s">
        <v>1236</v>
      </c>
      <c r="J705">
        <v>8</v>
      </c>
      <c r="K705">
        <v>5795</v>
      </c>
      <c r="L705">
        <v>0.03</v>
      </c>
      <c r="M705">
        <v>5621.15</v>
      </c>
      <c r="N705">
        <v>44969.2</v>
      </c>
      <c r="O705">
        <v>0.25</v>
      </c>
      <c r="P705">
        <v>11242.3</v>
      </c>
      <c r="Q705" t="s">
        <v>51</v>
      </c>
      <c r="R705" t="s">
        <v>38</v>
      </c>
      <c r="S705">
        <v>7</v>
      </c>
      <c r="T705">
        <f>YEAR(Sales_Data_1[[#This Row],[Order_Date]])</f>
        <v>2024</v>
      </c>
      <c r="U705" t="str">
        <f>TEXT(Sales_Data_1[[#This Row],[Order_Date]], "mmm")</f>
        <v>Aug</v>
      </c>
      <c r="V705">
        <f>MONTH(Sales_Data_1[[#This Row],[Order_Date]])</f>
        <v>8</v>
      </c>
      <c r="W705" t="str">
        <f>TEXT(Sales_Data_1[[#This Row],[Order_Date]], "yyyy-mm")</f>
        <v>2024-08</v>
      </c>
      <c r="X705">
        <f>Sales_Data_1[[#This Row],[Sales]]-Sales_Data_1[[#This Row],[Profit_Amount]]</f>
        <v>33726.899999999994</v>
      </c>
      <c r="Y705" t="str" cm="1">
        <f t="array" ref="Y705">_xlfn.IFS(Sales_Data_1[[#This Row],[Delivery_Days]]&lt;=3, "Fast", Sales_Data_1[[#This Row],[Delivery_Days]]&lt;= 7, "Standard", TRUE, "Delayed")</f>
        <v>Standard</v>
      </c>
      <c r="Z705" t="str" cm="1">
        <f t="array" ref="Z705">_xlfn.IFS(Sales_Data_1[[#This Row],[Profit_Amount]]&gt; 0, "Profitable", Sales_Data_1[[#This Row],[Profit_Amount]] = 0, "Break-Even", TRUE, "Loss")</f>
        <v>Profitable</v>
      </c>
      <c r="AA705" t="str" cm="1">
        <f t="array" ref="AA705">_xlfn.IFS(Sales_Data_1[[#This Row],[Sales]]&gt;= 1000, "High Value", Sales_Data_1[[#This Row],[Sales]]&gt;= 300, "Mid Value", TRUE, "Low Value")</f>
        <v>High Value</v>
      </c>
    </row>
    <row r="706" spans="1:27" x14ac:dyDescent="0.3">
      <c r="A706" t="s">
        <v>2330</v>
      </c>
      <c r="B706" s="1">
        <v>45216</v>
      </c>
      <c r="C706" t="s">
        <v>55</v>
      </c>
      <c r="D706" t="s">
        <v>41</v>
      </c>
      <c r="E706" t="s">
        <v>67</v>
      </c>
      <c r="F706" t="s">
        <v>33</v>
      </c>
      <c r="G706" t="s">
        <v>24</v>
      </c>
      <c r="H706" t="s">
        <v>74</v>
      </c>
      <c r="I706" t="s">
        <v>650</v>
      </c>
      <c r="J706">
        <v>6</v>
      </c>
      <c r="K706">
        <v>8151</v>
      </c>
      <c r="L706">
        <v>0.08</v>
      </c>
      <c r="M706">
        <v>7498.92</v>
      </c>
      <c r="N706">
        <v>44993.52</v>
      </c>
      <c r="O706">
        <v>0.25</v>
      </c>
      <c r="P706">
        <v>11248.38</v>
      </c>
      <c r="Q706" t="s">
        <v>51</v>
      </c>
      <c r="R706" t="s">
        <v>48</v>
      </c>
      <c r="S706">
        <v>1</v>
      </c>
      <c r="T706">
        <f>YEAR(Sales_Data_1[[#This Row],[Order_Date]])</f>
        <v>2023</v>
      </c>
      <c r="U706" t="str">
        <f>TEXT(Sales_Data_1[[#This Row],[Order_Date]], "mmm")</f>
        <v>Oct</v>
      </c>
      <c r="V706">
        <f>MONTH(Sales_Data_1[[#This Row],[Order_Date]])</f>
        <v>10</v>
      </c>
      <c r="W706" t="str">
        <f>TEXT(Sales_Data_1[[#This Row],[Order_Date]], "yyyy-mm")</f>
        <v>2023-10</v>
      </c>
      <c r="X706">
        <f>Sales_Data_1[[#This Row],[Sales]]-Sales_Data_1[[#This Row],[Profit_Amount]]</f>
        <v>33745.14</v>
      </c>
      <c r="Y706" t="str" cm="1">
        <f t="array" ref="Y706">_xlfn.IFS(Sales_Data_1[[#This Row],[Delivery_Days]]&lt;=3, "Fast", Sales_Data_1[[#This Row],[Delivery_Days]]&lt;= 7, "Standard", TRUE, "Delayed")</f>
        <v>Fast</v>
      </c>
      <c r="Z706" t="str" cm="1">
        <f t="array" ref="Z706">_xlfn.IFS(Sales_Data_1[[#This Row],[Profit_Amount]]&gt; 0, "Profitable", Sales_Data_1[[#This Row],[Profit_Amount]] = 0, "Break-Even", TRUE, "Loss")</f>
        <v>Profitable</v>
      </c>
      <c r="AA706" t="str" cm="1">
        <f t="array" ref="AA706">_xlfn.IFS(Sales_Data_1[[#This Row],[Sales]]&gt;= 1000, "High Value", Sales_Data_1[[#This Row],[Sales]]&gt;= 300, "Mid Value", TRUE, "Low Value")</f>
        <v>High Value</v>
      </c>
    </row>
    <row r="707" spans="1:27" x14ac:dyDescent="0.3">
      <c r="A707" t="s">
        <v>2335</v>
      </c>
      <c r="B707" s="1">
        <v>45221</v>
      </c>
      <c r="C707" t="s">
        <v>55</v>
      </c>
      <c r="D707" t="s">
        <v>56</v>
      </c>
      <c r="E707" t="s">
        <v>2040</v>
      </c>
      <c r="F707" t="s">
        <v>103</v>
      </c>
      <c r="G707" t="s">
        <v>24</v>
      </c>
      <c r="H707" t="s">
        <v>74</v>
      </c>
      <c r="I707" t="s">
        <v>659</v>
      </c>
      <c r="J707">
        <v>4</v>
      </c>
      <c r="K707">
        <v>14467</v>
      </c>
      <c r="L707">
        <v>0.22</v>
      </c>
      <c r="M707">
        <v>11284.26</v>
      </c>
      <c r="N707">
        <v>45137.04</v>
      </c>
      <c r="O707">
        <v>0.25</v>
      </c>
      <c r="P707">
        <v>11284.26</v>
      </c>
      <c r="Q707" t="s">
        <v>27</v>
      </c>
      <c r="R707" t="s">
        <v>48</v>
      </c>
      <c r="S707">
        <v>4</v>
      </c>
      <c r="T707">
        <f>YEAR(Sales_Data_1[[#This Row],[Order_Date]])</f>
        <v>2023</v>
      </c>
      <c r="U707" t="str">
        <f>TEXT(Sales_Data_1[[#This Row],[Order_Date]], "mmm")</f>
        <v>Oct</v>
      </c>
      <c r="V707">
        <f>MONTH(Sales_Data_1[[#This Row],[Order_Date]])</f>
        <v>10</v>
      </c>
      <c r="W707" t="str">
        <f>TEXT(Sales_Data_1[[#This Row],[Order_Date]], "yyyy-mm")</f>
        <v>2023-10</v>
      </c>
      <c r="X707">
        <f>Sales_Data_1[[#This Row],[Sales]]-Sales_Data_1[[#This Row],[Profit_Amount]]</f>
        <v>33852.78</v>
      </c>
      <c r="Y707" t="str" cm="1">
        <f t="array" ref="Y707">_xlfn.IFS(Sales_Data_1[[#This Row],[Delivery_Days]]&lt;=3, "Fast", Sales_Data_1[[#This Row],[Delivery_Days]]&lt;= 7, "Standard", TRUE, "Delayed")</f>
        <v>Standard</v>
      </c>
      <c r="Z707" t="str" cm="1">
        <f t="array" ref="Z707">_xlfn.IFS(Sales_Data_1[[#This Row],[Profit_Amount]]&gt; 0, "Profitable", Sales_Data_1[[#This Row],[Profit_Amount]] = 0, "Break-Even", TRUE, "Loss")</f>
        <v>Profitable</v>
      </c>
      <c r="AA707" t="str" cm="1">
        <f t="array" ref="AA707">_xlfn.IFS(Sales_Data_1[[#This Row],[Sales]]&gt;= 1000, "High Value", Sales_Data_1[[#This Row],[Sales]]&gt;= 300, "Mid Value", TRUE, "Low Value")</f>
        <v>High Value</v>
      </c>
    </row>
    <row r="708" spans="1:27" x14ac:dyDescent="0.3">
      <c r="A708" t="s">
        <v>2389</v>
      </c>
      <c r="B708" s="1">
        <v>45275</v>
      </c>
      <c r="C708" t="s">
        <v>20</v>
      </c>
      <c r="D708" t="s">
        <v>56</v>
      </c>
      <c r="E708" t="s">
        <v>67</v>
      </c>
      <c r="F708" t="s">
        <v>43</v>
      </c>
      <c r="G708" t="s">
        <v>57</v>
      </c>
      <c r="H708" t="s">
        <v>81</v>
      </c>
      <c r="I708" t="s">
        <v>766</v>
      </c>
      <c r="J708">
        <v>3</v>
      </c>
      <c r="K708">
        <v>18866</v>
      </c>
      <c r="L708">
        <v>0</v>
      </c>
      <c r="M708">
        <v>18866</v>
      </c>
      <c r="N708">
        <v>56598</v>
      </c>
      <c r="O708">
        <v>0.2</v>
      </c>
      <c r="P708">
        <v>11319.6</v>
      </c>
      <c r="Q708" t="s">
        <v>37</v>
      </c>
      <c r="R708" t="s">
        <v>48</v>
      </c>
      <c r="S708">
        <v>1</v>
      </c>
      <c r="T708">
        <f>YEAR(Sales_Data_1[[#This Row],[Order_Date]])</f>
        <v>2023</v>
      </c>
      <c r="U708" t="str">
        <f>TEXT(Sales_Data_1[[#This Row],[Order_Date]], "mmm")</f>
        <v>Dec</v>
      </c>
      <c r="V708">
        <f>MONTH(Sales_Data_1[[#This Row],[Order_Date]])</f>
        <v>12</v>
      </c>
      <c r="W708" t="str">
        <f>TEXT(Sales_Data_1[[#This Row],[Order_Date]], "yyyy-mm")</f>
        <v>2023-12</v>
      </c>
      <c r="X708">
        <f>Sales_Data_1[[#This Row],[Sales]]-Sales_Data_1[[#This Row],[Profit_Amount]]</f>
        <v>45278.400000000001</v>
      </c>
      <c r="Y708" t="str" cm="1">
        <f t="array" ref="Y708">_xlfn.IFS(Sales_Data_1[[#This Row],[Delivery_Days]]&lt;=3, "Fast", Sales_Data_1[[#This Row],[Delivery_Days]]&lt;= 7, "Standard", TRUE, "Delayed")</f>
        <v>Fast</v>
      </c>
      <c r="Z708" t="str" cm="1">
        <f t="array" ref="Z708">_xlfn.IFS(Sales_Data_1[[#This Row],[Profit_Amount]]&gt; 0, "Profitable", Sales_Data_1[[#This Row],[Profit_Amount]] = 0, "Break-Even", TRUE, "Loss")</f>
        <v>Profitable</v>
      </c>
      <c r="AA708" t="str" cm="1">
        <f t="array" ref="AA708">_xlfn.IFS(Sales_Data_1[[#This Row],[Sales]]&gt;= 1000, "High Value", Sales_Data_1[[#This Row],[Sales]]&gt;= 300, "Mid Value", TRUE, "Low Value")</f>
        <v>High Value</v>
      </c>
    </row>
    <row r="709" spans="1:27" x14ac:dyDescent="0.3">
      <c r="A709" t="s">
        <v>2786</v>
      </c>
      <c r="B709" s="1">
        <v>45672</v>
      </c>
      <c r="C709" t="s">
        <v>40</v>
      </c>
      <c r="D709" t="s">
        <v>31</v>
      </c>
      <c r="E709" t="s">
        <v>67</v>
      </c>
      <c r="F709" t="s">
        <v>103</v>
      </c>
      <c r="G709" t="s">
        <v>44</v>
      </c>
      <c r="H709" t="s">
        <v>116</v>
      </c>
      <c r="I709" t="s">
        <v>1545</v>
      </c>
      <c r="J709">
        <v>9</v>
      </c>
      <c r="K709">
        <v>3637</v>
      </c>
      <c r="L709">
        <v>0</v>
      </c>
      <c r="M709">
        <v>3637</v>
      </c>
      <c r="N709">
        <v>32733</v>
      </c>
      <c r="O709">
        <v>0.35</v>
      </c>
      <c r="P709">
        <v>11456.55</v>
      </c>
      <c r="Q709" t="s">
        <v>37</v>
      </c>
      <c r="R709" t="s">
        <v>28</v>
      </c>
      <c r="S709">
        <v>8</v>
      </c>
      <c r="T709">
        <f>YEAR(Sales_Data_1[[#This Row],[Order_Date]])</f>
        <v>2025</v>
      </c>
      <c r="U709" t="str">
        <f>TEXT(Sales_Data_1[[#This Row],[Order_Date]], "mmm")</f>
        <v>Jan</v>
      </c>
      <c r="V709">
        <f>MONTH(Sales_Data_1[[#This Row],[Order_Date]])</f>
        <v>1</v>
      </c>
      <c r="W709" t="str">
        <f>TEXT(Sales_Data_1[[#This Row],[Order_Date]], "yyyy-mm")</f>
        <v>2025-01</v>
      </c>
      <c r="X709">
        <f>Sales_Data_1[[#This Row],[Sales]]-Sales_Data_1[[#This Row],[Profit_Amount]]</f>
        <v>21276.45</v>
      </c>
      <c r="Y709" t="str" cm="1">
        <f t="array" ref="Y709">_xlfn.IFS(Sales_Data_1[[#This Row],[Delivery_Days]]&lt;=3, "Fast", Sales_Data_1[[#This Row],[Delivery_Days]]&lt;= 7, "Standard", TRUE, "Delayed")</f>
        <v>Delayed</v>
      </c>
      <c r="Z709" t="str" cm="1">
        <f t="array" ref="Z709">_xlfn.IFS(Sales_Data_1[[#This Row],[Profit_Amount]]&gt; 0, "Profitable", Sales_Data_1[[#This Row],[Profit_Amount]] = 0, "Break-Even", TRUE, "Loss")</f>
        <v>Profitable</v>
      </c>
      <c r="AA709" t="str" cm="1">
        <f t="array" ref="AA709">_xlfn.IFS(Sales_Data_1[[#This Row],[Sales]]&gt;= 1000, "High Value", Sales_Data_1[[#This Row],[Sales]]&gt;= 300, "Mid Value", TRUE, "Low Value")</f>
        <v>High Value</v>
      </c>
    </row>
    <row r="710" spans="1:27" x14ac:dyDescent="0.3">
      <c r="A710" t="s">
        <v>2674</v>
      </c>
      <c r="B710" s="1">
        <v>45560</v>
      </c>
      <c r="C710" t="s">
        <v>30</v>
      </c>
      <c r="D710" t="s">
        <v>31</v>
      </c>
      <c r="E710" t="s">
        <v>67</v>
      </c>
      <c r="F710" t="s">
        <v>103</v>
      </c>
      <c r="G710" t="s">
        <v>44</v>
      </c>
      <c r="H710" t="s">
        <v>64</v>
      </c>
      <c r="I710" t="s">
        <v>1328</v>
      </c>
      <c r="J710">
        <v>9</v>
      </c>
      <c r="K710">
        <v>4006</v>
      </c>
      <c r="L710">
        <v>0.09</v>
      </c>
      <c r="M710">
        <v>3645.46</v>
      </c>
      <c r="N710">
        <v>32809.14</v>
      </c>
      <c r="O710">
        <v>0.35</v>
      </c>
      <c r="P710">
        <v>11483.2</v>
      </c>
      <c r="Q710" t="s">
        <v>51</v>
      </c>
      <c r="R710" t="s">
        <v>38</v>
      </c>
      <c r="S710">
        <v>6</v>
      </c>
      <c r="T710">
        <f>YEAR(Sales_Data_1[[#This Row],[Order_Date]])</f>
        <v>2024</v>
      </c>
      <c r="U710" t="str">
        <f>TEXT(Sales_Data_1[[#This Row],[Order_Date]], "mmm")</f>
        <v>Sep</v>
      </c>
      <c r="V710">
        <f>MONTH(Sales_Data_1[[#This Row],[Order_Date]])</f>
        <v>9</v>
      </c>
      <c r="W710" t="str">
        <f>TEXT(Sales_Data_1[[#This Row],[Order_Date]], "yyyy-mm")</f>
        <v>2024-09</v>
      </c>
      <c r="X710">
        <f>Sales_Data_1[[#This Row],[Sales]]-Sales_Data_1[[#This Row],[Profit_Amount]]</f>
        <v>21325.94</v>
      </c>
      <c r="Y710" t="str" cm="1">
        <f t="array" ref="Y710">_xlfn.IFS(Sales_Data_1[[#This Row],[Delivery_Days]]&lt;=3, "Fast", Sales_Data_1[[#This Row],[Delivery_Days]]&lt;= 7, "Standard", TRUE, "Delayed")</f>
        <v>Standard</v>
      </c>
      <c r="Z710" t="str" cm="1">
        <f t="array" ref="Z710">_xlfn.IFS(Sales_Data_1[[#This Row],[Profit_Amount]]&gt; 0, "Profitable", Sales_Data_1[[#This Row],[Profit_Amount]] = 0, "Break-Even", TRUE, "Loss")</f>
        <v>Profitable</v>
      </c>
      <c r="AA710" t="str" cm="1">
        <f t="array" ref="AA710">_xlfn.IFS(Sales_Data_1[[#This Row],[Sales]]&gt;= 1000, "High Value", Sales_Data_1[[#This Row],[Sales]]&gt;= 300, "Mid Value", TRUE, "Low Value")</f>
        <v>High Value</v>
      </c>
    </row>
    <row r="711" spans="1:27" x14ac:dyDescent="0.3">
      <c r="A711" t="s">
        <v>2378</v>
      </c>
      <c r="B711" s="1">
        <v>45264</v>
      </c>
      <c r="C711" t="s">
        <v>63</v>
      </c>
      <c r="D711" t="s">
        <v>41</v>
      </c>
      <c r="E711" t="s">
        <v>2042</v>
      </c>
      <c r="F711" t="s">
        <v>97</v>
      </c>
      <c r="G711" t="s">
        <v>24</v>
      </c>
      <c r="H711" t="s">
        <v>186</v>
      </c>
      <c r="I711" t="s">
        <v>744</v>
      </c>
      <c r="J711">
        <v>8</v>
      </c>
      <c r="K711">
        <v>6699</v>
      </c>
      <c r="L711">
        <v>0.14000000000000001</v>
      </c>
      <c r="M711">
        <v>5761.14</v>
      </c>
      <c r="N711">
        <v>46089.120000000003</v>
      </c>
      <c r="O711">
        <v>0.25</v>
      </c>
      <c r="P711">
        <v>11522.28</v>
      </c>
      <c r="Q711" t="s">
        <v>27</v>
      </c>
      <c r="R711" t="s">
        <v>48</v>
      </c>
      <c r="S711">
        <v>7</v>
      </c>
      <c r="T711">
        <f>YEAR(Sales_Data_1[[#This Row],[Order_Date]])</f>
        <v>2023</v>
      </c>
      <c r="U711" t="str">
        <f>TEXT(Sales_Data_1[[#This Row],[Order_Date]], "mmm")</f>
        <v>Dec</v>
      </c>
      <c r="V711">
        <f>MONTH(Sales_Data_1[[#This Row],[Order_Date]])</f>
        <v>12</v>
      </c>
      <c r="W711" t="str">
        <f>TEXT(Sales_Data_1[[#This Row],[Order_Date]], "yyyy-mm")</f>
        <v>2023-12</v>
      </c>
      <c r="X711">
        <f>Sales_Data_1[[#This Row],[Sales]]-Sales_Data_1[[#This Row],[Profit_Amount]]</f>
        <v>34566.840000000004</v>
      </c>
      <c r="Y711" t="str" cm="1">
        <f t="array" ref="Y711">_xlfn.IFS(Sales_Data_1[[#This Row],[Delivery_Days]]&lt;=3, "Fast", Sales_Data_1[[#This Row],[Delivery_Days]]&lt;= 7, "Standard", TRUE, "Delayed")</f>
        <v>Standard</v>
      </c>
      <c r="Z711" t="str" cm="1">
        <f t="array" ref="Z711">_xlfn.IFS(Sales_Data_1[[#This Row],[Profit_Amount]]&gt; 0, "Profitable", Sales_Data_1[[#This Row],[Profit_Amount]] = 0, "Break-Even", TRUE, "Loss")</f>
        <v>Profitable</v>
      </c>
      <c r="AA711" t="str" cm="1">
        <f t="array" ref="AA711">_xlfn.IFS(Sales_Data_1[[#This Row],[Sales]]&gt;= 1000, "High Value", Sales_Data_1[[#This Row],[Sales]]&gt;= 300, "Mid Value", TRUE, "Low Value")</f>
        <v>High Value</v>
      </c>
    </row>
    <row r="712" spans="1:27" x14ac:dyDescent="0.3">
      <c r="A712" t="s">
        <v>2912</v>
      </c>
      <c r="B712" s="1">
        <v>45798</v>
      </c>
      <c r="C712" t="s">
        <v>40</v>
      </c>
      <c r="D712" t="s">
        <v>21</v>
      </c>
      <c r="E712" t="s">
        <v>2042</v>
      </c>
      <c r="F712" t="s">
        <v>97</v>
      </c>
      <c r="G712" t="s">
        <v>24</v>
      </c>
      <c r="H712" t="s">
        <v>74</v>
      </c>
      <c r="I712" t="s">
        <v>1793</v>
      </c>
      <c r="J712">
        <v>6</v>
      </c>
      <c r="K712">
        <v>10067</v>
      </c>
      <c r="L712">
        <v>0.23</v>
      </c>
      <c r="M712">
        <v>7751.59</v>
      </c>
      <c r="N712">
        <v>46509.54</v>
      </c>
      <c r="O712">
        <v>0.25</v>
      </c>
      <c r="P712">
        <v>11627.38</v>
      </c>
      <c r="Q712" t="s">
        <v>47</v>
      </c>
      <c r="R712" t="s">
        <v>48</v>
      </c>
      <c r="S712">
        <v>4</v>
      </c>
      <c r="T712">
        <f>YEAR(Sales_Data_1[[#This Row],[Order_Date]])</f>
        <v>2025</v>
      </c>
      <c r="U712" t="str">
        <f>TEXT(Sales_Data_1[[#This Row],[Order_Date]], "mmm")</f>
        <v>May</v>
      </c>
      <c r="V712">
        <f>MONTH(Sales_Data_1[[#This Row],[Order_Date]])</f>
        <v>5</v>
      </c>
      <c r="W712" t="str">
        <f>TEXT(Sales_Data_1[[#This Row],[Order_Date]], "yyyy-mm")</f>
        <v>2025-05</v>
      </c>
      <c r="X712">
        <f>Sales_Data_1[[#This Row],[Sales]]-Sales_Data_1[[#This Row],[Profit_Amount]]</f>
        <v>34882.160000000003</v>
      </c>
      <c r="Y712" t="str" cm="1">
        <f t="array" ref="Y712">_xlfn.IFS(Sales_Data_1[[#This Row],[Delivery_Days]]&lt;=3, "Fast", Sales_Data_1[[#This Row],[Delivery_Days]]&lt;= 7, "Standard", TRUE, "Delayed")</f>
        <v>Standard</v>
      </c>
      <c r="Z712" t="str" cm="1">
        <f t="array" ref="Z712">_xlfn.IFS(Sales_Data_1[[#This Row],[Profit_Amount]]&gt; 0, "Profitable", Sales_Data_1[[#This Row],[Profit_Amount]] = 0, "Break-Even", TRUE, "Loss")</f>
        <v>Profitable</v>
      </c>
      <c r="AA712" t="str" cm="1">
        <f t="array" ref="AA712">_xlfn.IFS(Sales_Data_1[[#This Row],[Sales]]&gt;= 1000, "High Value", Sales_Data_1[[#This Row],[Sales]]&gt;= 300, "Mid Value", TRUE, "Low Value")</f>
        <v>High Value</v>
      </c>
    </row>
    <row r="713" spans="1:27" x14ac:dyDescent="0.3">
      <c r="A713" t="s">
        <v>2285</v>
      </c>
      <c r="B713" s="1">
        <v>45171</v>
      </c>
      <c r="C713" t="s">
        <v>30</v>
      </c>
      <c r="D713" t="s">
        <v>21</v>
      </c>
      <c r="E713" t="s">
        <v>2040</v>
      </c>
      <c r="F713" t="s">
        <v>68</v>
      </c>
      <c r="G713" t="s">
        <v>44</v>
      </c>
      <c r="H713" t="s">
        <v>116</v>
      </c>
      <c r="I713" t="s">
        <v>560</v>
      </c>
      <c r="J713">
        <v>8</v>
      </c>
      <c r="K713">
        <v>4900</v>
      </c>
      <c r="L713">
        <v>0.15</v>
      </c>
      <c r="M713">
        <v>4165</v>
      </c>
      <c r="N713">
        <v>33320</v>
      </c>
      <c r="O713">
        <v>0.35</v>
      </c>
      <c r="P713">
        <v>11662</v>
      </c>
      <c r="Q713" t="s">
        <v>47</v>
      </c>
      <c r="R713" t="s">
        <v>48</v>
      </c>
      <c r="S713">
        <v>2</v>
      </c>
      <c r="T713">
        <f>YEAR(Sales_Data_1[[#This Row],[Order_Date]])</f>
        <v>2023</v>
      </c>
      <c r="U713" t="str">
        <f>TEXT(Sales_Data_1[[#This Row],[Order_Date]], "mmm")</f>
        <v>Sep</v>
      </c>
      <c r="V713">
        <f>MONTH(Sales_Data_1[[#This Row],[Order_Date]])</f>
        <v>9</v>
      </c>
      <c r="W713" t="str">
        <f>TEXT(Sales_Data_1[[#This Row],[Order_Date]], "yyyy-mm")</f>
        <v>2023-09</v>
      </c>
      <c r="X713">
        <f>Sales_Data_1[[#This Row],[Sales]]-Sales_Data_1[[#This Row],[Profit_Amount]]</f>
        <v>21658</v>
      </c>
      <c r="Y713" t="str" cm="1">
        <f t="array" ref="Y713">_xlfn.IFS(Sales_Data_1[[#This Row],[Delivery_Days]]&lt;=3, "Fast", Sales_Data_1[[#This Row],[Delivery_Days]]&lt;= 7, "Standard", TRUE, "Delayed")</f>
        <v>Fast</v>
      </c>
      <c r="Z713" t="str" cm="1">
        <f t="array" ref="Z713">_xlfn.IFS(Sales_Data_1[[#This Row],[Profit_Amount]]&gt; 0, "Profitable", Sales_Data_1[[#This Row],[Profit_Amount]] = 0, "Break-Even", TRUE, "Loss")</f>
        <v>Profitable</v>
      </c>
      <c r="AA713" t="str" cm="1">
        <f t="array" ref="AA713">_xlfn.IFS(Sales_Data_1[[#This Row],[Sales]]&gt;= 1000, "High Value", Sales_Data_1[[#This Row],[Sales]]&gt;= 300, "Mid Value", TRUE, "Low Value")</f>
        <v>High Value</v>
      </c>
    </row>
    <row r="714" spans="1:27" x14ac:dyDescent="0.3">
      <c r="A714" t="s">
        <v>2375</v>
      </c>
      <c r="B714" s="1">
        <v>45261</v>
      </c>
      <c r="C714" t="s">
        <v>96</v>
      </c>
      <c r="D714" t="s">
        <v>21</v>
      </c>
      <c r="E714" t="s">
        <v>2040</v>
      </c>
      <c r="F714" t="s">
        <v>43</v>
      </c>
      <c r="G714" t="s">
        <v>24</v>
      </c>
      <c r="H714" t="s">
        <v>121</v>
      </c>
      <c r="I714" t="s">
        <v>738</v>
      </c>
      <c r="J714">
        <v>8</v>
      </c>
      <c r="K714">
        <v>7295</v>
      </c>
      <c r="L714">
        <v>0.2</v>
      </c>
      <c r="M714">
        <v>5836</v>
      </c>
      <c r="N714">
        <v>46688</v>
      </c>
      <c r="O714">
        <v>0.25</v>
      </c>
      <c r="P714">
        <v>11672</v>
      </c>
      <c r="Q714" t="s">
        <v>51</v>
      </c>
      <c r="R714" t="s">
        <v>48</v>
      </c>
      <c r="S714">
        <v>8</v>
      </c>
      <c r="T714">
        <f>YEAR(Sales_Data_1[[#This Row],[Order_Date]])</f>
        <v>2023</v>
      </c>
      <c r="U714" t="str">
        <f>TEXT(Sales_Data_1[[#This Row],[Order_Date]], "mmm")</f>
        <v>Dec</v>
      </c>
      <c r="V714">
        <f>MONTH(Sales_Data_1[[#This Row],[Order_Date]])</f>
        <v>12</v>
      </c>
      <c r="W714" t="str">
        <f>TEXT(Sales_Data_1[[#This Row],[Order_Date]], "yyyy-mm")</f>
        <v>2023-12</v>
      </c>
      <c r="X714">
        <f>Sales_Data_1[[#This Row],[Sales]]-Sales_Data_1[[#This Row],[Profit_Amount]]</f>
        <v>35016</v>
      </c>
      <c r="Y714" t="str" cm="1">
        <f t="array" ref="Y714">_xlfn.IFS(Sales_Data_1[[#This Row],[Delivery_Days]]&lt;=3, "Fast", Sales_Data_1[[#This Row],[Delivery_Days]]&lt;= 7, "Standard", TRUE, "Delayed")</f>
        <v>Delayed</v>
      </c>
      <c r="Z714" t="str" cm="1">
        <f t="array" ref="Z714">_xlfn.IFS(Sales_Data_1[[#This Row],[Profit_Amount]]&gt; 0, "Profitable", Sales_Data_1[[#This Row],[Profit_Amount]] = 0, "Break-Even", TRUE, "Loss")</f>
        <v>Profitable</v>
      </c>
      <c r="AA714" t="str" cm="1">
        <f t="array" ref="AA714">_xlfn.IFS(Sales_Data_1[[#This Row],[Sales]]&gt;= 1000, "High Value", Sales_Data_1[[#This Row],[Sales]]&gt;= 300, "Mid Value", TRUE, "Low Value")</f>
        <v>High Value</v>
      </c>
    </row>
    <row r="715" spans="1:27" x14ac:dyDescent="0.3">
      <c r="A715" t="s">
        <v>2476</v>
      </c>
      <c r="B715" s="1">
        <v>45362</v>
      </c>
      <c r="C715" t="s">
        <v>63</v>
      </c>
      <c r="D715" t="s">
        <v>21</v>
      </c>
      <c r="E715" t="s">
        <v>2040</v>
      </c>
      <c r="F715" t="s">
        <v>68</v>
      </c>
      <c r="G715" t="s">
        <v>24</v>
      </c>
      <c r="H715" t="s">
        <v>25</v>
      </c>
      <c r="I715" t="s">
        <v>938</v>
      </c>
      <c r="J715">
        <v>5</v>
      </c>
      <c r="K715">
        <v>9555</v>
      </c>
      <c r="L715">
        <v>0.02</v>
      </c>
      <c r="M715">
        <v>9363.9</v>
      </c>
      <c r="N715">
        <v>46819.5</v>
      </c>
      <c r="O715">
        <v>0.25</v>
      </c>
      <c r="P715">
        <v>11704.88</v>
      </c>
      <c r="Q715" t="s">
        <v>51</v>
      </c>
      <c r="R715" t="s">
        <v>48</v>
      </c>
      <c r="S715">
        <v>3</v>
      </c>
      <c r="T715">
        <f>YEAR(Sales_Data_1[[#This Row],[Order_Date]])</f>
        <v>2024</v>
      </c>
      <c r="U715" t="str">
        <f>TEXT(Sales_Data_1[[#This Row],[Order_Date]], "mmm")</f>
        <v>Mar</v>
      </c>
      <c r="V715">
        <f>MONTH(Sales_Data_1[[#This Row],[Order_Date]])</f>
        <v>3</v>
      </c>
      <c r="W715" t="str">
        <f>TEXT(Sales_Data_1[[#This Row],[Order_Date]], "yyyy-mm")</f>
        <v>2024-03</v>
      </c>
      <c r="X715">
        <f>Sales_Data_1[[#This Row],[Sales]]-Sales_Data_1[[#This Row],[Profit_Amount]]</f>
        <v>35114.620000000003</v>
      </c>
      <c r="Y715" t="str" cm="1">
        <f t="array" ref="Y715">_xlfn.IFS(Sales_Data_1[[#This Row],[Delivery_Days]]&lt;=3, "Fast", Sales_Data_1[[#This Row],[Delivery_Days]]&lt;= 7, "Standard", TRUE, "Delayed")</f>
        <v>Fast</v>
      </c>
      <c r="Z715" t="str" cm="1">
        <f t="array" ref="Z715">_xlfn.IFS(Sales_Data_1[[#This Row],[Profit_Amount]]&gt; 0, "Profitable", Sales_Data_1[[#This Row],[Profit_Amount]] = 0, "Break-Even", TRUE, "Loss")</f>
        <v>Profitable</v>
      </c>
      <c r="AA715" t="str" cm="1">
        <f t="array" ref="AA715">_xlfn.IFS(Sales_Data_1[[#This Row],[Sales]]&gt;= 1000, "High Value", Sales_Data_1[[#This Row],[Sales]]&gt;= 300, "Mid Value", TRUE, "Low Value")</f>
        <v>High Value</v>
      </c>
    </row>
    <row r="716" spans="1:27" x14ac:dyDescent="0.3">
      <c r="A716" t="s">
        <v>2226</v>
      </c>
      <c r="B716" s="1">
        <v>45112</v>
      </c>
      <c r="C716" t="s">
        <v>30</v>
      </c>
      <c r="D716" t="s">
        <v>21</v>
      </c>
      <c r="E716" t="s">
        <v>67</v>
      </c>
      <c r="F716" t="s">
        <v>97</v>
      </c>
      <c r="G716" t="s">
        <v>24</v>
      </c>
      <c r="H716" t="s">
        <v>186</v>
      </c>
      <c r="I716" t="s">
        <v>442</v>
      </c>
      <c r="J716">
        <v>6</v>
      </c>
      <c r="K716">
        <v>9320</v>
      </c>
      <c r="L716">
        <v>0.16</v>
      </c>
      <c r="M716">
        <v>7828.8</v>
      </c>
      <c r="N716">
        <v>46972.800000000003</v>
      </c>
      <c r="O716">
        <v>0.25</v>
      </c>
      <c r="P716">
        <v>11743.2</v>
      </c>
      <c r="Q716" t="s">
        <v>27</v>
      </c>
      <c r="R716" t="s">
        <v>48</v>
      </c>
      <c r="S716">
        <v>4</v>
      </c>
      <c r="T716">
        <f>YEAR(Sales_Data_1[[#This Row],[Order_Date]])</f>
        <v>2023</v>
      </c>
      <c r="U716" t="str">
        <f>TEXT(Sales_Data_1[[#This Row],[Order_Date]], "mmm")</f>
        <v>Jul</v>
      </c>
      <c r="V716">
        <f>MONTH(Sales_Data_1[[#This Row],[Order_Date]])</f>
        <v>7</v>
      </c>
      <c r="W716" t="str">
        <f>TEXT(Sales_Data_1[[#This Row],[Order_Date]], "yyyy-mm")</f>
        <v>2023-07</v>
      </c>
      <c r="X716">
        <f>Sales_Data_1[[#This Row],[Sales]]-Sales_Data_1[[#This Row],[Profit_Amount]]</f>
        <v>35229.600000000006</v>
      </c>
      <c r="Y716" t="str" cm="1">
        <f t="array" ref="Y716">_xlfn.IFS(Sales_Data_1[[#This Row],[Delivery_Days]]&lt;=3, "Fast", Sales_Data_1[[#This Row],[Delivery_Days]]&lt;= 7, "Standard", TRUE, "Delayed")</f>
        <v>Standard</v>
      </c>
      <c r="Z716" t="str" cm="1">
        <f t="array" ref="Z716">_xlfn.IFS(Sales_Data_1[[#This Row],[Profit_Amount]]&gt; 0, "Profitable", Sales_Data_1[[#This Row],[Profit_Amount]] = 0, "Break-Even", TRUE, "Loss")</f>
        <v>Profitable</v>
      </c>
      <c r="AA716" t="str" cm="1">
        <f t="array" ref="AA716">_xlfn.IFS(Sales_Data_1[[#This Row],[Sales]]&gt;= 1000, "High Value", Sales_Data_1[[#This Row],[Sales]]&gt;= 300, "Mid Value", TRUE, "Low Value")</f>
        <v>High Value</v>
      </c>
    </row>
    <row r="717" spans="1:27" x14ac:dyDescent="0.3">
      <c r="A717" t="s">
        <v>3003</v>
      </c>
      <c r="B717" s="1">
        <v>45889</v>
      </c>
      <c r="C717" t="s">
        <v>20</v>
      </c>
      <c r="D717" t="s">
        <v>41</v>
      </c>
      <c r="E717" t="s">
        <v>2040</v>
      </c>
      <c r="F717" t="s">
        <v>43</v>
      </c>
      <c r="G717" t="s">
        <v>57</v>
      </c>
      <c r="H717" t="s">
        <v>58</v>
      </c>
      <c r="I717" t="s">
        <v>1966</v>
      </c>
      <c r="J717">
        <v>9</v>
      </c>
      <c r="K717">
        <v>7774</v>
      </c>
      <c r="L717">
        <v>0.16</v>
      </c>
      <c r="M717">
        <v>6530.16</v>
      </c>
      <c r="N717">
        <v>58771.44</v>
      </c>
      <c r="O717">
        <v>0.2</v>
      </c>
      <c r="P717">
        <v>11754.29</v>
      </c>
      <c r="Q717" t="s">
        <v>27</v>
      </c>
      <c r="R717" t="s">
        <v>38</v>
      </c>
      <c r="S717">
        <v>8</v>
      </c>
      <c r="T717">
        <f>YEAR(Sales_Data_1[[#This Row],[Order_Date]])</f>
        <v>2025</v>
      </c>
      <c r="U717" t="str">
        <f>TEXT(Sales_Data_1[[#This Row],[Order_Date]], "mmm")</f>
        <v>Aug</v>
      </c>
      <c r="V717">
        <f>MONTH(Sales_Data_1[[#This Row],[Order_Date]])</f>
        <v>8</v>
      </c>
      <c r="W717" t="str">
        <f>TEXT(Sales_Data_1[[#This Row],[Order_Date]], "yyyy-mm")</f>
        <v>2025-08</v>
      </c>
      <c r="X717">
        <f>Sales_Data_1[[#This Row],[Sales]]-Sales_Data_1[[#This Row],[Profit_Amount]]</f>
        <v>47017.15</v>
      </c>
      <c r="Y717" t="str" cm="1">
        <f t="array" ref="Y717">_xlfn.IFS(Sales_Data_1[[#This Row],[Delivery_Days]]&lt;=3, "Fast", Sales_Data_1[[#This Row],[Delivery_Days]]&lt;= 7, "Standard", TRUE, "Delayed")</f>
        <v>Delayed</v>
      </c>
      <c r="Z717" t="str" cm="1">
        <f t="array" ref="Z717">_xlfn.IFS(Sales_Data_1[[#This Row],[Profit_Amount]]&gt; 0, "Profitable", Sales_Data_1[[#This Row],[Profit_Amount]] = 0, "Break-Even", TRUE, "Loss")</f>
        <v>Profitable</v>
      </c>
      <c r="AA717" t="str" cm="1">
        <f t="array" ref="AA717">_xlfn.IFS(Sales_Data_1[[#This Row],[Sales]]&gt;= 1000, "High Value", Sales_Data_1[[#This Row],[Sales]]&gt;= 300, "Mid Value", TRUE, "Low Value")</f>
        <v>High Value</v>
      </c>
    </row>
    <row r="718" spans="1:27" x14ac:dyDescent="0.3">
      <c r="A718" t="s">
        <v>2634</v>
      </c>
      <c r="B718" s="1">
        <v>45520</v>
      </c>
      <c r="C718" t="s">
        <v>96</v>
      </c>
      <c r="D718" t="s">
        <v>41</v>
      </c>
      <c r="E718" t="s">
        <v>2042</v>
      </c>
      <c r="F718" t="s">
        <v>43</v>
      </c>
      <c r="G718" t="s">
        <v>57</v>
      </c>
      <c r="H718" t="s">
        <v>81</v>
      </c>
      <c r="I718" t="s">
        <v>1249</v>
      </c>
      <c r="J718">
        <v>9</v>
      </c>
      <c r="K718">
        <v>6719</v>
      </c>
      <c r="L718">
        <v>0.02</v>
      </c>
      <c r="M718">
        <v>6584.62</v>
      </c>
      <c r="N718">
        <v>59261.58</v>
      </c>
      <c r="O718">
        <v>0.2</v>
      </c>
      <c r="P718">
        <v>11852.32</v>
      </c>
      <c r="Q718" t="s">
        <v>51</v>
      </c>
      <c r="R718" t="s">
        <v>48</v>
      </c>
      <c r="S718">
        <v>8</v>
      </c>
      <c r="T718">
        <f>YEAR(Sales_Data_1[[#This Row],[Order_Date]])</f>
        <v>2024</v>
      </c>
      <c r="U718" t="str">
        <f>TEXT(Sales_Data_1[[#This Row],[Order_Date]], "mmm")</f>
        <v>Aug</v>
      </c>
      <c r="V718">
        <f>MONTH(Sales_Data_1[[#This Row],[Order_Date]])</f>
        <v>8</v>
      </c>
      <c r="W718" t="str">
        <f>TEXT(Sales_Data_1[[#This Row],[Order_Date]], "yyyy-mm")</f>
        <v>2024-08</v>
      </c>
      <c r="X718">
        <f>Sales_Data_1[[#This Row],[Sales]]-Sales_Data_1[[#This Row],[Profit_Amount]]</f>
        <v>47409.26</v>
      </c>
      <c r="Y718" t="str" cm="1">
        <f t="array" ref="Y718">_xlfn.IFS(Sales_Data_1[[#This Row],[Delivery_Days]]&lt;=3, "Fast", Sales_Data_1[[#This Row],[Delivery_Days]]&lt;= 7, "Standard", TRUE, "Delayed")</f>
        <v>Delayed</v>
      </c>
      <c r="Z718" t="str" cm="1">
        <f t="array" ref="Z718">_xlfn.IFS(Sales_Data_1[[#This Row],[Profit_Amount]]&gt; 0, "Profitable", Sales_Data_1[[#This Row],[Profit_Amount]] = 0, "Break-Even", TRUE, "Loss")</f>
        <v>Profitable</v>
      </c>
      <c r="AA718" t="str" cm="1">
        <f t="array" ref="AA718">_xlfn.IFS(Sales_Data_1[[#This Row],[Sales]]&gt;= 1000, "High Value", Sales_Data_1[[#This Row],[Sales]]&gt;= 300, "Mid Value", TRUE, "Low Value")</f>
        <v>High Value</v>
      </c>
    </row>
    <row r="719" spans="1:27" x14ac:dyDescent="0.3">
      <c r="A719" t="s">
        <v>2531</v>
      </c>
      <c r="B719" s="1">
        <v>45417</v>
      </c>
      <c r="C719" t="s">
        <v>55</v>
      </c>
      <c r="D719" t="s">
        <v>31</v>
      </c>
      <c r="E719" t="s">
        <v>2040</v>
      </c>
      <c r="F719" t="s">
        <v>33</v>
      </c>
      <c r="G719" t="s">
        <v>92</v>
      </c>
      <c r="H719" t="s">
        <v>93</v>
      </c>
      <c r="I719" t="s">
        <v>1046</v>
      </c>
      <c r="J719">
        <v>2</v>
      </c>
      <c r="K719">
        <v>41552</v>
      </c>
      <c r="L719">
        <v>0.04</v>
      </c>
      <c r="M719">
        <v>39889.919999999998</v>
      </c>
      <c r="N719">
        <v>79779.839999999997</v>
      </c>
      <c r="O719">
        <v>0.15</v>
      </c>
      <c r="P719">
        <v>11966.98</v>
      </c>
      <c r="Q719" t="s">
        <v>51</v>
      </c>
      <c r="R719" t="s">
        <v>38</v>
      </c>
      <c r="S719">
        <v>4</v>
      </c>
      <c r="T719">
        <f>YEAR(Sales_Data_1[[#This Row],[Order_Date]])</f>
        <v>2024</v>
      </c>
      <c r="U719" t="str">
        <f>TEXT(Sales_Data_1[[#This Row],[Order_Date]], "mmm")</f>
        <v>May</v>
      </c>
      <c r="V719">
        <f>MONTH(Sales_Data_1[[#This Row],[Order_Date]])</f>
        <v>5</v>
      </c>
      <c r="W719" t="str">
        <f>TEXT(Sales_Data_1[[#This Row],[Order_Date]], "yyyy-mm")</f>
        <v>2024-05</v>
      </c>
      <c r="X719">
        <f>Sales_Data_1[[#This Row],[Sales]]-Sales_Data_1[[#This Row],[Profit_Amount]]</f>
        <v>67812.86</v>
      </c>
      <c r="Y719" t="str" cm="1">
        <f t="array" ref="Y719">_xlfn.IFS(Sales_Data_1[[#This Row],[Delivery_Days]]&lt;=3, "Fast", Sales_Data_1[[#This Row],[Delivery_Days]]&lt;= 7, "Standard", TRUE, "Delayed")</f>
        <v>Standard</v>
      </c>
      <c r="Z719" t="str" cm="1">
        <f t="array" ref="Z719">_xlfn.IFS(Sales_Data_1[[#This Row],[Profit_Amount]]&gt; 0, "Profitable", Sales_Data_1[[#This Row],[Profit_Amount]] = 0, "Break-Even", TRUE, "Loss")</f>
        <v>Profitable</v>
      </c>
      <c r="AA719" t="str" cm="1">
        <f t="array" ref="AA719">_xlfn.IFS(Sales_Data_1[[#This Row],[Sales]]&gt;= 1000, "High Value", Sales_Data_1[[#This Row],[Sales]]&gt;= 300, "Mid Value", TRUE, "Low Value")</f>
        <v>High Value</v>
      </c>
    </row>
    <row r="720" spans="1:27" x14ac:dyDescent="0.3">
      <c r="A720" t="s">
        <v>2710</v>
      </c>
      <c r="B720" s="1">
        <v>45596</v>
      </c>
      <c r="C720" t="s">
        <v>55</v>
      </c>
      <c r="D720" t="s">
        <v>41</v>
      </c>
      <c r="E720" t="s">
        <v>67</v>
      </c>
      <c r="F720" t="s">
        <v>103</v>
      </c>
      <c r="G720" t="s">
        <v>92</v>
      </c>
      <c r="H720" t="s">
        <v>178</v>
      </c>
      <c r="I720" t="s">
        <v>1396</v>
      </c>
      <c r="J720">
        <v>3</v>
      </c>
      <c r="K720">
        <v>27153</v>
      </c>
      <c r="L720">
        <v>0.02</v>
      </c>
      <c r="M720">
        <v>26609.94</v>
      </c>
      <c r="N720">
        <v>79829.820000000007</v>
      </c>
      <c r="O720">
        <v>0.15</v>
      </c>
      <c r="P720">
        <v>11974.47</v>
      </c>
      <c r="Q720" t="s">
        <v>27</v>
      </c>
      <c r="R720" t="s">
        <v>48</v>
      </c>
      <c r="S720">
        <v>6</v>
      </c>
      <c r="T720">
        <f>YEAR(Sales_Data_1[[#This Row],[Order_Date]])</f>
        <v>2024</v>
      </c>
      <c r="U720" t="str">
        <f>TEXT(Sales_Data_1[[#This Row],[Order_Date]], "mmm")</f>
        <v>Oct</v>
      </c>
      <c r="V720">
        <f>MONTH(Sales_Data_1[[#This Row],[Order_Date]])</f>
        <v>10</v>
      </c>
      <c r="W720" t="str">
        <f>TEXT(Sales_Data_1[[#This Row],[Order_Date]], "yyyy-mm")</f>
        <v>2024-10</v>
      </c>
      <c r="X720">
        <f>Sales_Data_1[[#This Row],[Sales]]-Sales_Data_1[[#This Row],[Profit_Amount]]</f>
        <v>67855.350000000006</v>
      </c>
      <c r="Y720" t="str" cm="1">
        <f t="array" ref="Y720">_xlfn.IFS(Sales_Data_1[[#This Row],[Delivery_Days]]&lt;=3, "Fast", Sales_Data_1[[#This Row],[Delivery_Days]]&lt;= 7, "Standard", TRUE, "Delayed")</f>
        <v>Standard</v>
      </c>
      <c r="Z720" t="str" cm="1">
        <f t="array" ref="Z720">_xlfn.IFS(Sales_Data_1[[#This Row],[Profit_Amount]]&gt; 0, "Profitable", Sales_Data_1[[#This Row],[Profit_Amount]] = 0, "Break-Even", TRUE, "Loss")</f>
        <v>Profitable</v>
      </c>
      <c r="AA720" t="str" cm="1">
        <f t="array" ref="AA720">_xlfn.IFS(Sales_Data_1[[#This Row],[Sales]]&gt;= 1000, "High Value", Sales_Data_1[[#This Row],[Sales]]&gt;= 300, "Mid Value", TRUE, "Low Value")</f>
        <v>High Value</v>
      </c>
    </row>
    <row r="721" spans="1:27" x14ac:dyDescent="0.3">
      <c r="A721" t="s">
        <v>2827</v>
      </c>
      <c r="B721" s="1">
        <v>45713</v>
      </c>
      <c r="C721" t="s">
        <v>40</v>
      </c>
      <c r="D721" t="s">
        <v>31</v>
      </c>
      <c r="E721" t="s">
        <v>2042</v>
      </c>
      <c r="F721" t="s">
        <v>103</v>
      </c>
      <c r="G721" t="s">
        <v>57</v>
      </c>
      <c r="H721" t="s">
        <v>58</v>
      </c>
      <c r="I721" t="s">
        <v>1625</v>
      </c>
      <c r="J721">
        <v>9</v>
      </c>
      <c r="K721">
        <v>8643</v>
      </c>
      <c r="L721">
        <v>0.23</v>
      </c>
      <c r="M721">
        <v>6655.11</v>
      </c>
      <c r="N721">
        <v>59895.99</v>
      </c>
      <c r="O721">
        <v>0.2</v>
      </c>
      <c r="P721">
        <v>11979.2</v>
      </c>
      <c r="Q721" t="s">
        <v>37</v>
      </c>
      <c r="R721" t="s">
        <v>48</v>
      </c>
      <c r="S721">
        <v>7</v>
      </c>
      <c r="T721">
        <f>YEAR(Sales_Data_1[[#This Row],[Order_Date]])</f>
        <v>2025</v>
      </c>
      <c r="U721" t="str">
        <f>TEXT(Sales_Data_1[[#This Row],[Order_Date]], "mmm")</f>
        <v>Feb</v>
      </c>
      <c r="V721">
        <f>MONTH(Sales_Data_1[[#This Row],[Order_Date]])</f>
        <v>2</v>
      </c>
      <c r="W721" t="str">
        <f>TEXT(Sales_Data_1[[#This Row],[Order_Date]], "yyyy-mm")</f>
        <v>2025-02</v>
      </c>
      <c r="X721">
        <f>Sales_Data_1[[#This Row],[Sales]]-Sales_Data_1[[#This Row],[Profit_Amount]]</f>
        <v>47916.789999999994</v>
      </c>
      <c r="Y721" t="str" cm="1">
        <f t="array" ref="Y721">_xlfn.IFS(Sales_Data_1[[#This Row],[Delivery_Days]]&lt;=3, "Fast", Sales_Data_1[[#This Row],[Delivery_Days]]&lt;= 7, "Standard", TRUE, "Delayed")</f>
        <v>Standard</v>
      </c>
      <c r="Z721" t="str" cm="1">
        <f t="array" ref="Z721">_xlfn.IFS(Sales_Data_1[[#This Row],[Profit_Amount]]&gt; 0, "Profitable", Sales_Data_1[[#This Row],[Profit_Amount]] = 0, "Break-Even", TRUE, "Loss")</f>
        <v>Profitable</v>
      </c>
      <c r="AA721" t="str" cm="1">
        <f t="array" ref="AA721">_xlfn.IFS(Sales_Data_1[[#This Row],[Sales]]&gt;= 1000, "High Value", Sales_Data_1[[#This Row],[Sales]]&gt;= 300, "Mid Value", TRUE, "Low Value")</f>
        <v>High Value</v>
      </c>
    </row>
    <row r="722" spans="1:27" x14ac:dyDescent="0.3">
      <c r="A722" t="s">
        <v>2295</v>
      </c>
      <c r="B722" s="1">
        <v>45181</v>
      </c>
      <c r="C722" t="s">
        <v>63</v>
      </c>
      <c r="D722" t="s">
        <v>21</v>
      </c>
      <c r="E722" t="s">
        <v>42</v>
      </c>
      <c r="F722" t="s">
        <v>103</v>
      </c>
      <c r="G722" t="s">
        <v>92</v>
      </c>
      <c r="H722" t="s">
        <v>178</v>
      </c>
      <c r="I722" t="s">
        <v>580</v>
      </c>
      <c r="J722">
        <v>3</v>
      </c>
      <c r="K722">
        <v>32612</v>
      </c>
      <c r="L722">
        <v>0.18</v>
      </c>
      <c r="M722">
        <v>26741.84</v>
      </c>
      <c r="N722">
        <v>80225.52</v>
      </c>
      <c r="O722">
        <v>0.15</v>
      </c>
      <c r="P722">
        <v>12033.83</v>
      </c>
      <c r="Q722" t="s">
        <v>47</v>
      </c>
      <c r="R722" t="s">
        <v>48</v>
      </c>
      <c r="S722">
        <v>9</v>
      </c>
      <c r="T722">
        <f>YEAR(Sales_Data_1[[#This Row],[Order_Date]])</f>
        <v>2023</v>
      </c>
      <c r="U722" t="str">
        <f>TEXT(Sales_Data_1[[#This Row],[Order_Date]], "mmm")</f>
        <v>Sep</v>
      </c>
      <c r="V722">
        <f>MONTH(Sales_Data_1[[#This Row],[Order_Date]])</f>
        <v>9</v>
      </c>
      <c r="W722" t="str">
        <f>TEXT(Sales_Data_1[[#This Row],[Order_Date]], "yyyy-mm")</f>
        <v>2023-09</v>
      </c>
      <c r="X722">
        <f>Sales_Data_1[[#This Row],[Sales]]-Sales_Data_1[[#This Row],[Profit_Amount]]</f>
        <v>68191.69</v>
      </c>
      <c r="Y722" t="str" cm="1">
        <f t="array" ref="Y722">_xlfn.IFS(Sales_Data_1[[#This Row],[Delivery_Days]]&lt;=3, "Fast", Sales_Data_1[[#This Row],[Delivery_Days]]&lt;= 7, "Standard", TRUE, "Delayed")</f>
        <v>Delayed</v>
      </c>
      <c r="Z722" t="str" cm="1">
        <f t="array" ref="Z722">_xlfn.IFS(Sales_Data_1[[#This Row],[Profit_Amount]]&gt; 0, "Profitable", Sales_Data_1[[#This Row],[Profit_Amount]] = 0, "Break-Even", TRUE, "Loss")</f>
        <v>Profitable</v>
      </c>
      <c r="AA722" t="str" cm="1">
        <f t="array" ref="AA722">_xlfn.IFS(Sales_Data_1[[#This Row],[Sales]]&gt;= 1000, "High Value", Sales_Data_1[[#This Row],[Sales]]&gt;= 300, "Mid Value", TRUE, "Low Value")</f>
        <v>High Value</v>
      </c>
    </row>
    <row r="723" spans="1:27" x14ac:dyDescent="0.3">
      <c r="A723" t="s">
        <v>2852</v>
      </c>
      <c r="B723" s="1">
        <v>45738</v>
      </c>
      <c r="C723" t="s">
        <v>40</v>
      </c>
      <c r="D723" t="s">
        <v>56</v>
      </c>
      <c r="E723" t="s">
        <v>2040</v>
      </c>
      <c r="F723" t="s">
        <v>103</v>
      </c>
      <c r="G723" t="s">
        <v>57</v>
      </c>
      <c r="H723" t="s">
        <v>58</v>
      </c>
      <c r="I723" t="s">
        <v>1675</v>
      </c>
      <c r="J723">
        <v>4</v>
      </c>
      <c r="K723">
        <v>19520</v>
      </c>
      <c r="L723">
        <v>0.21</v>
      </c>
      <c r="M723">
        <v>15420.8</v>
      </c>
      <c r="N723">
        <v>61683.199999999997</v>
      </c>
      <c r="O723">
        <v>0.2</v>
      </c>
      <c r="P723">
        <v>12336.64</v>
      </c>
      <c r="Q723" t="s">
        <v>51</v>
      </c>
      <c r="R723" t="s">
        <v>48</v>
      </c>
      <c r="S723">
        <v>6</v>
      </c>
      <c r="T723">
        <f>YEAR(Sales_Data_1[[#This Row],[Order_Date]])</f>
        <v>2025</v>
      </c>
      <c r="U723" t="str">
        <f>TEXT(Sales_Data_1[[#This Row],[Order_Date]], "mmm")</f>
        <v>Mar</v>
      </c>
      <c r="V723">
        <f>MONTH(Sales_Data_1[[#This Row],[Order_Date]])</f>
        <v>3</v>
      </c>
      <c r="W723" t="str">
        <f>TEXT(Sales_Data_1[[#This Row],[Order_Date]], "yyyy-mm")</f>
        <v>2025-03</v>
      </c>
      <c r="X723">
        <f>Sales_Data_1[[#This Row],[Sales]]-Sales_Data_1[[#This Row],[Profit_Amount]]</f>
        <v>49346.559999999998</v>
      </c>
      <c r="Y723" t="str" cm="1">
        <f t="array" ref="Y723">_xlfn.IFS(Sales_Data_1[[#This Row],[Delivery_Days]]&lt;=3, "Fast", Sales_Data_1[[#This Row],[Delivery_Days]]&lt;= 7, "Standard", TRUE, "Delayed")</f>
        <v>Standard</v>
      </c>
      <c r="Z723" t="str" cm="1">
        <f t="array" ref="Z723">_xlfn.IFS(Sales_Data_1[[#This Row],[Profit_Amount]]&gt; 0, "Profitable", Sales_Data_1[[#This Row],[Profit_Amount]] = 0, "Break-Even", TRUE, "Loss")</f>
        <v>Profitable</v>
      </c>
      <c r="AA723" t="str" cm="1">
        <f t="array" ref="AA723">_xlfn.IFS(Sales_Data_1[[#This Row],[Sales]]&gt;= 1000, "High Value", Sales_Data_1[[#This Row],[Sales]]&gt;= 300, "Mid Value", TRUE, "Low Value")</f>
        <v>High Value</v>
      </c>
    </row>
    <row r="724" spans="1:27" x14ac:dyDescent="0.3">
      <c r="A724" t="s">
        <v>2528</v>
      </c>
      <c r="B724" s="1">
        <v>45414</v>
      </c>
      <c r="C724" t="s">
        <v>63</v>
      </c>
      <c r="D724" t="s">
        <v>41</v>
      </c>
      <c r="E724" t="s">
        <v>42</v>
      </c>
      <c r="F724" t="s">
        <v>97</v>
      </c>
      <c r="G724" t="s">
        <v>44</v>
      </c>
      <c r="H724" t="s">
        <v>45</v>
      </c>
      <c r="I724" t="s">
        <v>1040</v>
      </c>
      <c r="J724">
        <v>9</v>
      </c>
      <c r="K724">
        <v>4759</v>
      </c>
      <c r="L724">
        <v>0.17</v>
      </c>
      <c r="M724">
        <v>3949.97</v>
      </c>
      <c r="N724">
        <v>35549.730000000003</v>
      </c>
      <c r="O724">
        <v>0.35</v>
      </c>
      <c r="P724">
        <v>12442.41</v>
      </c>
      <c r="Q724" t="s">
        <v>47</v>
      </c>
      <c r="R724" t="s">
        <v>48</v>
      </c>
      <c r="S724">
        <v>6</v>
      </c>
      <c r="T724">
        <f>YEAR(Sales_Data_1[[#This Row],[Order_Date]])</f>
        <v>2024</v>
      </c>
      <c r="U724" t="str">
        <f>TEXT(Sales_Data_1[[#This Row],[Order_Date]], "mmm")</f>
        <v>May</v>
      </c>
      <c r="V724">
        <f>MONTH(Sales_Data_1[[#This Row],[Order_Date]])</f>
        <v>5</v>
      </c>
      <c r="W724" t="str">
        <f>TEXT(Sales_Data_1[[#This Row],[Order_Date]], "yyyy-mm")</f>
        <v>2024-05</v>
      </c>
      <c r="X724">
        <f>Sales_Data_1[[#This Row],[Sales]]-Sales_Data_1[[#This Row],[Profit_Amount]]</f>
        <v>23107.320000000003</v>
      </c>
      <c r="Y724" t="str" cm="1">
        <f t="array" ref="Y724">_xlfn.IFS(Sales_Data_1[[#This Row],[Delivery_Days]]&lt;=3, "Fast", Sales_Data_1[[#This Row],[Delivery_Days]]&lt;= 7, "Standard", TRUE, "Delayed")</f>
        <v>Standard</v>
      </c>
      <c r="Z724" t="str" cm="1">
        <f t="array" ref="Z724">_xlfn.IFS(Sales_Data_1[[#This Row],[Profit_Amount]]&gt; 0, "Profitable", Sales_Data_1[[#This Row],[Profit_Amount]] = 0, "Break-Even", TRUE, "Loss")</f>
        <v>Profitable</v>
      </c>
      <c r="AA724" t="str" cm="1">
        <f t="array" ref="AA724">_xlfn.IFS(Sales_Data_1[[#This Row],[Sales]]&gt;= 1000, "High Value", Sales_Data_1[[#This Row],[Sales]]&gt;= 300, "Mid Value", TRUE, "Low Value")</f>
        <v>High Value</v>
      </c>
    </row>
    <row r="725" spans="1:27" x14ac:dyDescent="0.3">
      <c r="A725" t="s">
        <v>2926</v>
      </c>
      <c r="B725" s="1">
        <v>45812</v>
      </c>
      <c r="C725" t="s">
        <v>20</v>
      </c>
      <c r="D725" t="s">
        <v>31</v>
      </c>
      <c r="E725" t="s">
        <v>2042</v>
      </c>
      <c r="F725" t="s">
        <v>33</v>
      </c>
      <c r="G725" t="s">
        <v>57</v>
      </c>
      <c r="H725" t="s">
        <v>100</v>
      </c>
      <c r="I725" t="s">
        <v>1821</v>
      </c>
      <c r="J725">
        <v>7</v>
      </c>
      <c r="K725">
        <v>9896</v>
      </c>
      <c r="L725">
        <v>0.1</v>
      </c>
      <c r="M725">
        <v>8906.4</v>
      </c>
      <c r="N725">
        <v>62344.800000000003</v>
      </c>
      <c r="O725">
        <v>0.2</v>
      </c>
      <c r="P725">
        <v>12468.96</v>
      </c>
      <c r="Q725" t="s">
        <v>47</v>
      </c>
      <c r="R725" t="s">
        <v>48</v>
      </c>
      <c r="S725">
        <v>8</v>
      </c>
      <c r="T725">
        <f>YEAR(Sales_Data_1[[#This Row],[Order_Date]])</f>
        <v>2025</v>
      </c>
      <c r="U725" t="str">
        <f>TEXT(Sales_Data_1[[#This Row],[Order_Date]], "mmm")</f>
        <v>Jun</v>
      </c>
      <c r="V725">
        <f>MONTH(Sales_Data_1[[#This Row],[Order_Date]])</f>
        <v>6</v>
      </c>
      <c r="W725" t="str">
        <f>TEXT(Sales_Data_1[[#This Row],[Order_Date]], "yyyy-mm")</f>
        <v>2025-06</v>
      </c>
      <c r="X725">
        <f>Sales_Data_1[[#This Row],[Sales]]-Sales_Data_1[[#This Row],[Profit_Amount]]</f>
        <v>49875.840000000004</v>
      </c>
      <c r="Y725" t="str" cm="1">
        <f t="array" ref="Y725">_xlfn.IFS(Sales_Data_1[[#This Row],[Delivery_Days]]&lt;=3, "Fast", Sales_Data_1[[#This Row],[Delivery_Days]]&lt;= 7, "Standard", TRUE, "Delayed")</f>
        <v>Delayed</v>
      </c>
      <c r="Z725" t="str" cm="1">
        <f t="array" ref="Z725">_xlfn.IFS(Sales_Data_1[[#This Row],[Profit_Amount]]&gt; 0, "Profitable", Sales_Data_1[[#This Row],[Profit_Amount]] = 0, "Break-Even", TRUE, "Loss")</f>
        <v>Profitable</v>
      </c>
      <c r="AA725" t="str" cm="1">
        <f t="array" ref="AA725">_xlfn.IFS(Sales_Data_1[[#This Row],[Sales]]&gt;= 1000, "High Value", Sales_Data_1[[#This Row],[Sales]]&gt;= 300, "Mid Value", TRUE, "Low Value")</f>
        <v>High Value</v>
      </c>
    </row>
    <row r="726" spans="1:27" x14ac:dyDescent="0.3">
      <c r="A726" t="s">
        <v>3016</v>
      </c>
      <c r="B726" s="1">
        <v>45902</v>
      </c>
      <c r="C726" t="s">
        <v>40</v>
      </c>
      <c r="D726" t="s">
        <v>41</v>
      </c>
      <c r="E726" t="s">
        <v>2042</v>
      </c>
      <c r="F726" t="s">
        <v>68</v>
      </c>
      <c r="G726" t="s">
        <v>24</v>
      </c>
      <c r="H726" t="s">
        <v>74</v>
      </c>
      <c r="I726" t="s">
        <v>1991</v>
      </c>
      <c r="J726">
        <v>9</v>
      </c>
      <c r="K726">
        <v>6879</v>
      </c>
      <c r="L726">
        <v>0.19</v>
      </c>
      <c r="M726">
        <v>5571.99</v>
      </c>
      <c r="N726">
        <v>50147.91</v>
      </c>
      <c r="O726">
        <v>0.25</v>
      </c>
      <c r="P726">
        <v>12536.98</v>
      </c>
      <c r="Q726" t="s">
        <v>51</v>
      </c>
      <c r="R726" t="s">
        <v>48</v>
      </c>
      <c r="S726">
        <v>9</v>
      </c>
      <c r="T726">
        <f>YEAR(Sales_Data_1[[#This Row],[Order_Date]])</f>
        <v>2025</v>
      </c>
      <c r="U726" t="str">
        <f>TEXT(Sales_Data_1[[#This Row],[Order_Date]], "mmm")</f>
        <v>Sep</v>
      </c>
      <c r="V726">
        <f>MONTH(Sales_Data_1[[#This Row],[Order_Date]])</f>
        <v>9</v>
      </c>
      <c r="W726" t="str">
        <f>TEXT(Sales_Data_1[[#This Row],[Order_Date]], "yyyy-mm")</f>
        <v>2025-09</v>
      </c>
      <c r="X726">
        <f>Sales_Data_1[[#This Row],[Sales]]-Sales_Data_1[[#This Row],[Profit_Amount]]</f>
        <v>37610.930000000008</v>
      </c>
      <c r="Y726" t="str" cm="1">
        <f t="array" ref="Y726">_xlfn.IFS(Sales_Data_1[[#This Row],[Delivery_Days]]&lt;=3, "Fast", Sales_Data_1[[#This Row],[Delivery_Days]]&lt;= 7, "Standard", TRUE, "Delayed")</f>
        <v>Delayed</v>
      </c>
      <c r="Z726" t="str" cm="1">
        <f t="array" ref="Z726">_xlfn.IFS(Sales_Data_1[[#This Row],[Profit_Amount]]&gt; 0, "Profitable", Sales_Data_1[[#This Row],[Profit_Amount]] = 0, "Break-Even", TRUE, "Loss")</f>
        <v>Profitable</v>
      </c>
      <c r="AA726" t="str" cm="1">
        <f t="array" ref="AA726">_xlfn.IFS(Sales_Data_1[[#This Row],[Sales]]&gt;= 1000, "High Value", Sales_Data_1[[#This Row],[Sales]]&gt;= 300, "Mid Value", TRUE, "Low Value")</f>
        <v>High Value</v>
      </c>
    </row>
    <row r="727" spans="1:27" x14ac:dyDescent="0.3">
      <c r="A727" t="s">
        <v>2356</v>
      </c>
      <c r="B727" s="1">
        <v>45242</v>
      </c>
      <c r="C727" t="s">
        <v>96</v>
      </c>
      <c r="D727" t="s">
        <v>41</v>
      </c>
      <c r="E727" t="s">
        <v>67</v>
      </c>
      <c r="F727" t="s">
        <v>23</v>
      </c>
      <c r="G727" t="s">
        <v>57</v>
      </c>
      <c r="H727" t="s">
        <v>58</v>
      </c>
      <c r="I727" t="s">
        <v>700</v>
      </c>
      <c r="J727">
        <v>5</v>
      </c>
      <c r="K727">
        <v>14149</v>
      </c>
      <c r="L727">
        <v>0.11</v>
      </c>
      <c r="M727">
        <v>12592.61</v>
      </c>
      <c r="N727">
        <v>62963.05</v>
      </c>
      <c r="O727">
        <v>0.2</v>
      </c>
      <c r="P727">
        <v>12592.61</v>
      </c>
      <c r="Q727" t="s">
        <v>27</v>
      </c>
      <c r="R727" t="s">
        <v>48</v>
      </c>
      <c r="S727">
        <v>5</v>
      </c>
      <c r="T727">
        <f>YEAR(Sales_Data_1[[#This Row],[Order_Date]])</f>
        <v>2023</v>
      </c>
      <c r="U727" t="str">
        <f>TEXT(Sales_Data_1[[#This Row],[Order_Date]], "mmm")</f>
        <v>Nov</v>
      </c>
      <c r="V727">
        <f>MONTH(Sales_Data_1[[#This Row],[Order_Date]])</f>
        <v>11</v>
      </c>
      <c r="W727" t="str">
        <f>TEXT(Sales_Data_1[[#This Row],[Order_Date]], "yyyy-mm")</f>
        <v>2023-11</v>
      </c>
      <c r="X727">
        <f>Sales_Data_1[[#This Row],[Sales]]-Sales_Data_1[[#This Row],[Profit_Amount]]</f>
        <v>50370.44</v>
      </c>
      <c r="Y727" t="str" cm="1">
        <f t="array" ref="Y727">_xlfn.IFS(Sales_Data_1[[#This Row],[Delivery_Days]]&lt;=3, "Fast", Sales_Data_1[[#This Row],[Delivery_Days]]&lt;= 7, "Standard", TRUE, "Delayed")</f>
        <v>Standard</v>
      </c>
      <c r="Z727" t="str" cm="1">
        <f t="array" ref="Z727">_xlfn.IFS(Sales_Data_1[[#This Row],[Profit_Amount]]&gt; 0, "Profitable", Sales_Data_1[[#This Row],[Profit_Amount]] = 0, "Break-Even", TRUE, "Loss")</f>
        <v>Profitable</v>
      </c>
      <c r="AA727" t="str" cm="1">
        <f t="array" ref="AA727">_xlfn.IFS(Sales_Data_1[[#This Row],[Sales]]&gt;= 1000, "High Value", Sales_Data_1[[#This Row],[Sales]]&gt;= 300, "Mid Value", TRUE, "Low Value")</f>
        <v>High Value</v>
      </c>
    </row>
    <row r="728" spans="1:27" x14ac:dyDescent="0.3">
      <c r="A728" t="s">
        <v>2165</v>
      </c>
      <c r="B728" s="1">
        <v>45051</v>
      </c>
      <c r="C728" t="s">
        <v>30</v>
      </c>
      <c r="D728" t="s">
        <v>21</v>
      </c>
      <c r="E728" t="s">
        <v>42</v>
      </c>
      <c r="F728" t="s">
        <v>43</v>
      </c>
      <c r="G728" t="s">
        <v>92</v>
      </c>
      <c r="H728" t="s">
        <v>178</v>
      </c>
      <c r="I728" t="s">
        <v>320</v>
      </c>
      <c r="J728">
        <v>3</v>
      </c>
      <c r="K728">
        <v>29816</v>
      </c>
      <c r="L728">
        <v>0.06</v>
      </c>
      <c r="M728">
        <v>28027.040000000001</v>
      </c>
      <c r="N728">
        <v>84081.12</v>
      </c>
      <c r="O728">
        <v>0.15</v>
      </c>
      <c r="P728">
        <v>12612.17</v>
      </c>
      <c r="Q728" t="s">
        <v>37</v>
      </c>
      <c r="R728" t="s">
        <v>48</v>
      </c>
      <c r="S728">
        <v>8</v>
      </c>
      <c r="T728">
        <f>YEAR(Sales_Data_1[[#This Row],[Order_Date]])</f>
        <v>2023</v>
      </c>
      <c r="U728" t="str">
        <f>TEXT(Sales_Data_1[[#This Row],[Order_Date]], "mmm")</f>
        <v>May</v>
      </c>
      <c r="V728">
        <f>MONTH(Sales_Data_1[[#This Row],[Order_Date]])</f>
        <v>5</v>
      </c>
      <c r="W728" t="str">
        <f>TEXT(Sales_Data_1[[#This Row],[Order_Date]], "yyyy-mm")</f>
        <v>2023-05</v>
      </c>
      <c r="X728">
        <f>Sales_Data_1[[#This Row],[Sales]]-Sales_Data_1[[#This Row],[Profit_Amount]]</f>
        <v>71468.95</v>
      </c>
      <c r="Y728" t="str" cm="1">
        <f t="array" ref="Y728">_xlfn.IFS(Sales_Data_1[[#This Row],[Delivery_Days]]&lt;=3, "Fast", Sales_Data_1[[#This Row],[Delivery_Days]]&lt;= 7, "Standard", TRUE, "Delayed")</f>
        <v>Delayed</v>
      </c>
      <c r="Z728" t="str" cm="1">
        <f t="array" ref="Z728">_xlfn.IFS(Sales_Data_1[[#This Row],[Profit_Amount]]&gt; 0, "Profitable", Sales_Data_1[[#This Row],[Profit_Amount]] = 0, "Break-Even", TRUE, "Loss")</f>
        <v>Profitable</v>
      </c>
      <c r="AA728" t="str" cm="1">
        <f t="array" ref="AA728">_xlfn.IFS(Sales_Data_1[[#This Row],[Sales]]&gt;= 1000, "High Value", Sales_Data_1[[#This Row],[Sales]]&gt;= 300, "Mid Value", TRUE, "Low Value")</f>
        <v>High Value</v>
      </c>
    </row>
    <row r="729" spans="1:27" x14ac:dyDescent="0.3">
      <c r="A729" t="s">
        <v>2876</v>
      </c>
      <c r="B729" s="1">
        <v>45762</v>
      </c>
      <c r="C729" t="s">
        <v>96</v>
      </c>
      <c r="D729" t="s">
        <v>31</v>
      </c>
      <c r="E729" t="s">
        <v>2042</v>
      </c>
      <c r="F729" t="s">
        <v>43</v>
      </c>
      <c r="G729" t="s">
        <v>24</v>
      </c>
      <c r="H729" t="s">
        <v>121</v>
      </c>
      <c r="I729" t="s">
        <v>1722</v>
      </c>
      <c r="J729">
        <v>9</v>
      </c>
      <c r="K729">
        <v>6068</v>
      </c>
      <c r="L729">
        <v>7.0000000000000007E-2</v>
      </c>
      <c r="M729">
        <v>5643.24</v>
      </c>
      <c r="N729">
        <v>50789.16</v>
      </c>
      <c r="O729">
        <v>0.25</v>
      </c>
      <c r="P729">
        <v>12697.29</v>
      </c>
      <c r="Q729" t="s">
        <v>47</v>
      </c>
      <c r="R729" t="s">
        <v>48</v>
      </c>
      <c r="S729">
        <v>7</v>
      </c>
      <c r="T729">
        <f>YEAR(Sales_Data_1[[#This Row],[Order_Date]])</f>
        <v>2025</v>
      </c>
      <c r="U729" t="str">
        <f>TEXT(Sales_Data_1[[#This Row],[Order_Date]], "mmm")</f>
        <v>Apr</v>
      </c>
      <c r="V729">
        <f>MONTH(Sales_Data_1[[#This Row],[Order_Date]])</f>
        <v>4</v>
      </c>
      <c r="W729" t="str">
        <f>TEXT(Sales_Data_1[[#This Row],[Order_Date]], "yyyy-mm")</f>
        <v>2025-04</v>
      </c>
      <c r="X729">
        <f>Sales_Data_1[[#This Row],[Sales]]-Sales_Data_1[[#This Row],[Profit_Amount]]</f>
        <v>38091.870000000003</v>
      </c>
      <c r="Y729" t="str" cm="1">
        <f t="array" ref="Y729">_xlfn.IFS(Sales_Data_1[[#This Row],[Delivery_Days]]&lt;=3, "Fast", Sales_Data_1[[#This Row],[Delivery_Days]]&lt;= 7, "Standard", TRUE, "Delayed")</f>
        <v>Standard</v>
      </c>
      <c r="Z729" t="str" cm="1">
        <f t="array" ref="Z729">_xlfn.IFS(Sales_Data_1[[#This Row],[Profit_Amount]]&gt; 0, "Profitable", Sales_Data_1[[#This Row],[Profit_Amount]] = 0, "Break-Even", TRUE, "Loss")</f>
        <v>Profitable</v>
      </c>
      <c r="AA729" t="str" cm="1">
        <f t="array" ref="AA729">_xlfn.IFS(Sales_Data_1[[#This Row],[Sales]]&gt;= 1000, "High Value", Sales_Data_1[[#This Row],[Sales]]&gt;= 300, "Mid Value", TRUE, "Low Value")</f>
        <v>High Value</v>
      </c>
    </row>
    <row r="730" spans="1:27" x14ac:dyDescent="0.3">
      <c r="A730" t="s">
        <v>2856</v>
      </c>
      <c r="B730" s="1">
        <v>45742</v>
      </c>
      <c r="C730" t="s">
        <v>96</v>
      </c>
      <c r="D730" t="s">
        <v>41</v>
      </c>
      <c r="E730" t="s">
        <v>67</v>
      </c>
      <c r="F730" t="s">
        <v>43</v>
      </c>
      <c r="G730" t="s">
        <v>24</v>
      </c>
      <c r="H730" t="s">
        <v>186</v>
      </c>
      <c r="I730" t="s">
        <v>1683</v>
      </c>
      <c r="J730">
        <v>4</v>
      </c>
      <c r="K730">
        <v>14258</v>
      </c>
      <c r="L730">
        <v>0.1</v>
      </c>
      <c r="M730">
        <v>12832.2</v>
      </c>
      <c r="N730">
        <v>51328.800000000003</v>
      </c>
      <c r="O730">
        <v>0.25</v>
      </c>
      <c r="P730">
        <v>12832.2</v>
      </c>
      <c r="Q730" t="s">
        <v>47</v>
      </c>
      <c r="R730" t="s">
        <v>38</v>
      </c>
      <c r="S730">
        <v>6</v>
      </c>
      <c r="T730">
        <f>YEAR(Sales_Data_1[[#This Row],[Order_Date]])</f>
        <v>2025</v>
      </c>
      <c r="U730" t="str">
        <f>TEXT(Sales_Data_1[[#This Row],[Order_Date]], "mmm")</f>
        <v>Mar</v>
      </c>
      <c r="V730">
        <f>MONTH(Sales_Data_1[[#This Row],[Order_Date]])</f>
        <v>3</v>
      </c>
      <c r="W730" t="str">
        <f>TEXT(Sales_Data_1[[#This Row],[Order_Date]], "yyyy-mm")</f>
        <v>2025-03</v>
      </c>
      <c r="X730">
        <f>Sales_Data_1[[#This Row],[Sales]]-Sales_Data_1[[#This Row],[Profit_Amount]]</f>
        <v>38496.600000000006</v>
      </c>
      <c r="Y730" t="str" cm="1">
        <f t="array" ref="Y730">_xlfn.IFS(Sales_Data_1[[#This Row],[Delivery_Days]]&lt;=3, "Fast", Sales_Data_1[[#This Row],[Delivery_Days]]&lt;= 7, "Standard", TRUE, "Delayed")</f>
        <v>Standard</v>
      </c>
      <c r="Z730" t="str" cm="1">
        <f t="array" ref="Z730">_xlfn.IFS(Sales_Data_1[[#This Row],[Profit_Amount]]&gt; 0, "Profitable", Sales_Data_1[[#This Row],[Profit_Amount]] = 0, "Break-Even", TRUE, "Loss")</f>
        <v>Profitable</v>
      </c>
      <c r="AA730" t="str" cm="1">
        <f t="array" ref="AA730">_xlfn.IFS(Sales_Data_1[[#This Row],[Sales]]&gt;= 1000, "High Value", Sales_Data_1[[#This Row],[Sales]]&gt;= 300, "Mid Value", TRUE, "Low Value")</f>
        <v>High Value</v>
      </c>
    </row>
    <row r="731" spans="1:27" x14ac:dyDescent="0.3">
      <c r="A731" t="s">
        <v>2380</v>
      </c>
      <c r="B731" s="1">
        <v>45266</v>
      </c>
      <c r="C731" t="s">
        <v>63</v>
      </c>
      <c r="D731" t="s">
        <v>56</v>
      </c>
      <c r="E731" t="s">
        <v>2040</v>
      </c>
      <c r="F731" t="s">
        <v>103</v>
      </c>
      <c r="G731" t="s">
        <v>24</v>
      </c>
      <c r="H731" t="s">
        <v>25</v>
      </c>
      <c r="I731" t="s">
        <v>748</v>
      </c>
      <c r="J731">
        <v>7</v>
      </c>
      <c r="K731">
        <v>7807</v>
      </c>
      <c r="L731">
        <v>0.06</v>
      </c>
      <c r="M731">
        <v>7338.58</v>
      </c>
      <c r="N731">
        <v>51370.06</v>
      </c>
      <c r="O731">
        <v>0.25</v>
      </c>
      <c r="P731">
        <v>12842.52</v>
      </c>
      <c r="Q731" t="s">
        <v>27</v>
      </c>
      <c r="R731" t="s">
        <v>48</v>
      </c>
      <c r="S731">
        <v>2</v>
      </c>
      <c r="T731">
        <f>YEAR(Sales_Data_1[[#This Row],[Order_Date]])</f>
        <v>2023</v>
      </c>
      <c r="U731" t="str">
        <f>TEXT(Sales_Data_1[[#This Row],[Order_Date]], "mmm")</f>
        <v>Dec</v>
      </c>
      <c r="V731">
        <f>MONTH(Sales_Data_1[[#This Row],[Order_Date]])</f>
        <v>12</v>
      </c>
      <c r="W731" t="str">
        <f>TEXT(Sales_Data_1[[#This Row],[Order_Date]], "yyyy-mm")</f>
        <v>2023-12</v>
      </c>
      <c r="X731">
        <f>Sales_Data_1[[#This Row],[Sales]]-Sales_Data_1[[#This Row],[Profit_Amount]]</f>
        <v>38527.539999999994</v>
      </c>
      <c r="Y731" t="str" cm="1">
        <f t="array" ref="Y731">_xlfn.IFS(Sales_Data_1[[#This Row],[Delivery_Days]]&lt;=3, "Fast", Sales_Data_1[[#This Row],[Delivery_Days]]&lt;= 7, "Standard", TRUE, "Delayed")</f>
        <v>Fast</v>
      </c>
      <c r="Z731" t="str" cm="1">
        <f t="array" ref="Z731">_xlfn.IFS(Sales_Data_1[[#This Row],[Profit_Amount]]&gt; 0, "Profitable", Sales_Data_1[[#This Row],[Profit_Amount]] = 0, "Break-Even", TRUE, "Loss")</f>
        <v>Profitable</v>
      </c>
      <c r="AA731" t="str" cm="1">
        <f t="array" ref="AA731">_xlfn.IFS(Sales_Data_1[[#This Row],[Sales]]&gt;= 1000, "High Value", Sales_Data_1[[#This Row],[Sales]]&gt;= 300, "Mid Value", TRUE, "Low Value")</f>
        <v>High Value</v>
      </c>
    </row>
    <row r="732" spans="1:27" x14ac:dyDescent="0.3">
      <c r="A732" t="s">
        <v>2489</v>
      </c>
      <c r="B732" s="1">
        <v>45375</v>
      </c>
      <c r="C732" t="s">
        <v>96</v>
      </c>
      <c r="D732" t="s">
        <v>41</v>
      </c>
      <c r="E732" t="s">
        <v>42</v>
      </c>
      <c r="F732" t="s">
        <v>97</v>
      </c>
      <c r="G732" t="s">
        <v>92</v>
      </c>
      <c r="H732" t="s">
        <v>93</v>
      </c>
      <c r="I732" t="s">
        <v>963</v>
      </c>
      <c r="J732">
        <v>6</v>
      </c>
      <c r="K732">
        <v>15782</v>
      </c>
      <c r="L732">
        <v>0.09</v>
      </c>
      <c r="M732">
        <v>14361.62</v>
      </c>
      <c r="N732">
        <v>86169.72</v>
      </c>
      <c r="O732">
        <v>0.15</v>
      </c>
      <c r="P732">
        <v>12925.46</v>
      </c>
      <c r="Q732" t="s">
        <v>27</v>
      </c>
      <c r="R732" t="s">
        <v>48</v>
      </c>
      <c r="S732">
        <v>5</v>
      </c>
      <c r="T732">
        <f>YEAR(Sales_Data_1[[#This Row],[Order_Date]])</f>
        <v>2024</v>
      </c>
      <c r="U732" t="str">
        <f>TEXT(Sales_Data_1[[#This Row],[Order_Date]], "mmm")</f>
        <v>Mar</v>
      </c>
      <c r="V732">
        <f>MONTH(Sales_Data_1[[#This Row],[Order_Date]])</f>
        <v>3</v>
      </c>
      <c r="W732" t="str">
        <f>TEXT(Sales_Data_1[[#This Row],[Order_Date]], "yyyy-mm")</f>
        <v>2024-03</v>
      </c>
      <c r="X732">
        <f>Sales_Data_1[[#This Row],[Sales]]-Sales_Data_1[[#This Row],[Profit_Amount]]</f>
        <v>73244.260000000009</v>
      </c>
      <c r="Y732" t="str" cm="1">
        <f t="array" ref="Y732">_xlfn.IFS(Sales_Data_1[[#This Row],[Delivery_Days]]&lt;=3, "Fast", Sales_Data_1[[#This Row],[Delivery_Days]]&lt;= 7, "Standard", TRUE, "Delayed")</f>
        <v>Standard</v>
      </c>
      <c r="Z732" t="str" cm="1">
        <f t="array" ref="Z732">_xlfn.IFS(Sales_Data_1[[#This Row],[Profit_Amount]]&gt; 0, "Profitable", Sales_Data_1[[#This Row],[Profit_Amount]] = 0, "Break-Even", TRUE, "Loss")</f>
        <v>Profitable</v>
      </c>
      <c r="AA732" t="str" cm="1">
        <f t="array" ref="AA732">_xlfn.IFS(Sales_Data_1[[#This Row],[Sales]]&gt;= 1000, "High Value", Sales_Data_1[[#This Row],[Sales]]&gt;= 300, "Mid Value", TRUE, "Low Value")</f>
        <v>High Value</v>
      </c>
    </row>
    <row r="733" spans="1:27" x14ac:dyDescent="0.3">
      <c r="A733" t="s">
        <v>2240</v>
      </c>
      <c r="B733" s="1">
        <v>45126</v>
      </c>
      <c r="C733" t="s">
        <v>20</v>
      </c>
      <c r="D733" t="s">
        <v>41</v>
      </c>
      <c r="E733" t="s">
        <v>2042</v>
      </c>
      <c r="F733" t="s">
        <v>103</v>
      </c>
      <c r="G733" t="s">
        <v>24</v>
      </c>
      <c r="H733" t="s">
        <v>74</v>
      </c>
      <c r="I733" t="s">
        <v>470</v>
      </c>
      <c r="J733">
        <v>6</v>
      </c>
      <c r="K733">
        <v>8705</v>
      </c>
      <c r="L733">
        <v>0.01</v>
      </c>
      <c r="M733">
        <v>8617.9500000000007</v>
      </c>
      <c r="N733">
        <v>51707.7</v>
      </c>
      <c r="O733">
        <v>0.25</v>
      </c>
      <c r="P733">
        <v>12926.92</v>
      </c>
      <c r="Q733" t="s">
        <v>47</v>
      </c>
      <c r="R733" t="s">
        <v>48</v>
      </c>
      <c r="S733">
        <v>4</v>
      </c>
      <c r="T733">
        <f>YEAR(Sales_Data_1[[#This Row],[Order_Date]])</f>
        <v>2023</v>
      </c>
      <c r="U733" t="str">
        <f>TEXT(Sales_Data_1[[#This Row],[Order_Date]], "mmm")</f>
        <v>Jul</v>
      </c>
      <c r="V733">
        <f>MONTH(Sales_Data_1[[#This Row],[Order_Date]])</f>
        <v>7</v>
      </c>
      <c r="W733" t="str">
        <f>TEXT(Sales_Data_1[[#This Row],[Order_Date]], "yyyy-mm")</f>
        <v>2023-07</v>
      </c>
      <c r="X733">
        <f>Sales_Data_1[[#This Row],[Sales]]-Sales_Data_1[[#This Row],[Profit_Amount]]</f>
        <v>38780.78</v>
      </c>
      <c r="Y733" t="str" cm="1">
        <f t="array" ref="Y733">_xlfn.IFS(Sales_Data_1[[#This Row],[Delivery_Days]]&lt;=3, "Fast", Sales_Data_1[[#This Row],[Delivery_Days]]&lt;= 7, "Standard", TRUE, "Delayed")</f>
        <v>Standard</v>
      </c>
      <c r="Z733" t="str" cm="1">
        <f t="array" ref="Z733">_xlfn.IFS(Sales_Data_1[[#This Row],[Profit_Amount]]&gt; 0, "Profitable", Sales_Data_1[[#This Row],[Profit_Amount]] = 0, "Break-Even", TRUE, "Loss")</f>
        <v>Profitable</v>
      </c>
      <c r="AA733" t="str" cm="1">
        <f t="array" ref="AA733">_xlfn.IFS(Sales_Data_1[[#This Row],[Sales]]&gt;= 1000, "High Value", Sales_Data_1[[#This Row],[Sales]]&gt;= 300, "Mid Value", TRUE, "Low Value")</f>
        <v>High Value</v>
      </c>
    </row>
    <row r="734" spans="1:27" x14ac:dyDescent="0.3">
      <c r="A734" t="s">
        <v>2887</v>
      </c>
      <c r="B734" s="1">
        <v>45773</v>
      </c>
      <c r="C734" t="s">
        <v>55</v>
      </c>
      <c r="D734" t="s">
        <v>31</v>
      </c>
      <c r="E734" t="s">
        <v>2042</v>
      </c>
      <c r="F734" t="s">
        <v>43</v>
      </c>
      <c r="G734" t="s">
        <v>24</v>
      </c>
      <c r="H734" t="s">
        <v>186</v>
      </c>
      <c r="I734" t="s">
        <v>1744</v>
      </c>
      <c r="J734">
        <v>4</v>
      </c>
      <c r="K734">
        <v>14660</v>
      </c>
      <c r="L734">
        <v>0.11</v>
      </c>
      <c r="M734">
        <v>13047.4</v>
      </c>
      <c r="N734">
        <v>52189.599999999999</v>
      </c>
      <c r="O734">
        <v>0.25</v>
      </c>
      <c r="P734">
        <v>13047.4</v>
      </c>
      <c r="Q734" t="s">
        <v>27</v>
      </c>
      <c r="R734" t="s">
        <v>38</v>
      </c>
      <c r="S734">
        <v>4</v>
      </c>
      <c r="T734">
        <f>YEAR(Sales_Data_1[[#This Row],[Order_Date]])</f>
        <v>2025</v>
      </c>
      <c r="U734" t="str">
        <f>TEXT(Sales_Data_1[[#This Row],[Order_Date]], "mmm")</f>
        <v>Apr</v>
      </c>
      <c r="V734">
        <f>MONTH(Sales_Data_1[[#This Row],[Order_Date]])</f>
        <v>4</v>
      </c>
      <c r="W734" t="str">
        <f>TEXT(Sales_Data_1[[#This Row],[Order_Date]], "yyyy-mm")</f>
        <v>2025-04</v>
      </c>
      <c r="X734">
        <f>Sales_Data_1[[#This Row],[Sales]]-Sales_Data_1[[#This Row],[Profit_Amount]]</f>
        <v>39142.199999999997</v>
      </c>
      <c r="Y734" t="str" cm="1">
        <f t="array" ref="Y734">_xlfn.IFS(Sales_Data_1[[#This Row],[Delivery_Days]]&lt;=3, "Fast", Sales_Data_1[[#This Row],[Delivery_Days]]&lt;= 7, "Standard", TRUE, "Delayed")</f>
        <v>Standard</v>
      </c>
      <c r="Z734" t="str" cm="1">
        <f t="array" ref="Z734">_xlfn.IFS(Sales_Data_1[[#This Row],[Profit_Amount]]&gt; 0, "Profitable", Sales_Data_1[[#This Row],[Profit_Amount]] = 0, "Break-Even", TRUE, "Loss")</f>
        <v>Profitable</v>
      </c>
      <c r="AA734" t="str" cm="1">
        <f t="array" ref="AA734">_xlfn.IFS(Sales_Data_1[[#This Row],[Sales]]&gt;= 1000, "High Value", Sales_Data_1[[#This Row],[Sales]]&gt;= 300, "Mid Value", TRUE, "Low Value")</f>
        <v>High Value</v>
      </c>
    </row>
    <row r="735" spans="1:27" x14ac:dyDescent="0.3">
      <c r="A735" t="s">
        <v>2197</v>
      </c>
      <c r="B735" s="1">
        <v>45083</v>
      </c>
      <c r="C735" t="s">
        <v>96</v>
      </c>
      <c r="D735" t="s">
        <v>21</v>
      </c>
      <c r="E735" t="s">
        <v>2040</v>
      </c>
      <c r="F735" t="s">
        <v>103</v>
      </c>
      <c r="G735" t="s">
        <v>24</v>
      </c>
      <c r="H735" t="s">
        <v>186</v>
      </c>
      <c r="I735" t="s">
        <v>384</v>
      </c>
      <c r="J735">
        <v>9</v>
      </c>
      <c r="K735">
        <v>6178</v>
      </c>
      <c r="L735">
        <v>0.06</v>
      </c>
      <c r="M735">
        <v>5807.32</v>
      </c>
      <c r="N735">
        <v>52265.88</v>
      </c>
      <c r="O735">
        <v>0.25</v>
      </c>
      <c r="P735">
        <v>13066.47</v>
      </c>
      <c r="Q735" t="s">
        <v>27</v>
      </c>
      <c r="R735" t="s">
        <v>48</v>
      </c>
      <c r="S735">
        <v>6</v>
      </c>
      <c r="T735">
        <f>YEAR(Sales_Data_1[[#This Row],[Order_Date]])</f>
        <v>2023</v>
      </c>
      <c r="U735" t="str">
        <f>TEXT(Sales_Data_1[[#This Row],[Order_Date]], "mmm")</f>
        <v>Jun</v>
      </c>
      <c r="V735">
        <f>MONTH(Sales_Data_1[[#This Row],[Order_Date]])</f>
        <v>6</v>
      </c>
      <c r="W735" t="str">
        <f>TEXT(Sales_Data_1[[#This Row],[Order_Date]], "yyyy-mm")</f>
        <v>2023-06</v>
      </c>
      <c r="X735">
        <f>Sales_Data_1[[#This Row],[Sales]]-Sales_Data_1[[#This Row],[Profit_Amount]]</f>
        <v>39199.409999999996</v>
      </c>
      <c r="Y735" t="str" cm="1">
        <f t="array" ref="Y735">_xlfn.IFS(Sales_Data_1[[#This Row],[Delivery_Days]]&lt;=3, "Fast", Sales_Data_1[[#This Row],[Delivery_Days]]&lt;= 7, "Standard", TRUE, "Delayed")</f>
        <v>Standard</v>
      </c>
      <c r="Z735" t="str" cm="1">
        <f t="array" ref="Z735">_xlfn.IFS(Sales_Data_1[[#This Row],[Profit_Amount]]&gt; 0, "Profitable", Sales_Data_1[[#This Row],[Profit_Amount]] = 0, "Break-Even", TRUE, "Loss")</f>
        <v>Profitable</v>
      </c>
      <c r="AA735" t="str" cm="1">
        <f t="array" ref="AA735">_xlfn.IFS(Sales_Data_1[[#This Row],[Sales]]&gt;= 1000, "High Value", Sales_Data_1[[#This Row],[Sales]]&gt;= 300, "Mid Value", TRUE, "Low Value")</f>
        <v>High Value</v>
      </c>
    </row>
    <row r="736" spans="1:27" x14ac:dyDescent="0.3">
      <c r="A736" t="s">
        <v>2221</v>
      </c>
      <c r="B736" s="1">
        <v>45107</v>
      </c>
      <c r="C736" t="s">
        <v>63</v>
      </c>
      <c r="D736" t="s">
        <v>56</v>
      </c>
      <c r="E736" t="s">
        <v>2040</v>
      </c>
      <c r="F736" t="s">
        <v>97</v>
      </c>
      <c r="G736" t="s">
        <v>92</v>
      </c>
      <c r="H736" t="s">
        <v>93</v>
      </c>
      <c r="I736" t="s">
        <v>432</v>
      </c>
      <c r="J736">
        <v>8</v>
      </c>
      <c r="K736">
        <v>11969</v>
      </c>
      <c r="L736">
        <v>0.09</v>
      </c>
      <c r="M736">
        <v>10891.79</v>
      </c>
      <c r="N736">
        <v>87134.32</v>
      </c>
      <c r="O736">
        <v>0.15</v>
      </c>
      <c r="P736">
        <v>13070.15</v>
      </c>
      <c r="Q736" t="s">
        <v>47</v>
      </c>
      <c r="R736" t="s">
        <v>48</v>
      </c>
      <c r="S736">
        <v>5</v>
      </c>
      <c r="T736">
        <f>YEAR(Sales_Data_1[[#This Row],[Order_Date]])</f>
        <v>2023</v>
      </c>
      <c r="U736" t="str">
        <f>TEXT(Sales_Data_1[[#This Row],[Order_Date]], "mmm")</f>
        <v>Jun</v>
      </c>
      <c r="V736">
        <f>MONTH(Sales_Data_1[[#This Row],[Order_Date]])</f>
        <v>6</v>
      </c>
      <c r="W736" t="str">
        <f>TEXT(Sales_Data_1[[#This Row],[Order_Date]], "yyyy-mm")</f>
        <v>2023-06</v>
      </c>
      <c r="X736">
        <f>Sales_Data_1[[#This Row],[Sales]]-Sales_Data_1[[#This Row],[Profit_Amount]]</f>
        <v>74064.170000000013</v>
      </c>
      <c r="Y736" t="str" cm="1">
        <f t="array" ref="Y736">_xlfn.IFS(Sales_Data_1[[#This Row],[Delivery_Days]]&lt;=3, "Fast", Sales_Data_1[[#This Row],[Delivery_Days]]&lt;= 7, "Standard", TRUE, "Delayed")</f>
        <v>Standard</v>
      </c>
      <c r="Z736" t="str" cm="1">
        <f t="array" ref="Z736">_xlfn.IFS(Sales_Data_1[[#This Row],[Profit_Amount]]&gt; 0, "Profitable", Sales_Data_1[[#This Row],[Profit_Amount]] = 0, "Break-Even", TRUE, "Loss")</f>
        <v>Profitable</v>
      </c>
      <c r="AA736" t="str" cm="1">
        <f t="array" ref="AA736">_xlfn.IFS(Sales_Data_1[[#This Row],[Sales]]&gt;= 1000, "High Value", Sales_Data_1[[#This Row],[Sales]]&gt;= 300, "Mid Value", TRUE, "Low Value")</f>
        <v>High Value</v>
      </c>
    </row>
    <row r="737" spans="1:27" x14ac:dyDescent="0.3">
      <c r="A737" t="s">
        <v>2960</v>
      </c>
      <c r="B737" s="1">
        <v>45846</v>
      </c>
      <c r="C737" t="s">
        <v>20</v>
      </c>
      <c r="D737" t="s">
        <v>56</v>
      </c>
      <c r="E737" t="s">
        <v>42</v>
      </c>
      <c r="F737" t="s">
        <v>43</v>
      </c>
      <c r="G737" t="s">
        <v>24</v>
      </c>
      <c r="H737" t="s">
        <v>121</v>
      </c>
      <c r="I737" t="s">
        <v>1885</v>
      </c>
      <c r="J737">
        <v>7</v>
      </c>
      <c r="K737">
        <v>9616</v>
      </c>
      <c r="L737">
        <v>0.22</v>
      </c>
      <c r="M737">
        <v>7500.48</v>
      </c>
      <c r="N737">
        <v>52503.360000000001</v>
      </c>
      <c r="O737">
        <v>0.25</v>
      </c>
      <c r="P737">
        <v>13125.84</v>
      </c>
      <c r="Q737" t="s">
        <v>37</v>
      </c>
      <c r="R737" t="s">
        <v>48</v>
      </c>
      <c r="S737">
        <v>8</v>
      </c>
      <c r="T737">
        <f>YEAR(Sales_Data_1[[#This Row],[Order_Date]])</f>
        <v>2025</v>
      </c>
      <c r="U737" t="str">
        <f>TEXT(Sales_Data_1[[#This Row],[Order_Date]], "mmm")</f>
        <v>Jul</v>
      </c>
      <c r="V737">
        <f>MONTH(Sales_Data_1[[#This Row],[Order_Date]])</f>
        <v>7</v>
      </c>
      <c r="W737" t="str">
        <f>TEXT(Sales_Data_1[[#This Row],[Order_Date]], "yyyy-mm")</f>
        <v>2025-07</v>
      </c>
      <c r="X737">
        <f>Sales_Data_1[[#This Row],[Sales]]-Sales_Data_1[[#This Row],[Profit_Amount]]</f>
        <v>39377.520000000004</v>
      </c>
      <c r="Y737" t="str" cm="1">
        <f t="array" ref="Y737">_xlfn.IFS(Sales_Data_1[[#This Row],[Delivery_Days]]&lt;=3, "Fast", Sales_Data_1[[#This Row],[Delivery_Days]]&lt;= 7, "Standard", TRUE, "Delayed")</f>
        <v>Delayed</v>
      </c>
      <c r="Z737" t="str" cm="1">
        <f t="array" ref="Z737">_xlfn.IFS(Sales_Data_1[[#This Row],[Profit_Amount]]&gt; 0, "Profitable", Sales_Data_1[[#This Row],[Profit_Amount]] = 0, "Break-Even", TRUE, "Loss")</f>
        <v>Profitable</v>
      </c>
      <c r="AA737" t="str" cm="1">
        <f t="array" ref="AA737">_xlfn.IFS(Sales_Data_1[[#This Row],[Sales]]&gt;= 1000, "High Value", Sales_Data_1[[#This Row],[Sales]]&gt;= 300, "Mid Value", TRUE, "Low Value")</f>
        <v>High Value</v>
      </c>
    </row>
    <row r="738" spans="1:27" x14ac:dyDescent="0.3">
      <c r="A738" t="s">
        <v>2858</v>
      </c>
      <c r="B738" s="1">
        <v>45744</v>
      </c>
      <c r="C738" t="s">
        <v>63</v>
      </c>
      <c r="D738" t="s">
        <v>31</v>
      </c>
      <c r="E738" t="s">
        <v>42</v>
      </c>
      <c r="F738" t="s">
        <v>68</v>
      </c>
      <c r="G738" t="s">
        <v>92</v>
      </c>
      <c r="H738" t="s">
        <v>178</v>
      </c>
      <c r="I738" t="s">
        <v>1687</v>
      </c>
      <c r="J738">
        <v>2</v>
      </c>
      <c r="K738">
        <v>43787</v>
      </c>
      <c r="L738">
        <v>0</v>
      </c>
      <c r="M738">
        <v>43787</v>
      </c>
      <c r="N738">
        <v>87574</v>
      </c>
      <c r="O738">
        <v>0.15</v>
      </c>
      <c r="P738">
        <v>13136.1</v>
      </c>
      <c r="Q738" t="s">
        <v>27</v>
      </c>
      <c r="R738" t="s">
        <v>48</v>
      </c>
      <c r="S738">
        <v>7</v>
      </c>
      <c r="T738">
        <f>YEAR(Sales_Data_1[[#This Row],[Order_Date]])</f>
        <v>2025</v>
      </c>
      <c r="U738" t="str">
        <f>TEXT(Sales_Data_1[[#This Row],[Order_Date]], "mmm")</f>
        <v>Mar</v>
      </c>
      <c r="V738">
        <f>MONTH(Sales_Data_1[[#This Row],[Order_Date]])</f>
        <v>3</v>
      </c>
      <c r="W738" t="str">
        <f>TEXT(Sales_Data_1[[#This Row],[Order_Date]], "yyyy-mm")</f>
        <v>2025-03</v>
      </c>
      <c r="X738">
        <f>Sales_Data_1[[#This Row],[Sales]]-Sales_Data_1[[#This Row],[Profit_Amount]]</f>
        <v>74437.899999999994</v>
      </c>
      <c r="Y738" t="str" cm="1">
        <f t="array" ref="Y738">_xlfn.IFS(Sales_Data_1[[#This Row],[Delivery_Days]]&lt;=3, "Fast", Sales_Data_1[[#This Row],[Delivery_Days]]&lt;= 7, "Standard", TRUE, "Delayed")</f>
        <v>Standard</v>
      </c>
      <c r="Z738" t="str" cm="1">
        <f t="array" ref="Z738">_xlfn.IFS(Sales_Data_1[[#This Row],[Profit_Amount]]&gt; 0, "Profitable", Sales_Data_1[[#This Row],[Profit_Amount]] = 0, "Break-Even", TRUE, "Loss")</f>
        <v>Profitable</v>
      </c>
      <c r="AA738" t="str" cm="1">
        <f t="array" ref="AA738">_xlfn.IFS(Sales_Data_1[[#This Row],[Sales]]&gt;= 1000, "High Value", Sales_Data_1[[#This Row],[Sales]]&gt;= 300, "Mid Value", TRUE, "Low Value")</f>
        <v>High Value</v>
      </c>
    </row>
    <row r="739" spans="1:27" x14ac:dyDescent="0.3">
      <c r="A739" t="s">
        <v>2973</v>
      </c>
      <c r="B739" s="1">
        <v>45859</v>
      </c>
      <c r="C739" t="s">
        <v>40</v>
      </c>
      <c r="D739" t="s">
        <v>21</v>
      </c>
      <c r="E739" t="s">
        <v>67</v>
      </c>
      <c r="F739" t="s">
        <v>103</v>
      </c>
      <c r="G739" t="s">
        <v>57</v>
      </c>
      <c r="H739" t="s">
        <v>81</v>
      </c>
      <c r="I739" t="s">
        <v>1909</v>
      </c>
      <c r="J739">
        <v>6</v>
      </c>
      <c r="K739">
        <v>13861</v>
      </c>
      <c r="L739">
        <v>0.21</v>
      </c>
      <c r="M739">
        <v>10950.19</v>
      </c>
      <c r="N739">
        <v>65701.14</v>
      </c>
      <c r="O739">
        <v>0.2</v>
      </c>
      <c r="P739">
        <v>13140.23</v>
      </c>
      <c r="Q739" t="s">
        <v>51</v>
      </c>
      <c r="R739" t="s">
        <v>48</v>
      </c>
      <c r="S739">
        <v>3</v>
      </c>
      <c r="T739">
        <f>YEAR(Sales_Data_1[[#This Row],[Order_Date]])</f>
        <v>2025</v>
      </c>
      <c r="U739" t="str">
        <f>TEXT(Sales_Data_1[[#This Row],[Order_Date]], "mmm")</f>
        <v>Jul</v>
      </c>
      <c r="V739">
        <f>MONTH(Sales_Data_1[[#This Row],[Order_Date]])</f>
        <v>7</v>
      </c>
      <c r="W739" t="str">
        <f>TEXT(Sales_Data_1[[#This Row],[Order_Date]], "yyyy-mm")</f>
        <v>2025-07</v>
      </c>
      <c r="X739">
        <f>Sales_Data_1[[#This Row],[Sales]]-Sales_Data_1[[#This Row],[Profit_Amount]]</f>
        <v>52560.91</v>
      </c>
      <c r="Y739" t="str" cm="1">
        <f t="array" ref="Y739">_xlfn.IFS(Sales_Data_1[[#This Row],[Delivery_Days]]&lt;=3, "Fast", Sales_Data_1[[#This Row],[Delivery_Days]]&lt;= 7, "Standard", TRUE, "Delayed")</f>
        <v>Fast</v>
      </c>
      <c r="Z739" t="str" cm="1">
        <f t="array" ref="Z739">_xlfn.IFS(Sales_Data_1[[#This Row],[Profit_Amount]]&gt; 0, "Profitable", Sales_Data_1[[#This Row],[Profit_Amount]] = 0, "Break-Even", TRUE, "Loss")</f>
        <v>Profitable</v>
      </c>
      <c r="AA739" t="str" cm="1">
        <f t="array" ref="AA739">_xlfn.IFS(Sales_Data_1[[#This Row],[Sales]]&gt;= 1000, "High Value", Sales_Data_1[[#This Row],[Sales]]&gt;= 300, "Mid Value", TRUE, "Low Value")</f>
        <v>High Value</v>
      </c>
    </row>
    <row r="740" spans="1:27" x14ac:dyDescent="0.3">
      <c r="A740" t="s">
        <v>2662</v>
      </c>
      <c r="B740" s="1">
        <v>45548</v>
      </c>
      <c r="C740" t="s">
        <v>63</v>
      </c>
      <c r="D740" t="s">
        <v>56</v>
      </c>
      <c r="E740" t="s">
        <v>2042</v>
      </c>
      <c r="F740" t="s">
        <v>23</v>
      </c>
      <c r="G740" t="s">
        <v>57</v>
      </c>
      <c r="H740" t="s">
        <v>81</v>
      </c>
      <c r="I740" t="s">
        <v>1304</v>
      </c>
      <c r="J740">
        <v>4</v>
      </c>
      <c r="K740">
        <v>18462</v>
      </c>
      <c r="L740">
        <v>0.11</v>
      </c>
      <c r="M740">
        <v>16431.18</v>
      </c>
      <c r="N740">
        <v>65724.72</v>
      </c>
      <c r="O740">
        <v>0.2</v>
      </c>
      <c r="P740">
        <v>13144.94</v>
      </c>
      <c r="Q740" t="s">
        <v>27</v>
      </c>
      <c r="R740" t="s">
        <v>48</v>
      </c>
      <c r="S740">
        <v>6</v>
      </c>
      <c r="T740">
        <f>YEAR(Sales_Data_1[[#This Row],[Order_Date]])</f>
        <v>2024</v>
      </c>
      <c r="U740" t="str">
        <f>TEXT(Sales_Data_1[[#This Row],[Order_Date]], "mmm")</f>
        <v>Sep</v>
      </c>
      <c r="V740">
        <f>MONTH(Sales_Data_1[[#This Row],[Order_Date]])</f>
        <v>9</v>
      </c>
      <c r="W740" t="str">
        <f>TEXT(Sales_Data_1[[#This Row],[Order_Date]], "yyyy-mm")</f>
        <v>2024-09</v>
      </c>
      <c r="X740">
        <f>Sales_Data_1[[#This Row],[Sales]]-Sales_Data_1[[#This Row],[Profit_Amount]]</f>
        <v>52579.78</v>
      </c>
      <c r="Y740" t="str" cm="1">
        <f t="array" ref="Y740">_xlfn.IFS(Sales_Data_1[[#This Row],[Delivery_Days]]&lt;=3, "Fast", Sales_Data_1[[#This Row],[Delivery_Days]]&lt;= 7, "Standard", TRUE, "Delayed")</f>
        <v>Standard</v>
      </c>
      <c r="Z740" t="str" cm="1">
        <f t="array" ref="Z740">_xlfn.IFS(Sales_Data_1[[#This Row],[Profit_Amount]]&gt; 0, "Profitable", Sales_Data_1[[#This Row],[Profit_Amount]] = 0, "Break-Even", TRUE, "Loss")</f>
        <v>Profitable</v>
      </c>
      <c r="AA740" t="str" cm="1">
        <f t="array" ref="AA740">_xlfn.IFS(Sales_Data_1[[#This Row],[Sales]]&gt;= 1000, "High Value", Sales_Data_1[[#This Row],[Sales]]&gt;= 300, "Mid Value", TRUE, "Low Value")</f>
        <v>High Value</v>
      </c>
    </row>
    <row r="741" spans="1:27" x14ac:dyDescent="0.3">
      <c r="A741" t="s">
        <v>2411</v>
      </c>
      <c r="B741" s="1">
        <v>45297</v>
      </c>
      <c r="C741" t="s">
        <v>40</v>
      </c>
      <c r="D741" t="s">
        <v>41</v>
      </c>
      <c r="E741" t="s">
        <v>2040</v>
      </c>
      <c r="F741" t="s">
        <v>43</v>
      </c>
      <c r="G741" t="s">
        <v>57</v>
      </c>
      <c r="H741" t="s">
        <v>183</v>
      </c>
      <c r="I741" t="s">
        <v>808</v>
      </c>
      <c r="J741">
        <v>6</v>
      </c>
      <c r="K741">
        <v>13543</v>
      </c>
      <c r="L741">
        <v>0.19</v>
      </c>
      <c r="M741">
        <v>10969.83</v>
      </c>
      <c r="N741">
        <v>65818.98</v>
      </c>
      <c r="O741">
        <v>0.2</v>
      </c>
      <c r="P741">
        <v>13163.8</v>
      </c>
      <c r="Q741" t="s">
        <v>51</v>
      </c>
      <c r="R741" t="s">
        <v>48</v>
      </c>
      <c r="S741">
        <v>3</v>
      </c>
      <c r="T741">
        <f>YEAR(Sales_Data_1[[#This Row],[Order_Date]])</f>
        <v>2024</v>
      </c>
      <c r="U741" t="str">
        <f>TEXT(Sales_Data_1[[#This Row],[Order_Date]], "mmm")</f>
        <v>Jan</v>
      </c>
      <c r="V741">
        <f>MONTH(Sales_Data_1[[#This Row],[Order_Date]])</f>
        <v>1</v>
      </c>
      <c r="W741" t="str">
        <f>TEXT(Sales_Data_1[[#This Row],[Order_Date]], "yyyy-mm")</f>
        <v>2024-01</v>
      </c>
      <c r="X741">
        <f>Sales_Data_1[[#This Row],[Sales]]-Sales_Data_1[[#This Row],[Profit_Amount]]</f>
        <v>52655.179999999993</v>
      </c>
      <c r="Y741" t="str" cm="1">
        <f t="array" ref="Y741">_xlfn.IFS(Sales_Data_1[[#This Row],[Delivery_Days]]&lt;=3, "Fast", Sales_Data_1[[#This Row],[Delivery_Days]]&lt;= 7, "Standard", TRUE, "Delayed")</f>
        <v>Fast</v>
      </c>
      <c r="Z741" t="str" cm="1">
        <f t="array" ref="Z741">_xlfn.IFS(Sales_Data_1[[#This Row],[Profit_Amount]]&gt; 0, "Profitable", Sales_Data_1[[#This Row],[Profit_Amount]] = 0, "Break-Even", TRUE, "Loss")</f>
        <v>Profitable</v>
      </c>
      <c r="AA741" t="str" cm="1">
        <f t="array" ref="AA741">_xlfn.IFS(Sales_Data_1[[#This Row],[Sales]]&gt;= 1000, "High Value", Sales_Data_1[[#This Row],[Sales]]&gt;= 300, "Mid Value", TRUE, "Low Value")</f>
        <v>High Value</v>
      </c>
    </row>
    <row r="742" spans="1:27" x14ac:dyDescent="0.3">
      <c r="A742" t="s">
        <v>2057</v>
      </c>
      <c r="B742" s="1">
        <v>44943</v>
      </c>
      <c r="C742" t="s">
        <v>55</v>
      </c>
      <c r="D742" t="s">
        <v>31</v>
      </c>
      <c r="E742" t="s">
        <v>2040</v>
      </c>
      <c r="F742" t="s">
        <v>68</v>
      </c>
      <c r="G742" t="s">
        <v>24</v>
      </c>
      <c r="H742" t="s">
        <v>74</v>
      </c>
      <c r="I742" t="s">
        <v>88</v>
      </c>
      <c r="J742">
        <v>5</v>
      </c>
      <c r="K742">
        <v>11246</v>
      </c>
      <c r="L742">
        <v>0.06</v>
      </c>
      <c r="M742">
        <v>10571.24</v>
      </c>
      <c r="N742">
        <v>52856.2</v>
      </c>
      <c r="O742">
        <v>0.25</v>
      </c>
      <c r="P742">
        <v>13214.05</v>
      </c>
      <c r="Q742" t="s">
        <v>51</v>
      </c>
      <c r="R742" t="s">
        <v>48</v>
      </c>
      <c r="S742">
        <v>7</v>
      </c>
      <c r="T742">
        <f>YEAR(Sales_Data_1[[#This Row],[Order_Date]])</f>
        <v>2023</v>
      </c>
      <c r="U742" t="str">
        <f>TEXT(Sales_Data_1[[#This Row],[Order_Date]], "mmm")</f>
        <v>Jan</v>
      </c>
      <c r="V742">
        <f>MONTH(Sales_Data_1[[#This Row],[Order_Date]])</f>
        <v>1</v>
      </c>
      <c r="W742" t="str">
        <f>TEXT(Sales_Data_1[[#This Row],[Order_Date]], "yyyy-mm")</f>
        <v>2023-01</v>
      </c>
      <c r="X742">
        <f>Sales_Data_1[[#This Row],[Sales]]-Sales_Data_1[[#This Row],[Profit_Amount]]</f>
        <v>39642.149999999994</v>
      </c>
      <c r="Y742" t="str" cm="1">
        <f t="array" ref="Y742">_xlfn.IFS(Sales_Data_1[[#This Row],[Delivery_Days]]&lt;=3, "Fast", Sales_Data_1[[#This Row],[Delivery_Days]]&lt;= 7, "Standard", TRUE, "Delayed")</f>
        <v>Standard</v>
      </c>
      <c r="Z742" t="str" cm="1">
        <f t="array" ref="Z742">_xlfn.IFS(Sales_Data_1[[#This Row],[Profit_Amount]]&gt; 0, "Profitable", Sales_Data_1[[#This Row],[Profit_Amount]] = 0, "Break-Even", TRUE, "Loss")</f>
        <v>Profitable</v>
      </c>
      <c r="AA742" t="str" cm="1">
        <f t="array" ref="AA742">_xlfn.IFS(Sales_Data_1[[#This Row],[Sales]]&gt;= 1000, "High Value", Sales_Data_1[[#This Row],[Sales]]&gt;= 300, "Mid Value", TRUE, "Low Value")</f>
        <v>High Value</v>
      </c>
    </row>
    <row r="743" spans="1:27" x14ac:dyDescent="0.3">
      <c r="A743" t="s">
        <v>2860</v>
      </c>
      <c r="B743" s="1">
        <v>45746</v>
      </c>
      <c r="C743" t="s">
        <v>55</v>
      </c>
      <c r="D743" t="s">
        <v>21</v>
      </c>
      <c r="E743" t="s">
        <v>67</v>
      </c>
      <c r="F743" t="s">
        <v>97</v>
      </c>
      <c r="G743" t="s">
        <v>24</v>
      </c>
      <c r="H743" t="s">
        <v>186</v>
      </c>
      <c r="I743" t="s">
        <v>1691</v>
      </c>
      <c r="J743">
        <v>6</v>
      </c>
      <c r="K743">
        <v>11028</v>
      </c>
      <c r="L743">
        <v>0.2</v>
      </c>
      <c r="M743">
        <v>8822.4</v>
      </c>
      <c r="N743">
        <v>52934.400000000001</v>
      </c>
      <c r="O743">
        <v>0.25</v>
      </c>
      <c r="P743">
        <v>13233.6</v>
      </c>
      <c r="Q743" t="s">
        <v>51</v>
      </c>
      <c r="R743" t="s">
        <v>48</v>
      </c>
      <c r="S743">
        <v>6</v>
      </c>
      <c r="T743">
        <f>YEAR(Sales_Data_1[[#This Row],[Order_Date]])</f>
        <v>2025</v>
      </c>
      <c r="U743" t="str">
        <f>TEXT(Sales_Data_1[[#This Row],[Order_Date]], "mmm")</f>
        <v>Mar</v>
      </c>
      <c r="V743">
        <f>MONTH(Sales_Data_1[[#This Row],[Order_Date]])</f>
        <v>3</v>
      </c>
      <c r="W743" t="str">
        <f>TEXT(Sales_Data_1[[#This Row],[Order_Date]], "yyyy-mm")</f>
        <v>2025-03</v>
      </c>
      <c r="X743">
        <f>Sales_Data_1[[#This Row],[Sales]]-Sales_Data_1[[#This Row],[Profit_Amount]]</f>
        <v>39700.800000000003</v>
      </c>
      <c r="Y743" t="str" cm="1">
        <f t="array" ref="Y743">_xlfn.IFS(Sales_Data_1[[#This Row],[Delivery_Days]]&lt;=3, "Fast", Sales_Data_1[[#This Row],[Delivery_Days]]&lt;= 7, "Standard", TRUE, "Delayed")</f>
        <v>Standard</v>
      </c>
      <c r="Z743" t="str" cm="1">
        <f t="array" ref="Z743">_xlfn.IFS(Sales_Data_1[[#This Row],[Profit_Amount]]&gt; 0, "Profitable", Sales_Data_1[[#This Row],[Profit_Amount]] = 0, "Break-Even", TRUE, "Loss")</f>
        <v>Profitable</v>
      </c>
      <c r="AA743" t="str" cm="1">
        <f t="array" ref="AA743">_xlfn.IFS(Sales_Data_1[[#This Row],[Sales]]&gt;= 1000, "High Value", Sales_Data_1[[#This Row],[Sales]]&gt;= 300, "Mid Value", TRUE, "Low Value")</f>
        <v>High Value</v>
      </c>
    </row>
    <row r="744" spans="1:27" x14ac:dyDescent="0.3">
      <c r="A744" t="s">
        <v>2737</v>
      </c>
      <c r="B744" s="1">
        <v>45623</v>
      </c>
      <c r="C744" t="s">
        <v>63</v>
      </c>
      <c r="D744" t="s">
        <v>21</v>
      </c>
      <c r="E744" t="s">
        <v>2042</v>
      </c>
      <c r="F744" t="s">
        <v>97</v>
      </c>
      <c r="G744" t="s">
        <v>24</v>
      </c>
      <c r="H744" t="s">
        <v>121</v>
      </c>
      <c r="I744" t="s">
        <v>1450</v>
      </c>
      <c r="J744">
        <v>7</v>
      </c>
      <c r="K744">
        <v>8697</v>
      </c>
      <c r="L744">
        <v>0.13</v>
      </c>
      <c r="M744">
        <v>7566.39</v>
      </c>
      <c r="N744">
        <v>52964.73</v>
      </c>
      <c r="O744">
        <v>0.25</v>
      </c>
      <c r="P744">
        <v>13241.18</v>
      </c>
      <c r="Q744" t="s">
        <v>51</v>
      </c>
      <c r="R744" t="s">
        <v>28</v>
      </c>
      <c r="S744">
        <v>1</v>
      </c>
      <c r="T744">
        <f>YEAR(Sales_Data_1[[#This Row],[Order_Date]])</f>
        <v>2024</v>
      </c>
      <c r="U744" t="str">
        <f>TEXT(Sales_Data_1[[#This Row],[Order_Date]], "mmm")</f>
        <v>Nov</v>
      </c>
      <c r="V744">
        <f>MONTH(Sales_Data_1[[#This Row],[Order_Date]])</f>
        <v>11</v>
      </c>
      <c r="W744" t="str">
        <f>TEXT(Sales_Data_1[[#This Row],[Order_Date]], "yyyy-mm")</f>
        <v>2024-11</v>
      </c>
      <c r="X744">
        <f>Sales_Data_1[[#This Row],[Sales]]-Sales_Data_1[[#This Row],[Profit_Amount]]</f>
        <v>39723.550000000003</v>
      </c>
      <c r="Y744" t="str" cm="1">
        <f t="array" ref="Y744">_xlfn.IFS(Sales_Data_1[[#This Row],[Delivery_Days]]&lt;=3, "Fast", Sales_Data_1[[#This Row],[Delivery_Days]]&lt;= 7, "Standard", TRUE, "Delayed")</f>
        <v>Fast</v>
      </c>
      <c r="Z744" t="str" cm="1">
        <f t="array" ref="Z744">_xlfn.IFS(Sales_Data_1[[#This Row],[Profit_Amount]]&gt; 0, "Profitable", Sales_Data_1[[#This Row],[Profit_Amount]] = 0, "Break-Even", TRUE, "Loss")</f>
        <v>Profitable</v>
      </c>
      <c r="AA744" t="str" cm="1">
        <f t="array" ref="AA744">_xlfn.IFS(Sales_Data_1[[#This Row],[Sales]]&gt;= 1000, "High Value", Sales_Data_1[[#This Row],[Sales]]&gt;= 300, "Mid Value", TRUE, "Low Value")</f>
        <v>High Value</v>
      </c>
    </row>
    <row r="745" spans="1:27" x14ac:dyDescent="0.3">
      <c r="A745" t="s">
        <v>2479</v>
      </c>
      <c r="B745" s="1">
        <v>45365</v>
      </c>
      <c r="C745" t="s">
        <v>63</v>
      </c>
      <c r="D745" t="s">
        <v>41</v>
      </c>
      <c r="E745" t="s">
        <v>67</v>
      </c>
      <c r="F745" t="s">
        <v>97</v>
      </c>
      <c r="G745" t="s">
        <v>24</v>
      </c>
      <c r="H745" t="s">
        <v>186</v>
      </c>
      <c r="I745" t="s">
        <v>926</v>
      </c>
      <c r="J745">
        <v>4</v>
      </c>
      <c r="K745">
        <v>14395</v>
      </c>
      <c r="L745">
        <v>0.08</v>
      </c>
      <c r="M745">
        <v>13243.4</v>
      </c>
      <c r="N745">
        <v>52973.599999999999</v>
      </c>
      <c r="O745">
        <v>0.25</v>
      </c>
      <c r="P745">
        <v>13243.4</v>
      </c>
      <c r="Q745" t="s">
        <v>51</v>
      </c>
      <c r="R745" t="s">
        <v>48</v>
      </c>
      <c r="S745">
        <v>8</v>
      </c>
      <c r="T745">
        <f>YEAR(Sales_Data_1[[#This Row],[Order_Date]])</f>
        <v>2024</v>
      </c>
      <c r="U745" t="str">
        <f>TEXT(Sales_Data_1[[#This Row],[Order_Date]], "mmm")</f>
        <v>Mar</v>
      </c>
      <c r="V745">
        <f>MONTH(Sales_Data_1[[#This Row],[Order_Date]])</f>
        <v>3</v>
      </c>
      <c r="W745" t="str">
        <f>TEXT(Sales_Data_1[[#This Row],[Order_Date]], "yyyy-mm")</f>
        <v>2024-03</v>
      </c>
      <c r="X745">
        <f>Sales_Data_1[[#This Row],[Sales]]-Sales_Data_1[[#This Row],[Profit_Amount]]</f>
        <v>39730.199999999997</v>
      </c>
      <c r="Y745" t="str" cm="1">
        <f t="array" ref="Y745">_xlfn.IFS(Sales_Data_1[[#This Row],[Delivery_Days]]&lt;=3, "Fast", Sales_Data_1[[#This Row],[Delivery_Days]]&lt;= 7, "Standard", TRUE, "Delayed")</f>
        <v>Delayed</v>
      </c>
      <c r="Z745" t="str" cm="1">
        <f t="array" ref="Z745">_xlfn.IFS(Sales_Data_1[[#This Row],[Profit_Amount]]&gt; 0, "Profitable", Sales_Data_1[[#This Row],[Profit_Amount]] = 0, "Break-Even", TRUE, "Loss")</f>
        <v>Profitable</v>
      </c>
      <c r="AA745" t="str" cm="1">
        <f t="array" ref="AA745">_xlfn.IFS(Sales_Data_1[[#This Row],[Sales]]&gt;= 1000, "High Value", Sales_Data_1[[#This Row],[Sales]]&gt;= 300, "Mid Value", TRUE, "Low Value")</f>
        <v>High Value</v>
      </c>
    </row>
    <row r="746" spans="1:27" x14ac:dyDescent="0.3">
      <c r="A746" t="s">
        <v>2605</v>
      </c>
      <c r="B746" s="1">
        <v>45491</v>
      </c>
      <c r="C746" t="s">
        <v>55</v>
      </c>
      <c r="D746" t="s">
        <v>21</v>
      </c>
      <c r="E746" t="s">
        <v>2040</v>
      </c>
      <c r="F746" t="s">
        <v>103</v>
      </c>
      <c r="G746" t="s">
        <v>24</v>
      </c>
      <c r="H746" t="s">
        <v>25</v>
      </c>
      <c r="I746" t="s">
        <v>1192</v>
      </c>
      <c r="J746">
        <v>4</v>
      </c>
      <c r="K746">
        <v>14885</v>
      </c>
      <c r="L746">
        <v>0.11</v>
      </c>
      <c r="M746">
        <v>13247.65</v>
      </c>
      <c r="N746">
        <v>52990.6</v>
      </c>
      <c r="O746">
        <v>0.25</v>
      </c>
      <c r="P746">
        <v>13247.65</v>
      </c>
      <c r="Q746" t="s">
        <v>27</v>
      </c>
      <c r="R746" t="s">
        <v>48</v>
      </c>
      <c r="S746">
        <v>7</v>
      </c>
      <c r="T746">
        <f>YEAR(Sales_Data_1[[#This Row],[Order_Date]])</f>
        <v>2024</v>
      </c>
      <c r="U746" t="str">
        <f>TEXT(Sales_Data_1[[#This Row],[Order_Date]], "mmm")</f>
        <v>Jul</v>
      </c>
      <c r="V746">
        <f>MONTH(Sales_Data_1[[#This Row],[Order_Date]])</f>
        <v>7</v>
      </c>
      <c r="W746" t="str">
        <f>TEXT(Sales_Data_1[[#This Row],[Order_Date]], "yyyy-mm")</f>
        <v>2024-07</v>
      </c>
      <c r="X746">
        <f>Sales_Data_1[[#This Row],[Sales]]-Sales_Data_1[[#This Row],[Profit_Amount]]</f>
        <v>39742.949999999997</v>
      </c>
      <c r="Y746" t="str" cm="1">
        <f t="array" ref="Y746">_xlfn.IFS(Sales_Data_1[[#This Row],[Delivery_Days]]&lt;=3, "Fast", Sales_Data_1[[#This Row],[Delivery_Days]]&lt;= 7, "Standard", TRUE, "Delayed")</f>
        <v>Standard</v>
      </c>
      <c r="Z746" t="str" cm="1">
        <f t="array" ref="Z746">_xlfn.IFS(Sales_Data_1[[#This Row],[Profit_Amount]]&gt; 0, "Profitable", Sales_Data_1[[#This Row],[Profit_Amount]] = 0, "Break-Even", TRUE, "Loss")</f>
        <v>Profitable</v>
      </c>
      <c r="AA746" t="str" cm="1">
        <f t="array" ref="AA746">_xlfn.IFS(Sales_Data_1[[#This Row],[Sales]]&gt;= 1000, "High Value", Sales_Data_1[[#This Row],[Sales]]&gt;= 300, "Mid Value", TRUE, "Low Value")</f>
        <v>High Value</v>
      </c>
    </row>
    <row r="747" spans="1:27" x14ac:dyDescent="0.3">
      <c r="A747" t="s">
        <v>2909</v>
      </c>
      <c r="B747" s="1">
        <v>45795</v>
      </c>
      <c r="C747" t="s">
        <v>96</v>
      </c>
      <c r="D747" t="s">
        <v>21</v>
      </c>
      <c r="E747" t="s">
        <v>67</v>
      </c>
      <c r="F747" t="s">
        <v>43</v>
      </c>
      <c r="G747" t="s">
        <v>57</v>
      </c>
      <c r="H747" t="s">
        <v>100</v>
      </c>
      <c r="I747" t="s">
        <v>101</v>
      </c>
      <c r="J747">
        <v>5</v>
      </c>
      <c r="K747">
        <v>14835</v>
      </c>
      <c r="L747">
        <v>0.1</v>
      </c>
      <c r="M747">
        <v>13351.5</v>
      </c>
      <c r="N747">
        <v>66757.5</v>
      </c>
      <c r="O747">
        <v>0.2</v>
      </c>
      <c r="P747">
        <v>13351.5</v>
      </c>
      <c r="Q747" t="s">
        <v>51</v>
      </c>
      <c r="R747" t="s">
        <v>48</v>
      </c>
      <c r="S747">
        <v>2</v>
      </c>
      <c r="T747">
        <f>YEAR(Sales_Data_1[[#This Row],[Order_Date]])</f>
        <v>2025</v>
      </c>
      <c r="U747" t="str">
        <f>TEXT(Sales_Data_1[[#This Row],[Order_Date]], "mmm")</f>
        <v>May</v>
      </c>
      <c r="V747">
        <f>MONTH(Sales_Data_1[[#This Row],[Order_Date]])</f>
        <v>5</v>
      </c>
      <c r="W747" t="str">
        <f>TEXT(Sales_Data_1[[#This Row],[Order_Date]], "yyyy-mm")</f>
        <v>2025-05</v>
      </c>
      <c r="X747">
        <f>Sales_Data_1[[#This Row],[Sales]]-Sales_Data_1[[#This Row],[Profit_Amount]]</f>
        <v>53406</v>
      </c>
      <c r="Y747" t="str" cm="1">
        <f t="array" ref="Y747">_xlfn.IFS(Sales_Data_1[[#This Row],[Delivery_Days]]&lt;=3, "Fast", Sales_Data_1[[#This Row],[Delivery_Days]]&lt;= 7, "Standard", TRUE, "Delayed")</f>
        <v>Fast</v>
      </c>
      <c r="Z747" t="str" cm="1">
        <f t="array" ref="Z747">_xlfn.IFS(Sales_Data_1[[#This Row],[Profit_Amount]]&gt; 0, "Profitable", Sales_Data_1[[#This Row],[Profit_Amount]] = 0, "Break-Even", TRUE, "Loss")</f>
        <v>Profitable</v>
      </c>
      <c r="AA747" t="str" cm="1">
        <f t="array" ref="AA747">_xlfn.IFS(Sales_Data_1[[#This Row],[Sales]]&gt;= 1000, "High Value", Sales_Data_1[[#This Row],[Sales]]&gt;= 300, "Mid Value", TRUE, "Low Value")</f>
        <v>High Value</v>
      </c>
    </row>
    <row r="748" spans="1:27" x14ac:dyDescent="0.3">
      <c r="A748" t="s">
        <v>2814</v>
      </c>
      <c r="B748" s="1">
        <v>45700</v>
      </c>
      <c r="C748" t="s">
        <v>55</v>
      </c>
      <c r="D748" t="s">
        <v>56</v>
      </c>
      <c r="E748" t="s">
        <v>42</v>
      </c>
      <c r="F748" t="s">
        <v>33</v>
      </c>
      <c r="G748" t="s">
        <v>57</v>
      </c>
      <c r="H748" t="s">
        <v>81</v>
      </c>
      <c r="I748" t="s">
        <v>1600</v>
      </c>
      <c r="J748">
        <v>5</v>
      </c>
      <c r="K748">
        <v>16537</v>
      </c>
      <c r="L748">
        <v>0.19</v>
      </c>
      <c r="M748">
        <v>13394.97</v>
      </c>
      <c r="N748">
        <v>66974.850000000006</v>
      </c>
      <c r="O748">
        <v>0.2</v>
      </c>
      <c r="P748">
        <v>13394.97</v>
      </c>
      <c r="Q748" t="s">
        <v>37</v>
      </c>
      <c r="R748" t="s">
        <v>48</v>
      </c>
      <c r="S748">
        <v>7</v>
      </c>
      <c r="T748">
        <f>YEAR(Sales_Data_1[[#This Row],[Order_Date]])</f>
        <v>2025</v>
      </c>
      <c r="U748" t="str">
        <f>TEXT(Sales_Data_1[[#This Row],[Order_Date]], "mmm")</f>
        <v>Feb</v>
      </c>
      <c r="V748">
        <f>MONTH(Sales_Data_1[[#This Row],[Order_Date]])</f>
        <v>2</v>
      </c>
      <c r="W748" t="str">
        <f>TEXT(Sales_Data_1[[#This Row],[Order_Date]], "yyyy-mm")</f>
        <v>2025-02</v>
      </c>
      <c r="X748">
        <f>Sales_Data_1[[#This Row],[Sales]]-Sales_Data_1[[#This Row],[Profit_Amount]]</f>
        <v>53579.880000000005</v>
      </c>
      <c r="Y748" t="str" cm="1">
        <f t="array" ref="Y748">_xlfn.IFS(Sales_Data_1[[#This Row],[Delivery_Days]]&lt;=3, "Fast", Sales_Data_1[[#This Row],[Delivery_Days]]&lt;= 7, "Standard", TRUE, "Delayed")</f>
        <v>Standard</v>
      </c>
      <c r="Z748" t="str" cm="1">
        <f t="array" ref="Z748">_xlfn.IFS(Sales_Data_1[[#This Row],[Profit_Amount]]&gt; 0, "Profitable", Sales_Data_1[[#This Row],[Profit_Amount]] = 0, "Break-Even", TRUE, "Loss")</f>
        <v>Profitable</v>
      </c>
      <c r="AA748" t="str" cm="1">
        <f t="array" ref="AA748">_xlfn.IFS(Sales_Data_1[[#This Row],[Sales]]&gt;= 1000, "High Value", Sales_Data_1[[#This Row],[Sales]]&gt;= 300, "Mid Value", TRUE, "Low Value")</f>
        <v>High Value</v>
      </c>
    </row>
    <row r="749" spans="1:27" x14ac:dyDescent="0.3">
      <c r="A749" t="s">
        <v>2766</v>
      </c>
      <c r="B749" s="1">
        <v>45652</v>
      </c>
      <c r="C749" t="s">
        <v>30</v>
      </c>
      <c r="D749" t="s">
        <v>21</v>
      </c>
      <c r="E749" t="s">
        <v>2042</v>
      </c>
      <c r="F749" t="s">
        <v>68</v>
      </c>
      <c r="G749" t="s">
        <v>92</v>
      </c>
      <c r="H749" t="s">
        <v>93</v>
      </c>
      <c r="I749" t="s">
        <v>1507</v>
      </c>
      <c r="J749">
        <v>6</v>
      </c>
      <c r="K749">
        <v>18894</v>
      </c>
      <c r="L749">
        <v>0.21</v>
      </c>
      <c r="M749">
        <v>14926.26</v>
      </c>
      <c r="N749">
        <v>89557.56</v>
      </c>
      <c r="O749">
        <v>0.15</v>
      </c>
      <c r="P749">
        <v>13433.63</v>
      </c>
      <c r="Q749" t="s">
        <v>27</v>
      </c>
      <c r="R749" t="s">
        <v>48</v>
      </c>
      <c r="S749">
        <v>4</v>
      </c>
      <c r="T749">
        <f>YEAR(Sales_Data_1[[#This Row],[Order_Date]])</f>
        <v>2024</v>
      </c>
      <c r="U749" t="str">
        <f>TEXT(Sales_Data_1[[#This Row],[Order_Date]], "mmm")</f>
        <v>Dec</v>
      </c>
      <c r="V749">
        <f>MONTH(Sales_Data_1[[#This Row],[Order_Date]])</f>
        <v>12</v>
      </c>
      <c r="W749" t="str">
        <f>TEXT(Sales_Data_1[[#This Row],[Order_Date]], "yyyy-mm")</f>
        <v>2024-12</v>
      </c>
      <c r="X749">
        <f>Sales_Data_1[[#This Row],[Sales]]-Sales_Data_1[[#This Row],[Profit_Amount]]</f>
        <v>76123.929999999993</v>
      </c>
      <c r="Y749" t="str" cm="1">
        <f t="array" ref="Y749">_xlfn.IFS(Sales_Data_1[[#This Row],[Delivery_Days]]&lt;=3, "Fast", Sales_Data_1[[#This Row],[Delivery_Days]]&lt;= 7, "Standard", TRUE, "Delayed")</f>
        <v>Standard</v>
      </c>
      <c r="Z749" t="str" cm="1">
        <f t="array" ref="Z749">_xlfn.IFS(Sales_Data_1[[#This Row],[Profit_Amount]]&gt; 0, "Profitable", Sales_Data_1[[#This Row],[Profit_Amount]] = 0, "Break-Even", TRUE, "Loss")</f>
        <v>Profitable</v>
      </c>
      <c r="AA749" t="str" cm="1">
        <f t="array" ref="AA749">_xlfn.IFS(Sales_Data_1[[#This Row],[Sales]]&gt;= 1000, "High Value", Sales_Data_1[[#This Row],[Sales]]&gt;= 300, "Mid Value", TRUE, "Low Value")</f>
        <v>High Value</v>
      </c>
    </row>
    <row r="750" spans="1:27" x14ac:dyDescent="0.3">
      <c r="A750" t="s">
        <v>2412</v>
      </c>
      <c r="B750" s="1">
        <v>45298</v>
      </c>
      <c r="C750" t="s">
        <v>40</v>
      </c>
      <c r="D750" t="s">
        <v>56</v>
      </c>
      <c r="E750" t="s">
        <v>67</v>
      </c>
      <c r="F750" t="s">
        <v>23</v>
      </c>
      <c r="G750" t="s">
        <v>24</v>
      </c>
      <c r="H750" t="s">
        <v>74</v>
      </c>
      <c r="I750" t="s">
        <v>810</v>
      </c>
      <c r="J750">
        <v>5</v>
      </c>
      <c r="K750">
        <v>13987</v>
      </c>
      <c r="L750">
        <v>0.23</v>
      </c>
      <c r="M750">
        <v>10769.99</v>
      </c>
      <c r="N750">
        <v>53849.95</v>
      </c>
      <c r="O750">
        <v>0.25</v>
      </c>
      <c r="P750">
        <v>13462.49</v>
      </c>
      <c r="Q750" t="s">
        <v>27</v>
      </c>
      <c r="R750" t="s">
        <v>48</v>
      </c>
      <c r="S750">
        <v>7</v>
      </c>
      <c r="T750">
        <f>YEAR(Sales_Data_1[[#This Row],[Order_Date]])</f>
        <v>2024</v>
      </c>
      <c r="U750" t="str">
        <f>TEXT(Sales_Data_1[[#This Row],[Order_Date]], "mmm")</f>
        <v>Jan</v>
      </c>
      <c r="V750">
        <f>MONTH(Sales_Data_1[[#This Row],[Order_Date]])</f>
        <v>1</v>
      </c>
      <c r="W750" t="str">
        <f>TEXT(Sales_Data_1[[#This Row],[Order_Date]], "yyyy-mm")</f>
        <v>2024-01</v>
      </c>
      <c r="X750">
        <f>Sales_Data_1[[#This Row],[Sales]]-Sales_Data_1[[#This Row],[Profit_Amount]]</f>
        <v>40387.46</v>
      </c>
      <c r="Y750" t="str" cm="1">
        <f t="array" ref="Y750">_xlfn.IFS(Sales_Data_1[[#This Row],[Delivery_Days]]&lt;=3, "Fast", Sales_Data_1[[#This Row],[Delivery_Days]]&lt;= 7, "Standard", TRUE, "Delayed")</f>
        <v>Standard</v>
      </c>
      <c r="Z750" t="str" cm="1">
        <f t="array" ref="Z750">_xlfn.IFS(Sales_Data_1[[#This Row],[Profit_Amount]]&gt; 0, "Profitable", Sales_Data_1[[#This Row],[Profit_Amount]] = 0, "Break-Even", TRUE, "Loss")</f>
        <v>Profitable</v>
      </c>
      <c r="AA750" t="str" cm="1">
        <f t="array" ref="AA750">_xlfn.IFS(Sales_Data_1[[#This Row],[Sales]]&gt;= 1000, "High Value", Sales_Data_1[[#This Row],[Sales]]&gt;= 300, "Mid Value", TRUE, "Low Value")</f>
        <v>High Value</v>
      </c>
    </row>
    <row r="751" spans="1:27" x14ac:dyDescent="0.3">
      <c r="A751" t="s">
        <v>2142</v>
      </c>
      <c r="B751" s="1">
        <v>45028</v>
      </c>
      <c r="C751" t="s">
        <v>40</v>
      </c>
      <c r="D751" t="s">
        <v>21</v>
      </c>
      <c r="E751" t="s">
        <v>2042</v>
      </c>
      <c r="F751" t="s">
        <v>97</v>
      </c>
      <c r="G751" t="s">
        <v>92</v>
      </c>
      <c r="H751" t="s">
        <v>109</v>
      </c>
      <c r="I751" t="s">
        <v>274</v>
      </c>
      <c r="J751">
        <v>2</v>
      </c>
      <c r="K751">
        <v>45046</v>
      </c>
      <c r="L751">
        <v>0</v>
      </c>
      <c r="M751">
        <v>45046</v>
      </c>
      <c r="N751">
        <v>90092</v>
      </c>
      <c r="O751">
        <v>0.15</v>
      </c>
      <c r="P751">
        <v>13513.8</v>
      </c>
      <c r="Q751" t="s">
        <v>37</v>
      </c>
      <c r="R751" t="s">
        <v>48</v>
      </c>
      <c r="S751">
        <v>7</v>
      </c>
      <c r="T751">
        <f>YEAR(Sales_Data_1[[#This Row],[Order_Date]])</f>
        <v>2023</v>
      </c>
      <c r="U751" t="str">
        <f>TEXT(Sales_Data_1[[#This Row],[Order_Date]], "mmm")</f>
        <v>Apr</v>
      </c>
      <c r="V751">
        <f>MONTH(Sales_Data_1[[#This Row],[Order_Date]])</f>
        <v>4</v>
      </c>
      <c r="W751" t="str">
        <f>TEXT(Sales_Data_1[[#This Row],[Order_Date]], "yyyy-mm")</f>
        <v>2023-04</v>
      </c>
      <c r="X751">
        <f>Sales_Data_1[[#This Row],[Sales]]-Sales_Data_1[[#This Row],[Profit_Amount]]</f>
        <v>76578.2</v>
      </c>
      <c r="Y751" t="str" cm="1">
        <f t="array" ref="Y751">_xlfn.IFS(Sales_Data_1[[#This Row],[Delivery_Days]]&lt;=3, "Fast", Sales_Data_1[[#This Row],[Delivery_Days]]&lt;= 7, "Standard", TRUE, "Delayed")</f>
        <v>Standard</v>
      </c>
      <c r="Z751" t="str" cm="1">
        <f t="array" ref="Z751">_xlfn.IFS(Sales_Data_1[[#This Row],[Profit_Amount]]&gt; 0, "Profitable", Sales_Data_1[[#This Row],[Profit_Amount]] = 0, "Break-Even", TRUE, "Loss")</f>
        <v>Profitable</v>
      </c>
      <c r="AA751" t="str" cm="1">
        <f t="array" ref="AA751">_xlfn.IFS(Sales_Data_1[[#This Row],[Sales]]&gt;= 1000, "High Value", Sales_Data_1[[#This Row],[Sales]]&gt;= 300, "Mid Value", TRUE, "Low Value")</f>
        <v>High Value</v>
      </c>
    </row>
    <row r="752" spans="1:27" x14ac:dyDescent="0.3">
      <c r="A752" t="s">
        <v>2178</v>
      </c>
      <c r="B752" s="1">
        <v>45064</v>
      </c>
      <c r="C752" t="s">
        <v>20</v>
      </c>
      <c r="D752" t="s">
        <v>41</v>
      </c>
      <c r="E752" t="s">
        <v>2040</v>
      </c>
      <c r="F752" t="s">
        <v>23</v>
      </c>
      <c r="G752" t="s">
        <v>57</v>
      </c>
      <c r="H752" t="s">
        <v>183</v>
      </c>
      <c r="I752" t="s">
        <v>346</v>
      </c>
      <c r="J752">
        <v>5</v>
      </c>
      <c r="K752">
        <v>17563</v>
      </c>
      <c r="L752">
        <v>0.23</v>
      </c>
      <c r="M752">
        <v>13523.51</v>
      </c>
      <c r="N752">
        <v>67617.55</v>
      </c>
      <c r="O752">
        <v>0.2</v>
      </c>
      <c r="P752">
        <v>13523.51</v>
      </c>
      <c r="Q752" t="s">
        <v>27</v>
      </c>
      <c r="R752" t="s">
        <v>48</v>
      </c>
      <c r="S752">
        <v>9</v>
      </c>
      <c r="T752">
        <f>YEAR(Sales_Data_1[[#This Row],[Order_Date]])</f>
        <v>2023</v>
      </c>
      <c r="U752" t="str">
        <f>TEXT(Sales_Data_1[[#This Row],[Order_Date]], "mmm")</f>
        <v>May</v>
      </c>
      <c r="V752">
        <f>MONTH(Sales_Data_1[[#This Row],[Order_Date]])</f>
        <v>5</v>
      </c>
      <c r="W752" t="str">
        <f>TEXT(Sales_Data_1[[#This Row],[Order_Date]], "yyyy-mm")</f>
        <v>2023-05</v>
      </c>
      <c r="X752">
        <f>Sales_Data_1[[#This Row],[Sales]]-Sales_Data_1[[#This Row],[Profit_Amount]]</f>
        <v>54094.04</v>
      </c>
      <c r="Y752" t="str" cm="1">
        <f t="array" ref="Y752">_xlfn.IFS(Sales_Data_1[[#This Row],[Delivery_Days]]&lt;=3, "Fast", Sales_Data_1[[#This Row],[Delivery_Days]]&lt;= 7, "Standard", TRUE, "Delayed")</f>
        <v>Delayed</v>
      </c>
      <c r="Z752" t="str" cm="1">
        <f t="array" ref="Z752">_xlfn.IFS(Sales_Data_1[[#This Row],[Profit_Amount]]&gt; 0, "Profitable", Sales_Data_1[[#This Row],[Profit_Amount]] = 0, "Break-Even", TRUE, "Loss")</f>
        <v>Profitable</v>
      </c>
      <c r="AA752" t="str" cm="1">
        <f t="array" ref="AA752">_xlfn.IFS(Sales_Data_1[[#This Row],[Sales]]&gt;= 1000, "High Value", Sales_Data_1[[#This Row],[Sales]]&gt;= 300, "Mid Value", TRUE, "Low Value")</f>
        <v>High Value</v>
      </c>
    </row>
    <row r="753" spans="1:27" x14ac:dyDescent="0.3">
      <c r="A753" t="s">
        <v>2744</v>
      </c>
      <c r="B753" s="1">
        <v>45630</v>
      </c>
      <c r="C753" t="s">
        <v>40</v>
      </c>
      <c r="D753" t="s">
        <v>56</v>
      </c>
      <c r="E753" t="s">
        <v>42</v>
      </c>
      <c r="F753" t="s">
        <v>23</v>
      </c>
      <c r="G753" t="s">
        <v>24</v>
      </c>
      <c r="H753" t="s">
        <v>25</v>
      </c>
      <c r="I753" t="s">
        <v>1464</v>
      </c>
      <c r="J753">
        <v>5</v>
      </c>
      <c r="K753">
        <v>10951</v>
      </c>
      <c r="L753">
        <v>0.01</v>
      </c>
      <c r="M753">
        <v>10841.49</v>
      </c>
      <c r="N753">
        <v>54207.45</v>
      </c>
      <c r="O753">
        <v>0.25</v>
      </c>
      <c r="P753">
        <v>13551.86</v>
      </c>
      <c r="Q753" t="s">
        <v>27</v>
      </c>
      <c r="R753" t="s">
        <v>48</v>
      </c>
      <c r="S753">
        <v>4</v>
      </c>
      <c r="T753">
        <f>YEAR(Sales_Data_1[[#This Row],[Order_Date]])</f>
        <v>2024</v>
      </c>
      <c r="U753" t="str">
        <f>TEXT(Sales_Data_1[[#This Row],[Order_Date]], "mmm")</f>
        <v>Dec</v>
      </c>
      <c r="V753">
        <f>MONTH(Sales_Data_1[[#This Row],[Order_Date]])</f>
        <v>12</v>
      </c>
      <c r="W753" t="str">
        <f>TEXT(Sales_Data_1[[#This Row],[Order_Date]], "yyyy-mm")</f>
        <v>2024-12</v>
      </c>
      <c r="X753">
        <f>Sales_Data_1[[#This Row],[Sales]]-Sales_Data_1[[#This Row],[Profit_Amount]]</f>
        <v>40655.589999999997</v>
      </c>
      <c r="Y753" t="str" cm="1">
        <f t="array" ref="Y753">_xlfn.IFS(Sales_Data_1[[#This Row],[Delivery_Days]]&lt;=3, "Fast", Sales_Data_1[[#This Row],[Delivery_Days]]&lt;= 7, "Standard", TRUE, "Delayed")</f>
        <v>Standard</v>
      </c>
      <c r="Z753" t="str" cm="1">
        <f t="array" ref="Z753">_xlfn.IFS(Sales_Data_1[[#This Row],[Profit_Amount]]&gt; 0, "Profitable", Sales_Data_1[[#This Row],[Profit_Amount]] = 0, "Break-Even", TRUE, "Loss")</f>
        <v>Profitable</v>
      </c>
      <c r="AA753" t="str" cm="1">
        <f t="array" ref="AA753">_xlfn.IFS(Sales_Data_1[[#This Row],[Sales]]&gt;= 1000, "High Value", Sales_Data_1[[#This Row],[Sales]]&gt;= 300, "Mid Value", TRUE, "Low Value")</f>
        <v>High Value</v>
      </c>
    </row>
    <row r="754" spans="1:27" x14ac:dyDescent="0.3">
      <c r="A754" t="s">
        <v>2187</v>
      </c>
      <c r="B754" s="1">
        <v>45073</v>
      </c>
      <c r="C754" t="s">
        <v>30</v>
      </c>
      <c r="D754" t="s">
        <v>56</v>
      </c>
      <c r="E754" t="s">
        <v>67</v>
      </c>
      <c r="F754" t="s">
        <v>43</v>
      </c>
      <c r="G754" t="s">
        <v>24</v>
      </c>
      <c r="H754" t="s">
        <v>186</v>
      </c>
      <c r="I754" t="s">
        <v>364</v>
      </c>
      <c r="J754">
        <v>5</v>
      </c>
      <c r="K754">
        <v>11573</v>
      </c>
      <c r="L754">
        <v>0.06</v>
      </c>
      <c r="M754">
        <v>10878.62</v>
      </c>
      <c r="N754">
        <v>54393.1</v>
      </c>
      <c r="O754">
        <v>0.25</v>
      </c>
      <c r="P754">
        <v>13598.28</v>
      </c>
      <c r="Q754" t="s">
        <v>37</v>
      </c>
      <c r="R754" t="s">
        <v>48</v>
      </c>
      <c r="S754">
        <v>2</v>
      </c>
      <c r="T754">
        <f>YEAR(Sales_Data_1[[#This Row],[Order_Date]])</f>
        <v>2023</v>
      </c>
      <c r="U754" t="str">
        <f>TEXT(Sales_Data_1[[#This Row],[Order_Date]], "mmm")</f>
        <v>May</v>
      </c>
      <c r="V754">
        <f>MONTH(Sales_Data_1[[#This Row],[Order_Date]])</f>
        <v>5</v>
      </c>
      <c r="W754" t="str">
        <f>TEXT(Sales_Data_1[[#This Row],[Order_Date]], "yyyy-mm")</f>
        <v>2023-05</v>
      </c>
      <c r="X754">
        <f>Sales_Data_1[[#This Row],[Sales]]-Sales_Data_1[[#This Row],[Profit_Amount]]</f>
        <v>40794.82</v>
      </c>
      <c r="Y754" t="str" cm="1">
        <f t="array" ref="Y754">_xlfn.IFS(Sales_Data_1[[#This Row],[Delivery_Days]]&lt;=3, "Fast", Sales_Data_1[[#This Row],[Delivery_Days]]&lt;= 7, "Standard", TRUE, "Delayed")</f>
        <v>Fast</v>
      </c>
      <c r="Z754" t="str" cm="1">
        <f t="array" ref="Z754">_xlfn.IFS(Sales_Data_1[[#This Row],[Profit_Amount]]&gt; 0, "Profitable", Sales_Data_1[[#This Row],[Profit_Amount]] = 0, "Break-Even", TRUE, "Loss")</f>
        <v>Profitable</v>
      </c>
      <c r="AA754" t="str" cm="1">
        <f t="array" ref="AA754">_xlfn.IFS(Sales_Data_1[[#This Row],[Sales]]&gt;= 1000, "High Value", Sales_Data_1[[#This Row],[Sales]]&gt;= 300, "Mid Value", TRUE, "Low Value")</f>
        <v>High Value</v>
      </c>
    </row>
    <row r="755" spans="1:27" x14ac:dyDescent="0.3">
      <c r="A755" t="s">
        <v>2072</v>
      </c>
      <c r="B755" s="1">
        <v>44958</v>
      </c>
      <c r="C755" t="s">
        <v>55</v>
      </c>
      <c r="D755" t="s">
        <v>21</v>
      </c>
      <c r="E755" t="s">
        <v>2042</v>
      </c>
      <c r="F755" t="s">
        <v>103</v>
      </c>
      <c r="G755" t="s">
        <v>24</v>
      </c>
      <c r="H755" t="s">
        <v>25</v>
      </c>
      <c r="I755" t="s">
        <v>128</v>
      </c>
      <c r="J755">
        <v>5</v>
      </c>
      <c r="K755">
        <v>11361</v>
      </c>
      <c r="L755">
        <v>0.04</v>
      </c>
      <c r="M755">
        <v>10906.56</v>
      </c>
      <c r="N755">
        <v>54532.800000000003</v>
      </c>
      <c r="O755">
        <v>0.25</v>
      </c>
      <c r="P755">
        <v>13633.2</v>
      </c>
      <c r="Q755" t="s">
        <v>27</v>
      </c>
      <c r="R755" t="s">
        <v>28</v>
      </c>
      <c r="S755">
        <v>2</v>
      </c>
      <c r="T755">
        <f>YEAR(Sales_Data_1[[#This Row],[Order_Date]])</f>
        <v>2023</v>
      </c>
      <c r="U755" t="str">
        <f>TEXT(Sales_Data_1[[#This Row],[Order_Date]], "mmm")</f>
        <v>Feb</v>
      </c>
      <c r="V755">
        <f>MONTH(Sales_Data_1[[#This Row],[Order_Date]])</f>
        <v>2</v>
      </c>
      <c r="W755" t="str">
        <f>TEXT(Sales_Data_1[[#This Row],[Order_Date]], "yyyy-mm")</f>
        <v>2023-02</v>
      </c>
      <c r="X755">
        <f>Sales_Data_1[[#This Row],[Sales]]-Sales_Data_1[[#This Row],[Profit_Amount]]</f>
        <v>40899.600000000006</v>
      </c>
      <c r="Y755" t="str" cm="1">
        <f t="array" ref="Y755">_xlfn.IFS(Sales_Data_1[[#This Row],[Delivery_Days]]&lt;=3, "Fast", Sales_Data_1[[#This Row],[Delivery_Days]]&lt;= 7, "Standard", TRUE, "Delayed")</f>
        <v>Fast</v>
      </c>
      <c r="Z755" t="str" cm="1">
        <f t="array" ref="Z755">_xlfn.IFS(Sales_Data_1[[#This Row],[Profit_Amount]]&gt; 0, "Profitable", Sales_Data_1[[#This Row],[Profit_Amount]] = 0, "Break-Even", TRUE, "Loss")</f>
        <v>Profitable</v>
      </c>
      <c r="AA755" t="str" cm="1">
        <f t="array" ref="AA755">_xlfn.IFS(Sales_Data_1[[#This Row],[Sales]]&gt;= 1000, "High Value", Sales_Data_1[[#This Row],[Sales]]&gt;= 300, "Mid Value", TRUE, "Low Value")</f>
        <v>High Value</v>
      </c>
    </row>
    <row r="756" spans="1:27" x14ac:dyDescent="0.3">
      <c r="A756" t="s">
        <v>2160</v>
      </c>
      <c r="B756" s="1">
        <v>45046</v>
      </c>
      <c r="C756" t="s">
        <v>40</v>
      </c>
      <c r="D756" t="s">
        <v>41</v>
      </c>
      <c r="E756" t="s">
        <v>2042</v>
      </c>
      <c r="F756" t="s">
        <v>43</v>
      </c>
      <c r="G756" t="s">
        <v>57</v>
      </c>
      <c r="H756" t="s">
        <v>58</v>
      </c>
      <c r="I756" t="s">
        <v>310</v>
      </c>
      <c r="J756">
        <v>6</v>
      </c>
      <c r="K756">
        <v>13970</v>
      </c>
      <c r="L756">
        <v>0.18</v>
      </c>
      <c r="M756">
        <v>11455.4</v>
      </c>
      <c r="N756">
        <v>68732.399999999994</v>
      </c>
      <c r="O756">
        <v>0.2</v>
      </c>
      <c r="P756">
        <v>13746.48</v>
      </c>
      <c r="Q756" t="s">
        <v>37</v>
      </c>
      <c r="R756" t="s">
        <v>48</v>
      </c>
      <c r="S756">
        <v>6</v>
      </c>
      <c r="T756">
        <f>YEAR(Sales_Data_1[[#This Row],[Order_Date]])</f>
        <v>2023</v>
      </c>
      <c r="U756" t="str">
        <f>TEXT(Sales_Data_1[[#This Row],[Order_Date]], "mmm")</f>
        <v>Apr</v>
      </c>
      <c r="V756">
        <f>MONTH(Sales_Data_1[[#This Row],[Order_Date]])</f>
        <v>4</v>
      </c>
      <c r="W756" t="str">
        <f>TEXT(Sales_Data_1[[#This Row],[Order_Date]], "yyyy-mm")</f>
        <v>2023-04</v>
      </c>
      <c r="X756">
        <f>Sales_Data_1[[#This Row],[Sales]]-Sales_Data_1[[#This Row],[Profit_Amount]]</f>
        <v>54985.919999999998</v>
      </c>
      <c r="Y756" t="str" cm="1">
        <f t="array" ref="Y756">_xlfn.IFS(Sales_Data_1[[#This Row],[Delivery_Days]]&lt;=3, "Fast", Sales_Data_1[[#This Row],[Delivery_Days]]&lt;= 7, "Standard", TRUE, "Delayed")</f>
        <v>Standard</v>
      </c>
      <c r="Z756" t="str" cm="1">
        <f t="array" ref="Z756">_xlfn.IFS(Sales_Data_1[[#This Row],[Profit_Amount]]&gt; 0, "Profitable", Sales_Data_1[[#This Row],[Profit_Amount]] = 0, "Break-Even", TRUE, "Loss")</f>
        <v>Profitable</v>
      </c>
      <c r="AA756" t="str" cm="1">
        <f t="array" ref="AA756">_xlfn.IFS(Sales_Data_1[[#This Row],[Sales]]&gt;= 1000, "High Value", Sales_Data_1[[#This Row],[Sales]]&gt;= 300, "Mid Value", TRUE, "Low Value")</f>
        <v>High Value</v>
      </c>
    </row>
    <row r="757" spans="1:27" x14ac:dyDescent="0.3">
      <c r="A757" t="s">
        <v>2271</v>
      </c>
      <c r="B757" s="1">
        <v>45157</v>
      </c>
      <c r="C757" t="s">
        <v>20</v>
      </c>
      <c r="D757" t="s">
        <v>21</v>
      </c>
      <c r="E757" t="s">
        <v>2042</v>
      </c>
      <c r="F757" t="s">
        <v>33</v>
      </c>
      <c r="G757" t="s">
        <v>57</v>
      </c>
      <c r="H757" t="s">
        <v>100</v>
      </c>
      <c r="I757" t="s">
        <v>532</v>
      </c>
      <c r="J757">
        <v>4</v>
      </c>
      <c r="K757">
        <v>19772</v>
      </c>
      <c r="L757">
        <v>0.13</v>
      </c>
      <c r="M757">
        <v>17201.64</v>
      </c>
      <c r="N757">
        <v>68806.559999999998</v>
      </c>
      <c r="O757">
        <v>0.2</v>
      </c>
      <c r="P757">
        <v>13761.31</v>
      </c>
      <c r="Q757" t="s">
        <v>47</v>
      </c>
      <c r="R757" t="s">
        <v>48</v>
      </c>
      <c r="S757">
        <v>9</v>
      </c>
      <c r="T757">
        <f>YEAR(Sales_Data_1[[#This Row],[Order_Date]])</f>
        <v>2023</v>
      </c>
      <c r="U757" t="str">
        <f>TEXT(Sales_Data_1[[#This Row],[Order_Date]], "mmm")</f>
        <v>Aug</v>
      </c>
      <c r="V757">
        <f>MONTH(Sales_Data_1[[#This Row],[Order_Date]])</f>
        <v>8</v>
      </c>
      <c r="W757" t="str">
        <f>TEXT(Sales_Data_1[[#This Row],[Order_Date]], "yyyy-mm")</f>
        <v>2023-08</v>
      </c>
      <c r="X757">
        <f>Sales_Data_1[[#This Row],[Sales]]-Sales_Data_1[[#This Row],[Profit_Amount]]</f>
        <v>55045.25</v>
      </c>
      <c r="Y757" t="str" cm="1">
        <f t="array" ref="Y757">_xlfn.IFS(Sales_Data_1[[#This Row],[Delivery_Days]]&lt;=3, "Fast", Sales_Data_1[[#This Row],[Delivery_Days]]&lt;= 7, "Standard", TRUE, "Delayed")</f>
        <v>Delayed</v>
      </c>
      <c r="Z757" t="str" cm="1">
        <f t="array" ref="Z757">_xlfn.IFS(Sales_Data_1[[#This Row],[Profit_Amount]]&gt; 0, "Profitable", Sales_Data_1[[#This Row],[Profit_Amount]] = 0, "Break-Even", TRUE, "Loss")</f>
        <v>Profitable</v>
      </c>
      <c r="AA757" t="str" cm="1">
        <f t="array" ref="AA757">_xlfn.IFS(Sales_Data_1[[#This Row],[Sales]]&gt;= 1000, "High Value", Sales_Data_1[[#This Row],[Sales]]&gt;= 300, "Mid Value", TRUE, "Low Value")</f>
        <v>High Value</v>
      </c>
    </row>
    <row r="758" spans="1:27" x14ac:dyDescent="0.3">
      <c r="A758" t="s">
        <v>2363</v>
      </c>
      <c r="B758" s="1">
        <v>45249</v>
      </c>
      <c r="C758" t="s">
        <v>30</v>
      </c>
      <c r="D758" t="s">
        <v>31</v>
      </c>
      <c r="E758" t="s">
        <v>67</v>
      </c>
      <c r="F758" t="s">
        <v>43</v>
      </c>
      <c r="G758" t="s">
        <v>57</v>
      </c>
      <c r="H758" t="s">
        <v>100</v>
      </c>
      <c r="I758" t="s">
        <v>714</v>
      </c>
      <c r="J758">
        <v>5</v>
      </c>
      <c r="K758">
        <v>17222</v>
      </c>
      <c r="L758">
        <v>0.2</v>
      </c>
      <c r="M758">
        <v>13777.6</v>
      </c>
      <c r="N758">
        <v>68888</v>
      </c>
      <c r="O758">
        <v>0.2</v>
      </c>
      <c r="P758">
        <v>13777.6</v>
      </c>
      <c r="Q758" t="s">
        <v>37</v>
      </c>
      <c r="R758" t="s">
        <v>48</v>
      </c>
      <c r="S758">
        <v>9</v>
      </c>
      <c r="T758">
        <f>YEAR(Sales_Data_1[[#This Row],[Order_Date]])</f>
        <v>2023</v>
      </c>
      <c r="U758" t="str">
        <f>TEXT(Sales_Data_1[[#This Row],[Order_Date]], "mmm")</f>
        <v>Nov</v>
      </c>
      <c r="V758">
        <f>MONTH(Sales_Data_1[[#This Row],[Order_Date]])</f>
        <v>11</v>
      </c>
      <c r="W758" t="str">
        <f>TEXT(Sales_Data_1[[#This Row],[Order_Date]], "yyyy-mm")</f>
        <v>2023-11</v>
      </c>
      <c r="X758">
        <f>Sales_Data_1[[#This Row],[Sales]]-Sales_Data_1[[#This Row],[Profit_Amount]]</f>
        <v>55110.400000000001</v>
      </c>
      <c r="Y758" t="str" cm="1">
        <f t="array" ref="Y758">_xlfn.IFS(Sales_Data_1[[#This Row],[Delivery_Days]]&lt;=3, "Fast", Sales_Data_1[[#This Row],[Delivery_Days]]&lt;= 7, "Standard", TRUE, "Delayed")</f>
        <v>Delayed</v>
      </c>
      <c r="Z758" t="str" cm="1">
        <f t="array" ref="Z758">_xlfn.IFS(Sales_Data_1[[#This Row],[Profit_Amount]]&gt; 0, "Profitable", Sales_Data_1[[#This Row],[Profit_Amount]] = 0, "Break-Even", TRUE, "Loss")</f>
        <v>Profitable</v>
      </c>
      <c r="AA758" t="str" cm="1">
        <f t="array" ref="AA758">_xlfn.IFS(Sales_Data_1[[#This Row],[Sales]]&gt;= 1000, "High Value", Sales_Data_1[[#This Row],[Sales]]&gt;= 300, "Mid Value", TRUE, "Low Value")</f>
        <v>High Value</v>
      </c>
    </row>
    <row r="759" spans="1:27" x14ac:dyDescent="0.3">
      <c r="A759" t="s">
        <v>2423</v>
      </c>
      <c r="B759" s="1">
        <v>45309</v>
      </c>
      <c r="C759" t="s">
        <v>96</v>
      </c>
      <c r="D759" t="s">
        <v>21</v>
      </c>
      <c r="E759" t="s">
        <v>42</v>
      </c>
      <c r="F759" t="s">
        <v>68</v>
      </c>
      <c r="G759" t="s">
        <v>92</v>
      </c>
      <c r="H759" t="s">
        <v>243</v>
      </c>
      <c r="I759" t="s">
        <v>832</v>
      </c>
      <c r="J759">
        <v>4</v>
      </c>
      <c r="K759">
        <v>24210</v>
      </c>
      <c r="L759">
        <v>0.05</v>
      </c>
      <c r="M759">
        <v>22999.5</v>
      </c>
      <c r="N759">
        <v>91998</v>
      </c>
      <c r="O759">
        <v>0.15</v>
      </c>
      <c r="P759">
        <v>13799.7</v>
      </c>
      <c r="Q759" t="s">
        <v>51</v>
      </c>
      <c r="R759" t="s">
        <v>48</v>
      </c>
      <c r="S759">
        <v>5</v>
      </c>
      <c r="T759">
        <f>YEAR(Sales_Data_1[[#This Row],[Order_Date]])</f>
        <v>2024</v>
      </c>
      <c r="U759" t="str">
        <f>TEXT(Sales_Data_1[[#This Row],[Order_Date]], "mmm")</f>
        <v>Jan</v>
      </c>
      <c r="V759">
        <f>MONTH(Sales_Data_1[[#This Row],[Order_Date]])</f>
        <v>1</v>
      </c>
      <c r="W759" t="str">
        <f>TEXT(Sales_Data_1[[#This Row],[Order_Date]], "yyyy-mm")</f>
        <v>2024-01</v>
      </c>
      <c r="X759">
        <f>Sales_Data_1[[#This Row],[Sales]]-Sales_Data_1[[#This Row],[Profit_Amount]]</f>
        <v>78198.3</v>
      </c>
      <c r="Y759" t="str" cm="1">
        <f t="array" ref="Y759">_xlfn.IFS(Sales_Data_1[[#This Row],[Delivery_Days]]&lt;=3, "Fast", Sales_Data_1[[#This Row],[Delivery_Days]]&lt;= 7, "Standard", TRUE, "Delayed")</f>
        <v>Standard</v>
      </c>
      <c r="Z759" t="str" cm="1">
        <f t="array" ref="Z759">_xlfn.IFS(Sales_Data_1[[#This Row],[Profit_Amount]]&gt; 0, "Profitable", Sales_Data_1[[#This Row],[Profit_Amount]] = 0, "Break-Even", TRUE, "Loss")</f>
        <v>Profitable</v>
      </c>
      <c r="AA759" t="str" cm="1">
        <f t="array" ref="AA759">_xlfn.IFS(Sales_Data_1[[#This Row],[Sales]]&gt;= 1000, "High Value", Sales_Data_1[[#This Row],[Sales]]&gt;= 300, "Mid Value", TRUE, "Low Value")</f>
        <v>High Value</v>
      </c>
    </row>
    <row r="760" spans="1:27" x14ac:dyDescent="0.3">
      <c r="A760" t="s">
        <v>2913</v>
      </c>
      <c r="B760" s="1">
        <v>45799</v>
      </c>
      <c r="C760" t="s">
        <v>63</v>
      </c>
      <c r="D760" t="s">
        <v>31</v>
      </c>
      <c r="E760" t="s">
        <v>2042</v>
      </c>
      <c r="F760" t="s">
        <v>33</v>
      </c>
      <c r="G760" t="s">
        <v>92</v>
      </c>
      <c r="H760" t="s">
        <v>93</v>
      </c>
      <c r="I760" t="s">
        <v>1795</v>
      </c>
      <c r="J760">
        <v>2</v>
      </c>
      <c r="K760">
        <v>47481</v>
      </c>
      <c r="L760">
        <v>0.03</v>
      </c>
      <c r="M760">
        <v>46056.57</v>
      </c>
      <c r="N760">
        <v>92113.14</v>
      </c>
      <c r="O760">
        <v>0.15</v>
      </c>
      <c r="P760">
        <v>13816.97</v>
      </c>
      <c r="Q760" t="s">
        <v>51</v>
      </c>
      <c r="R760" t="s">
        <v>48</v>
      </c>
      <c r="S760">
        <v>5</v>
      </c>
      <c r="T760">
        <f>YEAR(Sales_Data_1[[#This Row],[Order_Date]])</f>
        <v>2025</v>
      </c>
      <c r="U760" t="str">
        <f>TEXT(Sales_Data_1[[#This Row],[Order_Date]], "mmm")</f>
        <v>May</v>
      </c>
      <c r="V760">
        <f>MONTH(Sales_Data_1[[#This Row],[Order_Date]])</f>
        <v>5</v>
      </c>
      <c r="W760" t="str">
        <f>TEXT(Sales_Data_1[[#This Row],[Order_Date]], "yyyy-mm")</f>
        <v>2025-05</v>
      </c>
      <c r="X760">
        <f>Sales_Data_1[[#This Row],[Sales]]-Sales_Data_1[[#This Row],[Profit_Amount]]</f>
        <v>78296.17</v>
      </c>
      <c r="Y760" t="str" cm="1">
        <f t="array" ref="Y760">_xlfn.IFS(Sales_Data_1[[#This Row],[Delivery_Days]]&lt;=3, "Fast", Sales_Data_1[[#This Row],[Delivery_Days]]&lt;= 7, "Standard", TRUE, "Delayed")</f>
        <v>Standard</v>
      </c>
      <c r="Z760" t="str" cm="1">
        <f t="array" ref="Z760">_xlfn.IFS(Sales_Data_1[[#This Row],[Profit_Amount]]&gt; 0, "Profitable", Sales_Data_1[[#This Row],[Profit_Amount]] = 0, "Break-Even", TRUE, "Loss")</f>
        <v>Profitable</v>
      </c>
      <c r="AA760" t="str" cm="1">
        <f t="array" ref="AA760">_xlfn.IFS(Sales_Data_1[[#This Row],[Sales]]&gt;= 1000, "High Value", Sales_Data_1[[#This Row],[Sales]]&gt;= 300, "Mid Value", TRUE, "Low Value")</f>
        <v>High Value</v>
      </c>
    </row>
    <row r="761" spans="1:27" x14ac:dyDescent="0.3">
      <c r="A761" t="s">
        <v>2715</v>
      </c>
      <c r="B761" s="1">
        <v>45601</v>
      </c>
      <c r="C761" t="s">
        <v>55</v>
      </c>
      <c r="D761" t="s">
        <v>41</v>
      </c>
      <c r="E761" t="s">
        <v>2040</v>
      </c>
      <c r="F761" t="s">
        <v>103</v>
      </c>
      <c r="G761" t="s">
        <v>92</v>
      </c>
      <c r="H761" t="s">
        <v>178</v>
      </c>
      <c r="I761" t="s">
        <v>1406</v>
      </c>
      <c r="J761">
        <v>5</v>
      </c>
      <c r="K761">
        <v>19503</v>
      </c>
      <c r="L761">
        <v>0.05</v>
      </c>
      <c r="M761">
        <v>18527.849999999999</v>
      </c>
      <c r="N761">
        <v>92639.25</v>
      </c>
      <c r="O761">
        <v>0.15</v>
      </c>
      <c r="P761">
        <v>13895.89</v>
      </c>
      <c r="Q761" t="s">
        <v>51</v>
      </c>
      <c r="R761" t="s">
        <v>48</v>
      </c>
      <c r="S761">
        <v>6</v>
      </c>
      <c r="T761">
        <f>YEAR(Sales_Data_1[[#This Row],[Order_Date]])</f>
        <v>2024</v>
      </c>
      <c r="U761" t="str">
        <f>TEXT(Sales_Data_1[[#This Row],[Order_Date]], "mmm")</f>
        <v>Nov</v>
      </c>
      <c r="V761">
        <f>MONTH(Sales_Data_1[[#This Row],[Order_Date]])</f>
        <v>11</v>
      </c>
      <c r="W761" t="str">
        <f>TEXT(Sales_Data_1[[#This Row],[Order_Date]], "yyyy-mm")</f>
        <v>2024-11</v>
      </c>
      <c r="X761">
        <f>Sales_Data_1[[#This Row],[Sales]]-Sales_Data_1[[#This Row],[Profit_Amount]]</f>
        <v>78743.360000000001</v>
      </c>
      <c r="Y761" t="str" cm="1">
        <f t="array" ref="Y761">_xlfn.IFS(Sales_Data_1[[#This Row],[Delivery_Days]]&lt;=3, "Fast", Sales_Data_1[[#This Row],[Delivery_Days]]&lt;= 7, "Standard", TRUE, "Delayed")</f>
        <v>Standard</v>
      </c>
      <c r="Z761" t="str" cm="1">
        <f t="array" ref="Z761">_xlfn.IFS(Sales_Data_1[[#This Row],[Profit_Amount]]&gt; 0, "Profitable", Sales_Data_1[[#This Row],[Profit_Amount]] = 0, "Break-Even", TRUE, "Loss")</f>
        <v>Profitable</v>
      </c>
      <c r="AA761" t="str" cm="1">
        <f t="array" ref="AA761">_xlfn.IFS(Sales_Data_1[[#This Row],[Sales]]&gt;= 1000, "High Value", Sales_Data_1[[#This Row],[Sales]]&gt;= 300, "Mid Value", TRUE, "Low Value")</f>
        <v>High Value</v>
      </c>
    </row>
    <row r="762" spans="1:27" x14ac:dyDescent="0.3">
      <c r="A762" t="s">
        <v>2898</v>
      </c>
      <c r="B762" s="1">
        <v>45784</v>
      </c>
      <c r="C762" t="s">
        <v>40</v>
      </c>
      <c r="D762" t="s">
        <v>21</v>
      </c>
      <c r="E762" t="s">
        <v>2040</v>
      </c>
      <c r="F762" t="s">
        <v>103</v>
      </c>
      <c r="G762" t="s">
        <v>24</v>
      </c>
      <c r="H762" t="s">
        <v>121</v>
      </c>
      <c r="I762" t="s">
        <v>1766</v>
      </c>
      <c r="J762">
        <v>5</v>
      </c>
      <c r="K762">
        <v>13928</v>
      </c>
      <c r="L762">
        <v>0.2</v>
      </c>
      <c r="M762">
        <v>11142.4</v>
      </c>
      <c r="N762">
        <v>55712</v>
      </c>
      <c r="O762">
        <v>0.25</v>
      </c>
      <c r="P762">
        <v>13928</v>
      </c>
      <c r="Q762" t="s">
        <v>51</v>
      </c>
      <c r="R762" t="s">
        <v>48</v>
      </c>
      <c r="S762">
        <v>5</v>
      </c>
      <c r="T762">
        <f>YEAR(Sales_Data_1[[#This Row],[Order_Date]])</f>
        <v>2025</v>
      </c>
      <c r="U762" t="str">
        <f>TEXT(Sales_Data_1[[#This Row],[Order_Date]], "mmm")</f>
        <v>May</v>
      </c>
      <c r="V762">
        <f>MONTH(Sales_Data_1[[#This Row],[Order_Date]])</f>
        <v>5</v>
      </c>
      <c r="W762" t="str">
        <f>TEXT(Sales_Data_1[[#This Row],[Order_Date]], "yyyy-mm")</f>
        <v>2025-05</v>
      </c>
      <c r="X762">
        <f>Sales_Data_1[[#This Row],[Sales]]-Sales_Data_1[[#This Row],[Profit_Amount]]</f>
        <v>41784</v>
      </c>
      <c r="Y762" t="str" cm="1">
        <f t="array" ref="Y762">_xlfn.IFS(Sales_Data_1[[#This Row],[Delivery_Days]]&lt;=3, "Fast", Sales_Data_1[[#This Row],[Delivery_Days]]&lt;= 7, "Standard", TRUE, "Delayed")</f>
        <v>Standard</v>
      </c>
      <c r="Z762" t="str" cm="1">
        <f t="array" ref="Z762">_xlfn.IFS(Sales_Data_1[[#This Row],[Profit_Amount]]&gt; 0, "Profitable", Sales_Data_1[[#This Row],[Profit_Amount]] = 0, "Break-Even", TRUE, "Loss")</f>
        <v>Profitable</v>
      </c>
      <c r="AA762" t="str" cm="1">
        <f t="array" ref="AA762">_xlfn.IFS(Sales_Data_1[[#This Row],[Sales]]&gt;= 1000, "High Value", Sales_Data_1[[#This Row],[Sales]]&gt;= 300, "Mid Value", TRUE, "Low Value")</f>
        <v>High Value</v>
      </c>
    </row>
    <row r="763" spans="1:27" x14ac:dyDescent="0.3">
      <c r="A763" t="s">
        <v>2168</v>
      </c>
      <c r="B763" s="1">
        <v>45054</v>
      </c>
      <c r="C763" t="s">
        <v>55</v>
      </c>
      <c r="D763" t="s">
        <v>41</v>
      </c>
      <c r="E763" t="s">
        <v>2042</v>
      </c>
      <c r="F763" t="s">
        <v>43</v>
      </c>
      <c r="G763" t="s">
        <v>24</v>
      </c>
      <c r="H763" t="s">
        <v>121</v>
      </c>
      <c r="I763" t="s">
        <v>326</v>
      </c>
      <c r="J763">
        <v>9</v>
      </c>
      <c r="K763">
        <v>6895</v>
      </c>
      <c r="L763">
        <v>0.1</v>
      </c>
      <c r="M763">
        <v>6205.5</v>
      </c>
      <c r="N763">
        <v>55849.5</v>
      </c>
      <c r="O763">
        <v>0.25</v>
      </c>
      <c r="P763">
        <v>13962.38</v>
      </c>
      <c r="Q763" t="s">
        <v>47</v>
      </c>
      <c r="R763" t="s">
        <v>48</v>
      </c>
      <c r="S763">
        <v>5</v>
      </c>
      <c r="T763">
        <f>YEAR(Sales_Data_1[[#This Row],[Order_Date]])</f>
        <v>2023</v>
      </c>
      <c r="U763" t="str">
        <f>TEXT(Sales_Data_1[[#This Row],[Order_Date]], "mmm")</f>
        <v>May</v>
      </c>
      <c r="V763">
        <f>MONTH(Sales_Data_1[[#This Row],[Order_Date]])</f>
        <v>5</v>
      </c>
      <c r="W763" t="str">
        <f>TEXT(Sales_Data_1[[#This Row],[Order_Date]], "yyyy-mm")</f>
        <v>2023-05</v>
      </c>
      <c r="X763">
        <f>Sales_Data_1[[#This Row],[Sales]]-Sales_Data_1[[#This Row],[Profit_Amount]]</f>
        <v>41887.120000000003</v>
      </c>
      <c r="Y763" t="str" cm="1">
        <f t="array" ref="Y763">_xlfn.IFS(Sales_Data_1[[#This Row],[Delivery_Days]]&lt;=3, "Fast", Sales_Data_1[[#This Row],[Delivery_Days]]&lt;= 7, "Standard", TRUE, "Delayed")</f>
        <v>Standard</v>
      </c>
      <c r="Z763" t="str" cm="1">
        <f t="array" ref="Z763">_xlfn.IFS(Sales_Data_1[[#This Row],[Profit_Amount]]&gt; 0, "Profitable", Sales_Data_1[[#This Row],[Profit_Amount]] = 0, "Break-Even", TRUE, "Loss")</f>
        <v>Profitable</v>
      </c>
      <c r="AA763" t="str" cm="1">
        <f t="array" ref="AA763">_xlfn.IFS(Sales_Data_1[[#This Row],[Sales]]&gt;= 1000, "High Value", Sales_Data_1[[#This Row],[Sales]]&gt;= 300, "Mid Value", TRUE, "Low Value")</f>
        <v>High Value</v>
      </c>
    </row>
    <row r="764" spans="1:27" x14ac:dyDescent="0.3">
      <c r="A764" t="s">
        <v>2195</v>
      </c>
      <c r="B764" s="1">
        <v>45081</v>
      </c>
      <c r="C764" t="s">
        <v>40</v>
      </c>
      <c r="D764" t="s">
        <v>31</v>
      </c>
      <c r="E764" t="s">
        <v>67</v>
      </c>
      <c r="F764" t="s">
        <v>103</v>
      </c>
      <c r="G764" t="s">
        <v>44</v>
      </c>
      <c r="H764" t="s">
        <v>45</v>
      </c>
      <c r="I764" t="s">
        <v>380</v>
      </c>
      <c r="J764">
        <v>9</v>
      </c>
      <c r="K764">
        <v>4793</v>
      </c>
      <c r="L764">
        <v>0.05</v>
      </c>
      <c r="M764">
        <v>4553.3500000000004</v>
      </c>
      <c r="N764">
        <v>40980.15</v>
      </c>
      <c r="O764">
        <v>0.35</v>
      </c>
      <c r="P764">
        <v>14343.05</v>
      </c>
      <c r="Q764" t="s">
        <v>27</v>
      </c>
      <c r="R764" t="s">
        <v>38</v>
      </c>
      <c r="S764">
        <v>3</v>
      </c>
      <c r="T764">
        <f>YEAR(Sales_Data_1[[#This Row],[Order_Date]])</f>
        <v>2023</v>
      </c>
      <c r="U764" t="str">
        <f>TEXT(Sales_Data_1[[#This Row],[Order_Date]], "mmm")</f>
        <v>Jun</v>
      </c>
      <c r="V764">
        <f>MONTH(Sales_Data_1[[#This Row],[Order_Date]])</f>
        <v>6</v>
      </c>
      <c r="W764" t="str">
        <f>TEXT(Sales_Data_1[[#This Row],[Order_Date]], "yyyy-mm")</f>
        <v>2023-06</v>
      </c>
      <c r="X764">
        <f>Sales_Data_1[[#This Row],[Sales]]-Sales_Data_1[[#This Row],[Profit_Amount]]</f>
        <v>26637.100000000002</v>
      </c>
      <c r="Y764" t="str" cm="1">
        <f t="array" ref="Y764">_xlfn.IFS(Sales_Data_1[[#This Row],[Delivery_Days]]&lt;=3, "Fast", Sales_Data_1[[#This Row],[Delivery_Days]]&lt;= 7, "Standard", TRUE, "Delayed")</f>
        <v>Fast</v>
      </c>
      <c r="Z764" t="str" cm="1">
        <f t="array" ref="Z764">_xlfn.IFS(Sales_Data_1[[#This Row],[Profit_Amount]]&gt; 0, "Profitable", Sales_Data_1[[#This Row],[Profit_Amount]] = 0, "Break-Even", TRUE, "Loss")</f>
        <v>Profitable</v>
      </c>
      <c r="AA764" t="str" cm="1">
        <f t="array" ref="AA764">_xlfn.IFS(Sales_Data_1[[#This Row],[Sales]]&gt;= 1000, "High Value", Sales_Data_1[[#This Row],[Sales]]&gt;= 300, "Mid Value", TRUE, "Low Value")</f>
        <v>High Value</v>
      </c>
    </row>
    <row r="765" spans="1:27" x14ac:dyDescent="0.3">
      <c r="A765" t="s">
        <v>2968</v>
      </c>
      <c r="B765" s="1">
        <v>45854</v>
      </c>
      <c r="C765" t="s">
        <v>63</v>
      </c>
      <c r="D765" t="s">
        <v>41</v>
      </c>
      <c r="E765" t="s">
        <v>2042</v>
      </c>
      <c r="F765" t="s">
        <v>103</v>
      </c>
      <c r="G765" t="s">
        <v>24</v>
      </c>
      <c r="H765" t="s">
        <v>121</v>
      </c>
      <c r="I765" t="s">
        <v>1899</v>
      </c>
      <c r="J765">
        <v>5</v>
      </c>
      <c r="K765">
        <v>13880</v>
      </c>
      <c r="L765">
        <v>0.17</v>
      </c>
      <c r="M765">
        <v>11520.4</v>
      </c>
      <c r="N765">
        <v>57602</v>
      </c>
      <c r="O765">
        <v>0.25</v>
      </c>
      <c r="P765">
        <v>14400.5</v>
      </c>
      <c r="Q765" t="s">
        <v>51</v>
      </c>
      <c r="R765" t="s">
        <v>48</v>
      </c>
      <c r="S765">
        <v>1</v>
      </c>
      <c r="T765">
        <f>YEAR(Sales_Data_1[[#This Row],[Order_Date]])</f>
        <v>2025</v>
      </c>
      <c r="U765" t="str">
        <f>TEXT(Sales_Data_1[[#This Row],[Order_Date]], "mmm")</f>
        <v>Jul</v>
      </c>
      <c r="V765">
        <f>MONTH(Sales_Data_1[[#This Row],[Order_Date]])</f>
        <v>7</v>
      </c>
      <c r="W765" t="str">
        <f>TEXT(Sales_Data_1[[#This Row],[Order_Date]], "yyyy-mm")</f>
        <v>2025-07</v>
      </c>
      <c r="X765">
        <f>Sales_Data_1[[#This Row],[Sales]]-Sales_Data_1[[#This Row],[Profit_Amount]]</f>
        <v>43201.5</v>
      </c>
      <c r="Y765" t="str" cm="1">
        <f t="array" ref="Y765">_xlfn.IFS(Sales_Data_1[[#This Row],[Delivery_Days]]&lt;=3, "Fast", Sales_Data_1[[#This Row],[Delivery_Days]]&lt;= 7, "Standard", TRUE, "Delayed")</f>
        <v>Fast</v>
      </c>
      <c r="Z765" t="str" cm="1">
        <f t="array" ref="Z765">_xlfn.IFS(Sales_Data_1[[#This Row],[Profit_Amount]]&gt; 0, "Profitable", Sales_Data_1[[#This Row],[Profit_Amount]] = 0, "Break-Even", TRUE, "Loss")</f>
        <v>Profitable</v>
      </c>
      <c r="AA765" t="str" cm="1">
        <f t="array" ref="AA765">_xlfn.IFS(Sales_Data_1[[#This Row],[Sales]]&gt;= 1000, "High Value", Sales_Data_1[[#This Row],[Sales]]&gt;= 300, "Mid Value", TRUE, "Low Value")</f>
        <v>High Value</v>
      </c>
    </row>
    <row r="766" spans="1:27" x14ac:dyDescent="0.3">
      <c r="A766" t="s">
        <v>2486</v>
      </c>
      <c r="B766" s="1">
        <v>45372</v>
      </c>
      <c r="C766" t="s">
        <v>55</v>
      </c>
      <c r="D766" t="s">
        <v>41</v>
      </c>
      <c r="E766" t="s">
        <v>2042</v>
      </c>
      <c r="F766" t="s">
        <v>97</v>
      </c>
      <c r="G766" t="s">
        <v>24</v>
      </c>
      <c r="H766" t="s">
        <v>186</v>
      </c>
      <c r="I766" t="s">
        <v>957</v>
      </c>
      <c r="J766">
        <v>6</v>
      </c>
      <c r="K766">
        <v>10715</v>
      </c>
      <c r="L766">
        <v>0.1</v>
      </c>
      <c r="M766">
        <v>9643.5</v>
      </c>
      <c r="N766">
        <v>57861</v>
      </c>
      <c r="O766">
        <v>0.25</v>
      </c>
      <c r="P766">
        <v>14465.25</v>
      </c>
      <c r="Q766" t="s">
        <v>47</v>
      </c>
      <c r="R766" t="s">
        <v>48</v>
      </c>
      <c r="S766">
        <v>6</v>
      </c>
      <c r="T766">
        <f>YEAR(Sales_Data_1[[#This Row],[Order_Date]])</f>
        <v>2024</v>
      </c>
      <c r="U766" t="str">
        <f>TEXT(Sales_Data_1[[#This Row],[Order_Date]], "mmm")</f>
        <v>Mar</v>
      </c>
      <c r="V766">
        <f>MONTH(Sales_Data_1[[#This Row],[Order_Date]])</f>
        <v>3</v>
      </c>
      <c r="W766" t="str">
        <f>TEXT(Sales_Data_1[[#This Row],[Order_Date]], "yyyy-mm")</f>
        <v>2024-03</v>
      </c>
      <c r="X766">
        <f>Sales_Data_1[[#This Row],[Sales]]-Sales_Data_1[[#This Row],[Profit_Amount]]</f>
        <v>43395.75</v>
      </c>
      <c r="Y766" t="str" cm="1">
        <f t="array" ref="Y766">_xlfn.IFS(Sales_Data_1[[#This Row],[Delivery_Days]]&lt;=3, "Fast", Sales_Data_1[[#This Row],[Delivery_Days]]&lt;= 7, "Standard", TRUE, "Delayed")</f>
        <v>Standard</v>
      </c>
      <c r="Z766" t="str" cm="1">
        <f t="array" ref="Z766">_xlfn.IFS(Sales_Data_1[[#This Row],[Profit_Amount]]&gt; 0, "Profitable", Sales_Data_1[[#This Row],[Profit_Amount]] = 0, "Break-Even", TRUE, "Loss")</f>
        <v>Profitable</v>
      </c>
      <c r="AA766" t="str" cm="1">
        <f t="array" ref="AA766">_xlfn.IFS(Sales_Data_1[[#This Row],[Sales]]&gt;= 1000, "High Value", Sales_Data_1[[#This Row],[Sales]]&gt;= 300, "Mid Value", TRUE, "Low Value")</f>
        <v>High Value</v>
      </c>
    </row>
    <row r="767" spans="1:27" x14ac:dyDescent="0.3">
      <c r="A767" t="s">
        <v>2632</v>
      </c>
      <c r="B767" s="1">
        <v>45518</v>
      </c>
      <c r="C767" t="s">
        <v>40</v>
      </c>
      <c r="D767" t="s">
        <v>31</v>
      </c>
      <c r="E767" t="s">
        <v>67</v>
      </c>
      <c r="F767" t="s">
        <v>33</v>
      </c>
      <c r="G767" t="s">
        <v>92</v>
      </c>
      <c r="H767" t="s">
        <v>243</v>
      </c>
      <c r="I767" t="s">
        <v>1245</v>
      </c>
      <c r="J767">
        <v>5</v>
      </c>
      <c r="K767">
        <v>20749</v>
      </c>
      <c r="L767">
        <v>7.0000000000000007E-2</v>
      </c>
      <c r="M767">
        <v>19296.57</v>
      </c>
      <c r="N767">
        <v>96482.85</v>
      </c>
      <c r="O767">
        <v>0.15</v>
      </c>
      <c r="P767">
        <v>14472.43</v>
      </c>
      <c r="Q767" t="s">
        <v>37</v>
      </c>
      <c r="R767" t="s">
        <v>48</v>
      </c>
      <c r="S767">
        <v>2</v>
      </c>
      <c r="T767">
        <f>YEAR(Sales_Data_1[[#This Row],[Order_Date]])</f>
        <v>2024</v>
      </c>
      <c r="U767" t="str">
        <f>TEXT(Sales_Data_1[[#This Row],[Order_Date]], "mmm")</f>
        <v>Aug</v>
      </c>
      <c r="V767">
        <f>MONTH(Sales_Data_1[[#This Row],[Order_Date]])</f>
        <v>8</v>
      </c>
      <c r="W767" t="str">
        <f>TEXT(Sales_Data_1[[#This Row],[Order_Date]], "yyyy-mm")</f>
        <v>2024-08</v>
      </c>
      <c r="X767">
        <f>Sales_Data_1[[#This Row],[Sales]]-Sales_Data_1[[#This Row],[Profit_Amount]]</f>
        <v>82010.420000000013</v>
      </c>
      <c r="Y767" t="str" cm="1">
        <f t="array" ref="Y767">_xlfn.IFS(Sales_Data_1[[#This Row],[Delivery_Days]]&lt;=3, "Fast", Sales_Data_1[[#This Row],[Delivery_Days]]&lt;= 7, "Standard", TRUE, "Delayed")</f>
        <v>Fast</v>
      </c>
      <c r="Z767" t="str" cm="1">
        <f t="array" ref="Z767">_xlfn.IFS(Sales_Data_1[[#This Row],[Profit_Amount]]&gt; 0, "Profitable", Sales_Data_1[[#This Row],[Profit_Amount]] = 0, "Break-Even", TRUE, "Loss")</f>
        <v>Profitable</v>
      </c>
      <c r="AA767" t="str" cm="1">
        <f t="array" ref="AA767">_xlfn.IFS(Sales_Data_1[[#This Row],[Sales]]&gt;= 1000, "High Value", Sales_Data_1[[#This Row],[Sales]]&gt;= 300, "Mid Value", TRUE, "Low Value")</f>
        <v>High Value</v>
      </c>
    </row>
    <row r="768" spans="1:27" x14ac:dyDescent="0.3">
      <c r="A768" t="s">
        <v>2862</v>
      </c>
      <c r="B768" s="1">
        <v>45748</v>
      </c>
      <c r="C768" t="s">
        <v>63</v>
      </c>
      <c r="D768" t="s">
        <v>21</v>
      </c>
      <c r="E768" t="s">
        <v>42</v>
      </c>
      <c r="F768" t="s">
        <v>23</v>
      </c>
      <c r="G768" t="s">
        <v>24</v>
      </c>
      <c r="H768" t="s">
        <v>186</v>
      </c>
      <c r="I768" t="s">
        <v>1695</v>
      </c>
      <c r="J768">
        <v>5</v>
      </c>
      <c r="K768">
        <v>13485</v>
      </c>
      <c r="L768">
        <v>0.14000000000000001</v>
      </c>
      <c r="M768">
        <v>11597.1</v>
      </c>
      <c r="N768">
        <v>57985.5</v>
      </c>
      <c r="O768">
        <v>0.25</v>
      </c>
      <c r="P768">
        <v>14496.38</v>
      </c>
      <c r="Q768" t="s">
        <v>27</v>
      </c>
      <c r="R768" t="s">
        <v>48</v>
      </c>
      <c r="S768">
        <v>8</v>
      </c>
      <c r="T768">
        <f>YEAR(Sales_Data_1[[#This Row],[Order_Date]])</f>
        <v>2025</v>
      </c>
      <c r="U768" t="str">
        <f>TEXT(Sales_Data_1[[#This Row],[Order_Date]], "mmm")</f>
        <v>Apr</v>
      </c>
      <c r="V768">
        <f>MONTH(Sales_Data_1[[#This Row],[Order_Date]])</f>
        <v>4</v>
      </c>
      <c r="W768" t="str">
        <f>TEXT(Sales_Data_1[[#This Row],[Order_Date]], "yyyy-mm")</f>
        <v>2025-04</v>
      </c>
      <c r="X768">
        <f>Sales_Data_1[[#This Row],[Sales]]-Sales_Data_1[[#This Row],[Profit_Amount]]</f>
        <v>43489.120000000003</v>
      </c>
      <c r="Y768" t="str" cm="1">
        <f t="array" ref="Y768">_xlfn.IFS(Sales_Data_1[[#This Row],[Delivery_Days]]&lt;=3, "Fast", Sales_Data_1[[#This Row],[Delivery_Days]]&lt;= 7, "Standard", TRUE, "Delayed")</f>
        <v>Delayed</v>
      </c>
      <c r="Z768" t="str" cm="1">
        <f t="array" ref="Z768">_xlfn.IFS(Sales_Data_1[[#This Row],[Profit_Amount]]&gt; 0, "Profitable", Sales_Data_1[[#This Row],[Profit_Amount]] = 0, "Break-Even", TRUE, "Loss")</f>
        <v>Profitable</v>
      </c>
      <c r="AA768" t="str" cm="1">
        <f t="array" ref="AA768">_xlfn.IFS(Sales_Data_1[[#This Row],[Sales]]&gt;= 1000, "High Value", Sales_Data_1[[#This Row],[Sales]]&gt;= 300, "Mid Value", TRUE, "Low Value")</f>
        <v>High Value</v>
      </c>
    </row>
    <row r="769" spans="1:27" x14ac:dyDescent="0.3">
      <c r="A769" t="s">
        <v>2739</v>
      </c>
      <c r="B769" s="1">
        <v>45625</v>
      </c>
      <c r="C769" t="s">
        <v>55</v>
      </c>
      <c r="D769" t="s">
        <v>56</v>
      </c>
      <c r="E769" t="s">
        <v>2042</v>
      </c>
      <c r="F769" t="s">
        <v>68</v>
      </c>
      <c r="G769" t="s">
        <v>57</v>
      </c>
      <c r="H769" t="s">
        <v>183</v>
      </c>
      <c r="I769" t="s">
        <v>1454</v>
      </c>
      <c r="J769">
        <v>8</v>
      </c>
      <c r="K769">
        <v>9165</v>
      </c>
      <c r="L769">
        <v>0.01</v>
      </c>
      <c r="M769">
        <v>9073.35</v>
      </c>
      <c r="N769">
        <v>72586.8</v>
      </c>
      <c r="O769">
        <v>0.2</v>
      </c>
      <c r="P769">
        <v>14517.36</v>
      </c>
      <c r="Q769" t="s">
        <v>47</v>
      </c>
      <c r="R769" t="s">
        <v>38</v>
      </c>
      <c r="S769">
        <v>2</v>
      </c>
      <c r="T769">
        <f>YEAR(Sales_Data_1[[#This Row],[Order_Date]])</f>
        <v>2024</v>
      </c>
      <c r="U769" t="str">
        <f>TEXT(Sales_Data_1[[#This Row],[Order_Date]], "mmm")</f>
        <v>Nov</v>
      </c>
      <c r="V769">
        <f>MONTH(Sales_Data_1[[#This Row],[Order_Date]])</f>
        <v>11</v>
      </c>
      <c r="W769" t="str">
        <f>TEXT(Sales_Data_1[[#This Row],[Order_Date]], "yyyy-mm")</f>
        <v>2024-11</v>
      </c>
      <c r="X769">
        <f>Sales_Data_1[[#This Row],[Sales]]-Sales_Data_1[[#This Row],[Profit_Amount]]</f>
        <v>58069.440000000002</v>
      </c>
      <c r="Y769" t="str" cm="1">
        <f t="array" ref="Y769">_xlfn.IFS(Sales_Data_1[[#This Row],[Delivery_Days]]&lt;=3, "Fast", Sales_Data_1[[#This Row],[Delivery_Days]]&lt;= 7, "Standard", TRUE, "Delayed")</f>
        <v>Fast</v>
      </c>
      <c r="Z769" t="str" cm="1">
        <f t="array" ref="Z769">_xlfn.IFS(Sales_Data_1[[#This Row],[Profit_Amount]]&gt; 0, "Profitable", Sales_Data_1[[#This Row],[Profit_Amount]] = 0, "Break-Even", TRUE, "Loss")</f>
        <v>Profitable</v>
      </c>
      <c r="AA769" t="str" cm="1">
        <f t="array" ref="AA769">_xlfn.IFS(Sales_Data_1[[#This Row],[Sales]]&gt;= 1000, "High Value", Sales_Data_1[[#This Row],[Sales]]&gt;= 300, "Mid Value", TRUE, "Low Value")</f>
        <v>High Value</v>
      </c>
    </row>
    <row r="770" spans="1:27" x14ac:dyDescent="0.3">
      <c r="A770" t="s">
        <v>2513</v>
      </c>
      <c r="B770" s="1">
        <v>45399</v>
      </c>
      <c r="C770" t="s">
        <v>20</v>
      </c>
      <c r="D770" t="s">
        <v>41</v>
      </c>
      <c r="E770" t="s">
        <v>67</v>
      </c>
      <c r="F770" t="s">
        <v>97</v>
      </c>
      <c r="G770" t="s">
        <v>57</v>
      </c>
      <c r="H770" t="s">
        <v>81</v>
      </c>
      <c r="I770" t="s">
        <v>726</v>
      </c>
      <c r="J770">
        <v>6</v>
      </c>
      <c r="K770">
        <v>14265</v>
      </c>
      <c r="L770">
        <v>0.15</v>
      </c>
      <c r="M770">
        <v>12125.25</v>
      </c>
      <c r="N770">
        <v>72751.5</v>
      </c>
      <c r="O770">
        <v>0.2</v>
      </c>
      <c r="P770">
        <v>14550.3</v>
      </c>
      <c r="Q770" t="s">
        <v>37</v>
      </c>
      <c r="R770" t="s">
        <v>48</v>
      </c>
      <c r="S770">
        <v>5</v>
      </c>
      <c r="T770">
        <f>YEAR(Sales_Data_1[[#This Row],[Order_Date]])</f>
        <v>2024</v>
      </c>
      <c r="U770" t="str">
        <f>TEXT(Sales_Data_1[[#This Row],[Order_Date]], "mmm")</f>
        <v>Apr</v>
      </c>
      <c r="V770">
        <f>MONTH(Sales_Data_1[[#This Row],[Order_Date]])</f>
        <v>4</v>
      </c>
      <c r="W770" t="str">
        <f>TEXT(Sales_Data_1[[#This Row],[Order_Date]], "yyyy-mm")</f>
        <v>2024-04</v>
      </c>
      <c r="X770">
        <f>Sales_Data_1[[#This Row],[Sales]]-Sales_Data_1[[#This Row],[Profit_Amount]]</f>
        <v>58201.2</v>
      </c>
      <c r="Y770" t="str" cm="1">
        <f t="array" ref="Y770">_xlfn.IFS(Sales_Data_1[[#This Row],[Delivery_Days]]&lt;=3, "Fast", Sales_Data_1[[#This Row],[Delivery_Days]]&lt;= 7, "Standard", TRUE, "Delayed")</f>
        <v>Standard</v>
      </c>
      <c r="Z770" t="str" cm="1">
        <f t="array" ref="Z770">_xlfn.IFS(Sales_Data_1[[#This Row],[Profit_Amount]]&gt; 0, "Profitable", Sales_Data_1[[#This Row],[Profit_Amount]] = 0, "Break-Even", TRUE, "Loss")</f>
        <v>Profitable</v>
      </c>
      <c r="AA770" t="str" cm="1">
        <f t="array" ref="AA770">_xlfn.IFS(Sales_Data_1[[#This Row],[Sales]]&gt;= 1000, "High Value", Sales_Data_1[[#This Row],[Sales]]&gt;= 300, "Mid Value", TRUE, "Low Value")</f>
        <v>High Value</v>
      </c>
    </row>
    <row r="771" spans="1:27" x14ac:dyDescent="0.3">
      <c r="A771" t="s">
        <v>2351</v>
      </c>
      <c r="B771" s="1">
        <v>45237</v>
      </c>
      <c r="C771" t="s">
        <v>63</v>
      </c>
      <c r="D771" t="s">
        <v>21</v>
      </c>
      <c r="E771" t="s">
        <v>42</v>
      </c>
      <c r="F771" t="s">
        <v>23</v>
      </c>
      <c r="G771" t="s">
        <v>92</v>
      </c>
      <c r="H771" t="s">
        <v>93</v>
      </c>
      <c r="I771" t="s">
        <v>690</v>
      </c>
      <c r="J771">
        <v>9</v>
      </c>
      <c r="K771">
        <v>13654</v>
      </c>
      <c r="L771">
        <v>0.21</v>
      </c>
      <c r="M771">
        <v>10786.66</v>
      </c>
      <c r="N771">
        <v>97079.94</v>
      </c>
      <c r="O771">
        <v>0.15</v>
      </c>
      <c r="P771">
        <v>14561.99</v>
      </c>
      <c r="Q771" t="s">
        <v>47</v>
      </c>
      <c r="R771" t="s">
        <v>48</v>
      </c>
      <c r="S771">
        <v>9</v>
      </c>
      <c r="T771">
        <f>YEAR(Sales_Data_1[[#This Row],[Order_Date]])</f>
        <v>2023</v>
      </c>
      <c r="U771" t="str">
        <f>TEXT(Sales_Data_1[[#This Row],[Order_Date]], "mmm")</f>
        <v>Nov</v>
      </c>
      <c r="V771">
        <f>MONTH(Sales_Data_1[[#This Row],[Order_Date]])</f>
        <v>11</v>
      </c>
      <c r="W771" t="str">
        <f>TEXT(Sales_Data_1[[#This Row],[Order_Date]], "yyyy-mm")</f>
        <v>2023-11</v>
      </c>
      <c r="X771">
        <f>Sales_Data_1[[#This Row],[Sales]]-Sales_Data_1[[#This Row],[Profit_Amount]]</f>
        <v>82517.95</v>
      </c>
      <c r="Y771" t="str" cm="1">
        <f t="array" ref="Y771">_xlfn.IFS(Sales_Data_1[[#This Row],[Delivery_Days]]&lt;=3, "Fast", Sales_Data_1[[#This Row],[Delivery_Days]]&lt;= 7, "Standard", TRUE, "Delayed")</f>
        <v>Delayed</v>
      </c>
      <c r="Z771" t="str" cm="1">
        <f t="array" ref="Z771">_xlfn.IFS(Sales_Data_1[[#This Row],[Profit_Amount]]&gt; 0, "Profitable", Sales_Data_1[[#This Row],[Profit_Amount]] = 0, "Break-Even", TRUE, "Loss")</f>
        <v>Profitable</v>
      </c>
      <c r="AA771" t="str" cm="1">
        <f t="array" ref="AA771">_xlfn.IFS(Sales_Data_1[[#This Row],[Sales]]&gt;= 1000, "High Value", Sales_Data_1[[#This Row],[Sales]]&gt;= 300, "Mid Value", TRUE, "Low Value")</f>
        <v>High Value</v>
      </c>
    </row>
    <row r="772" spans="1:27" x14ac:dyDescent="0.3">
      <c r="A772" t="s">
        <v>2467</v>
      </c>
      <c r="B772" s="1">
        <v>45353</v>
      </c>
      <c r="C772" t="s">
        <v>30</v>
      </c>
      <c r="D772" t="s">
        <v>56</v>
      </c>
      <c r="E772" t="s">
        <v>2040</v>
      </c>
      <c r="F772" t="s">
        <v>23</v>
      </c>
      <c r="G772" t="s">
        <v>92</v>
      </c>
      <c r="H772" t="s">
        <v>93</v>
      </c>
      <c r="I772" t="s">
        <v>920</v>
      </c>
      <c r="J772">
        <v>6</v>
      </c>
      <c r="K772">
        <v>20754</v>
      </c>
      <c r="L772">
        <v>0.22</v>
      </c>
      <c r="M772">
        <v>16188.12</v>
      </c>
      <c r="N772">
        <v>97128.72</v>
      </c>
      <c r="O772">
        <v>0.15</v>
      </c>
      <c r="P772">
        <v>14569.31</v>
      </c>
      <c r="Q772" t="s">
        <v>27</v>
      </c>
      <c r="R772" t="s">
        <v>38</v>
      </c>
      <c r="S772">
        <v>5</v>
      </c>
      <c r="T772">
        <f>YEAR(Sales_Data_1[[#This Row],[Order_Date]])</f>
        <v>2024</v>
      </c>
      <c r="U772" t="str">
        <f>TEXT(Sales_Data_1[[#This Row],[Order_Date]], "mmm")</f>
        <v>Mar</v>
      </c>
      <c r="V772">
        <f>MONTH(Sales_Data_1[[#This Row],[Order_Date]])</f>
        <v>3</v>
      </c>
      <c r="W772" t="str">
        <f>TEXT(Sales_Data_1[[#This Row],[Order_Date]], "yyyy-mm")</f>
        <v>2024-03</v>
      </c>
      <c r="X772">
        <f>Sales_Data_1[[#This Row],[Sales]]-Sales_Data_1[[#This Row],[Profit_Amount]]</f>
        <v>82559.41</v>
      </c>
      <c r="Y772" t="str" cm="1">
        <f t="array" ref="Y772">_xlfn.IFS(Sales_Data_1[[#This Row],[Delivery_Days]]&lt;=3, "Fast", Sales_Data_1[[#This Row],[Delivery_Days]]&lt;= 7, "Standard", TRUE, "Delayed")</f>
        <v>Standard</v>
      </c>
      <c r="Z772" t="str" cm="1">
        <f t="array" ref="Z772">_xlfn.IFS(Sales_Data_1[[#This Row],[Profit_Amount]]&gt; 0, "Profitable", Sales_Data_1[[#This Row],[Profit_Amount]] = 0, "Break-Even", TRUE, "Loss")</f>
        <v>Profitable</v>
      </c>
      <c r="AA772" t="str" cm="1">
        <f t="array" ref="AA772">_xlfn.IFS(Sales_Data_1[[#This Row],[Sales]]&gt;= 1000, "High Value", Sales_Data_1[[#This Row],[Sales]]&gt;= 300, "Mid Value", TRUE, "Low Value")</f>
        <v>High Value</v>
      </c>
    </row>
    <row r="773" spans="1:27" x14ac:dyDescent="0.3">
      <c r="A773" t="s">
        <v>2821</v>
      </c>
      <c r="B773" s="1">
        <v>45707</v>
      </c>
      <c r="C773" t="s">
        <v>55</v>
      </c>
      <c r="D773" t="s">
        <v>41</v>
      </c>
      <c r="E773" t="s">
        <v>67</v>
      </c>
      <c r="F773" t="s">
        <v>97</v>
      </c>
      <c r="G773" t="s">
        <v>57</v>
      </c>
      <c r="H773" t="s">
        <v>100</v>
      </c>
      <c r="I773" t="s">
        <v>1613</v>
      </c>
      <c r="J773">
        <v>6</v>
      </c>
      <c r="K773">
        <v>12822</v>
      </c>
      <c r="L773">
        <v>0.05</v>
      </c>
      <c r="M773">
        <v>12180.9</v>
      </c>
      <c r="N773">
        <v>73085.399999999994</v>
      </c>
      <c r="O773">
        <v>0.2</v>
      </c>
      <c r="P773">
        <v>14617.08</v>
      </c>
      <c r="Q773" t="s">
        <v>27</v>
      </c>
      <c r="R773" t="s">
        <v>48</v>
      </c>
      <c r="S773">
        <v>5</v>
      </c>
      <c r="T773">
        <f>YEAR(Sales_Data_1[[#This Row],[Order_Date]])</f>
        <v>2025</v>
      </c>
      <c r="U773" t="str">
        <f>TEXT(Sales_Data_1[[#This Row],[Order_Date]], "mmm")</f>
        <v>Feb</v>
      </c>
      <c r="V773">
        <f>MONTH(Sales_Data_1[[#This Row],[Order_Date]])</f>
        <v>2</v>
      </c>
      <c r="W773" t="str">
        <f>TEXT(Sales_Data_1[[#This Row],[Order_Date]], "yyyy-mm")</f>
        <v>2025-02</v>
      </c>
      <c r="X773">
        <f>Sales_Data_1[[#This Row],[Sales]]-Sales_Data_1[[#This Row],[Profit_Amount]]</f>
        <v>58468.319999999992</v>
      </c>
      <c r="Y773" t="str" cm="1">
        <f t="array" ref="Y773">_xlfn.IFS(Sales_Data_1[[#This Row],[Delivery_Days]]&lt;=3, "Fast", Sales_Data_1[[#This Row],[Delivery_Days]]&lt;= 7, "Standard", TRUE, "Delayed")</f>
        <v>Standard</v>
      </c>
      <c r="Z773" t="str" cm="1">
        <f t="array" ref="Z773">_xlfn.IFS(Sales_Data_1[[#This Row],[Profit_Amount]]&gt; 0, "Profitable", Sales_Data_1[[#This Row],[Profit_Amount]] = 0, "Break-Even", TRUE, "Loss")</f>
        <v>Profitable</v>
      </c>
      <c r="AA773" t="str" cm="1">
        <f t="array" ref="AA773">_xlfn.IFS(Sales_Data_1[[#This Row],[Sales]]&gt;= 1000, "High Value", Sales_Data_1[[#This Row],[Sales]]&gt;= 300, "Mid Value", TRUE, "Low Value")</f>
        <v>High Value</v>
      </c>
    </row>
    <row r="774" spans="1:27" x14ac:dyDescent="0.3">
      <c r="A774" t="s">
        <v>2063</v>
      </c>
      <c r="B774" s="1">
        <v>44949</v>
      </c>
      <c r="C774" t="s">
        <v>20</v>
      </c>
      <c r="D774" t="s">
        <v>41</v>
      </c>
      <c r="E774" t="s">
        <v>42</v>
      </c>
      <c r="F774" t="s">
        <v>23</v>
      </c>
      <c r="G774" t="s">
        <v>24</v>
      </c>
      <c r="H774" t="s">
        <v>74</v>
      </c>
      <c r="I774" t="s">
        <v>107</v>
      </c>
      <c r="J774">
        <v>7</v>
      </c>
      <c r="K774">
        <v>9601</v>
      </c>
      <c r="L774">
        <v>0.13</v>
      </c>
      <c r="M774">
        <v>8352.8700000000008</v>
      </c>
      <c r="N774">
        <v>58470.09</v>
      </c>
      <c r="O774">
        <v>0.25</v>
      </c>
      <c r="P774">
        <v>14617.52</v>
      </c>
      <c r="Q774" t="s">
        <v>47</v>
      </c>
      <c r="R774" t="s">
        <v>48</v>
      </c>
      <c r="S774">
        <v>2</v>
      </c>
      <c r="T774">
        <f>YEAR(Sales_Data_1[[#This Row],[Order_Date]])</f>
        <v>2023</v>
      </c>
      <c r="U774" t="str">
        <f>TEXT(Sales_Data_1[[#This Row],[Order_Date]], "mmm")</f>
        <v>Jan</v>
      </c>
      <c r="V774">
        <f>MONTH(Sales_Data_1[[#This Row],[Order_Date]])</f>
        <v>1</v>
      </c>
      <c r="W774" t="str">
        <f>TEXT(Sales_Data_1[[#This Row],[Order_Date]], "yyyy-mm")</f>
        <v>2023-01</v>
      </c>
      <c r="X774">
        <f>Sales_Data_1[[#This Row],[Sales]]-Sales_Data_1[[#This Row],[Profit_Amount]]</f>
        <v>43852.569999999992</v>
      </c>
      <c r="Y774" t="str" cm="1">
        <f t="array" ref="Y774">_xlfn.IFS(Sales_Data_1[[#This Row],[Delivery_Days]]&lt;=3, "Fast", Sales_Data_1[[#This Row],[Delivery_Days]]&lt;= 7, "Standard", TRUE, "Delayed")</f>
        <v>Fast</v>
      </c>
      <c r="Z774" t="str" cm="1">
        <f t="array" ref="Z774">_xlfn.IFS(Sales_Data_1[[#This Row],[Profit_Amount]]&gt; 0, "Profitable", Sales_Data_1[[#This Row],[Profit_Amount]] = 0, "Break-Even", TRUE, "Loss")</f>
        <v>Profitable</v>
      </c>
      <c r="AA774" t="str" cm="1">
        <f t="array" ref="AA774">_xlfn.IFS(Sales_Data_1[[#This Row],[Sales]]&gt;= 1000, "High Value", Sales_Data_1[[#This Row],[Sales]]&gt;= 300, "Mid Value", TRUE, "Low Value")</f>
        <v>High Value</v>
      </c>
    </row>
    <row r="775" spans="1:27" x14ac:dyDescent="0.3">
      <c r="A775" t="s">
        <v>2348</v>
      </c>
      <c r="B775" s="1">
        <v>45234</v>
      </c>
      <c r="C775" t="s">
        <v>40</v>
      </c>
      <c r="D775" t="s">
        <v>21</v>
      </c>
      <c r="E775" t="s">
        <v>2040</v>
      </c>
      <c r="F775" t="s">
        <v>33</v>
      </c>
      <c r="G775" t="s">
        <v>24</v>
      </c>
      <c r="H775" t="s">
        <v>74</v>
      </c>
      <c r="I775" t="s">
        <v>684</v>
      </c>
      <c r="J775">
        <v>5</v>
      </c>
      <c r="K775">
        <v>14350</v>
      </c>
      <c r="L775">
        <v>0.18</v>
      </c>
      <c r="M775">
        <v>11767</v>
      </c>
      <c r="N775">
        <v>58835</v>
      </c>
      <c r="O775">
        <v>0.25</v>
      </c>
      <c r="P775">
        <v>14708.75</v>
      </c>
      <c r="Q775" t="s">
        <v>51</v>
      </c>
      <c r="R775" t="s">
        <v>48</v>
      </c>
      <c r="S775">
        <v>8</v>
      </c>
      <c r="T775">
        <f>YEAR(Sales_Data_1[[#This Row],[Order_Date]])</f>
        <v>2023</v>
      </c>
      <c r="U775" t="str">
        <f>TEXT(Sales_Data_1[[#This Row],[Order_Date]], "mmm")</f>
        <v>Nov</v>
      </c>
      <c r="V775">
        <f>MONTH(Sales_Data_1[[#This Row],[Order_Date]])</f>
        <v>11</v>
      </c>
      <c r="W775" t="str">
        <f>TEXT(Sales_Data_1[[#This Row],[Order_Date]], "yyyy-mm")</f>
        <v>2023-11</v>
      </c>
      <c r="X775">
        <f>Sales_Data_1[[#This Row],[Sales]]-Sales_Data_1[[#This Row],[Profit_Amount]]</f>
        <v>44126.25</v>
      </c>
      <c r="Y775" t="str" cm="1">
        <f t="array" ref="Y775">_xlfn.IFS(Sales_Data_1[[#This Row],[Delivery_Days]]&lt;=3, "Fast", Sales_Data_1[[#This Row],[Delivery_Days]]&lt;= 7, "Standard", TRUE, "Delayed")</f>
        <v>Delayed</v>
      </c>
      <c r="Z775" t="str" cm="1">
        <f t="array" ref="Z775">_xlfn.IFS(Sales_Data_1[[#This Row],[Profit_Amount]]&gt; 0, "Profitable", Sales_Data_1[[#This Row],[Profit_Amount]] = 0, "Break-Even", TRUE, "Loss")</f>
        <v>Profitable</v>
      </c>
      <c r="AA775" t="str" cm="1">
        <f t="array" ref="AA775">_xlfn.IFS(Sales_Data_1[[#This Row],[Sales]]&gt;= 1000, "High Value", Sales_Data_1[[#This Row],[Sales]]&gt;= 300, "Mid Value", TRUE, "Low Value")</f>
        <v>High Value</v>
      </c>
    </row>
    <row r="776" spans="1:27" x14ac:dyDescent="0.3">
      <c r="A776" t="s">
        <v>2051</v>
      </c>
      <c r="B776" s="1">
        <v>44937</v>
      </c>
      <c r="C776" t="s">
        <v>30</v>
      </c>
      <c r="D776" t="s">
        <v>56</v>
      </c>
      <c r="E776" t="s">
        <v>2040</v>
      </c>
      <c r="F776" t="s">
        <v>33</v>
      </c>
      <c r="G776" t="s">
        <v>24</v>
      </c>
      <c r="H776" t="s">
        <v>74</v>
      </c>
      <c r="I776" t="s">
        <v>75</v>
      </c>
      <c r="J776">
        <v>6</v>
      </c>
      <c r="K776">
        <v>9907</v>
      </c>
      <c r="L776">
        <v>0.01</v>
      </c>
      <c r="M776">
        <v>9807.93</v>
      </c>
      <c r="N776">
        <v>58847.58</v>
      </c>
      <c r="O776">
        <v>0.25</v>
      </c>
      <c r="P776">
        <v>14711.9</v>
      </c>
      <c r="Q776" t="s">
        <v>47</v>
      </c>
      <c r="R776" t="s">
        <v>48</v>
      </c>
      <c r="S776">
        <v>5</v>
      </c>
      <c r="T776">
        <f>YEAR(Sales_Data_1[[#This Row],[Order_Date]])</f>
        <v>2023</v>
      </c>
      <c r="U776" t="str">
        <f>TEXT(Sales_Data_1[[#This Row],[Order_Date]], "mmm")</f>
        <v>Jan</v>
      </c>
      <c r="V776">
        <f>MONTH(Sales_Data_1[[#This Row],[Order_Date]])</f>
        <v>1</v>
      </c>
      <c r="W776" t="str">
        <f>TEXT(Sales_Data_1[[#This Row],[Order_Date]], "yyyy-mm")</f>
        <v>2023-01</v>
      </c>
      <c r="X776">
        <f>Sales_Data_1[[#This Row],[Sales]]-Sales_Data_1[[#This Row],[Profit_Amount]]</f>
        <v>44135.68</v>
      </c>
      <c r="Y776" t="str" cm="1">
        <f t="array" ref="Y776">_xlfn.IFS(Sales_Data_1[[#This Row],[Delivery_Days]]&lt;=3, "Fast", Sales_Data_1[[#This Row],[Delivery_Days]]&lt;= 7, "Standard", TRUE, "Delayed")</f>
        <v>Standard</v>
      </c>
      <c r="Z776" t="str" cm="1">
        <f t="array" ref="Z776">_xlfn.IFS(Sales_Data_1[[#This Row],[Profit_Amount]]&gt; 0, "Profitable", Sales_Data_1[[#This Row],[Profit_Amount]] = 0, "Break-Even", TRUE, "Loss")</f>
        <v>Profitable</v>
      </c>
      <c r="AA776" t="str" cm="1">
        <f t="array" ref="AA776">_xlfn.IFS(Sales_Data_1[[#This Row],[Sales]]&gt;= 1000, "High Value", Sales_Data_1[[#This Row],[Sales]]&gt;= 300, "Mid Value", TRUE, "Low Value")</f>
        <v>High Value</v>
      </c>
    </row>
    <row r="777" spans="1:27" x14ac:dyDescent="0.3">
      <c r="A777" t="s">
        <v>2877</v>
      </c>
      <c r="B777" s="1">
        <v>45763</v>
      </c>
      <c r="C777" t="s">
        <v>20</v>
      </c>
      <c r="D777" t="s">
        <v>56</v>
      </c>
      <c r="E777" t="s">
        <v>2040</v>
      </c>
      <c r="F777" t="s">
        <v>43</v>
      </c>
      <c r="G777" t="s">
        <v>57</v>
      </c>
      <c r="H777" t="s">
        <v>58</v>
      </c>
      <c r="I777" t="s">
        <v>1724</v>
      </c>
      <c r="J777">
        <v>6</v>
      </c>
      <c r="K777">
        <v>15930</v>
      </c>
      <c r="L777">
        <v>0.23</v>
      </c>
      <c r="M777">
        <v>12266.1</v>
      </c>
      <c r="N777">
        <v>73596.600000000006</v>
      </c>
      <c r="O777">
        <v>0.2</v>
      </c>
      <c r="P777">
        <v>14719.32</v>
      </c>
      <c r="Q777" t="s">
        <v>37</v>
      </c>
      <c r="R777" t="s">
        <v>48</v>
      </c>
      <c r="S777">
        <v>2</v>
      </c>
      <c r="T777">
        <f>YEAR(Sales_Data_1[[#This Row],[Order_Date]])</f>
        <v>2025</v>
      </c>
      <c r="U777" t="str">
        <f>TEXT(Sales_Data_1[[#This Row],[Order_Date]], "mmm")</f>
        <v>Apr</v>
      </c>
      <c r="V777">
        <f>MONTH(Sales_Data_1[[#This Row],[Order_Date]])</f>
        <v>4</v>
      </c>
      <c r="W777" t="str">
        <f>TEXT(Sales_Data_1[[#This Row],[Order_Date]], "yyyy-mm")</f>
        <v>2025-04</v>
      </c>
      <c r="X777">
        <f>Sales_Data_1[[#This Row],[Sales]]-Sales_Data_1[[#This Row],[Profit_Amount]]</f>
        <v>58877.280000000006</v>
      </c>
      <c r="Y777" t="str" cm="1">
        <f t="array" ref="Y777">_xlfn.IFS(Sales_Data_1[[#This Row],[Delivery_Days]]&lt;=3, "Fast", Sales_Data_1[[#This Row],[Delivery_Days]]&lt;= 7, "Standard", TRUE, "Delayed")</f>
        <v>Fast</v>
      </c>
      <c r="Z777" t="str" cm="1">
        <f t="array" ref="Z777">_xlfn.IFS(Sales_Data_1[[#This Row],[Profit_Amount]]&gt; 0, "Profitable", Sales_Data_1[[#This Row],[Profit_Amount]] = 0, "Break-Even", TRUE, "Loss")</f>
        <v>Profitable</v>
      </c>
      <c r="AA777" t="str" cm="1">
        <f t="array" ref="AA777">_xlfn.IFS(Sales_Data_1[[#This Row],[Sales]]&gt;= 1000, "High Value", Sales_Data_1[[#This Row],[Sales]]&gt;= 300, "Mid Value", TRUE, "Low Value")</f>
        <v>High Value</v>
      </c>
    </row>
    <row r="778" spans="1:27" x14ac:dyDescent="0.3">
      <c r="A778" t="s">
        <v>2689</v>
      </c>
      <c r="B778" s="1">
        <v>45575</v>
      </c>
      <c r="C778" t="s">
        <v>55</v>
      </c>
      <c r="D778" t="s">
        <v>56</v>
      </c>
      <c r="E778" t="s">
        <v>2042</v>
      </c>
      <c r="F778" t="s">
        <v>23</v>
      </c>
      <c r="G778" t="s">
        <v>92</v>
      </c>
      <c r="H778" t="s">
        <v>93</v>
      </c>
      <c r="I778" t="s">
        <v>1358</v>
      </c>
      <c r="J778">
        <v>8</v>
      </c>
      <c r="K778">
        <v>15439</v>
      </c>
      <c r="L778">
        <v>0.2</v>
      </c>
      <c r="M778">
        <v>12351.2</v>
      </c>
      <c r="N778">
        <v>98809.600000000006</v>
      </c>
      <c r="O778">
        <v>0.15</v>
      </c>
      <c r="P778">
        <v>14821.44</v>
      </c>
      <c r="Q778" t="s">
        <v>51</v>
      </c>
      <c r="R778" t="s">
        <v>48</v>
      </c>
      <c r="S778">
        <v>4</v>
      </c>
      <c r="T778">
        <f>YEAR(Sales_Data_1[[#This Row],[Order_Date]])</f>
        <v>2024</v>
      </c>
      <c r="U778" t="str">
        <f>TEXT(Sales_Data_1[[#This Row],[Order_Date]], "mmm")</f>
        <v>Oct</v>
      </c>
      <c r="V778">
        <f>MONTH(Sales_Data_1[[#This Row],[Order_Date]])</f>
        <v>10</v>
      </c>
      <c r="W778" t="str">
        <f>TEXT(Sales_Data_1[[#This Row],[Order_Date]], "yyyy-mm")</f>
        <v>2024-10</v>
      </c>
      <c r="X778">
        <f>Sales_Data_1[[#This Row],[Sales]]-Sales_Data_1[[#This Row],[Profit_Amount]]</f>
        <v>83988.160000000003</v>
      </c>
      <c r="Y778" t="str" cm="1">
        <f t="array" ref="Y778">_xlfn.IFS(Sales_Data_1[[#This Row],[Delivery_Days]]&lt;=3, "Fast", Sales_Data_1[[#This Row],[Delivery_Days]]&lt;= 7, "Standard", TRUE, "Delayed")</f>
        <v>Standard</v>
      </c>
      <c r="Z778" t="str" cm="1">
        <f t="array" ref="Z778">_xlfn.IFS(Sales_Data_1[[#This Row],[Profit_Amount]]&gt; 0, "Profitable", Sales_Data_1[[#This Row],[Profit_Amount]] = 0, "Break-Even", TRUE, "Loss")</f>
        <v>Profitable</v>
      </c>
      <c r="AA778" t="str" cm="1">
        <f t="array" ref="AA778">_xlfn.IFS(Sales_Data_1[[#This Row],[Sales]]&gt;= 1000, "High Value", Sales_Data_1[[#This Row],[Sales]]&gt;= 300, "Mid Value", TRUE, "Low Value")</f>
        <v>High Value</v>
      </c>
    </row>
    <row r="779" spans="1:27" x14ac:dyDescent="0.3">
      <c r="A779" t="s">
        <v>2127</v>
      </c>
      <c r="B779" s="1">
        <v>45013</v>
      </c>
      <c r="C779" t="s">
        <v>20</v>
      </c>
      <c r="D779" t="s">
        <v>21</v>
      </c>
      <c r="E779" t="s">
        <v>42</v>
      </c>
      <c r="F779" t="s">
        <v>43</v>
      </c>
      <c r="G779" t="s">
        <v>92</v>
      </c>
      <c r="H779" t="s">
        <v>243</v>
      </c>
      <c r="I779" t="s">
        <v>244</v>
      </c>
      <c r="J779">
        <v>3</v>
      </c>
      <c r="K779">
        <v>37490</v>
      </c>
      <c r="L779">
        <v>0.12</v>
      </c>
      <c r="M779">
        <v>32991.199999999997</v>
      </c>
      <c r="N779">
        <v>98973.6</v>
      </c>
      <c r="O779">
        <v>0.15</v>
      </c>
      <c r="P779">
        <v>14846.04</v>
      </c>
      <c r="Q779" t="s">
        <v>47</v>
      </c>
      <c r="R779" t="s">
        <v>48</v>
      </c>
      <c r="S779">
        <v>8</v>
      </c>
      <c r="T779">
        <f>YEAR(Sales_Data_1[[#This Row],[Order_Date]])</f>
        <v>2023</v>
      </c>
      <c r="U779" t="str">
        <f>TEXT(Sales_Data_1[[#This Row],[Order_Date]], "mmm")</f>
        <v>Mar</v>
      </c>
      <c r="V779">
        <f>MONTH(Sales_Data_1[[#This Row],[Order_Date]])</f>
        <v>3</v>
      </c>
      <c r="W779" t="str">
        <f>TEXT(Sales_Data_1[[#This Row],[Order_Date]], "yyyy-mm")</f>
        <v>2023-03</v>
      </c>
      <c r="X779">
        <f>Sales_Data_1[[#This Row],[Sales]]-Sales_Data_1[[#This Row],[Profit_Amount]]</f>
        <v>84127.56</v>
      </c>
      <c r="Y779" t="str" cm="1">
        <f t="array" ref="Y779">_xlfn.IFS(Sales_Data_1[[#This Row],[Delivery_Days]]&lt;=3, "Fast", Sales_Data_1[[#This Row],[Delivery_Days]]&lt;= 7, "Standard", TRUE, "Delayed")</f>
        <v>Delayed</v>
      </c>
      <c r="Z779" t="str" cm="1">
        <f t="array" ref="Z779">_xlfn.IFS(Sales_Data_1[[#This Row],[Profit_Amount]]&gt; 0, "Profitable", Sales_Data_1[[#This Row],[Profit_Amount]] = 0, "Break-Even", TRUE, "Loss")</f>
        <v>Profitable</v>
      </c>
      <c r="AA779" t="str" cm="1">
        <f t="array" ref="AA779">_xlfn.IFS(Sales_Data_1[[#This Row],[Sales]]&gt;= 1000, "High Value", Sales_Data_1[[#This Row],[Sales]]&gt;= 300, "Mid Value", TRUE, "Low Value")</f>
        <v>High Value</v>
      </c>
    </row>
    <row r="780" spans="1:27" x14ac:dyDescent="0.3">
      <c r="A780" t="s">
        <v>2502</v>
      </c>
      <c r="B780" s="1">
        <v>45388</v>
      </c>
      <c r="C780" t="s">
        <v>96</v>
      </c>
      <c r="D780" t="s">
        <v>41</v>
      </c>
      <c r="E780" t="s">
        <v>42</v>
      </c>
      <c r="F780" t="s">
        <v>68</v>
      </c>
      <c r="G780" t="s">
        <v>57</v>
      </c>
      <c r="H780" t="s">
        <v>100</v>
      </c>
      <c r="I780" t="s">
        <v>989</v>
      </c>
      <c r="J780">
        <v>7</v>
      </c>
      <c r="K780">
        <v>12382</v>
      </c>
      <c r="L780">
        <v>0.14000000000000001</v>
      </c>
      <c r="M780">
        <v>10648.52</v>
      </c>
      <c r="N780">
        <v>74539.64</v>
      </c>
      <c r="O780">
        <v>0.2</v>
      </c>
      <c r="P780">
        <v>14907.93</v>
      </c>
      <c r="Q780" t="s">
        <v>27</v>
      </c>
      <c r="R780" t="s">
        <v>38</v>
      </c>
      <c r="S780">
        <v>8</v>
      </c>
      <c r="T780">
        <f>YEAR(Sales_Data_1[[#This Row],[Order_Date]])</f>
        <v>2024</v>
      </c>
      <c r="U780" t="str">
        <f>TEXT(Sales_Data_1[[#This Row],[Order_Date]], "mmm")</f>
        <v>Apr</v>
      </c>
      <c r="V780">
        <f>MONTH(Sales_Data_1[[#This Row],[Order_Date]])</f>
        <v>4</v>
      </c>
      <c r="W780" t="str">
        <f>TEXT(Sales_Data_1[[#This Row],[Order_Date]], "yyyy-mm")</f>
        <v>2024-04</v>
      </c>
      <c r="X780">
        <f>Sales_Data_1[[#This Row],[Sales]]-Sales_Data_1[[#This Row],[Profit_Amount]]</f>
        <v>59631.71</v>
      </c>
      <c r="Y780" t="str" cm="1">
        <f t="array" ref="Y780">_xlfn.IFS(Sales_Data_1[[#This Row],[Delivery_Days]]&lt;=3, "Fast", Sales_Data_1[[#This Row],[Delivery_Days]]&lt;= 7, "Standard", TRUE, "Delayed")</f>
        <v>Delayed</v>
      </c>
      <c r="Z780" t="str" cm="1">
        <f t="array" ref="Z780">_xlfn.IFS(Sales_Data_1[[#This Row],[Profit_Amount]]&gt; 0, "Profitable", Sales_Data_1[[#This Row],[Profit_Amount]] = 0, "Break-Even", TRUE, "Loss")</f>
        <v>Profitable</v>
      </c>
      <c r="AA780" t="str" cm="1">
        <f t="array" ref="AA780">_xlfn.IFS(Sales_Data_1[[#This Row],[Sales]]&gt;= 1000, "High Value", Sales_Data_1[[#This Row],[Sales]]&gt;= 300, "Mid Value", TRUE, "Low Value")</f>
        <v>High Value</v>
      </c>
    </row>
    <row r="781" spans="1:27" x14ac:dyDescent="0.3">
      <c r="A781" t="s">
        <v>3029</v>
      </c>
      <c r="B781" s="1">
        <v>45915</v>
      </c>
      <c r="C781" t="s">
        <v>63</v>
      </c>
      <c r="D781" t="s">
        <v>56</v>
      </c>
      <c r="E781" t="s">
        <v>2040</v>
      </c>
      <c r="F781" t="s">
        <v>68</v>
      </c>
      <c r="G781" t="s">
        <v>44</v>
      </c>
      <c r="H781" t="s">
        <v>116</v>
      </c>
      <c r="I781" t="s">
        <v>2017</v>
      </c>
      <c r="J781">
        <v>9</v>
      </c>
      <c r="K781">
        <v>4902</v>
      </c>
      <c r="L781">
        <v>0.03</v>
      </c>
      <c r="M781">
        <v>4754.9399999999996</v>
      </c>
      <c r="N781">
        <v>42794.46</v>
      </c>
      <c r="O781">
        <v>0.35</v>
      </c>
      <c r="P781">
        <v>14978.06</v>
      </c>
      <c r="Q781" t="s">
        <v>51</v>
      </c>
      <c r="R781" t="s">
        <v>28</v>
      </c>
      <c r="S781">
        <v>8</v>
      </c>
      <c r="T781">
        <f>YEAR(Sales_Data_1[[#This Row],[Order_Date]])</f>
        <v>2025</v>
      </c>
      <c r="U781" t="str">
        <f>TEXT(Sales_Data_1[[#This Row],[Order_Date]], "mmm")</f>
        <v>Sep</v>
      </c>
      <c r="V781">
        <f>MONTH(Sales_Data_1[[#This Row],[Order_Date]])</f>
        <v>9</v>
      </c>
      <c r="W781" t="str">
        <f>TEXT(Sales_Data_1[[#This Row],[Order_Date]], "yyyy-mm")</f>
        <v>2025-09</v>
      </c>
      <c r="X781">
        <f>Sales_Data_1[[#This Row],[Sales]]-Sales_Data_1[[#This Row],[Profit_Amount]]</f>
        <v>27816.400000000001</v>
      </c>
      <c r="Y781" t="str" cm="1">
        <f t="array" ref="Y781">_xlfn.IFS(Sales_Data_1[[#This Row],[Delivery_Days]]&lt;=3, "Fast", Sales_Data_1[[#This Row],[Delivery_Days]]&lt;= 7, "Standard", TRUE, "Delayed")</f>
        <v>Delayed</v>
      </c>
      <c r="Z781" t="str" cm="1">
        <f t="array" ref="Z781">_xlfn.IFS(Sales_Data_1[[#This Row],[Profit_Amount]]&gt; 0, "Profitable", Sales_Data_1[[#This Row],[Profit_Amount]] = 0, "Break-Even", TRUE, "Loss")</f>
        <v>Profitable</v>
      </c>
      <c r="AA781" t="str" cm="1">
        <f t="array" ref="AA781">_xlfn.IFS(Sales_Data_1[[#This Row],[Sales]]&gt;= 1000, "High Value", Sales_Data_1[[#This Row],[Sales]]&gt;= 300, "Mid Value", TRUE, "Low Value")</f>
        <v>High Value</v>
      </c>
    </row>
    <row r="782" spans="1:27" x14ac:dyDescent="0.3">
      <c r="A782" t="s">
        <v>2756</v>
      </c>
      <c r="B782" s="1">
        <v>45642</v>
      </c>
      <c r="C782" t="s">
        <v>30</v>
      </c>
      <c r="D782" t="s">
        <v>31</v>
      </c>
      <c r="E782" t="s">
        <v>67</v>
      </c>
      <c r="F782" t="s">
        <v>103</v>
      </c>
      <c r="G782" t="s">
        <v>24</v>
      </c>
      <c r="H782" t="s">
        <v>25</v>
      </c>
      <c r="I782" t="s">
        <v>1487</v>
      </c>
      <c r="J782">
        <v>7</v>
      </c>
      <c r="K782">
        <v>10678</v>
      </c>
      <c r="L782">
        <v>0.19</v>
      </c>
      <c r="M782">
        <v>8649.18</v>
      </c>
      <c r="N782">
        <v>60544.26</v>
      </c>
      <c r="O782">
        <v>0.25</v>
      </c>
      <c r="P782">
        <v>15136.06</v>
      </c>
      <c r="Q782" t="s">
        <v>47</v>
      </c>
      <c r="R782" t="s">
        <v>48</v>
      </c>
      <c r="S782">
        <v>6</v>
      </c>
      <c r="T782">
        <f>YEAR(Sales_Data_1[[#This Row],[Order_Date]])</f>
        <v>2024</v>
      </c>
      <c r="U782" t="str">
        <f>TEXT(Sales_Data_1[[#This Row],[Order_Date]], "mmm")</f>
        <v>Dec</v>
      </c>
      <c r="V782">
        <f>MONTH(Sales_Data_1[[#This Row],[Order_Date]])</f>
        <v>12</v>
      </c>
      <c r="W782" t="str">
        <f>TEXT(Sales_Data_1[[#This Row],[Order_Date]], "yyyy-mm")</f>
        <v>2024-12</v>
      </c>
      <c r="X782">
        <f>Sales_Data_1[[#This Row],[Sales]]-Sales_Data_1[[#This Row],[Profit_Amount]]</f>
        <v>45408.200000000004</v>
      </c>
      <c r="Y782" t="str" cm="1">
        <f t="array" ref="Y782">_xlfn.IFS(Sales_Data_1[[#This Row],[Delivery_Days]]&lt;=3, "Fast", Sales_Data_1[[#This Row],[Delivery_Days]]&lt;= 7, "Standard", TRUE, "Delayed")</f>
        <v>Standard</v>
      </c>
      <c r="Z782" t="str" cm="1">
        <f t="array" ref="Z782">_xlfn.IFS(Sales_Data_1[[#This Row],[Profit_Amount]]&gt; 0, "Profitable", Sales_Data_1[[#This Row],[Profit_Amount]] = 0, "Break-Even", TRUE, "Loss")</f>
        <v>Profitable</v>
      </c>
      <c r="AA782" t="str" cm="1">
        <f t="array" ref="AA782">_xlfn.IFS(Sales_Data_1[[#This Row],[Sales]]&gt;= 1000, "High Value", Sales_Data_1[[#This Row],[Sales]]&gt;= 300, "Mid Value", TRUE, "Low Value")</f>
        <v>High Value</v>
      </c>
    </row>
    <row r="783" spans="1:27" x14ac:dyDescent="0.3">
      <c r="A783" t="s">
        <v>2249</v>
      </c>
      <c r="B783" s="1">
        <v>45135</v>
      </c>
      <c r="C783" t="s">
        <v>40</v>
      </c>
      <c r="D783" t="s">
        <v>31</v>
      </c>
      <c r="E783" t="s">
        <v>2040</v>
      </c>
      <c r="F783" t="s">
        <v>43</v>
      </c>
      <c r="G783" t="s">
        <v>24</v>
      </c>
      <c r="H783" t="s">
        <v>186</v>
      </c>
      <c r="I783" t="s">
        <v>488</v>
      </c>
      <c r="J783">
        <v>6</v>
      </c>
      <c r="K783">
        <v>10519</v>
      </c>
      <c r="L783">
        <v>0.04</v>
      </c>
      <c r="M783">
        <v>10098.24</v>
      </c>
      <c r="N783">
        <v>60589.440000000002</v>
      </c>
      <c r="O783">
        <v>0.25</v>
      </c>
      <c r="P783">
        <v>15147.36</v>
      </c>
      <c r="Q783" t="s">
        <v>27</v>
      </c>
      <c r="R783" t="s">
        <v>48</v>
      </c>
      <c r="S783">
        <v>7</v>
      </c>
      <c r="T783">
        <f>YEAR(Sales_Data_1[[#This Row],[Order_Date]])</f>
        <v>2023</v>
      </c>
      <c r="U783" t="str">
        <f>TEXT(Sales_Data_1[[#This Row],[Order_Date]], "mmm")</f>
        <v>Jul</v>
      </c>
      <c r="V783">
        <f>MONTH(Sales_Data_1[[#This Row],[Order_Date]])</f>
        <v>7</v>
      </c>
      <c r="W783" t="str">
        <f>TEXT(Sales_Data_1[[#This Row],[Order_Date]], "yyyy-mm")</f>
        <v>2023-07</v>
      </c>
      <c r="X783">
        <f>Sales_Data_1[[#This Row],[Sales]]-Sales_Data_1[[#This Row],[Profit_Amount]]</f>
        <v>45442.080000000002</v>
      </c>
      <c r="Y783" t="str" cm="1">
        <f t="array" ref="Y783">_xlfn.IFS(Sales_Data_1[[#This Row],[Delivery_Days]]&lt;=3, "Fast", Sales_Data_1[[#This Row],[Delivery_Days]]&lt;= 7, "Standard", TRUE, "Delayed")</f>
        <v>Standard</v>
      </c>
      <c r="Z783" t="str" cm="1">
        <f t="array" ref="Z783">_xlfn.IFS(Sales_Data_1[[#This Row],[Profit_Amount]]&gt; 0, "Profitable", Sales_Data_1[[#This Row],[Profit_Amount]] = 0, "Break-Even", TRUE, "Loss")</f>
        <v>Profitable</v>
      </c>
      <c r="AA783" t="str" cm="1">
        <f t="array" ref="AA783">_xlfn.IFS(Sales_Data_1[[#This Row],[Sales]]&gt;= 1000, "High Value", Sales_Data_1[[#This Row],[Sales]]&gt;= 300, "Mid Value", TRUE, "Low Value")</f>
        <v>High Value</v>
      </c>
    </row>
    <row r="784" spans="1:27" x14ac:dyDescent="0.3">
      <c r="A784" t="s">
        <v>2091</v>
      </c>
      <c r="B784" s="1">
        <v>44977</v>
      </c>
      <c r="C784" t="s">
        <v>30</v>
      </c>
      <c r="D784" t="s">
        <v>41</v>
      </c>
      <c r="E784" t="s">
        <v>42</v>
      </c>
      <c r="F784" t="s">
        <v>33</v>
      </c>
      <c r="G784" t="s">
        <v>24</v>
      </c>
      <c r="H784" t="s">
        <v>121</v>
      </c>
      <c r="I784" t="s">
        <v>168</v>
      </c>
      <c r="J784">
        <v>5</v>
      </c>
      <c r="K784">
        <v>13322</v>
      </c>
      <c r="L784">
        <v>0.08</v>
      </c>
      <c r="M784">
        <v>12256.24</v>
      </c>
      <c r="N784">
        <v>61281.2</v>
      </c>
      <c r="O784">
        <v>0.25</v>
      </c>
      <c r="P784">
        <v>15320.3</v>
      </c>
      <c r="Q784" t="s">
        <v>51</v>
      </c>
      <c r="R784" t="s">
        <v>48</v>
      </c>
      <c r="S784">
        <v>8</v>
      </c>
      <c r="T784">
        <f>YEAR(Sales_Data_1[[#This Row],[Order_Date]])</f>
        <v>2023</v>
      </c>
      <c r="U784" t="str">
        <f>TEXT(Sales_Data_1[[#This Row],[Order_Date]], "mmm")</f>
        <v>Feb</v>
      </c>
      <c r="V784">
        <f>MONTH(Sales_Data_1[[#This Row],[Order_Date]])</f>
        <v>2</v>
      </c>
      <c r="W784" t="str">
        <f>TEXT(Sales_Data_1[[#This Row],[Order_Date]], "yyyy-mm")</f>
        <v>2023-02</v>
      </c>
      <c r="X784">
        <f>Sales_Data_1[[#This Row],[Sales]]-Sales_Data_1[[#This Row],[Profit_Amount]]</f>
        <v>45960.899999999994</v>
      </c>
      <c r="Y784" t="str" cm="1">
        <f t="array" ref="Y784">_xlfn.IFS(Sales_Data_1[[#This Row],[Delivery_Days]]&lt;=3, "Fast", Sales_Data_1[[#This Row],[Delivery_Days]]&lt;= 7, "Standard", TRUE, "Delayed")</f>
        <v>Delayed</v>
      </c>
      <c r="Z784" t="str" cm="1">
        <f t="array" ref="Z784">_xlfn.IFS(Sales_Data_1[[#This Row],[Profit_Amount]]&gt; 0, "Profitable", Sales_Data_1[[#This Row],[Profit_Amount]] = 0, "Break-Even", TRUE, "Loss")</f>
        <v>Profitable</v>
      </c>
      <c r="AA784" t="str" cm="1">
        <f t="array" ref="AA784">_xlfn.IFS(Sales_Data_1[[#This Row],[Sales]]&gt;= 1000, "High Value", Sales_Data_1[[#This Row],[Sales]]&gt;= 300, "Mid Value", TRUE, "Low Value")</f>
        <v>High Value</v>
      </c>
    </row>
    <row r="785" spans="1:27" x14ac:dyDescent="0.3">
      <c r="A785" t="s">
        <v>2838</v>
      </c>
      <c r="B785" s="1">
        <v>45724</v>
      </c>
      <c r="C785" t="s">
        <v>55</v>
      </c>
      <c r="D785" t="s">
        <v>41</v>
      </c>
      <c r="E785" t="s">
        <v>42</v>
      </c>
      <c r="F785" t="s">
        <v>23</v>
      </c>
      <c r="G785" t="s">
        <v>57</v>
      </c>
      <c r="H785" t="s">
        <v>183</v>
      </c>
      <c r="I785" t="s">
        <v>1647</v>
      </c>
      <c r="J785">
        <v>6</v>
      </c>
      <c r="K785">
        <v>14693</v>
      </c>
      <c r="L785">
        <v>0.13</v>
      </c>
      <c r="M785">
        <v>12782.91</v>
      </c>
      <c r="N785">
        <v>76697.460000000006</v>
      </c>
      <c r="O785">
        <v>0.2</v>
      </c>
      <c r="P785">
        <v>15339.49</v>
      </c>
      <c r="Q785" t="s">
        <v>27</v>
      </c>
      <c r="R785" t="s">
        <v>38</v>
      </c>
      <c r="S785">
        <v>5</v>
      </c>
      <c r="T785">
        <f>YEAR(Sales_Data_1[[#This Row],[Order_Date]])</f>
        <v>2025</v>
      </c>
      <c r="U785" t="str">
        <f>TEXT(Sales_Data_1[[#This Row],[Order_Date]], "mmm")</f>
        <v>Mar</v>
      </c>
      <c r="V785">
        <f>MONTH(Sales_Data_1[[#This Row],[Order_Date]])</f>
        <v>3</v>
      </c>
      <c r="W785" t="str">
        <f>TEXT(Sales_Data_1[[#This Row],[Order_Date]], "yyyy-mm")</f>
        <v>2025-03</v>
      </c>
      <c r="X785">
        <f>Sales_Data_1[[#This Row],[Sales]]-Sales_Data_1[[#This Row],[Profit_Amount]]</f>
        <v>61357.970000000008</v>
      </c>
      <c r="Y785" t="str" cm="1">
        <f t="array" ref="Y785">_xlfn.IFS(Sales_Data_1[[#This Row],[Delivery_Days]]&lt;=3, "Fast", Sales_Data_1[[#This Row],[Delivery_Days]]&lt;= 7, "Standard", TRUE, "Delayed")</f>
        <v>Standard</v>
      </c>
      <c r="Z785" t="str" cm="1">
        <f t="array" ref="Z785">_xlfn.IFS(Sales_Data_1[[#This Row],[Profit_Amount]]&gt; 0, "Profitable", Sales_Data_1[[#This Row],[Profit_Amount]] = 0, "Break-Even", TRUE, "Loss")</f>
        <v>Profitable</v>
      </c>
      <c r="AA785" t="str" cm="1">
        <f t="array" ref="AA785">_xlfn.IFS(Sales_Data_1[[#This Row],[Sales]]&gt;= 1000, "High Value", Sales_Data_1[[#This Row],[Sales]]&gt;= 300, "Mid Value", TRUE, "Low Value")</f>
        <v>High Value</v>
      </c>
    </row>
    <row r="786" spans="1:27" x14ac:dyDescent="0.3">
      <c r="A786" t="s">
        <v>2878</v>
      </c>
      <c r="B786" s="1">
        <v>45764</v>
      </c>
      <c r="C786" t="s">
        <v>96</v>
      </c>
      <c r="D786" t="s">
        <v>31</v>
      </c>
      <c r="E786" t="s">
        <v>2042</v>
      </c>
      <c r="F786" t="s">
        <v>43</v>
      </c>
      <c r="G786" t="s">
        <v>57</v>
      </c>
      <c r="H786" t="s">
        <v>81</v>
      </c>
      <c r="I786" t="s">
        <v>1726</v>
      </c>
      <c r="J786">
        <v>8</v>
      </c>
      <c r="K786">
        <v>12077</v>
      </c>
      <c r="L786">
        <v>0.2</v>
      </c>
      <c r="M786">
        <v>9661.6</v>
      </c>
      <c r="N786">
        <v>77292.800000000003</v>
      </c>
      <c r="O786">
        <v>0.2</v>
      </c>
      <c r="P786">
        <v>15458.56</v>
      </c>
      <c r="Q786" t="s">
        <v>47</v>
      </c>
      <c r="R786" t="s">
        <v>48</v>
      </c>
      <c r="S786">
        <v>1</v>
      </c>
      <c r="T786">
        <f>YEAR(Sales_Data_1[[#This Row],[Order_Date]])</f>
        <v>2025</v>
      </c>
      <c r="U786" t="str">
        <f>TEXT(Sales_Data_1[[#This Row],[Order_Date]], "mmm")</f>
        <v>Apr</v>
      </c>
      <c r="V786">
        <f>MONTH(Sales_Data_1[[#This Row],[Order_Date]])</f>
        <v>4</v>
      </c>
      <c r="W786" t="str">
        <f>TEXT(Sales_Data_1[[#This Row],[Order_Date]], "yyyy-mm")</f>
        <v>2025-04</v>
      </c>
      <c r="X786">
        <f>Sales_Data_1[[#This Row],[Sales]]-Sales_Data_1[[#This Row],[Profit_Amount]]</f>
        <v>61834.240000000005</v>
      </c>
      <c r="Y786" t="str" cm="1">
        <f t="array" ref="Y786">_xlfn.IFS(Sales_Data_1[[#This Row],[Delivery_Days]]&lt;=3, "Fast", Sales_Data_1[[#This Row],[Delivery_Days]]&lt;= 7, "Standard", TRUE, "Delayed")</f>
        <v>Fast</v>
      </c>
      <c r="Z786" t="str" cm="1">
        <f t="array" ref="Z786">_xlfn.IFS(Sales_Data_1[[#This Row],[Profit_Amount]]&gt; 0, "Profitable", Sales_Data_1[[#This Row],[Profit_Amount]] = 0, "Break-Even", TRUE, "Loss")</f>
        <v>Profitable</v>
      </c>
      <c r="AA786" t="str" cm="1">
        <f t="array" ref="AA786">_xlfn.IFS(Sales_Data_1[[#This Row],[Sales]]&gt;= 1000, "High Value", Sales_Data_1[[#This Row],[Sales]]&gt;= 300, "Mid Value", TRUE, "Low Value")</f>
        <v>High Value</v>
      </c>
    </row>
    <row r="787" spans="1:27" x14ac:dyDescent="0.3">
      <c r="A787" t="s">
        <v>2611</v>
      </c>
      <c r="B787" s="1">
        <v>45497</v>
      </c>
      <c r="C787" t="s">
        <v>40</v>
      </c>
      <c r="D787" t="s">
        <v>21</v>
      </c>
      <c r="E787" t="s">
        <v>67</v>
      </c>
      <c r="F787" t="s">
        <v>68</v>
      </c>
      <c r="G787" t="s">
        <v>57</v>
      </c>
      <c r="H787" t="s">
        <v>81</v>
      </c>
      <c r="I787" t="s">
        <v>1204</v>
      </c>
      <c r="J787">
        <v>8</v>
      </c>
      <c r="K787">
        <v>9993</v>
      </c>
      <c r="L787">
        <v>0.03</v>
      </c>
      <c r="M787">
        <v>9693.2099999999991</v>
      </c>
      <c r="N787">
        <v>77545.679999999993</v>
      </c>
      <c r="O787">
        <v>0.2</v>
      </c>
      <c r="P787">
        <v>15509.14</v>
      </c>
      <c r="Q787" t="s">
        <v>51</v>
      </c>
      <c r="R787" t="s">
        <v>38</v>
      </c>
      <c r="S787">
        <v>6</v>
      </c>
      <c r="T787">
        <f>YEAR(Sales_Data_1[[#This Row],[Order_Date]])</f>
        <v>2024</v>
      </c>
      <c r="U787" t="str">
        <f>TEXT(Sales_Data_1[[#This Row],[Order_Date]], "mmm")</f>
        <v>Jul</v>
      </c>
      <c r="V787">
        <f>MONTH(Sales_Data_1[[#This Row],[Order_Date]])</f>
        <v>7</v>
      </c>
      <c r="W787" t="str">
        <f>TEXT(Sales_Data_1[[#This Row],[Order_Date]], "yyyy-mm")</f>
        <v>2024-07</v>
      </c>
      <c r="X787">
        <f>Sales_Data_1[[#This Row],[Sales]]-Sales_Data_1[[#This Row],[Profit_Amount]]</f>
        <v>62036.539999999994</v>
      </c>
      <c r="Y787" t="str" cm="1">
        <f t="array" ref="Y787">_xlfn.IFS(Sales_Data_1[[#This Row],[Delivery_Days]]&lt;=3, "Fast", Sales_Data_1[[#This Row],[Delivery_Days]]&lt;= 7, "Standard", TRUE, "Delayed")</f>
        <v>Standard</v>
      </c>
      <c r="Z787" t="str" cm="1">
        <f t="array" ref="Z787">_xlfn.IFS(Sales_Data_1[[#This Row],[Profit_Amount]]&gt; 0, "Profitable", Sales_Data_1[[#This Row],[Profit_Amount]] = 0, "Break-Even", TRUE, "Loss")</f>
        <v>Profitable</v>
      </c>
      <c r="AA787" t="str" cm="1">
        <f t="array" ref="AA787">_xlfn.IFS(Sales_Data_1[[#This Row],[Sales]]&gt;= 1000, "High Value", Sales_Data_1[[#This Row],[Sales]]&gt;= 300, "Mid Value", TRUE, "Low Value")</f>
        <v>High Value</v>
      </c>
    </row>
    <row r="788" spans="1:27" x14ac:dyDescent="0.3">
      <c r="A788" t="s">
        <v>2488</v>
      </c>
      <c r="B788" s="1">
        <v>45374</v>
      </c>
      <c r="C788" t="s">
        <v>63</v>
      </c>
      <c r="D788" t="s">
        <v>41</v>
      </c>
      <c r="E788" t="s">
        <v>2042</v>
      </c>
      <c r="F788" t="s">
        <v>68</v>
      </c>
      <c r="G788" t="s">
        <v>92</v>
      </c>
      <c r="H788" t="s">
        <v>109</v>
      </c>
      <c r="I788" t="s">
        <v>961</v>
      </c>
      <c r="J788">
        <v>4</v>
      </c>
      <c r="K788">
        <v>26163</v>
      </c>
      <c r="L788">
        <v>0.01</v>
      </c>
      <c r="M788">
        <v>25901.37</v>
      </c>
      <c r="N788">
        <v>103605.48</v>
      </c>
      <c r="O788">
        <v>0.15</v>
      </c>
      <c r="P788">
        <v>15540.82</v>
      </c>
      <c r="Q788" t="s">
        <v>27</v>
      </c>
      <c r="R788" t="s">
        <v>48</v>
      </c>
      <c r="S788">
        <v>1</v>
      </c>
      <c r="T788">
        <f>YEAR(Sales_Data_1[[#This Row],[Order_Date]])</f>
        <v>2024</v>
      </c>
      <c r="U788" t="str">
        <f>TEXT(Sales_Data_1[[#This Row],[Order_Date]], "mmm")</f>
        <v>Mar</v>
      </c>
      <c r="V788">
        <f>MONTH(Sales_Data_1[[#This Row],[Order_Date]])</f>
        <v>3</v>
      </c>
      <c r="W788" t="str">
        <f>TEXT(Sales_Data_1[[#This Row],[Order_Date]], "yyyy-mm")</f>
        <v>2024-03</v>
      </c>
      <c r="X788">
        <f>Sales_Data_1[[#This Row],[Sales]]-Sales_Data_1[[#This Row],[Profit_Amount]]</f>
        <v>88064.66</v>
      </c>
      <c r="Y788" t="str" cm="1">
        <f t="array" ref="Y788">_xlfn.IFS(Sales_Data_1[[#This Row],[Delivery_Days]]&lt;=3, "Fast", Sales_Data_1[[#This Row],[Delivery_Days]]&lt;= 7, "Standard", TRUE, "Delayed")</f>
        <v>Fast</v>
      </c>
      <c r="Z788" t="str" cm="1">
        <f t="array" ref="Z788">_xlfn.IFS(Sales_Data_1[[#This Row],[Profit_Amount]]&gt; 0, "Profitable", Sales_Data_1[[#This Row],[Profit_Amount]] = 0, "Break-Even", TRUE, "Loss")</f>
        <v>Profitable</v>
      </c>
      <c r="AA788" t="str" cm="1">
        <f t="array" ref="AA788">_xlfn.IFS(Sales_Data_1[[#This Row],[Sales]]&gt;= 1000, "High Value", Sales_Data_1[[#This Row],[Sales]]&gt;= 300, "Mid Value", TRUE, "Low Value")</f>
        <v>High Value</v>
      </c>
    </row>
    <row r="789" spans="1:27" x14ac:dyDescent="0.3">
      <c r="A789" t="s">
        <v>2417</v>
      </c>
      <c r="B789" s="1">
        <v>45303</v>
      </c>
      <c r="C789" t="s">
        <v>30</v>
      </c>
      <c r="D789" t="s">
        <v>31</v>
      </c>
      <c r="E789" t="s">
        <v>2040</v>
      </c>
      <c r="F789" t="s">
        <v>68</v>
      </c>
      <c r="G789" t="s">
        <v>24</v>
      </c>
      <c r="H789" t="s">
        <v>121</v>
      </c>
      <c r="I789" t="s">
        <v>820</v>
      </c>
      <c r="J789">
        <v>7</v>
      </c>
      <c r="K789">
        <v>10382</v>
      </c>
      <c r="L789">
        <v>0.14000000000000001</v>
      </c>
      <c r="M789">
        <v>8928.52</v>
      </c>
      <c r="N789">
        <v>62499.64</v>
      </c>
      <c r="O789">
        <v>0.25</v>
      </c>
      <c r="P789">
        <v>15624.91</v>
      </c>
      <c r="Q789" t="s">
        <v>47</v>
      </c>
      <c r="R789" t="s">
        <v>48</v>
      </c>
      <c r="S789">
        <v>9</v>
      </c>
      <c r="T789">
        <f>YEAR(Sales_Data_1[[#This Row],[Order_Date]])</f>
        <v>2024</v>
      </c>
      <c r="U789" t="str">
        <f>TEXT(Sales_Data_1[[#This Row],[Order_Date]], "mmm")</f>
        <v>Jan</v>
      </c>
      <c r="V789">
        <f>MONTH(Sales_Data_1[[#This Row],[Order_Date]])</f>
        <v>1</v>
      </c>
      <c r="W789" t="str">
        <f>TEXT(Sales_Data_1[[#This Row],[Order_Date]], "yyyy-mm")</f>
        <v>2024-01</v>
      </c>
      <c r="X789">
        <f>Sales_Data_1[[#This Row],[Sales]]-Sales_Data_1[[#This Row],[Profit_Amount]]</f>
        <v>46874.729999999996</v>
      </c>
      <c r="Y789" t="str" cm="1">
        <f t="array" ref="Y789">_xlfn.IFS(Sales_Data_1[[#This Row],[Delivery_Days]]&lt;=3, "Fast", Sales_Data_1[[#This Row],[Delivery_Days]]&lt;= 7, "Standard", TRUE, "Delayed")</f>
        <v>Delayed</v>
      </c>
      <c r="Z789" t="str" cm="1">
        <f t="array" ref="Z789">_xlfn.IFS(Sales_Data_1[[#This Row],[Profit_Amount]]&gt; 0, "Profitable", Sales_Data_1[[#This Row],[Profit_Amount]] = 0, "Break-Even", TRUE, "Loss")</f>
        <v>Profitable</v>
      </c>
      <c r="AA789" t="str" cm="1">
        <f t="array" ref="AA789">_xlfn.IFS(Sales_Data_1[[#This Row],[Sales]]&gt;= 1000, "High Value", Sales_Data_1[[#This Row],[Sales]]&gt;= 300, "Mid Value", TRUE, "Low Value")</f>
        <v>High Value</v>
      </c>
    </row>
    <row r="790" spans="1:27" x14ac:dyDescent="0.3">
      <c r="A790" t="s">
        <v>2471</v>
      </c>
      <c r="B790" s="1">
        <v>45357</v>
      </c>
      <c r="C790" t="s">
        <v>63</v>
      </c>
      <c r="D790" t="s">
        <v>56</v>
      </c>
      <c r="E790" t="s">
        <v>67</v>
      </c>
      <c r="F790" t="s">
        <v>23</v>
      </c>
      <c r="G790" t="s">
        <v>57</v>
      </c>
      <c r="H790" t="s">
        <v>183</v>
      </c>
      <c r="I790" t="s">
        <v>928</v>
      </c>
      <c r="J790">
        <v>6</v>
      </c>
      <c r="K790">
        <v>17463</v>
      </c>
      <c r="L790">
        <v>0.25</v>
      </c>
      <c r="M790">
        <v>13097.25</v>
      </c>
      <c r="N790">
        <v>78583.5</v>
      </c>
      <c r="O790">
        <v>0.2</v>
      </c>
      <c r="P790">
        <v>15716.7</v>
      </c>
      <c r="Q790" t="s">
        <v>37</v>
      </c>
      <c r="R790" t="s">
        <v>48</v>
      </c>
      <c r="S790">
        <v>2</v>
      </c>
      <c r="T790">
        <f>YEAR(Sales_Data_1[[#This Row],[Order_Date]])</f>
        <v>2024</v>
      </c>
      <c r="U790" t="str">
        <f>TEXT(Sales_Data_1[[#This Row],[Order_Date]], "mmm")</f>
        <v>Mar</v>
      </c>
      <c r="V790">
        <f>MONTH(Sales_Data_1[[#This Row],[Order_Date]])</f>
        <v>3</v>
      </c>
      <c r="W790" t="str">
        <f>TEXT(Sales_Data_1[[#This Row],[Order_Date]], "yyyy-mm")</f>
        <v>2024-03</v>
      </c>
      <c r="X790">
        <f>Sales_Data_1[[#This Row],[Sales]]-Sales_Data_1[[#This Row],[Profit_Amount]]</f>
        <v>62866.8</v>
      </c>
      <c r="Y790" t="str" cm="1">
        <f t="array" ref="Y790">_xlfn.IFS(Sales_Data_1[[#This Row],[Delivery_Days]]&lt;=3, "Fast", Sales_Data_1[[#This Row],[Delivery_Days]]&lt;= 7, "Standard", TRUE, "Delayed")</f>
        <v>Fast</v>
      </c>
      <c r="Z790" t="str" cm="1">
        <f t="array" ref="Z790">_xlfn.IFS(Sales_Data_1[[#This Row],[Profit_Amount]]&gt; 0, "Profitable", Sales_Data_1[[#This Row],[Profit_Amount]] = 0, "Break-Even", TRUE, "Loss")</f>
        <v>Profitable</v>
      </c>
      <c r="AA790" t="str" cm="1">
        <f t="array" ref="AA790">_xlfn.IFS(Sales_Data_1[[#This Row],[Sales]]&gt;= 1000, "High Value", Sales_Data_1[[#This Row],[Sales]]&gt;= 300, "Mid Value", TRUE, "Low Value")</f>
        <v>High Value</v>
      </c>
    </row>
    <row r="791" spans="1:27" x14ac:dyDescent="0.3">
      <c r="A791" t="s">
        <v>2907</v>
      </c>
      <c r="B791" s="1">
        <v>45793</v>
      </c>
      <c r="C791" t="s">
        <v>40</v>
      </c>
      <c r="D791" t="s">
        <v>21</v>
      </c>
      <c r="E791" t="s">
        <v>42</v>
      </c>
      <c r="F791" t="s">
        <v>97</v>
      </c>
      <c r="G791" t="s">
        <v>24</v>
      </c>
      <c r="H791" t="s">
        <v>121</v>
      </c>
      <c r="I791" t="s">
        <v>1784</v>
      </c>
      <c r="J791">
        <v>9</v>
      </c>
      <c r="K791">
        <v>8736</v>
      </c>
      <c r="L791">
        <v>0.2</v>
      </c>
      <c r="M791">
        <v>6988.8</v>
      </c>
      <c r="N791">
        <v>62899.199999999997</v>
      </c>
      <c r="O791">
        <v>0.25</v>
      </c>
      <c r="P791">
        <v>15724.8</v>
      </c>
      <c r="Q791" t="s">
        <v>51</v>
      </c>
      <c r="R791" t="s">
        <v>48</v>
      </c>
      <c r="S791">
        <v>7</v>
      </c>
      <c r="T791">
        <f>YEAR(Sales_Data_1[[#This Row],[Order_Date]])</f>
        <v>2025</v>
      </c>
      <c r="U791" t="str">
        <f>TEXT(Sales_Data_1[[#This Row],[Order_Date]], "mmm")</f>
        <v>May</v>
      </c>
      <c r="V791">
        <f>MONTH(Sales_Data_1[[#This Row],[Order_Date]])</f>
        <v>5</v>
      </c>
      <c r="W791" t="str">
        <f>TEXT(Sales_Data_1[[#This Row],[Order_Date]], "yyyy-mm")</f>
        <v>2025-05</v>
      </c>
      <c r="X791">
        <f>Sales_Data_1[[#This Row],[Sales]]-Sales_Data_1[[#This Row],[Profit_Amount]]</f>
        <v>47174.399999999994</v>
      </c>
      <c r="Y791" t="str" cm="1">
        <f t="array" ref="Y791">_xlfn.IFS(Sales_Data_1[[#This Row],[Delivery_Days]]&lt;=3, "Fast", Sales_Data_1[[#This Row],[Delivery_Days]]&lt;= 7, "Standard", TRUE, "Delayed")</f>
        <v>Standard</v>
      </c>
      <c r="Z791" t="str" cm="1">
        <f t="array" ref="Z791">_xlfn.IFS(Sales_Data_1[[#This Row],[Profit_Amount]]&gt; 0, "Profitable", Sales_Data_1[[#This Row],[Profit_Amount]] = 0, "Break-Even", TRUE, "Loss")</f>
        <v>Profitable</v>
      </c>
      <c r="AA791" t="str" cm="1">
        <f t="array" ref="AA791">_xlfn.IFS(Sales_Data_1[[#This Row],[Sales]]&gt;= 1000, "High Value", Sales_Data_1[[#This Row],[Sales]]&gt;= 300, "Mid Value", TRUE, "Low Value")</f>
        <v>High Value</v>
      </c>
    </row>
    <row r="792" spans="1:27" x14ac:dyDescent="0.3">
      <c r="A792" t="s">
        <v>2394</v>
      </c>
      <c r="B792" s="1">
        <v>45280</v>
      </c>
      <c r="C792" t="s">
        <v>30</v>
      </c>
      <c r="D792" t="s">
        <v>56</v>
      </c>
      <c r="E792" t="s">
        <v>2042</v>
      </c>
      <c r="F792" t="s">
        <v>97</v>
      </c>
      <c r="G792" t="s">
        <v>24</v>
      </c>
      <c r="H792" t="s">
        <v>25</v>
      </c>
      <c r="I792" t="s">
        <v>775</v>
      </c>
      <c r="J792">
        <v>8</v>
      </c>
      <c r="K792">
        <v>9853</v>
      </c>
      <c r="L792">
        <v>0.2</v>
      </c>
      <c r="M792">
        <v>7882.4</v>
      </c>
      <c r="N792">
        <v>63059.199999999997</v>
      </c>
      <c r="O792">
        <v>0.25</v>
      </c>
      <c r="P792">
        <v>15764.8</v>
      </c>
      <c r="Q792" t="s">
        <v>47</v>
      </c>
      <c r="R792" t="s">
        <v>38</v>
      </c>
      <c r="S792">
        <v>1</v>
      </c>
      <c r="T792">
        <f>YEAR(Sales_Data_1[[#This Row],[Order_Date]])</f>
        <v>2023</v>
      </c>
      <c r="U792" t="str">
        <f>TEXT(Sales_Data_1[[#This Row],[Order_Date]], "mmm")</f>
        <v>Dec</v>
      </c>
      <c r="V792">
        <f>MONTH(Sales_Data_1[[#This Row],[Order_Date]])</f>
        <v>12</v>
      </c>
      <c r="W792" t="str">
        <f>TEXT(Sales_Data_1[[#This Row],[Order_Date]], "yyyy-mm")</f>
        <v>2023-12</v>
      </c>
      <c r="X792">
        <f>Sales_Data_1[[#This Row],[Sales]]-Sales_Data_1[[#This Row],[Profit_Amount]]</f>
        <v>47294.399999999994</v>
      </c>
      <c r="Y792" t="str" cm="1">
        <f t="array" ref="Y792">_xlfn.IFS(Sales_Data_1[[#This Row],[Delivery_Days]]&lt;=3, "Fast", Sales_Data_1[[#This Row],[Delivery_Days]]&lt;= 7, "Standard", TRUE, "Delayed")</f>
        <v>Fast</v>
      </c>
      <c r="Z792" t="str" cm="1">
        <f t="array" ref="Z792">_xlfn.IFS(Sales_Data_1[[#This Row],[Profit_Amount]]&gt; 0, "Profitable", Sales_Data_1[[#This Row],[Profit_Amount]] = 0, "Break-Even", TRUE, "Loss")</f>
        <v>Profitable</v>
      </c>
      <c r="AA792" t="str" cm="1">
        <f t="array" ref="AA792">_xlfn.IFS(Sales_Data_1[[#This Row],[Sales]]&gt;= 1000, "High Value", Sales_Data_1[[#This Row],[Sales]]&gt;= 300, "Mid Value", TRUE, "Low Value")</f>
        <v>High Value</v>
      </c>
    </row>
    <row r="793" spans="1:27" x14ac:dyDescent="0.3">
      <c r="A793" t="s">
        <v>2600</v>
      </c>
      <c r="B793" s="1">
        <v>45486</v>
      </c>
      <c r="C793" t="s">
        <v>30</v>
      </c>
      <c r="D793" t="s">
        <v>56</v>
      </c>
      <c r="E793" t="s">
        <v>2042</v>
      </c>
      <c r="F793" t="s">
        <v>23</v>
      </c>
      <c r="G793" t="s">
        <v>24</v>
      </c>
      <c r="H793" t="s">
        <v>186</v>
      </c>
      <c r="I793" t="s">
        <v>1182</v>
      </c>
      <c r="J793">
        <v>6</v>
      </c>
      <c r="K793">
        <v>10956</v>
      </c>
      <c r="L793">
        <v>0.04</v>
      </c>
      <c r="M793">
        <v>10517.76</v>
      </c>
      <c r="N793">
        <v>63106.559999999998</v>
      </c>
      <c r="O793">
        <v>0.25</v>
      </c>
      <c r="P793">
        <v>15776.64</v>
      </c>
      <c r="Q793" t="s">
        <v>27</v>
      </c>
      <c r="R793" t="s">
        <v>48</v>
      </c>
      <c r="S793">
        <v>7</v>
      </c>
      <c r="T793">
        <f>YEAR(Sales_Data_1[[#This Row],[Order_Date]])</f>
        <v>2024</v>
      </c>
      <c r="U793" t="str">
        <f>TEXT(Sales_Data_1[[#This Row],[Order_Date]], "mmm")</f>
        <v>Jul</v>
      </c>
      <c r="V793">
        <f>MONTH(Sales_Data_1[[#This Row],[Order_Date]])</f>
        <v>7</v>
      </c>
      <c r="W793" t="str">
        <f>TEXT(Sales_Data_1[[#This Row],[Order_Date]], "yyyy-mm")</f>
        <v>2024-07</v>
      </c>
      <c r="X793">
        <f>Sales_Data_1[[#This Row],[Sales]]-Sales_Data_1[[#This Row],[Profit_Amount]]</f>
        <v>47329.919999999998</v>
      </c>
      <c r="Y793" t="str" cm="1">
        <f t="array" ref="Y793">_xlfn.IFS(Sales_Data_1[[#This Row],[Delivery_Days]]&lt;=3, "Fast", Sales_Data_1[[#This Row],[Delivery_Days]]&lt;= 7, "Standard", TRUE, "Delayed")</f>
        <v>Standard</v>
      </c>
      <c r="Z793" t="str" cm="1">
        <f t="array" ref="Z793">_xlfn.IFS(Sales_Data_1[[#This Row],[Profit_Amount]]&gt; 0, "Profitable", Sales_Data_1[[#This Row],[Profit_Amount]] = 0, "Break-Even", TRUE, "Loss")</f>
        <v>Profitable</v>
      </c>
      <c r="AA793" t="str" cm="1">
        <f t="array" ref="AA793">_xlfn.IFS(Sales_Data_1[[#This Row],[Sales]]&gt;= 1000, "High Value", Sales_Data_1[[#This Row],[Sales]]&gt;= 300, "Mid Value", TRUE, "Low Value")</f>
        <v>High Value</v>
      </c>
    </row>
    <row r="794" spans="1:27" x14ac:dyDescent="0.3">
      <c r="A794" t="s">
        <v>2676</v>
      </c>
      <c r="B794" s="1">
        <v>45562</v>
      </c>
      <c r="C794" t="s">
        <v>55</v>
      </c>
      <c r="D794" t="s">
        <v>31</v>
      </c>
      <c r="E794" t="s">
        <v>2040</v>
      </c>
      <c r="F794" t="s">
        <v>23</v>
      </c>
      <c r="G794" t="s">
        <v>92</v>
      </c>
      <c r="H794" t="s">
        <v>93</v>
      </c>
      <c r="I794" t="s">
        <v>1332</v>
      </c>
      <c r="J794">
        <v>2</v>
      </c>
      <c r="K794">
        <v>54857</v>
      </c>
      <c r="L794">
        <v>0.04</v>
      </c>
      <c r="M794">
        <v>52662.720000000001</v>
      </c>
      <c r="N794">
        <v>105325.44</v>
      </c>
      <c r="O794">
        <v>0.15</v>
      </c>
      <c r="P794">
        <v>15798.82</v>
      </c>
      <c r="Q794" t="s">
        <v>47</v>
      </c>
      <c r="R794" t="s">
        <v>48</v>
      </c>
      <c r="S794">
        <v>8</v>
      </c>
      <c r="T794">
        <f>YEAR(Sales_Data_1[[#This Row],[Order_Date]])</f>
        <v>2024</v>
      </c>
      <c r="U794" t="str">
        <f>TEXT(Sales_Data_1[[#This Row],[Order_Date]], "mmm")</f>
        <v>Sep</v>
      </c>
      <c r="V794">
        <f>MONTH(Sales_Data_1[[#This Row],[Order_Date]])</f>
        <v>9</v>
      </c>
      <c r="W794" t="str">
        <f>TEXT(Sales_Data_1[[#This Row],[Order_Date]], "yyyy-mm")</f>
        <v>2024-09</v>
      </c>
      <c r="X794">
        <f>Sales_Data_1[[#This Row],[Sales]]-Sales_Data_1[[#This Row],[Profit_Amount]]</f>
        <v>89526.62</v>
      </c>
      <c r="Y794" t="str" cm="1">
        <f t="array" ref="Y794">_xlfn.IFS(Sales_Data_1[[#This Row],[Delivery_Days]]&lt;=3, "Fast", Sales_Data_1[[#This Row],[Delivery_Days]]&lt;= 7, "Standard", TRUE, "Delayed")</f>
        <v>Delayed</v>
      </c>
      <c r="Z794" t="str" cm="1">
        <f t="array" ref="Z794">_xlfn.IFS(Sales_Data_1[[#This Row],[Profit_Amount]]&gt; 0, "Profitable", Sales_Data_1[[#This Row],[Profit_Amount]] = 0, "Break-Even", TRUE, "Loss")</f>
        <v>Profitable</v>
      </c>
      <c r="AA794" t="str" cm="1">
        <f t="array" ref="AA794">_xlfn.IFS(Sales_Data_1[[#This Row],[Sales]]&gt;= 1000, "High Value", Sales_Data_1[[#This Row],[Sales]]&gt;= 300, "Mid Value", TRUE, "Low Value")</f>
        <v>High Value</v>
      </c>
    </row>
    <row r="795" spans="1:27" x14ac:dyDescent="0.3">
      <c r="A795" t="s">
        <v>2308</v>
      </c>
      <c r="B795" s="1">
        <v>45194</v>
      </c>
      <c r="C795" t="s">
        <v>55</v>
      </c>
      <c r="D795" t="s">
        <v>31</v>
      </c>
      <c r="E795" t="s">
        <v>42</v>
      </c>
      <c r="F795" t="s">
        <v>43</v>
      </c>
      <c r="G795" t="s">
        <v>92</v>
      </c>
      <c r="H795" t="s">
        <v>93</v>
      </c>
      <c r="I795" t="s">
        <v>606</v>
      </c>
      <c r="J795">
        <v>2</v>
      </c>
      <c r="K795">
        <v>56819</v>
      </c>
      <c r="L795">
        <v>0.06</v>
      </c>
      <c r="M795">
        <v>53409.86</v>
      </c>
      <c r="N795">
        <v>106819.72</v>
      </c>
      <c r="O795">
        <v>0.15</v>
      </c>
      <c r="P795">
        <v>16022.96</v>
      </c>
      <c r="Q795" t="s">
        <v>51</v>
      </c>
      <c r="R795" t="s">
        <v>48</v>
      </c>
      <c r="S795">
        <v>6</v>
      </c>
      <c r="T795">
        <f>YEAR(Sales_Data_1[[#This Row],[Order_Date]])</f>
        <v>2023</v>
      </c>
      <c r="U795" t="str">
        <f>TEXT(Sales_Data_1[[#This Row],[Order_Date]], "mmm")</f>
        <v>Sep</v>
      </c>
      <c r="V795">
        <f>MONTH(Sales_Data_1[[#This Row],[Order_Date]])</f>
        <v>9</v>
      </c>
      <c r="W795" t="str">
        <f>TEXT(Sales_Data_1[[#This Row],[Order_Date]], "yyyy-mm")</f>
        <v>2023-09</v>
      </c>
      <c r="X795">
        <f>Sales_Data_1[[#This Row],[Sales]]-Sales_Data_1[[#This Row],[Profit_Amount]]</f>
        <v>90796.760000000009</v>
      </c>
      <c r="Y795" t="str" cm="1">
        <f t="array" ref="Y795">_xlfn.IFS(Sales_Data_1[[#This Row],[Delivery_Days]]&lt;=3, "Fast", Sales_Data_1[[#This Row],[Delivery_Days]]&lt;= 7, "Standard", TRUE, "Delayed")</f>
        <v>Standard</v>
      </c>
      <c r="Z795" t="str" cm="1">
        <f t="array" ref="Z795">_xlfn.IFS(Sales_Data_1[[#This Row],[Profit_Amount]]&gt; 0, "Profitable", Sales_Data_1[[#This Row],[Profit_Amount]] = 0, "Break-Even", TRUE, "Loss")</f>
        <v>Profitable</v>
      </c>
      <c r="AA795" t="str" cm="1">
        <f t="array" ref="AA795">_xlfn.IFS(Sales_Data_1[[#This Row],[Sales]]&gt;= 1000, "High Value", Sales_Data_1[[#This Row],[Sales]]&gt;= 300, "Mid Value", TRUE, "Low Value")</f>
        <v>High Value</v>
      </c>
    </row>
    <row r="796" spans="1:27" x14ac:dyDescent="0.3">
      <c r="A796" t="s">
        <v>2665</v>
      </c>
      <c r="B796" s="1">
        <v>45551</v>
      </c>
      <c r="C796" t="s">
        <v>55</v>
      </c>
      <c r="D796" t="s">
        <v>41</v>
      </c>
      <c r="E796" t="s">
        <v>2040</v>
      </c>
      <c r="F796" t="s">
        <v>103</v>
      </c>
      <c r="G796" t="s">
        <v>57</v>
      </c>
      <c r="H796" t="s">
        <v>183</v>
      </c>
      <c r="I796" t="s">
        <v>1310</v>
      </c>
      <c r="J796">
        <v>5</v>
      </c>
      <c r="K796">
        <v>16916</v>
      </c>
      <c r="L796">
        <v>0.05</v>
      </c>
      <c r="M796">
        <v>16070.2</v>
      </c>
      <c r="N796">
        <v>80351</v>
      </c>
      <c r="O796">
        <v>0.2</v>
      </c>
      <c r="P796">
        <v>16070.2</v>
      </c>
      <c r="Q796" t="s">
        <v>37</v>
      </c>
      <c r="R796" t="s">
        <v>48</v>
      </c>
      <c r="S796">
        <v>8</v>
      </c>
      <c r="T796">
        <f>YEAR(Sales_Data_1[[#This Row],[Order_Date]])</f>
        <v>2024</v>
      </c>
      <c r="U796" t="str">
        <f>TEXT(Sales_Data_1[[#This Row],[Order_Date]], "mmm")</f>
        <v>Sep</v>
      </c>
      <c r="V796">
        <f>MONTH(Sales_Data_1[[#This Row],[Order_Date]])</f>
        <v>9</v>
      </c>
      <c r="W796" t="str">
        <f>TEXT(Sales_Data_1[[#This Row],[Order_Date]], "yyyy-mm")</f>
        <v>2024-09</v>
      </c>
      <c r="X796">
        <f>Sales_Data_1[[#This Row],[Sales]]-Sales_Data_1[[#This Row],[Profit_Amount]]</f>
        <v>64280.800000000003</v>
      </c>
      <c r="Y796" t="str" cm="1">
        <f t="array" ref="Y796">_xlfn.IFS(Sales_Data_1[[#This Row],[Delivery_Days]]&lt;=3, "Fast", Sales_Data_1[[#This Row],[Delivery_Days]]&lt;= 7, "Standard", TRUE, "Delayed")</f>
        <v>Delayed</v>
      </c>
      <c r="Z796" t="str" cm="1">
        <f t="array" ref="Z796">_xlfn.IFS(Sales_Data_1[[#This Row],[Profit_Amount]]&gt; 0, "Profitable", Sales_Data_1[[#This Row],[Profit_Amount]] = 0, "Break-Even", TRUE, "Loss")</f>
        <v>Profitable</v>
      </c>
      <c r="AA796" t="str" cm="1">
        <f t="array" ref="AA796">_xlfn.IFS(Sales_Data_1[[#This Row],[Sales]]&gt;= 1000, "High Value", Sales_Data_1[[#This Row],[Sales]]&gt;= 300, "Mid Value", TRUE, "Low Value")</f>
        <v>High Value</v>
      </c>
    </row>
    <row r="797" spans="1:27" x14ac:dyDescent="0.3">
      <c r="A797" t="s">
        <v>2746</v>
      </c>
      <c r="B797" s="1">
        <v>45632</v>
      </c>
      <c r="C797" t="s">
        <v>40</v>
      </c>
      <c r="D797" t="s">
        <v>31</v>
      </c>
      <c r="E797" t="s">
        <v>67</v>
      </c>
      <c r="F797" t="s">
        <v>97</v>
      </c>
      <c r="G797" t="s">
        <v>24</v>
      </c>
      <c r="H797" t="s">
        <v>186</v>
      </c>
      <c r="I797" t="s">
        <v>1079</v>
      </c>
      <c r="J797">
        <v>7</v>
      </c>
      <c r="K797">
        <v>9853</v>
      </c>
      <c r="L797">
        <v>0.06</v>
      </c>
      <c r="M797">
        <v>9261.82</v>
      </c>
      <c r="N797">
        <v>64832.74</v>
      </c>
      <c r="O797">
        <v>0.25</v>
      </c>
      <c r="P797">
        <v>16208.18</v>
      </c>
      <c r="Q797" t="s">
        <v>37</v>
      </c>
      <c r="R797" t="s">
        <v>48</v>
      </c>
      <c r="S797">
        <v>5</v>
      </c>
      <c r="T797">
        <f>YEAR(Sales_Data_1[[#This Row],[Order_Date]])</f>
        <v>2024</v>
      </c>
      <c r="U797" t="str">
        <f>TEXT(Sales_Data_1[[#This Row],[Order_Date]], "mmm")</f>
        <v>Dec</v>
      </c>
      <c r="V797">
        <f>MONTH(Sales_Data_1[[#This Row],[Order_Date]])</f>
        <v>12</v>
      </c>
      <c r="W797" t="str">
        <f>TEXT(Sales_Data_1[[#This Row],[Order_Date]], "yyyy-mm")</f>
        <v>2024-12</v>
      </c>
      <c r="X797">
        <f>Sales_Data_1[[#This Row],[Sales]]-Sales_Data_1[[#This Row],[Profit_Amount]]</f>
        <v>48624.56</v>
      </c>
      <c r="Y797" t="str" cm="1">
        <f t="array" ref="Y797">_xlfn.IFS(Sales_Data_1[[#This Row],[Delivery_Days]]&lt;=3, "Fast", Sales_Data_1[[#This Row],[Delivery_Days]]&lt;= 7, "Standard", TRUE, "Delayed")</f>
        <v>Standard</v>
      </c>
      <c r="Z797" t="str" cm="1">
        <f t="array" ref="Z797">_xlfn.IFS(Sales_Data_1[[#This Row],[Profit_Amount]]&gt; 0, "Profitable", Sales_Data_1[[#This Row],[Profit_Amount]] = 0, "Break-Even", TRUE, "Loss")</f>
        <v>Profitable</v>
      </c>
      <c r="AA797" t="str" cm="1">
        <f t="array" ref="AA797">_xlfn.IFS(Sales_Data_1[[#This Row],[Sales]]&gt;= 1000, "High Value", Sales_Data_1[[#This Row],[Sales]]&gt;= 300, "Mid Value", TRUE, "Low Value")</f>
        <v>High Value</v>
      </c>
    </row>
    <row r="798" spans="1:27" x14ac:dyDescent="0.3">
      <c r="A798" t="s">
        <v>2223</v>
      </c>
      <c r="B798" s="1">
        <v>45109</v>
      </c>
      <c r="C798" t="s">
        <v>20</v>
      </c>
      <c r="D798" t="s">
        <v>31</v>
      </c>
      <c r="E798" t="s">
        <v>2042</v>
      </c>
      <c r="F798" t="s">
        <v>103</v>
      </c>
      <c r="G798" t="s">
        <v>92</v>
      </c>
      <c r="H798" t="s">
        <v>109</v>
      </c>
      <c r="I798" t="s">
        <v>436</v>
      </c>
      <c r="J798">
        <v>9</v>
      </c>
      <c r="K798">
        <v>14470</v>
      </c>
      <c r="L798">
        <v>0.17</v>
      </c>
      <c r="M798">
        <v>12010.1</v>
      </c>
      <c r="N798">
        <v>108090.9</v>
      </c>
      <c r="O798">
        <v>0.15</v>
      </c>
      <c r="P798">
        <v>16213.63</v>
      </c>
      <c r="Q798" t="s">
        <v>51</v>
      </c>
      <c r="R798" t="s">
        <v>48</v>
      </c>
      <c r="S798">
        <v>7</v>
      </c>
      <c r="T798">
        <f>YEAR(Sales_Data_1[[#This Row],[Order_Date]])</f>
        <v>2023</v>
      </c>
      <c r="U798" t="str">
        <f>TEXT(Sales_Data_1[[#This Row],[Order_Date]], "mmm")</f>
        <v>Jul</v>
      </c>
      <c r="V798">
        <f>MONTH(Sales_Data_1[[#This Row],[Order_Date]])</f>
        <v>7</v>
      </c>
      <c r="W798" t="str">
        <f>TEXT(Sales_Data_1[[#This Row],[Order_Date]], "yyyy-mm")</f>
        <v>2023-07</v>
      </c>
      <c r="X798">
        <f>Sales_Data_1[[#This Row],[Sales]]-Sales_Data_1[[#This Row],[Profit_Amount]]</f>
        <v>91877.26999999999</v>
      </c>
      <c r="Y798" t="str" cm="1">
        <f t="array" ref="Y798">_xlfn.IFS(Sales_Data_1[[#This Row],[Delivery_Days]]&lt;=3, "Fast", Sales_Data_1[[#This Row],[Delivery_Days]]&lt;= 7, "Standard", TRUE, "Delayed")</f>
        <v>Standard</v>
      </c>
      <c r="Z798" t="str" cm="1">
        <f t="array" ref="Z798">_xlfn.IFS(Sales_Data_1[[#This Row],[Profit_Amount]]&gt; 0, "Profitable", Sales_Data_1[[#This Row],[Profit_Amount]] = 0, "Break-Even", TRUE, "Loss")</f>
        <v>Profitable</v>
      </c>
      <c r="AA798" t="str" cm="1">
        <f t="array" ref="AA798">_xlfn.IFS(Sales_Data_1[[#This Row],[Sales]]&gt;= 1000, "High Value", Sales_Data_1[[#This Row],[Sales]]&gt;= 300, "Mid Value", TRUE, "Low Value")</f>
        <v>High Value</v>
      </c>
    </row>
    <row r="799" spans="1:27" x14ac:dyDescent="0.3">
      <c r="A799" t="s">
        <v>2106</v>
      </c>
      <c r="B799" s="1">
        <v>44992</v>
      </c>
      <c r="C799" t="s">
        <v>30</v>
      </c>
      <c r="D799" t="s">
        <v>31</v>
      </c>
      <c r="E799" t="s">
        <v>67</v>
      </c>
      <c r="F799" t="s">
        <v>68</v>
      </c>
      <c r="G799" t="s">
        <v>24</v>
      </c>
      <c r="H799" t="s">
        <v>186</v>
      </c>
      <c r="I799" t="s">
        <v>201</v>
      </c>
      <c r="J799">
        <v>9</v>
      </c>
      <c r="K799">
        <v>7675</v>
      </c>
      <c r="L799">
        <v>0.05</v>
      </c>
      <c r="M799">
        <v>7291.25</v>
      </c>
      <c r="N799">
        <v>65621.25</v>
      </c>
      <c r="O799">
        <v>0.25</v>
      </c>
      <c r="P799">
        <v>16405.310000000001</v>
      </c>
      <c r="Q799" t="s">
        <v>27</v>
      </c>
      <c r="R799" t="s">
        <v>48</v>
      </c>
      <c r="S799">
        <v>4</v>
      </c>
      <c r="T799">
        <f>YEAR(Sales_Data_1[[#This Row],[Order_Date]])</f>
        <v>2023</v>
      </c>
      <c r="U799" t="str">
        <f>TEXT(Sales_Data_1[[#This Row],[Order_Date]], "mmm")</f>
        <v>Mar</v>
      </c>
      <c r="V799">
        <f>MONTH(Sales_Data_1[[#This Row],[Order_Date]])</f>
        <v>3</v>
      </c>
      <c r="W799" t="str">
        <f>TEXT(Sales_Data_1[[#This Row],[Order_Date]], "yyyy-mm")</f>
        <v>2023-03</v>
      </c>
      <c r="X799">
        <f>Sales_Data_1[[#This Row],[Sales]]-Sales_Data_1[[#This Row],[Profit_Amount]]</f>
        <v>49215.94</v>
      </c>
      <c r="Y799" t="str" cm="1">
        <f t="array" ref="Y799">_xlfn.IFS(Sales_Data_1[[#This Row],[Delivery_Days]]&lt;=3, "Fast", Sales_Data_1[[#This Row],[Delivery_Days]]&lt;= 7, "Standard", TRUE, "Delayed")</f>
        <v>Standard</v>
      </c>
      <c r="Z799" t="str" cm="1">
        <f t="array" ref="Z799">_xlfn.IFS(Sales_Data_1[[#This Row],[Profit_Amount]]&gt; 0, "Profitable", Sales_Data_1[[#This Row],[Profit_Amount]] = 0, "Break-Even", TRUE, "Loss")</f>
        <v>Profitable</v>
      </c>
      <c r="AA799" t="str" cm="1">
        <f t="array" ref="AA799">_xlfn.IFS(Sales_Data_1[[#This Row],[Sales]]&gt;= 1000, "High Value", Sales_Data_1[[#This Row],[Sales]]&gt;= 300, "Mid Value", TRUE, "Low Value")</f>
        <v>High Value</v>
      </c>
    </row>
    <row r="800" spans="1:27" x14ac:dyDescent="0.3">
      <c r="A800" t="s">
        <v>2980</v>
      </c>
      <c r="B800" s="1">
        <v>45866</v>
      </c>
      <c r="C800" t="s">
        <v>55</v>
      </c>
      <c r="D800" t="s">
        <v>41</v>
      </c>
      <c r="E800" t="s">
        <v>2040</v>
      </c>
      <c r="F800" t="s">
        <v>43</v>
      </c>
      <c r="G800" t="s">
        <v>92</v>
      </c>
      <c r="H800" t="s">
        <v>243</v>
      </c>
      <c r="I800" t="s">
        <v>1923</v>
      </c>
      <c r="J800">
        <v>6</v>
      </c>
      <c r="K800">
        <v>23140</v>
      </c>
      <c r="L800">
        <v>0.21</v>
      </c>
      <c r="M800">
        <v>18280.599999999999</v>
      </c>
      <c r="N800">
        <v>109683.6</v>
      </c>
      <c r="O800">
        <v>0.15</v>
      </c>
      <c r="P800">
        <v>16452.54</v>
      </c>
      <c r="Q800" t="s">
        <v>47</v>
      </c>
      <c r="R800" t="s">
        <v>38</v>
      </c>
      <c r="S800">
        <v>3</v>
      </c>
      <c r="T800">
        <f>YEAR(Sales_Data_1[[#This Row],[Order_Date]])</f>
        <v>2025</v>
      </c>
      <c r="U800" t="str">
        <f>TEXT(Sales_Data_1[[#This Row],[Order_Date]], "mmm")</f>
        <v>Jul</v>
      </c>
      <c r="V800">
        <f>MONTH(Sales_Data_1[[#This Row],[Order_Date]])</f>
        <v>7</v>
      </c>
      <c r="W800" t="str">
        <f>TEXT(Sales_Data_1[[#This Row],[Order_Date]], "yyyy-mm")</f>
        <v>2025-07</v>
      </c>
      <c r="X800">
        <f>Sales_Data_1[[#This Row],[Sales]]-Sales_Data_1[[#This Row],[Profit_Amount]]</f>
        <v>93231.06</v>
      </c>
      <c r="Y800" t="str" cm="1">
        <f t="array" ref="Y800">_xlfn.IFS(Sales_Data_1[[#This Row],[Delivery_Days]]&lt;=3, "Fast", Sales_Data_1[[#This Row],[Delivery_Days]]&lt;= 7, "Standard", TRUE, "Delayed")</f>
        <v>Fast</v>
      </c>
      <c r="Z800" t="str" cm="1">
        <f t="array" ref="Z800">_xlfn.IFS(Sales_Data_1[[#This Row],[Profit_Amount]]&gt; 0, "Profitable", Sales_Data_1[[#This Row],[Profit_Amount]] = 0, "Break-Even", TRUE, "Loss")</f>
        <v>Profitable</v>
      </c>
      <c r="AA800" t="str" cm="1">
        <f t="array" ref="AA800">_xlfn.IFS(Sales_Data_1[[#This Row],[Sales]]&gt;= 1000, "High Value", Sales_Data_1[[#This Row],[Sales]]&gt;= 300, "Mid Value", TRUE, "Low Value")</f>
        <v>High Value</v>
      </c>
    </row>
    <row r="801" spans="1:27" x14ac:dyDescent="0.3">
      <c r="A801" t="s">
        <v>2039</v>
      </c>
      <c r="B801" s="1">
        <v>44927</v>
      </c>
      <c r="C801" t="s">
        <v>20</v>
      </c>
      <c r="D801" t="s">
        <v>21</v>
      </c>
      <c r="E801" t="s">
        <v>2040</v>
      </c>
      <c r="F801" t="s">
        <v>23</v>
      </c>
      <c r="G801" t="s">
        <v>24</v>
      </c>
      <c r="H801" t="s">
        <v>25</v>
      </c>
      <c r="I801" t="s">
        <v>26</v>
      </c>
      <c r="J801">
        <v>8</v>
      </c>
      <c r="K801">
        <v>10078</v>
      </c>
      <c r="L801">
        <v>0.18</v>
      </c>
      <c r="M801">
        <v>8263.9599999999991</v>
      </c>
      <c r="N801">
        <v>66111.679999999993</v>
      </c>
      <c r="O801">
        <v>0.25</v>
      </c>
      <c r="P801">
        <v>16527.919999999998</v>
      </c>
      <c r="Q801" t="s">
        <v>27</v>
      </c>
      <c r="R801" t="s">
        <v>28</v>
      </c>
      <c r="S801">
        <v>9</v>
      </c>
      <c r="T801">
        <f>YEAR(Sales_Data_1[[#This Row],[Order_Date]])</f>
        <v>2023</v>
      </c>
      <c r="U801" t="str">
        <f>TEXT(Sales_Data_1[[#This Row],[Order_Date]], "mmm")</f>
        <v>Jan</v>
      </c>
      <c r="V801">
        <f>MONTH(Sales_Data_1[[#This Row],[Order_Date]])</f>
        <v>1</v>
      </c>
      <c r="W801" t="str">
        <f>TEXT(Sales_Data_1[[#This Row],[Order_Date]], "yyyy-mm")</f>
        <v>2023-01</v>
      </c>
      <c r="X801">
        <f>Sales_Data_1[[#This Row],[Sales]]-Sales_Data_1[[#This Row],[Profit_Amount]]</f>
        <v>49583.759999999995</v>
      </c>
      <c r="Y801" t="str" cm="1">
        <f t="array" ref="Y801">_xlfn.IFS(Sales_Data_1[[#This Row],[Delivery_Days]]&lt;=3, "Fast", Sales_Data_1[[#This Row],[Delivery_Days]]&lt;= 7, "Standard", TRUE, "Delayed")</f>
        <v>Delayed</v>
      </c>
      <c r="Z801" t="str" cm="1">
        <f t="array" ref="Z801">_xlfn.IFS(Sales_Data_1[[#This Row],[Profit_Amount]]&gt; 0, "Profitable", Sales_Data_1[[#This Row],[Profit_Amount]] = 0, "Break-Even", TRUE, "Loss")</f>
        <v>Profitable</v>
      </c>
      <c r="AA801" t="str" cm="1">
        <f t="array" ref="AA801">_xlfn.IFS(Sales_Data_1[[#This Row],[Sales]]&gt;= 1000, "High Value", Sales_Data_1[[#This Row],[Sales]]&gt;= 300, "Mid Value", TRUE, "Low Value")</f>
        <v>High Value</v>
      </c>
    </row>
    <row r="802" spans="1:27" x14ac:dyDescent="0.3">
      <c r="A802" t="s">
        <v>2663</v>
      </c>
      <c r="B802" s="1">
        <v>45549</v>
      </c>
      <c r="C802" t="s">
        <v>20</v>
      </c>
      <c r="D802" t="s">
        <v>41</v>
      </c>
      <c r="E802" t="s">
        <v>2040</v>
      </c>
      <c r="F802" t="s">
        <v>33</v>
      </c>
      <c r="G802" t="s">
        <v>24</v>
      </c>
      <c r="H802" t="s">
        <v>74</v>
      </c>
      <c r="I802" t="s">
        <v>1306</v>
      </c>
      <c r="J802">
        <v>9</v>
      </c>
      <c r="K802">
        <v>9080</v>
      </c>
      <c r="L802">
        <v>0.19</v>
      </c>
      <c r="M802">
        <v>7354.8</v>
      </c>
      <c r="N802">
        <v>66193.2</v>
      </c>
      <c r="O802">
        <v>0.25</v>
      </c>
      <c r="P802">
        <v>16548.3</v>
      </c>
      <c r="Q802" t="s">
        <v>47</v>
      </c>
      <c r="R802" t="s">
        <v>48</v>
      </c>
      <c r="S802">
        <v>2</v>
      </c>
      <c r="T802">
        <f>YEAR(Sales_Data_1[[#This Row],[Order_Date]])</f>
        <v>2024</v>
      </c>
      <c r="U802" t="str">
        <f>TEXT(Sales_Data_1[[#This Row],[Order_Date]], "mmm")</f>
        <v>Sep</v>
      </c>
      <c r="V802">
        <f>MONTH(Sales_Data_1[[#This Row],[Order_Date]])</f>
        <v>9</v>
      </c>
      <c r="W802" t="str">
        <f>TEXT(Sales_Data_1[[#This Row],[Order_Date]], "yyyy-mm")</f>
        <v>2024-09</v>
      </c>
      <c r="X802">
        <f>Sales_Data_1[[#This Row],[Sales]]-Sales_Data_1[[#This Row],[Profit_Amount]]</f>
        <v>49644.899999999994</v>
      </c>
      <c r="Y802" t="str" cm="1">
        <f t="array" ref="Y802">_xlfn.IFS(Sales_Data_1[[#This Row],[Delivery_Days]]&lt;=3, "Fast", Sales_Data_1[[#This Row],[Delivery_Days]]&lt;= 7, "Standard", TRUE, "Delayed")</f>
        <v>Fast</v>
      </c>
      <c r="Z802" t="str" cm="1">
        <f t="array" ref="Z802">_xlfn.IFS(Sales_Data_1[[#This Row],[Profit_Amount]]&gt; 0, "Profitable", Sales_Data_1[[#This Row],[Profit_Amount]] = 0, "Break-Even", TRUE, "Loss")</f>
        <v>Profitable</v>
      </c>
      <c r="AA802" t="str" cm="1">
        <f t="array" ref="AA802">_xlfn.IFS(Sales_Data_1[[#This Row],[Sales]]&gt;= 1000, "High Value", Sales_Data_1[[#This Row],[Sales]]&gt;= 300, "Mid Value", TRUE, "Low Value")</f>
        <v>High Value</v>
      </c>
    </row>
    <row r="803" spans="1:27" x14ac:dyDescent="0.3">
      <c r="A803" t="s">
        <v>2128</v>
      </c>
      <c r="B803" s="1">
        <v>45014</v>
      </c>
      <c r="C803" t="s">
        <v>40</v>
      </c>
      <c r="D803" t="s">
        <v>21</v>
      </c>
      <c r="E803" t="s">
        <v>2040</v>
      </c>
      <c r="F803" t="s">
        <v>43</v>
      </c>
      <c r="G803" t="s">
        <v>92</v>
      </c>
      <c r="H803" t="s">
        <v>243</v>
      </c>
      <c r="I803" t="s">
        <v>246</v>
      </c>
      <c r="J803">
        <v>4</v>
      </c>
      <c r="K803">
        <v>29975</v>
      </c>
      <c r="L803">
        <v>7.0000000000000007E-2</v>
      </c>
      <c r="M803">
        <v>27876.75</v>
      </c>
      <c r="N803">
        <v>111507</v>
      </c>
      <c r="O803">
        <v>0.15</v>
      </c>
      <c r="P803">
        <v>16726.05</v>
      </c>
      <c r="Q803" t="s">
        <v>51</v>
      </c>
      <c r="R803" t="s">
        <v>48</v>
      </c>
      <c r="S803">
        <v>3</v>
      </c>
      <c r="T803">
        <f>YEAR(Sales_Data_1[[#This Row],[Order_Date]])</f>
        <v>2023</v>
      </c>
      <c r="U803" t="str">
        <f>TEXT(Sales_Data_1[[#This Row],[Order_Date]], "mmm")</f>
        <v>Mar</v>
      </c>
      <c r="V803">
        <f>MONTH(Sales_Data_1[[#This Row],[Order_Date]])</f>
        <v>3</v>
      </c>
      <c r="W803" t="str">
        <f>TEXT(Sales_Data_1[[#This Row],[Order_Date]], "yyyy-mm")</f>
        <v>2023-03</v>
      </c>
      <c r="X803">
        <f>Sales_Data_1[[#This Row],[Sales]]-Sales_Data_1[[#This Row],[Profit_Amount]]</f>
        <v>94780.95</v>
      </c>
      <c r="Y803" t="str" cm="1">
        <f t="array" ref="Y803">_xlfn.IFS(Sales_Data_1[[#This Row],[Delivery_Days]]&lt;=3, "Fast", Sales_Data_1[[#This Row],[Delivery_Days]]&lt;= 7, "Standard", TRUE, "Delayed")</f>
        <v>Fast</v>
      </c>
      <c r="Z803" t="str" cm="1">
        <f t="array" ref="Z803">_xlfn.IFS(Sales_Data_1[[#This Row],[Profit_Amount]]&gt; 0, "Profitable", Sales_Data_1[[#This Row],[Profit_Amount]] = 0, "Break-Even", TRUE, "Loss")</f>
        <v>Profitable</v>
      </c>
      <c r="AA803" t="str" cm="1">
        <f t="array" ref="AA803">_xlfn.IFS(Sales_Data_1[[#This Row],[Sales]]&gt;= 1000, "High Value", Sales_Data_1[[#This Row],[Sales]]&gt;= 300, "Mid Value", TRUE, "Low Value")</f>
        <v>High Value</v>
      </c>
    </row>
    <row r="804" spans="1:27" x14ac:dyDescent="0.3">
      <c r="A804" t="s">
        <v>2686</v>
      </c>
      <c r="B804" s="1">
        <v>45572</v>
      </c>
      <c r="C804" t="s">
        <v>96</v>
      </c>
      <c r="D804" t="s">
        <v>31</v>
      </c>
      <c r="E804" t="s">
        <v>42</v>
      </c>
      <c r="F804" t="s">
        <v>68</v>
      </c>
      <c r="G804" t="s">
        <v>57</v>
      </c>
      <c r="H804" t="s">
        <v>81</v>
      </c>
      <c r="I804" t="s">
        <v>1352</v>
      </c>
      <c r="J804">
        <v>9</v>
      </c>
      <c r="K804">
        <v>10964</v>
      </c>
      <c r="L804">
        <v>0.14000000000000001</v>
      </c>
      <c r="M804">
        <v>9429.0400000000009</v>
      </c>
      <c r="N804">
        <v>84861.36</v>
      </c>
      <c r="O804">
        <v>0.2</v>
      </c>
      <c r="P804">
        <v>16972.27</v>
      </c>
      <c r="Q804" t="s">
        <v>37</v>
      </c>
      <c r="R804" t="s">
        <v>48</v>
      </c>
      <c r="S804">
        <v>7</v>
      </c>
      <c r="T804">
        <f>YEAR(Sales_Data_1[[#This Row],[Order_Date]])</f>
        <v>2024</v>
      </c>
      <c r="U804" t="str">
        <f>TEXT(Sales_Data_1[[#This Row],[Order_Date]], "mmm")</f>
        <v>Oct</v>
      </c>
      <c r="V804">
        <f>MONTH(Sales_Data_1[[#This Row],[Order_Date]])</f>
        <v>10</v>
      </c>
      <c r="W804" t="str">
        <f>TEXT(Sales_Data_1[[#This Row],[Order_Date]], "yyyy-mm")</f>
        <v>2024-10</v>
      </c>
      <c r="X804">
        <f>Sales_Data_1[[#This Row],[Sales]]-Sales_Data_1[[#This Row],[Profit_Amount]]</f>
        <v>67889.09</v>
      </c>
      <c r="Y804" t="str" cm="1">
        <f t="array" ref="Y804">_xlfn.IFS(Sales_Data_1[[#This Row],[Delivery_Days]]&lt;=3, "Fast", Sales_Data_1[[#This Row],[Delivery_Days]]&lt;= 7, "Standard", TRUE, "Delayed")</f>
        <v>Standard</v>
      </c>
      <c r="Z804" t="str" cm="1">
        <f t="array" ref="Z804">_xlfn.IFS(Sales_Data_1[[#This Row],[Profit_Amount]]&gt; 0, "Profitable", Sales_Data_1[[#This Row],[Profit_Amount]] = 0, "Break-Even", TRUE, "Loss")</f>
        <v>Profitable</v>
      </c>
      <c r="AA804" t="str" cm="1">
        <f t="array" ref="AA804">_xlfn.IFS(Sales_Data_1[[#This Row],[Sales]]&gt;= 1000, "High Value", Sales_Data_1[[#This Row],[Sales]]&gt;= 300, "Mid Value", TRUE, "Low Value")</f>
        <v>High Value</v>
      </c>
    </row>
    <row r="805" spans="1:27" x14ac:dyDescent="0.3">
      <c r="A805" t="s">
        <v>2820</v>
      </c>
      <c r="B805" s="1">
        <v>45706</v>
      </c>
      <c r="C805" t="s">
        <v>30</v>
      </c>
      <c r="D805" t="s">
        <v>56</v>
      </c>
      <c r="E805" t="s">
        <v>42</v>
      </c>
      <c r="F805" t="s">
        <v>103</v>
      </c>
      <c r="G805" t="s">
        <v>92</v>
      </c>
      <c r="H805" t="s">
        <v>178</v>
      </c>
      <c r="I805" t="s">
        <v>1611</v>
      </c>
      <c r="J805">
        <v>3</v>
      </c>
      <c r="K805">
        <v>37766</v>
      </c>
      <c r="L805">
        <v>0</v>
      </c>
      <c r="M805">
        <v>37766</v>
      </c>
      <c r="N805">
        <v>113298</v>
      </c>
      <c r="O805">
        <v>0.15</v>
      </c>
      <c r="P805">
        <v>16994.7</v>
      </c>
      <c r="Q805" t="s">
        <v>47</v>
      </c>
      <c r="R805" t="s">
        <v>48</v>
      </c>
      <c r="S805">
        <v>1</v>
      </c>
      <c r="T805">
        <f>YEAR(Sales_Data_1[[#This Row],[Order_Date]])</f>
        <v>2025</v>
      </c>
      <c r="U805" t="str">
        <f>TEXT(Sales_Data_1[[#This Row],[Order_Date]], "mmm")</f>
        <v>Feb</v>
      </c>
      <c r="V805">
        <f>MONTH(Sales_Data_1[[#This Row],[Order_Date]])</f>
        <v>2</v>
      </c>
      <c r="W805" t="str">
        <f>TEXT(Sales_Data_1[[#This Row],[Order_Date]], "yyyy-mm")</f>
        <v>2025-02</v>
      </c>
      <c r="X805">
        <f>Sales_Data_1[[#This Row],[Sales]]-Sales_Data_1[[#This Row],[Profit_Amount]]</f>
        <v>96303.3</v>
      </c>
      <c r="Y805" t="str" cm="1">
        <f t="array" ref="Y805">_xlfn.IFS(Sales_Data_1[[#This Row],[Delivery_Days]]&lt;=3, "Fast", Sales_Data_1[[#This Row],[Delivery_Days]]&lt;= 7, "Standard", TRUE, "Delayed")</f>
        <v>Fast</v>
      </c>
      <c r="Z805" t="str" cm="1">
        <f t="array" ref="Z805">_xlfn.IFS(Sales_Data_1[[#This Row],[Profit_Amount]]&gt; 0, "Profitable", Sales_Data_1[[#This Row],[Profit_Amount]] = 0, "Break-Even", TRUE, "Loss")</f>
        <v>Profitable</v>
      </c>
      <c r="AA805" t="str" cm="1">
        <f t="array" ref="AA805">_xlfn.IFS(Sales_Data_1[[#This Row],[Sales]]&gt;= 1000, "High Value", Sales_Data_1[[#This Row],[Sales]]&gt;= 300, "Mid Value", TRUE, "Low Value")</f>
        <v>High Value</v>
      </c>
    </row>
    <row r="806" spans="1:27" x14ac:dyDescent="0.3">
      <c r="A806" t="s">
        <v>2778</v>
      </c>
      <c r="B806" s="1">
        <v>45664</v>
      </c>
      <c r="C806" t="s">
        <v>30</v>
      </c>
      <c r="D806" t="s">
        <v>56</v>
      </c>
      <c r="E806" t="s">
        <v>42</v>
      </c>
      <c r="F806" t="s">
        <v>103</v>
      </c>
      <c r="G806" t="s">
        <v>24</v>
      </c>
      <c r="H806" t="s">
        <v>74</v>
      </c>
      <c r="I806" t="s">
        <v>1530</v>
      </c>
      <c r="J806">
        <v>5</v>
      </c>
      <c r="K806">
        <v>14794</v>
      </c>
      <c r="L806">
        <v>0.08</v>
      </c>
      <c r="M806">
        <v>13610.48</v>
      </c>
      <c r="N806">
        <v>68052.399999999994</v>
      </c>
      <c r="O806">
        <v>0.25</v>
      </c>
      <c r="P806">
        <v>17013.099999999999</v>
      </c>
      <c r="Q806" t="s">
        <v>37</v>
      </c>
      <c r="R806" t="s">
        <v>28</v>
      </c>
      <c r="S806">
        <v>3</v>
      </c>
      <c r="T806">
        <f>YEAR(Sales_Data_1[[#This Row],[Order_Date]])</f>
        <v>2025</v>
      </c>
      <c r="U806" t="str">
        <f>TEXT(Sales_Data_1[[#This Row],[Order_Date]], "mmm")</f>
        <v>Jan</v>
      </c>
      <c r="V806">
        <f>MONTH(Sales_Data_1[[#This Row],[Order_Date]])</f>
        <v>1</v>
      </c>
      <c r="W806" t="str">
        <f>TEXT(Sales_Data_1[[#This Row],[Order_Date]], "yyyy-mm")</f>
        <v>2025-01</v>
      </c>
      <c r="X806">
        <f>Sales_Data_1[[#This Row],[Sales]]-Sales_Data_1[[#This Row],[Profit_Amount]]</f>
        <v>51039.299999999996</v>
      </c>
      <c r="Y806" t="str" cm="1">
        <f t="array" ref="Y806">_xlfn.IFS(Sales_Data_1[[#This Row],[Delivery_Days]]&lt;=3, "Fast", Sales_Data_1[[#This Row],[Delivery_Days]]&lt;= 7, "Standard", TRUE, "Delayed")</f>
        <v>Fast</v>
      </c>
      <c r="Z806" t="str" cm="1">
        <f t="array" ref="Z806">_xlfn.IFS(Sales_Data_1[[#This Row],[Profit_Amount]]&gt; 0, "Profitable", Sales_Data_1[[#This Row],[Profit_Amount]] = 0, "Break-Even", TRUE, "Loss")</f>
        <v>Profitable</v>
      </c>
      <c r="AA806" t="str" cm="1">
        <f t="array" ref="AA806">_xlfn.IFS(Sales_Data_1[[#This Row],[Sales]]&gt;= 1000, "High Value", Sales_Data_1[[#This Row],[Sales]]&gt;= 300, "Mid Value", TRUE, "Low Value")</f>
        <v>High Value</v>
      </c>
    </row>
    <row r="807" spans="1:27" x14ac:dyDescent="0.3">
      <c r="A807" t="s">
        <v>2457</v>
      </c>
      <c r="B807" s="1">
        <v>45343</v>
      </c>
      <c r="C807" t="s">
        <v>96</v>
      </c>
      <c r="D807" t="s">
        <v>21</v>
      </c>
      <c r="E807" t="s">
        <v>67</v>
      </c>
      <c r="F807" t="s">
        <v>33</v>
      </c>
      <c r="G807" t="s">
        <v>57</v>
      </c>
      <c r="H807" t="s">
        <v>58</v>
      </c>
      <c r="I807" t="s">
        <v>900</v>
      </c>
      <c r="J807">
        <v>8</v>
      </c>
      <c r="K807">
        <v>12060</v>
      </c>
      <c r="L807">
        <v>0.11</v>
      </c>
      <c r="M807">
        <v>10733.4</v>
      </c>
      <c r="N807">
        <v>85867.199999999997</v>
      </c>
      <c r="O807">
        <v>0.2</v>
      </c>
      <c r="P807">
        <v>17173.439999999999</v>
      </c>
      <c r="Q807" t="s">
        <v>37</v>
      </c>
      <c r="R807" t="s">
        <v>48</v>
      </c>
      <c r="S807">
        <v>8</v>
      </c>
      <c r="T807">
        <f>YEAR(Sales_Data_1[[#This Row],[Order_Date]])</f>
        <v>2024</v>
      </c>
      <c r="U807" t="str">
        <f>TEXT(Sales_Data_1[[#This Row],[Order_Date]], "mmm")</f>
        <v>Feb</v>
      </c>
      <c r="V807">
        <f>MONTH(Sales_Data_1[[#This Row],[Order_Date]])</f>
        <v>2</v>
      </c>
      <c r="W807" t="str">
        <f>TEXT(Sales_Data_1[[#This Row],[Order_Date]], "yyyy-mm")</f>
        <v>2024-02</v>
      </c>
      <c r="X807">
        <f>Sales_Data_1[[#This Row],[Sales]]-Sales_Data_1[[#This Row],[Profit_Amount]]</f>
        <v>68693.759999999995</v>
      </c>
      <c r="Y807" t="str" cm="1">
        <f t="array" ref="Y807">_xlfn.IFS(Sales_Data_1[[#This Row],[Delivery_Days]]&lt;=3, "Fast", Sales_Data_1[[#This Row],[Delivery_Days]]&lt;= 7, "Standard", TRUE, "Delayed")</f>
        <v>Delayed</v>
      </c>
      <c r="Z807" t="str" cm="1">
        <f t="array" ref="Z807">_xlfn.IFS(Sales_Data_1[[#This Row],[Profit_Amount]]&gt; 0, "Profitable", Sales_Data_1[[#This Row],[Profit_Amount]] = 0, "Break-Even", TRUE, "Loss")</f>
        <v>Profitable</v>
      </c>
      <c r="AA807" t="str" cm="1">
        <f t="array" ref="AA807">_xlfn.IFS(Sales_Data_1[[#This Row],[Sales]]&gt;= 1000, "High Value", Sales_Data_1[[#This Row],[Sales]]&gt;= 300, "Mid Value", TRUE, "Low Value")</f>
        <v>High Value</v>
      </c>
    </row>
    <row r="808" spans="1:27" x14ac:dyDescent="0.3">
      <c r="A808" t="s">
        <v>2702</v>
      </c>
      <c r="B808" s="1">
        <v>45588</v>
      </c>
      <c r="C808" t="s">
        <v>40</v>
      </c>
      <c r="D808" t="s">
        <v>21</v>
      </c>
      <c r="E808" t="s">
        <v>67</v>
      </c>
      <c r="F808" t="s">
        <v>23</v>
      </c>
      <c r="G808" t="s">
        <v>57</v>
      </c>
      <c r="H808" t="s">
        <v>183</v>
      </c>
      <c r="I808" t="s">
        <v>1382</v>
      </c>
      <c r="J808">
        <v>6</v>
      </c>
      <c r="K808">
        <v>14504</v>
      </c>
      <c r="L808">
        <v>0</v>
      </c>
      <c r="M808">
        <v>14504</v>
      </c>
      <c r="N808">
        <v>87024</v>
      </c>
      <c r="O808">
        <v>0.2</v>
      </c>
      <c r="P808">
        <v>17404.8</v>
      </c>
      <c r="Q808" t="s">
        <v>47</v>
      </c>
      <c r="R808" t="s">
        <v>48</v>
      </c>
      <c r="S808">
        <v>9</v>
      </c>
      <c r="T808">
        <f>YEAR(Sales_Data_1[[#This Row],[Order_Date]])</f>
        <v>2024</v>
      </c>
      <c r="U808" t="str">
        <f>TEXT(Sales_Data_1[[#This Row],[Order_Date]], "mmm")</f>
        <v>Oct</v>
      </c>
      <c r="V808">
        <f>MONTH(Sales_Data_1[[#This Row],[Order_Date]])</f>
        <v>10</v>
      </c>
      <c r="W808" t="str">
        <f>TEXT(Sales_Data_1[[#This Row],[Order_Date]], "yyyy-mm")</f>
        <v>2024-10</v>
      </c>
      <c r="X808">
        <f>Sales_Data_1[[#This Row],[Sales]]-Sales_Data_1[[#This Row],[Profit_Amount]]</f>
        <v>69619.199999999997</v>
      </c>
      <c r="Y808" t="str" cm="1">
        <f t="array" ref="Y808">_xlfn.IFS(Sales_Data_1[[#This Row],[Delivery_Days]]&lt;=3, "Fast", Sales_Data_1[[#This Row],[Delivery_Days]]&lt;= 7, "Standard", TRUE, "Delayed")</f>
        <v>Delayed</v>
      </c>
      <c r="Z808" t="str" cm="1">
        <f t="array" ref="Z808">_xlfn.IFS(Sales_Data_1[[#This Row],[Profit_Amount]]&gt; 0, "Profitable", Sales_Data_1[[#This Row],[Profit_Amount]] = 0, "Break-Even", TRUE, "Loss")</f>
        <v>Profitable</v>
      </c>
      <c r="AA808" t="str" cm="1">
        <f t="array" ref="AA808">_xlfn.IFS(Sales_Data_1[[#This Row],[Sales]]&gt;= 1000, "High Value", Sales_Data_1[[#This Row],[Sales]]&gt;= 300, "Mid Value", TRUE, "Low Value")</f>
        <v>High Value</v>
      </c>
    </row>
    <row r="809" spans="1:27" x14ac:dyDescent="0.3">
      <c r="A809" t="s">
        <v>2829</v>
      </c>
      <c r="B809" s="1">
        <v>45715</v>
      </c>
      <c r="C809" t="s">
        <v>30</v>
      </c>
      <c r="D809" t="s">
        <v>31</v>
      </c>
      <c r="E809" t="s">
        <v>2042</v>
      </c>
      <c r="F809" t="s">
        <v>33</v>
      </c>
      <c r="G809" t="s">
        <v>92</v>
      </c>
      <c r="H809" t="s">
        <v>243</v>
      </c>
      <c r="I809" t="s">
        <v>1629</v>
      </c>
      <c r="J809">
        <v>3</v>
      </c>
      <c r="K809">
        <v>46727</v>
      </c>
      <c r="L809">
        <v>0.17</v>
      </c>
      <c r="M809">
        <v>38783.410000000003</v>
      </c>
      <c r="N809">
        <v>116350.23</v>
      </c>
      <c r="O809">
        <v>0.15</v>
      </c>
      <c r="P809">
        <v>17452.53</v>
      </c>
      <c r="Q809" t="s">
        <v>51</v>
      </c>
      <c r="R809" t="s">
        <v>28</v>
      </c>
      <c r="S809">
        <v>9</v>
      </c>
      <c r="T809">
        <f>YEAR(Sales_Data_1[[#This Row],[Order_Date]])</f>
        <v>2025</v>
      </c>
      <c r="U809" t="str">
        <f>TEXT(Sales_Data_1[[#This Row],[Order_Date]], "mmm")</f>
        <v>Feb</v>
      </c>
      <c r="V809">
        <f>MONTH(Sales_Data_1[[#This Row],[Order_Date]])</f>
        <v>2</v>
      </c>
      <c r="W809" t="str">
        <f>TEXT(Sales_Data_1[[#This Row],[Order_Date]], "yyyy-mm")</f>
        <v>2025-02</v>
      </c>
      <c r="X809">
        <f>Sales_Data_1[[#This Row],[Sales]]-Sales_Data_1[[#This Row],[Profit_Amount]]</f>
        <v>98897.7</v>
      </c>
      <c r="Y809" t="str" cm="1">
        <f t="array" ref="Y809">_xlfn.IFS(Sales_Data_1[[#This Row],[Delivery_Days]]&lt;=3, "Fast", Sales_Data_1[[#This Row],[Delivery_Days]]&lt;= 7, "Standard", TRUE, "Delayed")</f>
        <v>Delayed</v>
      </c>
      <c r="Z809" t="str" cm="1">
        <f t="array" ref="Z809">_xlfn.IFS(Sales_Data_1[[#This Row],[Profit_Amount]]&gt; 0, "Profitable", Sales_Data_1[[#This Row],[Profit_Amount]] = 0, "Break-Even", TRUE, "Loss")</f>
        <v>Profitable</v>
      </c>
      <c r="AA809" t="str" cm="1">
        <f t="array" ref="AA809">_xlfn.IFS(Sales_Data_1[[#This Row],[Sales]]&gt;= 1000, "High Value", Sales_Data_1[[#This Row],[Sales]]&gt;= 300, "Mid Value", TRUE, "Low Value")</f>
        <v>High Value</v>
      </c>
    </row>
    <row r="810" spans="1:27" x14ac:dyDescent="0.3">
      <c r="A810" t="s">
        <v>2871</v>
      </c>
      <c r="B810" s="1">
        <v>45757</v>
      </c>
      <c r="C810" t="s">
        <v>20</v>
      </c>
      <c r="D810" t="s">
        <v>56</v>
      </c>
      <c r="E810" t="s">
        <v>2040</v>
      </c>
      <c r="F810" t="s">
        <v>103</v>
      </c>
      <c r="G810" t="s">
        <v>24</v>
      </c>
      <c r="H810" t="s">
        <v>121</v>
      </c>
      <c r="I810" t="s">
        <v>1712</v>
      </c>
      <c r="J810">
        <v>6</v>
      </c>
      <c r="K810">
        <v>13889</v>
      </c>
      <c r="L810">
        <v>0.16</v>
      </c>
      <c r="M810">
        <v>11666.76</v>
      </c>
      <c r="N810">
        <v>70000.56</v>
      </c>
      <c r="O810">
        <v>0.25</v>
      </c>
      <c r="P810">
        <v>17500.14</v>
      </c>
      <c r="Q810" t="s">
        <v>37</v>
      </c>
      <c r="R810" t="s">
        <v>48</v>
      </c>
      <c r="S810">
        <v>3</v>
      </c>
      <c r="T810">
        <f>YEAR(Sales_Data_1[[#This Row],[Order_Date]])</f>
        <v>2025</v>
      </c>
      <c r="U810" t="str">
        <f>TEXT(Sales_Data_1[[#This Row],[Order_Date]], "mmm")</f>
        <v>Apr</v>
      </c>
      <c r="V810">
        <f>MONTH(Sales_Data_1[[#This Row],[Order_Date]])</f>
        <v>4</v>
      </c>
      <c r="W810" t="str">
        <f>TEXT(Sales_Data_1[[#This Row],[Order_Date]], "yyyy-mm")</f>
        <v>2025-04</v>
      </c>
      <c r="X810">
        <f>Sales_Data_1[[#This Row],[Sales]]-Sales_Data_1[[#This Row],[Profit_Amount]]</f>
        <v>52500.42</v>
      </c>
      <c r="Y810" t="str" cm="1">
        <f t="array" ref="Y810">_xlfn.IFS(Sales_Data_1[[#This Row],[Delivery_Days]]&lt;=3, "Fast", Sales_Data_1[[#This Row],[Delivery_Days]]&lt;= 7, "Standard", TRUE, "Delayed")</f>
        <v>Fast</v>
      </c>
      <c r="Z810" t="str" cm="1">
        <f t="array" ref="Z810">_xlfn.IFS(Sales_Data_1[[#This Row],[Profit_Amount]]&gt; 0, "Profitable", Sales_Data_1[[#This Row],[Profit_Amount]] = 0, "Break-Even", TRUE, "Loss")</f>
        <v>Profitable</v>
      </c>
      <c r="AA810" t="str" cm="1">
        <f t="array" ref="AA810">_xlfn.IFS(Sales_Data_1[[#This Row],[Sales]]&gt;= 1000, "High Value", Sales_Data_1[[#This Row],[Sales]]&gt;= 300, "Mid Value", TRUE, "Low Value")</f>
        <v>High Value</v>
      </c>
    </row>
    <row r="811" spans="1:27" x14ac:dyDescent="0.3">
      <c r="A811" t="s">
        <v>2243</v>
      </c>
      <c r="B811" s="1">
        <v>45129</v>
      </c>
      <c r="C811" t="s">
        <v>96</v>
      </c>
      <c r="D811" t="s">
        <v>21</v>
      </c>
      <c r="E811" t="s">
        <v>67</v>
      </c>
      <c r="F811" t="s">
        <v>23</v>
      </c>
      <c r="G811" t="s">
        <v>92</v>
      </c>
      <c r="H811" t="s">
        <v>178</v>
      </c>
      <c r="I811" t="s">
        <v>476</v>
      </c>
      <c r="J811">
        <v>2</v>
      </c>
      <c r="K811">
        <v>60138</v>
      </c>
      <c r="L811">
        <v>0.03</v>
      </c>
      <c r="M811">
        <v>58333.86</v>
      </c>
      <c r="N811">
        <v>116667.72</v>
      </c>
      <c r="O811">
        <v>0.15</v>
      </c>
      <c r="P811">
        <v>17500.16</v>
      </c>
      <c r="Q811" t="s">
        <v>51</v>
      </c>
      <c r="R811" t="s">
        <v>48</v>
      </c>
      <c r="S811">
        <v>8</v>
      </c>
      <c r="T811">
        <f>YEAR(Sales_Data_1[[#This Row],[Order_Date]])</f>
        <v>2023</v>
      </c>
      <c r="U811" t="str">
        <f>TEXT(Sales_Data_1[[#This Row],[Order_Date]], "mmm")</f>
        <v>Jul</v>
      </c>
      <c r="V811">
        <f>MONTH(Sales_Data_1[[#This Row],[Order_Date]])</f>
        <v>7</v>
      </c>
      <c r="W811" t="str">
        <f>TEXT(Sales_Data_1[[#This Row],[Order_Date]], "yyyy-mm")</f>
        <v>2023-07</v>
      </c>
      <c r="X811">
        <f>Sales_Data_1[[#This Row],[Sales]]-Sales_Data_1[[#This Row],[Profit_Amount]]</f>
        <v>99167.56</v>
      </c>
      <c r="Y811" t="str" cm="1">
        <f t="array" ref="Y811">_xlfn.IFS(Sales_Data_1[[#This Row],[Delivery_Days]]&lt;=3, "Fast", Sales_Data_1[[#This Row],[Delivery_Days]]&lt;= 7, "Standard", TRUE, "Delayed")</f>
        <v>Delayed</v>
      </c>
      <c r="Z811" t="str" cm="1">
        <f t="array" ref="Z811">_xlfn.IFS(Sales_Data_1[[#This Row],[Profit_Amount]]&gt; 0, "Profitable", Sales_Data_1[[#This Row],[Profit_Amount]] = 0, "Break-Even", TRUE, "Loss")</f>
        <v>Profitable</v>
      </c>
      <c r="AA811" t="str" cm="1">
        <f t="array" ref="AA811">_xlfn.IFS(Sales_Data_1[[#This Row],[Sales]]&gt;= 1000, "High Value", Sales_Data_1[[#This Row],[Sales]]&gt;= 300, "Mid Value", TRUE, "Low Value")</f>
        <v>High Value</v>
      </c>
    </row>
    <row r="812" spans="1:27" x14ac:dyDescent="0.3">
      <c r="A812" t="s">
        <v>2173</v>
      </c>
      <c r="B812" s="1">
        <v>45059</v>
      </c>
      <c r="C812" t="s">
        <v>96</v>
      </c>
      <c r="D812" t="s">
        <v>56</v>
      </c>
      <c r="E812" t="s">
        <v>67</v>
      </c>
      <c r="F812" t="s">
        <v>68</v>
      </c>
      <c r="G812" t="s">
        <v>24</v>
      </c>
      <c r="H812" t="s">
        <v>74</v>
      </c>
      <c r="I812" t="s">
        <v>336</v>
      </c>
      <c r="J812">
        <v>9</v>
      </c>
      <c r="K812">
        <v>8029</v>
      </c>
      <c r="L812">
        <v>0.03</v>
      </c>
      <c r="M812">
        <v>7788.13</v>
      </c>
      <c r="N812">
        <v>70093.17</v>
      </c>
      <c r="O812">
        <v>0.25</v>
      </c>
      <c r="P812">
        <v>17523.29</v>
      </c>
      <c r="Q812" t="s">
        <v>51</v>
      </c>
      <c r="R812" t="s">
        <v>48</v>
      </c>
      <c r="S812">
        <v>4</v>
      </c>
      <c r="T812">
        <f>YEAR(Sales_Data_1[[#This Row],[Order_Date]])</f>
        <v>2023</v>
      </c>
      <c r="U812" t="str">
        <f>TEXT(Sales_Data_1[[#This Row],[Order_Date]], "mmm")</f>
        <v>May</v>
      </c>
      <c r="V812">
        <f>MONTH(Sales_Data_1[[#This Row],[Order_Date]])</f>
        <v>5</v>
      </c>
      <c r="W812" t="str">
        <f>TEXT(Sales_Data_1[[#This Row],[Order_Date]], "yyyy-mm")</f>
        <v>2023-05</v>
      </c>
      <c r="X812">
        <f>Sales_Data_1[[#This Row],[Sales]]-Sales_Data_1[[#This Row],[Profit_Amount]]</f>
        <v>52569.88</v>
      </c>
      <c r="Y812" t="str" cm="1">
        <f t="array" ref="Y812">_xlfn.IFS(Sales_Data_1[[#This Row],[Delivery_Days]]&lt;=3, "Fast", Sales_Data_1[[#This Row],[Delivery_Days]]&lt;= 7, "Standard", TRUE, "Delayed")</f>
        <v>Standard</v>
      </c>
      <c r="Z812" t="str" cm="1">
        <f t="array" ref="Z812">_xlfn.IFS(Sales_Data_1[[#This Row],[Profit_Amount]]&gt; 0, "Profitable", Sales_Data_1[[#This Row],[Profit_Amount]] = 0, "Break-Even", TRUE, "Loss")</f>
        <v>Profitable</v>
      </c>
      <c r="AA812" t="str" cm="1">
        <f t="array" ref="AA812">_xlfn.IFS(Sales_Data_1[[#This Row],[Sales]]&gt;= 1000, "High Value", Sales_Data_1[[#This Row],[Sales]]&gt;= 300, "Mid Value", TRUE, "Low Value")</f>
        <v>High Value</v>
      </c>
    </row>
    <row r="813" spans="1:27" x14ac:dyDescent="0.3">
      <c r="A813" t="s">
        <v>2664</v>
      </c>
      <c r="B813" s="1">
        <v>45550</v>
      </c>
      <c r="C813" t="s">
        <v>63</v>
      </c>
      <c r="D813" t="s">
        <v>21</v>
      </c>
      <c r="E813" t="s">
        <v>2040</v>
      </c>
      <c r="F813" t="s">
        <v>68</v>
      </c>
      <c r="G813" t="s">
        <v>24</v>
      </c>
      <c r="H813" t="s">
        <v>74</v>
      </c>
      <c r="I813" t="s">
        <v>1308</v>
      </c>
      <c r="J813">
        <v>9</v>
      </c>
      <c r="K813">
        <v>8099</v>
      </c>
      <c r="L813">
        <v>0.03</v>
      </c>
      <c r="M813">
        <v>7856.03</v>
      </c>
      <c r="N813">
        <v>70704.27</v>
      </c>
      <c r="O813">
        <v>0.25</v>
      </c>
      <c r="P813">
        <v>17676.07</v>
      </c>
      <c r="Q813" t="s">
        <v>47</v>
      </c>
      <c r="R813" t="s">
        <v>48</v>
      </c>
      <c r="S813">
        <v>4</v>
      </c>
      <c r="T813">
        <f>YEAR(Sales_Data_1[[#This Row],[Order_Date]])</f>
        <v>2024</v>
      </c>
      <c r="U813" t="str">
        <f>TEXT(Sales_Data_1[[#This Row],[Order_Date]], "mmm")</f>
        <v>Sep</v>
      </c>
      <c r="V813">
        <f>MONTH(Sales_Data_1[[#This Row],[Order_Date]])</f>
        <v>9</v>
      </c>
      <c r="W813" t="str">
        <f>TEXT(Sales_Data_1[[#This Row],[Order_Date]], "yyyy-mm")</f>
        <v>2024-09</v>
      </c>
      <c r="X813">
        <f>Sales_Data_1[[#This Row],[Sales]]-Sales_Data_1[[#This Row],[Profit_Amount]]</f>
        <v>53028.200000000004</v>
      </c>
      <c r="Y813" t="str" cm="1">
        <f t="array" ref="Y813">_xlfn.IFS(Sales_Data_1[[#This Row],[Delivery_Days]]&lt;=3, "Fast", Sales_Data_1[[#This Row],[Delivery_Days]]&lt;= 7, "Standard", TRUE, "Delayed")</f>
        <v>Standard</v>
      </c>
      <c r="Z813" t="str" cm="1">
        <f t="array" ref="Z813">_xlfn.IFS(Sales_Data_1[[#This Row],[Profit_Amount]]&gt; 0, "Profitable", Sales_Data_1[[#This Row],[Profit_Amount]] = 0, "Break-Even", TRUE, "Loss")</f>
        <v>Profitable</v>
      </c>
      <c r="AA813" t="str" cm="1">
        <f t="array" ref="AA813">_xlfn.IFS(Sales_Data_1[[#This Row],[Sales]]&gt;= 1000, "High Value", Sales_Data_1[[#This Row],[Sales]]&gt;= 300, "Mid Value", TRUE, "Low Value")</f>
        <v>High Value</v>
      </c>
    </row>
    <row r="814" spans="1:27" x14ac:dyDescent="0.3">
      <c r="A814" t="s">
        <v>2679</v>
      </c>
      <c r="B814" s="1">
        <v>45565</v>
      </c>
      <c r="C814" t="s">
        <v>20</v>
      </c>
      <c r="D814" t="s">
        <v>21</v>
      </c>
      <c r="E814" t="s">
        <v>2042</v>
      </c>
      <c r="F814" t="s">
        <v>68</v>
      </c>
      <c r="G814" t="s">
        <v>24</v>
      </c>
      <c r="H814" t="s">
        <v>74</v>
      </c>
      <c r="I814" t="s">
        <v>1338</v>
      </c>
      <c r="J814">
        <v>7</v>
      </c>
      <c r="K814">
        <v>10866</v>
      </c>
      <c r="L814">
        <v>7.0000000000000007E-2</v>
      </c>
      <c r="M814">
        <v>10105.379999999999</v>
      </c>
      <c r="N814">
        <v>70737.66</v>
      </c>
      <c r="O814">
        <v>0.25</v>
      </c>
      <c r="P814">
        <v>17684.419999999998</v>
      </c>
      <c r="Q814" t="s">
        <v>47</v>
      </c>
      <c r="R814" t="s">
        <v>48</v>
      </c>
      <c r="S814">
        <v>6</v>
      </c>
      <c r="T814">
        <f>YEAR(Sales_Data_1[[#This Row],[Order_Date]])</f>
        <v>2024</v>
      </c>
      <c r="U814" t="str">
        <f>TEXT(Sales_Data_1[[#This Row],[Order_Date]], "mmm")</f>
        <v>Sep</v>
      </c>
      <c r="V814">
        <f>MONTH(Sales_Data_1[[#This Row],[Order_Date]])</f>
        <v>9</v>
      </c>
      <c r="W814" t="str">
        <f>TEXT(Sales_Data_1[[#This Row],[Order_Date]], "yyyy-mm")</f>
        <v>2024-09</v>
      </c>
      <c r="X814">
        <f>Sales_Data_1[[#This Row],[Sales]]-Sales_Data_1[[#This Row],[Profit_Amount]]</f>
        <v>53053.240000000005</v>
      </c>
      <c r="Y814" t="str" cm="1">
        <f t="array" ref="Y814">_xlfn.IFS(Sales_Data_1[[#This Row],[Delivery_Days]]&lt;=3, "Fast", Sales_Data_1[[#This Row],[Delivery_Days]]&lt;= 7, "Standard", TRUE, "Delayed")</f>
        <v>Standard</v>
      </c>
      <c r="Z814" t="str" cm="1">
        <f t="array" ref="Z814">_xlfn.IFS(Sales_Data_1[[#This Row],[Profit_Amount]]&gt; 0, "Profitable", Sales_Data_1[[#This Row],[Profit_Amount]] = 0, "Break-Even", TRUE, "Loss")</f>
        <v>Profitable</v>
      </c>
      <c r="AA814" t="str" cm="1">
        <f t="array" ref="AA814">_xlfn.IFS(Sales_Data_1[[#This Row],[Sales]]&gt;= 1000, "High Value", Sales_Data_1[[#This Row],[Sales]]&gt;= 300, "Mid Value", TRUE, "Low Value")</f>
        <v>High Value</v>
      </c>
    </row>
    <row r="815" spans="1:27" x14ac:dyDescent="0.3">
      <c r="A815" t="s">
        <v>2971</v>
      </c>
      <c r="B815" s="1">
        <v>45857</v>
      </c>
      <c r="C815" t="s">
        <v>55</v>
      </c>
      <c r="D815" t="s">
        <v>56</v>
      </c>
      <c r="E815" t="s">
        <v>2040</v>
      </c>
      <c r="F815" t="s">
        <v>68</v>
      </c>
      <c r="G815" t="s">
        <v>57</v>
      </c>
      <c r="H815" t="s">
        <v>100</v>
      </c>
      <c r="I815" t="s">
        <v>1905</v>
      </c>
      <c r="J815">
        <v>7</v>
      </c>
      <c r="K815">
        <v>15992</v>
      </c>
      <c r="L815">
        <v>0.21</v>
      </c>
      <c r="M815">
        <v>12633.68</v>
      </c>
      <c r="N815">
        <v>88435.76</v>
      </c>
      <c r="O815">
        <v>0.2</v>
      </c>
      <c r="P815">
        <v>17687.150000000001</v>
      </c>
      <c r="Q815" t="s">
        <v>51</v>
      </c>
      <c r="R815" t="s">
        <v>48</v>
      </c>
      <c r="S815">
        <v>3</v>
      </c>
      <c r="T815">
        <f>YEAR(Sales_Data_1[[#This Row],[Order_Date]])</f>
        <v>2025</v>
      </c>
      <c r="U815" t="str">
        <f>TEXT(Sales_Data_1[[#This Row],[Order_Date]], "mmm")</f>
        <v>Jul</v>
      </c>
      <c r="V815">
        <f>MONTH(Sales_Data_1[[#This Row],[Order_Date]])</f>
        <v>7</v>
      </c>
      <c r="W815" t="str">
        <f>TEXT(Sales_Data_1[[#This Row],[Order_Date]], "yyyy-mm")</f>
        <v>2025-07</v>
      </c>
      <c r="X815">
        <f>Sales_Data_1[[#This Row],[Sales]]-Sales_Data_1[[#This Row],[Profit_Amount]]</f>
        <v>70748.609999999986</v>
      </c>
      <c r="Y815" t="str" cm="1">
        <f t="array" ref="Y815">_xlfn.IFS(Sales_Data_1[[#This Row],[Delivery_Days]]&lt;=3, "Fast", Sales_Data_1[[#This Row],[Delivery_Days]]&lt;= 7, "Standard", TRUE, "Delayed")</f>
        <v>Fast</v>
      </c>
      <c r="Z815" t="str" cm="1">
        <f t="array" ref="Z815">_xlfn.IFS(Sales_Data_1[[#This Row],[Profit_Amount]]&gt; 0, "Profitable", Sales_Data_1[[#This Row],[Profit_Amount]] = 0, "Break-Even", TRUE, "Loss")</f>
        <v>Profitable</v>
      </c>
      <c r="AA815" t="str" cm="1">
        <f t="array" ref="AA815">_xlfn.IFS(Sales_Data_1[[#This Row],[Sales]]&gt;= 1000, "High Value", Sales_Data_1[[#This Row],[Sales]]&gt;= 300, "Mid Value", TRUE, "Low Value")</f>
        <v>High Value</v>
      </c>
    </row>
    <row r="816" spans="1:27" x14ac:dyDescent="0.3">
      <c r="A816" t="s">
        <v>3001</v>
      </c>
      <c r="B816" s="1">
        <v>45887</v>
      </c>
      <c r="C816" t="s">
        <v>20</v>
      </c>
      <c r="D816" t="s">
        <v>31</v>
      </c>
      <c r="E816" t="s">
        <v>2040</v>
      </c>
      <c r="F816" t="s">
        <v>97</v>
      </c>
      <c r="G816" t="s">
        <v>24</v>
      </c>
      <c r="H816" t="s">
        <v>121</v>
      </c>
      <c r="I816" t="s">
        <v>1962</v>
      </c>
      <c r="J816">
        <v>7</v>
      </c>
      <c r="K816">
        <v>10283</v>
      </c>
      <c r="L816">
        <v>0.01</v>
      </c>
      <c r="M816">
        <v>10180.17</v>
      </c>
      <c r="N816">
        <v>71261.19</v>
      </c>
      <c r="O816">
        <v>0.25</v>
      </c>
      <c r="P816">
        <v>17815.3</v>
      </c>
      <c r="Q816" t="s">
        <v>27</v>
      </c>
      <c r="R816" t="s">
        <v>38</v>
      </c>
      <c r="S816">
        <v>7</v>
      </c>
      <c r="T816">
        <f>YEAR(Sales_Data_1[[#This Row],[Order_Date]])</f>
        <v>2025</v>
      </c>
      <c r="U816" t="str">
        <f>TEXT(Sales_Data_1[[#This Row],[Order_Date]], "mmm")</f>
        <v>Aug</v>
      </c>
      <c r="V816">
        <f>MONTH(Sales_Data_1[[#This Row],[Order_Date]])</f>
        <v>8</v>
      </c>
      <c r="W816" t="str">
        <f>TEXT(Sales_Data_1[[#This Row],[Order_Date]], "yyyy-mm")</f>
        <v>2025-08</v>
      </c>
      <c r="X816">
        <f>Sales_Data_1[[#This Row],[Sales]]-Sales_Data_1[[#This Row],[Profit_Amount]]</f>
        <v>53445.89</v>
      </c>
      <c r="Y816" t="str" cm="1">
        <f t="array" ref="Y816">_xlfn.IFS(Sales_Data_1[[#This Row],[Delivery_Days]]&lt;=3, "Fast", Sales_Data_1[[#This Row],[Delivery_Days]]&lt;= 7, "Standard", TRUE, "Delayed")</f>
        <v>Standard</v>
      </c>
      <c r="Z816" t="str" cm="1">
        <f t="array" ref="Z816">_xlfn.IFS(Sales_Data_1[[#This Row],[Profit_Amount]]&gt; 0, "Profitable", Sales_Data_1[[#This Row],[Profit_Amount]] = 0, "Break-Even", TRUE, "Loss")</f>
        <v>Profitable</v>
      </c>
      <c r="AA816" t="str" cm="1">
        <f t="array" ref="AA816">_xlfn.IFS(Sales_Data_1[[#This Row],[Sales]]&gt;= 1000, "High Value", Sales_Data_1[[#This Row],[Sales]]&gt;= 300, "Mid Value", TRUE, "Low Value")</f>
        <v>High Value</v>
      </c>
    </row>
    <row r="817" spans="1:27" x14ac:dyDescent="0.3">
      <c r="A817" t="s">
        <v>2836</v>
      </c>
      <c r="B817" s="1">
        <v>45722</v>
      </c>
      <c r="C817" t="s">
        <v>55</v>
      </c>
      <c r="D817" t="s">
        <v>56</v>
      </c>
      <c r="E817" t="s">
        <v>2042</v>
      </c>
      <c r="F817" t="s">
        <v>43</v>
      </c>
      <c r="G817" t="s">
        <v>57</v>
      </c>
      <c r="H817" t="s">
        <v>100</v>
      </c>
      <c r="I817" t="s">
        <v>1643</v>
      </c>
      <c r="J817">
        <v>7</v>
      </c>
      <c r="K817">
        <v>13154</v>
      </c>
      <c r="L817">
        <v>0.03</v>
      </c>
      <c r="M817">
        <v>12759.38</v>
      </c>
      <c r="N817">
        <v>89315.66</v>
      </c>
      <c r="O817">
        <v>0.2</v>
      </c>
      <c r="P817">
        <v>17863.13</v>
      </c>
      <c r="Q817" t="s">
        <v>27</v>
      </c>
      <c r="R817" t="s">
        <v>38</v>
      </c>
      <c r="S817">
        <v>9</v>
      </c>
      <c r="T817">
        <f>YEAR(Sales_Data_1[[#This Row],[Order_Date]])</f>
        <v>2025</v>
      </c>
      <c r="U817" t="str">
        <f>TEXT(Sales_Data_1[[#This Row],[Order_Date]], "mmm")</f>
        <v>Mar</v>
      </c>
      <c r="V817">
        <f>MONTH(Sales_Data_1[[#This Row],[Order_Date]])</f>
        <v>3</v>
      </c>
      <c r="W817" t="str">
        <f>TEXT(Sales_Data_1[[#This Row],[Order_Date]], "yyyy-mm")</f>
        <v>2025-03</v>
      </c>
      <c r="X817">
        <f>Sales_Data_1[[#This Row],[Sales]]-Sales_Data_1[[#This Row],[Profit_Amount]]</f>
        <v>71452.53</v>
      </c>
      <c r="Y817" t="str" cm="1">
        <f t="array" ref="Y817">_xlfn.IFS(Sales_Data_1[[#This Row],[Delivery_Days]]&lt;=3, "Fast", Sales_Data_1[[#This Row],[Delivery_Days]]&lt;= 7, "Standard", TRUE, "Delayed")</f>
        <v>Delayed</v>
      </c>
      <c r="Z817" t="str" cm="1">
        <f t="array" ref="Z817">_xlfn.IFS(Sales_Data_1[[#This Row],[Profit_Amount]]&gt; 0, "Profitable", Sales_Data_1[[#This Row],[Profit_Amount]] = 0, "Break-Even", TRUE, "Loss")</f>
        <v>Profitable</v>
      </c>
      <c r="AA817" t="str" cm="1">
        <f t="array" ref="AA817">_xlfn.IFS(Sales_Data_1[[#This Row],[Sales]]&gt;= 1000, "High Value", Sales_Data_1[[#This Row],[Sales]]&gt;= 300, "Mid Value", TRUE, "Low Value")</f>
        <v>High Value</v>
      </c>
    </row>
    <row r="818" spans="1:27" x14ac:dyDescent="0.3">
      <c r="A818" t="s">
        <v>2323</v>
      </c>
      <c r="B818" s="1">
        <v>45209</v>
      </c>
      <c r="C818" t="s">
        <v>63</v>
      </c>
      <c r="D818" t="s">
        <v>41</v>
      </c>
      <c r="E818" t="s">
        <v>42</v>
      </c>
      <c r="F818" t="s">
        <v>97</v>
      </c>
      <c r="G818" t="s">
        <v>92</v>
      </c>
      <c r="H818" t="s">
        <v>243</v>
      </c>
      <c r="I818" t="s">
        <v>636</v>
      </c>
      <c r="J818">
        <v>7</v>
      </c>
      <c r="K818">
        <v>18906</v>
      </c>
      <c r="L818">
        <v>0.1</v>
      </c>
      <c r="M818">
        <v>17015.400000000001</v>
      </c>
      <c r="N818">
        <v>119107.8</v>
      </c>
      <c r="O818">
        <v>0.15</v>
      </c>
      <c r="P818">
        <v>17866.169999999998</v>
      </c>
      <c r="Q818" t="s">
        <v>27</v>
      </c>
      <c r="R818" t="s">
        <v>48</v>
      </c>
      <c r="S818">
        <v>5</v>
      </c>
      <c r="T818">
        <f>YEAR(Sales_Data_1[[#This Row],[Order_Date]])</f>
        <v>2023</v>
      </c>
      <c r="U818" t="str">
        <f>TEXT(Sales_Data_1[[#This Row],[Order_Date]], "mmm")</f>
        <v>Oct</v>
      </c>
      <c r="V818">
        <f>MONTH(Sales_Data_1[[#This Row],[Order_Date]])</f>
        <v>10</v>
      </c>
      <c r="W818" t="str">
        <f>TEXT(Sales_Data_1[[#This Row],[Order_Date]], "yyyy-mm")</f>
        <v>2023-10</v>
      </c>
      <c r="X818">
        <f>Sales_Data_1[[#This Row],[Sales]]-Sales_Data_1[[#This Row],[Profit_Amount]]</f>
        <v>101241.63</v>
      </c>
      <c r="Y818" t="str" cm="1">
        <f t="array" ref="Y818">_xlfn.IFS(Sales_Data_1[[#This Row],[Delivery_Days]]&lt;=3, "Fast", Sales_Data_1[[#This Row],[Delivery_Days]]&lt;= 7, "Standard", TRUE, "Delayed")</f>
        <v>Standard</v>
      </c>
      <c r="Z818" t="str" cm="1">
        <f t="array" ref="Z818">_xlfn.IFS(Sales_Data_1[[#This Row],[Profit_Amount]]&gt; 0, "Profitable", Sales_Data_1[[#This Row],[Profit_Amount]] = 0, "Break-Even", TRUE, "Loss")</f>
        <v>Profitable</v>
      </c>
      <c r="AA818" t="str" cm="1">
        <f t="array" ref="AA818">_xlfn.IFS(Sales_Data_1[[#This Row],[Sales]]&gt;= 1000, "High Value", Sales_Data_1[[#This Row],[Sales]]&gt;= 300, "Mid Value", TRUE, "Low Value")</f>
        <v>High Value</v>
      </c>
    </row>
    <row r="819" spans="1:27" x14ac:dyDescent="0.3">
      <c r="A819" t="s">
        <v>2054</v>
      </c>
      <c r="B819" s="1">
        <v>44940</v>
      </c>
      <c r="C819" t="s">
        <v>63</v>
      </c>
      <c r="D819" t="s">
        <v>41</v>
      </c>
      <c r="E819" t="s">
        <v>2042</v>
      </c>
      <c r="F819" t="s">
        <v>33</v>
      </c>
      <c r="G819" t="s">
        <v>57</v>
      </c>
      <c r="H819" t="s">
        <v>81</v>
      </c>
      <c r="I819" t="s">
        <v>82</v>
      </c>
      <c r="J819">
        <v>7</v>
      </c>
      <c r="K819">
        <v>15629</v>
      </c>
      <c r="L819">
        <v>0.18</v>
      </c>
      <c r="M819">
        <v>12815.78</v>
      </c>
      <c r="N819">
        <v>89710.46</v>
      </c>
      <c r="O819">
        <v>0.2</v>
      </c>
      <c r="P819">
        <v>17942.09</v>
      </c>
      <c r="Q819" t="s">
        <v>27</v>
      </c>
      <c r="R819" t="s">
        <v>38</v>
      </c>
      <c r="S819">
        <v>6</v>
      </c>
      <c r="T819">
        <f>YEAR(Sales_Data_1[[#This Row],[Order_Date]])</f>
        <v>2023</v>
      </c>
      <c r="U819" t="str">
        <f>TEXT(Sales_Data_1[[#This Row],[Order_Date]], "mmm")</f>
        <v>Jan</v>
      </c>
      <c r="V819">
        <f>MONTH(Sales_Data_1[[#This Row],[Order_Date]])</f>
        <v>1</v>
      </c>
      <c r="W819" t="str">
        <f>TEXT(Sales_Data_1[[#This Row],[Order_Date]], "yyyy-mm")</f>
        <v>2023-01</v>
      </c>
      <c r="X819">
        <f>Sales_Data_1[[#This Row],[Sales]]-Sales_Data_1[[#This Row],[Profit_Amount]]</f>
        <v>71768.37000000001</v>
      </c>
      <c r="Y819" t="str" cm="1">
        <f t="array" ref="Y819">_xlfn.IFS(Sales_Data_1[[#This Row],[Delivery_Days]]&lt;=3, "Fast", Sales_Data_1[[#This Row],[Delivery_Days]]&lt;= 7, "Standard", TRUE, "Delayed")</f>
        <v>Standard</v>
      </c>
      <c r="Z819" t="str" cm="1">
        <f t="array" ref="Z819">_xlfn.IFS(Sales_Data_1[[#This Row],[Profit_Amount]]&gt; 0, "Profitable", Sales_Data_1[[#This Row],[Profit_Amount]] = 0, "Break-Even", TRUE, "Loss")</f>
        <v>Profitable</v>
      </c>
      <c r="AA819" t="str" cm="1">
        <f t="array" ref="AA819">_xlfn.IFS(Sales_Data_1[[#This Row],[Sales]]&gt;= 1000, "High Value", Sales_Data_1[[#This Row],[Sales]]&gt;= 300, "Mid Value", TRUE, "Low Value")</f>
        <v>High Value</v>
      </c>
    </row>
    <row r="820" spans="1:27" x14ac:dyDescent="0.3">
      <c r="A820" t="s">
        <v>2914</v>
      </c>
      <c r="B820" s="1">
        <v>45800</v>
      </c>
      <c r="C820" t="s">
        <v>96</v>
      </c>
      <c r="D820" t="s">
        <v>21</v>
      </c>
      <c r="E820" t="s">
        <v>67</v>
      </c>
      <c r="F820" t="s">
        <v>103</v>
      </c>
      <c r="G820" t="s">
        <v>24</v>
      </c>
      <c r="H820" t="s">
        <v>186</v>
      </c>
      <c r="I820" t="s">
        <v>1797</v>
      </c>
      <c r="J820">
        <v>8</v>
      </c>
      <c r="K820">
        <v>11653</v>
      </c>
      <c r="L820">
        <v>0.23</v>
      </c>
      <c r="M820">
        <v>8972.81</v>
      </c>
      <c r="N820">
        <v>71782.48</v>
      </c>
      <c r="O820">
        <v>0.25</v>
      </c>
      <c r="P820">
        <v>17945.62</v>
      </c>
      <c r="Q820" t="s">
        <v>51</v>
      </c>
      <c r="R820" t="s">
        <v>48</v>
      </c>
      <c r="S820">
        <v>9</v>
      </c>
      <c r="T820">
        <f>YEAR(Sales_Data_1[[#This Row],[Order_Date]])</f>
        <v>2025</v>
      </c>
      <c r="U820" t="str">
        <f>TEXT(Sales_Data_1[[#This Row],[Order_Date]], "mmm")</f>
        <v>May</v>
      </c>
      <c r="V820">
        <f>MONTH(Sales_Data_1[[#This Row],[Order_Date]])</f>
        <v>5</v>
      </c>
      <c r="W820" t="str">
        <f>TEXT(Sales_Data_1[[#This Row],[Order_Date]], "yyyy-mm")</f>
        <v>2025-05</v>
      </c>
      <c r="X820">
        <f>Sales_Data_1[[#This Row],[Sales]]-Sales_Data_1[[#This Row],[Profit_Amount]]</f>
        <v>53836.86</v>
      </c>
      <c r="Y820" t="str" cm="1">
        <f t="array" ref="Y820">_xlfn.IFS(Sales_Data_1[[#This Row],[Delivery_Days]]&lt;=3, "Fast", Sales_Data_1[[#This Row],[Delivery_Days]]&lt;= 7, "Standard", TRUE, "Delayed")</f>
        <v>Delayed</v>
      </c>
      <c r="Z820" t="str" cm="1">
        <f t="array" ref="Z820">_xlfn.IFS(Sales_Data_1[[#This Row],[Profit_Amount]]&gt; 0, "Profitable", Sales_Data_1[[#This Row],[Profit_Amount]] = 0, "Break-Even", TRUE, "Loss")</f>
        <v>Profitable</v>
      </c>
      <c r="AA820" t="str" cm="1">
        <f t="array" ref="AA820">_xlfn.IFS(Sales_Data_1[[#This Row],[Sales]]&gt;= 1000, "High Value", Sales_Data_1[[#This Row],[Sales]]&gt;= 300, "Mid Value", TRUE, "Low Value")</f>
        <v>High Value</v>
      </c>
    </row>
    <row r="821" spans="1:27" x14ac:dyDescent="0.3">
      <c r="A821" t="s">
        <v>2690</v>
      </c>
      <c r="B821" s="1">
        <v>45576</v>
      </c>
      <c r="C821" t="s">
        <v>20</v>
      </c>
      <c r="D821" t="s">
        <v>41</v>
      </c>
      <c r="E821" t="s">
        <v>67</v>
      </c>
      <c r="F821" t="s">
        <v>43</v>
      </c>
      <c r="G821" t="s">
        <v>57</v>
      </c>
      <c r="H821" t="s">
        <v>81</v>
      </c>
      <c r="I821" t="s">
        <v>588</v>
      </c>
      <c r="J821">
        <v>6</v>
      </c>
      <c r="K821">
        <v>16473</v>
      </c>
      <c r="L821">
        <v>0.09</v>
      </c>
      <c r="M821">
        <v>14990.43</v>
      </c>
      <c r="N821">
        <v>89942.58</v>
      </c>
      <c r="O821">
        <v>0.2</v>
      </c>
      <c r="P821">
        <v>17988.52</v>
      </c>
      <c r="Q821" t="s">
        <v>37</v>
      </c>
      <c r="R821" t="s">
        <v>48</v>
      </c>
      <c r="S821">
        <v>2</v>
      </c>
      <c r="T821">
        <f>YEAR(Sales_Data_1[[#This Row],[Order_Date]])</f>
        <v>2024</v>
      </c>
      <c r="U821" t="str">
        <f>TEXT(Sales_Data_1[[#This Row],[Order_Date]], "mmm")</f>
        <v>Oct</v>
      </c>
      <c r="V821">
        <f>MONTH(Sales_Data_1[[#This Row],[Order_Date]])</f>
        <v>10</v>
      </c>
      <c r="W821" t="str">
        <f>TEXT(Sales_Data_1[[#This Row],[Order_Date]], "yyyy-mm")</f>
        <v>2024-10</v>
      </c>
      <c r="X821">
        <f>Sales_Data_1[[#This Row],[Sales]]-Sales_Data_1[[#This Row],[Profit_Amount]]</f>
        <v>71954.06</v>
      </c>
      <c r="Y821" t="str" cm="1">
        <f t="array" ref="Y821">_xlfn.IFS(Sales_Data_1[[#This Row],[Delivery_Days]]&lt;=3, "Fast", Sales_Data_1[[#This Row],[Delivery_Days]]&lt;= 7, "Standard", TRUE, "Delayed")</f>
        <v>Fast</v>
      </c>
      <c r="Z821" t="str" cm="1">
        <f t="array" ref="Z821">_xlfn.IFS(Sales_Data_1[[#This Row],[Profit_Amount]]&gt; 0, "Profitable", Sales_Data_1[[#This Row],[Profit_Amount]] = 0, "Break-Even", TRUE, "Loss")</f>
        <v>Profitable</v>
      </c>
      <c r="AA821" t="str" cm="1">
        <f t="array" ref="AA821">_xlfn.IFS(Sales_Data_1[[#This Row],[Sales]]&gt;= 1000, "High Value", Sales_Data_1[[#This Row],[Sales]]&gt;= 300, "Mid Value", TRUE, "Low Value")</f>
        <v>High Value</v>
      </c>
    </row>
    <row r="822" spans="1:27" x14ac:dyDescent="0.3">
      <c r="A822" t="s">
        <v>2618</v>
      </c>
      <c r="B822" s="1">
        <v>45504</v>
      </c>
      <c r="C822" t="s">
        <v>30</v>
      </c>
      <c r="D822" t="s">
        <v>31</v>
      </c>
      <c r="E822" t="s">
        <v>42</v>
      </c>
      <c r="F822" t="s">
        <v>23</v>
      </c>
      <c r="G822" t="s">
        <v>24</v>
      </c>
      <c r="H822" t="s">
        <v>25</v>
      </c>
      <c r="I822" t="s">
        <v>1218</v>
      </c>
      <c r="J822">
        <v>9</v>
      </c>
      <c r="K822">
        <v>8380</v>
      </c>
      <c r="L822">
        <v>0.04</v>
      </c>
      <c r="M822">
        <v>8044.8</v>
      </c>
      <c r="N822">
        <v>72403.199999999997</v>
      </c>
      <c r="O822">
        <v>0.25</v>
      </c>
      <c r="P822">
        <v>18100.8</v>
      </c>
      <c r="Q822" t="s">
        <v>51</v>
      </c>
      <c r="R822" t="s">
        <v>48</v>
      </c>
      <c r="S822">
        <v>8</v>
      </c>
      <c r="T822">
        <f>YEAR(Sales_Data_1[[#This Row],[Order_Date]])</f>
        <v>2024</v>
      </c>
      <c r="U822" t="str">
        <f>TEXT(Sales_Data_1[[#This Row],[Order_Date]], "mmm")</f>
        <v>Jul</v>
      </c>
      <c r="V822">
        <f>MONTH(Sales_Data_1[[#This Row],[Order_Date]])</f>
        <v>7</v>
      </c>
      <c r="W822" t="str">
        <f>TEXT(Sales_Data_1[[#This Row],[Order_Date]], "yyyy-mm")</f>
        <v>2024-07</v>
      </c>
      <c r="X822">
        <f>Sales_Data_1[[#This Row],[Sales]]-Sales_Data_1[[#This Row],[Profit_Amount]]</f>
        <v>54302.399999999994</v>
      </c>
      <c r="Y822" t="str" cm="1">
        <f t="array" ref="Y822">_xlfn.IFS(Sales_Data_1[[#This Row],[Delivery_Days]]&lt;=3, "Fast", Sales_Data_1[[#This Row],[Delivery_Days]]&lt;= 7, "Standard", TRUE, "Delayed")</f>
        <v>Delayed</v>
      </c>
      <c r="Z822" t="str" cm="1">
        <f t="array" ref="Z822">_xlfn.IFS(Sales_Data_1[[#This Row],[Profit_Amount]]&gt; 0, "Profitable", Sales_Data_1[[#This Row],[Profit_Amount]] = 0, "Break-Even", TRUE, "Loss")</f>
        <v>Profitable</v>
      </c>
      <c r="AA822" t="str" cm="1">
        <f t="array" ref="AA822">_xlfn.IFS(Sales_Data_1[[#This Row],[Sales]]&gt;= 1000, "High Value", Sales_Data_1[[#This Row],[Sales]]&gt;= 300, "Mid Value", TRUE, "Low Value")</f>
        <v>High Value</v>
      </c>
    </row>
    <row r="823" spans="1:27" x14ac:dyDescent="0.3">
      <c r="A823" t="s">
        <v>2289</v>
      </c>
      <c r="B823" s="1">
        <v>45175</v>
      </c>
      <c r="C823" t="s">
        <v>55</v>
      </c>
      <c r="D823" t="s">
        <v>41</v>
      </c>
      <c r="E823" t="s">
        <v>2042</v>
      </c>
      <c r="F823" t="s">
        <v>33</v>
      </c>
      <c r="G823" t="s">
        <v>24</v>
      </c>
      <c r="H823" t="s">
        <v>74</v>
      </c>
      <c r="I823" t="s">
        <v>568</v>
      </c>
      <c r="J823">
        <v>7</v>
      </c>
      <c r="K823">
        <v>12530</v>
      </c>
      <c r="L823">
        <v>0.17</v>
      </c>
      <c r="M823">
        <v>10399.9</v>
      </c>
      <c r="N823">
        <v>72799.3</v>
      </c>
      <c r="O823">
        <v>0.25</v>
      </c>
      <c r="P823">
        <v>18199.82</v>
      </c>
      <c r="Q823" t="s">
        <v>47</v>
      </c>
      <c r="R823" t="s">
        <v>48</v>
      </c>
      <c r="S823">
        <v>4</v>
      </c>
      <c r="T823">
        <f>YEAR(Sales_Data_1[[#This Row],[Order_Date]])</f>
        <v>2023</v>
      </c>
      <c r="U823" t="str">
        <f>TEXT(Sales_Data_1[[#This Row],[Order_Date]], "mmm")</f>
        <v>Sep</v>
      </c>
      <c r="V823">
        <f>MONTH(Sales_Data_1[[#This Row],[Order_Date]])</f>
        <v>9</v>
      </c>
      <c r="W823" t="str">
        <f>TEXT(Sales_Data_1[[#This Row],[Order_Date]], "yyyy-mm")</f>
        <v>2023-09</v>
      </c>
      <c r="X823">
        <f>Sales_Data_1[[#This Row],[Sales]]-Sales_Data_1[[#This Row],[Profit_Amount]]</f>
        <v>54599.48</v>
      </c>
      <c r="Y823" t="str" cm="1">
        <f t="array" ref="Y823">_xlfn.IFS(Sales_Data_1[[#This Row],[Delivery_Days]]&lt;=3, "Fast", Sales_Data_1[[#This Row],[Delivery_Days]]&lt;= 7, "Standard", TRUE, "Delayed")</f>
        <v>Standard</v>
      </c>
      <c r="Z823" t="str" cm="1">
        <f t="array" ref="Z823">_xlfn.IFS(Sales_Data_1[[#This Row],[Profit_Amount]]&gt; 0, "Profitable", Sales_Data_1[[#This Row],[Profit_Amount]] = 0, "Break-Even", TRUE, "Loss")</f>
        <v>Profitable</v>
      </c>
      <c r="AA823" t="str" cm="1">
        <f t="array" ref="AA823">_xlfn.IFS(Sales_Data_1[[#This Row],[Sales]]&gt;= 1000, "High Value", Sales_Data_1[[#This Row],[Sales]]&gt;= 300, "Mid Value", TRUE, "Low Value")</f>
        <v>High Value</v>
      </c>
    </row>
    <row r="824" spans="1:27" x14ac:dyDescent="0.3">
      <c r="A824" t="s">
        <v>2388</v>
      </c>
      <c r="B824" s="1">
        <v>45274</v>
      </c>
      <c r="C824" t="s">
        <v>63</v>
      </c>
      <c r="D824" t="s">
        <v>56</v>
      </c>
      <c r="E824" t="s">
        <v>2042</v>
      </c>
      <c r="F824" t="s">
        <v>97</v>
      </c>
      <c r="G824" t="s">
        <v>92</v>
      </c>
      <c r="H824" t="s">
        <v>109</v>
      </c>
      <c r="I824" t="s">
        <v>764</v>
      </c>
      <c r="J824">
        <v>2</v>
      </c>
      <c r="K824">
        <v>74174</v>
      </c>
      <c r="L824">
        <v>0.18</v>
      </c>
      <c r="M824">
        <v>60822.68</v>
      </c>
      <c r="N824">
        <v>121645.36</v>
      </c>
      <c r="O824">
        <v>0.15</v>
      </c>
      <c r="P824">
        <v>18246.8</v>
      </c>
      <c r="Q824" t="s">
        <v>27</v>
      </c>
      <c r="R824" t="s">
        <v>48</v>
      </c>
      <c r="S824">
        <v>3</v>
      </c>
      <c r="T824">
        <f>YEAR(Sales_Data_1[[#This Row],[Order_Date]])</f>
        <v>2023</v>
      </c>
      <c r="U824" t="str">
        <f>TEXT(Sales_Data_1[[#This Row],[Order_Date]], "mmm")</f>
        <v>Dec</v>
      </c>
      <c r="V824">
        <f>MONTH(Sales_Data_1[[#This Row],[Order_Date]])</f>
        <v>12</v>
      </c>
      <c r="W824" t="str">
        <f>TEXT(Sales_Data_1[[#This Row],[Order_Date]], "yyyy-mm")</f>
        <v>2023-12</v>
      </c>
      <c r="X824">
        <f>Sales_Data_1[[#This Row],[Sales]]-Sales_Data_1[[#This Row],[Profit_Amount]]</f>
        <v>103398.56</v>
      </c>
      <c r="Y824" t="str" cm="1">
        <f t="array" ref="Y824">_xlfn.IFS(Sales_Data_1[[#This Row],[Delivery_Days]]&lt;=3, "Fast", Sales_Data_1[[#This Row],[Delivery_Days]]&lt;= 7, "Standard", TRUE, "Delayed")</f>
        <v>Fast</v>
      </c>
      <c r="Z824" t="str" cm="1">
        <f t="array" ref="Z824">_xlfn.IFS(Sales_Data_1[[#This Row],[Profit_Amount]]&gt; 0, "Profitable", Sales_Data_1[[#This Row],[Profit_Amount]] = 0, "Break-Even", TRUE, "Loss")</f>
        <v>Profitable</v>
      </c>
      <c r="AA824" t="str" cm="1">
        <f t="array" ref="AA824">_xlfn.IFS(Sales_Data_1[[#This Row],[Sales]]&gt;= 1000, "High Value", Sales_Data_1[[#This Row],[Sales]]&gt;= 300, "Mid Value", TRUE, "Low Value")</f>
        <v>High Value</v>
      </c>
    </row>
    <row r="825" spans="1:27" x14ac:dyDescent="0.3">
      <c r="A825" t="s">
        <v>2270</v>
      </c>
      <c r="B825" s="1">
        <v>45156</v>
      </c>
      <c r="C825" t="s">
        <v>63</v>
      </c>
      <c r="D825" t="s">
        <v>21</v>
      </c>
      <c r="E825" t="s">
        <v>67</v>
      </c>
      <c r="F825" t="s">
        <v>97</v>
      </c>
      <c r="G825" t="s">
        <v>24</v>
      </c>
      <c r="H825" t="s">
        <v>186</v>
      </c>
      <c r="I825" t="s">
        <v>530</v>
      </c>
      <c r="J825">
        <v>8</v>
      </c>
      <c r="K825">
        <v>10042</v>
      </c>
      <c r="L825">
        <v>0.09</v>
      </c>
      <c r="M825">
        <v>9138.2199999999993</v>
      </c>
      <c r="N825">
        <v>73105.759999999995</v>
      </c>
      <c r="O825">
        <v>0.25</v>
      </c>
      <c r="P825">
        <v>18276.439999999999</v>
      </c>
      <c r="Q825" t="s">
        <v>47</v>
      </c>
      <c r="R825" t="s">
        <v>48</v>
      </c>
      <c r="S825">
        <v>5</v>
      </c>
      <c r="T825">
        <f>YEAR(Sales_Data_1[[#This Row],[Order_Date]])</f>
        <v>2023</v>
      </c>
      <c r="U825" t="str">
        <f>TEXT(Sales_Data_1[[#This Row],[Order_Date]], "mmm")</f>
        <v>Aug</v>
      </c>
      <c r="V825">
        <f>MONTH(Sales_Data_1[[#This Row],[Order_Date]])</f>
        <v>8</v>
      </c>
      <c r="W825" t="str">
        <f>TEXT(Sales_Data_1[[#This Row],[Order_Date]], "yyyy-mm")</f>
        <v>2023-08</v>
      </c>
      <c r="X825">
        <f>Sales_Data_1[[#This Row],[Sales]]-Sales_Data_1[[#This Row],[Profit_Amount]]</f>
        <v>54829.319999999992</v>
      </c>
      <c r="Y825" t="str" cm="1">
        <f t="array" ref="Y825">_xlfn.IFS(Sales_Data_1[[#This Row],[Delivery_Days]]&lt;=3, "Fast", Sales_Data_1[[#This Row],[Delivery_Days]]&lt;= 7, "Standard", TRUE, "Delayed")</f>
        <v>Standard</v>
      </c>
      <c r="Z825" t="str" cm="1">
        <f t="array" ref="Z825">_xlfn.IFS(Sales_Data_1[[#This Row],[Profit_Amount]]&gt; 0, "Profitable", Sales_Data_1[[#This Row],[Profit_Amount]] = 0, "Break-Even", TRUE, "Loss")</f>
        <v>Profitable</v>
      </c>
      <c r="AA825" t="str" cm="1">
        <f t="array" ref="AA825">_xlfn.IFS(Sales_Data_1[[#This Row],[Sales]]&gt;= 1000, "High Value", Sales_Data_1[[#This Row],[Sales]]&gt;= 300, "Mid Value", TRUE, "Low Value")</f>
        <v>High Value</v>
      </c>
    </row>
    <row r="826" spans="1:27" x14ac:dyDescent="0.3">
      <c r="A826" t="s">
        <v>2993</v>
      </c>
      <c r="B826" s="1">
        <v>45879</v>
      </c>
      <c r="C826" t="s">
        <v>30</v>
      </c>
      <c r="D826" t="s">
        <v>21</v>
      </c>
      <c r="E826" t="s">
        <v>2042</v>
      </c>
      <c r="F826" t="s">
        <v>103</v>
      </c>
      <c r="G826" t="s">
        <v>24</v>
      </c>
      <c r="H826" t="s">
        <v>74</v>
      </c>
      <c r="I826" t="s">
        <v>1947</v>
      </c>
      <c r="J826">
        <v>7</v>
      </c>
      <c r="K826">
        <v>11482</v>
      </c>
      <c r="L826">
        <v>0.09</v>
      </c>
      <c r="M826">
        <v>10448.620000000001</v>
      </c>
      <c r="N826">
        <v>73140.34</v>
      </c>
      <c r="O826">
        <v>0.25</v>
      </c>
      <c r="P826">
        <v>18285.080000000002</v>
      </c>
      <c r="Q826" t="s">
        <v>51</v>
      </c>
      <c r="R826" t="s">
        <v>48</v>
      </c>
      <c r="S826">
        <v>6</v>
      </c>
      <c r="T826">
        <f>YEAR(Sales_Data_1[[#This Row],[Order_Date]])</f>
        <v>2025</v>
      </c>
      <c r="U826" t="str">
        <f>TEXT(Sales_Data_1[[#This Row],[Order_Date]], "mmm")</f>
        <v>Aug</v>
      </c>
      <c r="V826">
        <f>MONTH(Sales_Data_1[[#This Row],[Order_Date]])</f>
        <v>8</v>
      </c>
      <c r="W826" t="str">
        <f>TEXT(Sales_Data_1[[#This Row],[Order_Date]], "yyyy-mm")</f>
        <v>2025-08</v>
      </c>
      <c r="X826">
        <f>Sales_Data_1[[#This Row],[Sales]]-Sales_Data_1[[#This Row],[Profit_Amount]]</f>
        <v>54855.259999999995</v>
      </c>
      <c r="Y826" t="str" cm="1">
        <f t="array" ref="Y826">_xlfn.IFS(Sales_Data_1[[#This Row],[Delivery_Days]]&lt;=3, "Fast", Sales_Data_1[[#This Row],[Delivery_Days]]&lt;= 7, "Standard", TRUE, "Delayed")</f>
        <v>Standard</v>
      </c>
      <c r="Z826" t="str" cm="1">
        <f t="array" ref="Z826">_xlfn.IFS(Sales_Data_1[[#This Row],[Profit_Amount]]&gt; 0, "Profitable", Sales_Data_1[[#This Row],[Profit_Amount]] = 0, "Break-Even", TRUE, "Loss")</f>
        <v>Profitable</v>
      </c>
      <c r="AA826" t="str" cm="1">
        <f t="array" ref="AA826">_xlfn.IFS(Sales_Data_1[[#This Row],[Sales]]&gt;= 1000, "High Value", Sales_Data_1[[#This Row],[Sales]]&gt;= 300, "Mid Value", TRUE, "Low Value")</f>
        <v>High Value</v>
      </c>
    </row>
    <row r="827" spans="1:27" x14ac:dyDescent="0.3">
      <c r="A827" t="s">
        <v>2698</v>
      </c>
      <c r="B827" s="1">
        <v>45584</v>
      </c>
      <c r="C827" t="s">
        <v>20</v>
      </c>
      <c r="D827" t="s">
        <v>21</v>
      </c>
      <c r="E827" t="s">
        <v>2042</v>
      </c>
      <c r="F827" t="s">
        <v>68</v>
      </c>
      <c r="G827" t="s">
        <v>57</v>
      </c>
      <c r="H827" t="s">
        <v>58</v>
      </c>
      <c r="I827" t="s">
        <v>1374</v>
      </c>
      <c r="J827">
        <v>7</v>
      </c>
      <c r="K827">
        <v>13824</v>
      </c>
      <c r="L827">
        <v>0.05</v>
      </c>
      <c r="M827">
        <v>13132.8</v>
      </c>
      <c r="N827">
        <v>91929.600000000006</v>
      </c>
      <c r="O827">
        <v>0.2</v>
      </c>
      <c r="P827">
        <v>18385.919999999998</v>
      </c>
      <c r="Q827" t="s">
        <v>51</v>
      </c>
      <c r="R827" t="s">
        <v>48</v>
      </c>
      <c r="S827">
        <v>9</v>
      </c>
      <c r="T827">
        <f>YEAR(Sales_Data_1[[#This Row],[Order_Date]])</f>
        <v>2024</v>
      </c>
      <c r="U827" t="str">
        <f>TEXT(Sales_Data_1[[#This Row],[Order_Date]], "mmm")</f>
        <v>Oct</v>
      </c>
      <c r="V827">
        <f>MONTH(Sales_Data_1[[#This Row],[Order_Date]])</f>
        <v>10</v>
      </c>
      <c r="W827" t="str">
        <f>TEXT(Sales_Data_1[[#This Row],[Order_Date]], "yyyy-mm")</f>
        <v>2024-10</v>
      </c>
      <c r="X827">
        <f>Sales_Data_1[[#This Row],[Sales]]-Sales_Data_1[[#This Row],[Profit_Amount]]</f>
        <v>73543.680000000008</v>
      </c>
      <c r="Y827" t="str" cm="1">
        <f t="array" ref="Y827">_xlfn.IFS(Sales_Data_1[[#This Row],[Delivery_Days]]&lt;=3, "Fast", Sales_Data_1[[#This Row],[Delivery_Days]]&lt;= 7, "Standard", TRUE, "Delayed")</f>
        <v>Delayed</v>
      </c>
      <c r="Z827" t="str" cm="1">
        <f t="array" ref="Z827">_xlfn.IFS(Sales_Data_1[[#This Row],[Profit_Amount]]&gt; 0, "Profitable", Sales_Data_1[[#This Row],[Profit_Amount]] = 0, "Break-Even", TRUE, "Loss")</f>
        <v>Profitable</v>
      </c>
      <c r="AA827" t="str" cm="1">
        <f t="array" ref="AA827">_xlfn.IFS(Sales_Data_1[[#This Row],[Sales]]&gt;= 1000, "High Value", Sales_Data_1[[#This Row],[Sales]]&gt;= 300, "Mid Value", TRUE, "Low Value")</f>
        <v>High Value</v>
      </c>
    </row>
    <row r="828" spans="1:27" x14ac:dyDescent="0.3">
      <c r="A828" t="s">
        <v>2192</v>
      </c>
      <c r="B828" s="1">
        <v>45078</v>
      </c>
      <c r="C828" t="s">
        <v>30</v>
      </c>
      <c r="D828" t="s">
        <v>21</v>
      </c>
      <c r="E828" t="s">
        <v>67</v>
      </c>
      <c r="F828" t="s">
        <v>103</v>
      </c>
      <c r="G828" t="s">
        <v>92</v>
      </c>
      <c r="H828" t="s">
        <v>109</v>
      </c>
      <c r="I828" t="s">
        <v>374</v>
      </c>
      <c r="J828">
        <v>4</v>
      </c>
      <c r="K828">
        <v>37420</v>
      </c>
      <c r="L828">
        <v>0.18</v>
      </c>
      <c r="M828">
        <v>30684.400000000001</v>
      </c>
      <c r="N828">
        <v>122737.60000000001</v>
      </c>
      <c r="O828">
        <v>0.15</v>
      </c>
      <c r="P828">
        <v>18410.64</v>
      </c>
      <c r="Q828" t="s">
        <v>27</v>
      </c>
      <c r="R828" t="s">
        <v>48</v>
      </c>
      <c r="S828">
        <v>7</v>
      </c>
      <c r="T828">
        <f>YEAR(Sales_Data_1[[#This Row],[Order_Date]])</f>
        <v>2023</v>
      </c>
      <c r="U828" t="str">
        <f>TEXT(Sales_Data_1[[#This Row],[Order_Date]], "mmm")</f>
        <v>Jun</v>
      </c>
      <c r="V828">
        <f>MONTH(Sales_Data_1[[#This Row],[Order_Date]])</f>
        <v>6</v>
      </c>
      <c r="W828" t="str">
        <f>TEXT(Sales_Data_1[[#This Row],[Order_Date]], "yyyy-mm")</f>
        <v>2023-06</v>
      </c>
      <c r="X828">
        <f>Sales_Data_1[[#This Row],[Sales]]-Sales_Data_1[[#This Row],[Profit_Amount]]</f>
        <v>104326.96</v>
      </c>
      <c r="Y828" t="str" cm="1">
        <f t="array" ref="Y828">_xlfn.IFS(Sales_Data_1[[#This Row],[Delivery_Days]]&lt;=3, "Fast", Sales_Data_1[[#This Row],[Delivery_Days]]&lt;= 7, "Standard", TRUE, "Delayed")</f>
        <v>Standard</v>
      </c>
      <c r="Z828" t="str" cm="1">
        <f t="array" ref="Z828">_xlfn.IFS(Sales_Data_1[[#This Row],[Profit_Amount]]&gt; 0, "Profitable", Sales_Data_1[[#This Row],[Profit_Amount]] = 0, "Break-Even", TRUE, "Loss")</f>
        <v>Profitable</v>
      </c>
      <c r="AA828" t="str" cm="1">
        <f t="array" ref="AA828">_xlfn.IFS(Sales_Data_1[[#This Row],[Sales]]&gt;= 1000, "High Value", Sales_Data_1[[#This Row],[Sales]]&gt;= 300, "Mid Value", TRUE, "Low Value")</f>
        <v>High Value</v>
      </c>
    </row>
    <row r="829" spans="1:27" x14ac:dyDescent="0.3">
      <c r="A829" t="s">
        <v>2740</v>
      </c>
      <c r="B829" s="1">
        <v>45626</v>
      </c>
      <c r="C829" t="s">
        <v>55</v>
      </c>
      <c r="D829" t="s">
        <v>41</v>
      </c>
      <c r="E829" t="s">
        <v>2042</v>
      </c>
      <c r="F829" t="s">
        <v>103</v>
      </c>
      <c r="G829" t="s">
        <v>57</v>
      </c>
      <c r="H829" t="s">
        <v>100</v>
      </c>
      <c r="I829" t="s">
        <v>1456</v>
      </c>
      <c r="J829">
        <v>6</v>
      </c>
      <c r="K829">
        <v>17997</v>
      </c>
      <c r="L829">
        <v>0.14000000000000001</v>
      </c>
      <c r="M829">
        <v>15477.42</v>
      </c>
      <c r="N829">
        <v>92864.52</v>
      </c>
      <c r="O829">
        <v>0.2</v>
      </c>
      <c r="P829">
        <v>18572.900000000001</v>
      </c>
      <c r="Q829" t="s">
        <v>51</v>
      </c>
      <c r="R829" t="s">
        <v>48</v>
      </c>
      <c r="S829">
        <v>6</v>
      </c>
      <c r="T829">
        <f>YEAR(Sales_Data_1[[#This Row],[Order_Date]])</f>
        <v>2024</v>
      </c>
      <c r="U829" t="str">
        <f>TEXT(Sales_Data_1[[#This Row],[Order_Date]], "mmm")</f>
        <v>Nov</v>
      </c>
      <c r="V829">
        <f>MONTH(Sales_Data_1[[#This Row],[Order_Date]])</f>
        <v>11</v>
      </c>
      <c r="W829" t="str">
        <f>TEXT(Sales_Data_1[[#This Row],[Order_Date]], "yyyy-mm")</f>
        <v>2024-11</v>
      </c>
      <c r="X829">
        <f>Sales_Data_1[[#This Row],[Sales]]-Sales_Data_1[[#This Row],[Profit_Amount]]</f>
        <v>74291.62</v>
      </c>
      <c r="Y829" t="str" cm="1">
        <f t="array" ref="Y829">_xlfn.IFS(Sales_Data_1[[#This Row],[Delivery_Days]]&lt;=3, "Fast", Sales_Data_1[[#This Row],[Delivery_Days]]&lt;= 7, "Standard", TRUE, "Delayed")</f>
        <v>Standard</v>
      </c>
      <c r="Z829" t="str" cm="1">
        <f t="array" ref="Z829">_xlfn.IFS(Sales_Data_1[[#This Row],[Profit_Amount]]&gt; 0, "Profitable", Sales_Data_1[[#This Row],[Profit_Amount]] = 0, "Break-Even", TRUE, "Loss")</f>
        <v>Profitable</v>
      </c>
      <c r="AA829" t="str" cm="1">
        <f t="array" ref="AA829">_xlfn.IFS(Sales_Data_1[[#This Row],[Sales]]&gt;= 1000, "High Value", Sales_Data_1[[#This Row],[Sales]]&gt;= 300, "Mid Value", TRUE, "Low Value")</f>
        <v>High Value</v>
      </c>
    </row>
    <row r="830" spans="1:27" x14ac:dyDescent="0.3">
      <c r="A830" t="s">
        <v>2525</v>
      </c>
      <c r="B830" s="1">
        <v>45411</v>
      </c>
      <c r="C830" t="s">
        <v>40</v>
      </c>
      <c r="D830" t="s">
        <v>41</v>
      </c>
      <c r="E830" t="s">
        <v>2042</v>
      </c>
      <c r="F830" t="s">
        <v>97</v>
      </c>
      <c r="G830" t="s">
        <v>92</v>
      </c>
      <c r="H830" t="s">
        <v>178</v>
      </c>
      <c r="I830" t="s">
        <v>1034</v>
      </c>
      <c r="J830">
        <v>8</v>
      </c>
      <c r="K830">
        <v>15656</v>
      </c>
      <c r="L830">
        <v>0.01</v>
      </c>
      <c r="M830">
        <v>15499.44</v>
      </c>
      <c r="N830">
        <v>123995.52</v>
      </c>
      <c r="O830">
        <v>0.15</v>
      </c>
      <c r="P830">
        <v>18599.330000000002</v>
      </c>
      <c r="Q830" t="s">
        <v>47</v>
      </c>
      <c r="R830" t="s">
        <v>48</v>
      </c>
      <c r="S830">
        <v>6</v>
      </c>
      <c r="T830">
        <f>YEAR(Sales_Data_1[[#This Row],[Order_Date]])</f>
        <v>2024</v>
      </c>
      <c r="U830" t="str">
        <f>TEXT(Sales_Data_1[[#This Row],[Order_Date]], "mmm")</f>
        <v>Apr</v>
      </c>
      <c r="V830">
        <f>MONTH(Sales_Data_1[[#This Row],[Order_Date]])</f>
        <v>4</v>
      </c>
      <c r="W830" t="str">
        <f>TEXT(Sales_Data_1[[#This Row],[Order_Date]], "yyyy-mm")</f>
        <v>2024-04</v>
      </c>
      <c r="X830">
        <f>Sales_Data_1[[#This Row],[Sales]]-Sales_Data_1[[#This Row],[Profit_Amount]]</f>
        <v>105396.19</v>
      </c>
      <c r="Y830" t="str" cm="1">
        <f t="array" ref="Y830">_xlfn.IFS(Sales_Data_1[[#This Row],[Delivery_Days]]&lt;=3, "Fast", Sales_Data_1[[#This Row],[Delivery_Days]]&lt;= 7, "Standard", TRUE, "Delayed")</f>
        <v>Standard</v>
      </c>
      <c r="Z830" t="str" cm="1">
        <f t="array" ref="Z830">_xlfn.IFS(Sales_Data_1[[#This Row],[Profit_Amount]]&gt; 0, "Profitable", Sales_Data_1[[#This Row],[Profit_Amount]] = 0, "Break-Even", TRUE, "Loss")</f>
        <v>Profitable</v>
      </c>
      <c r="AA830" t="str" cm="1">
        <f t="array" ref="AA830">_xlfn.IFS(Sales_Data_1[[#This Row],[Sales]]&gt;= 1000, "High Value", Sales_Data_1[[#This Row],[Sales]]&gt;= 300, "Mid Value", TRUE, "Low Value")</f>
        <v>High Value</v>
      </c>
    </row>
    <row r="831" spans="1:27" x14ac:dyDescent="0.3">
      <c r="A831" t="s">
        <v>2090</v>
      </c>
      <c r="B831" s="1">
        <v>44976</v>
      </c>
      <c r="C831" t="s">
        <v>55</v>
      </c>
      <c r="D831" t="s">
        <v>41</v>
      </c>
      <c r="E831" t="s">
        <v>2042</v>
      </c>
      <c r="F831" t="s">
        <v>97</v>
      </c>
      <c r="G831" t="s">
        <v>24</v>
      </c>
      <c r="H831" t="s">
        <v>121</v>
      </c>
      <c r="I831" t="s">
        <v>166</v>
      </c>
      <c r="J831">
        <v>9</v>
      </c>
      <c r="K831">
        <v>9946</v>
      </c>
      <c r="L831">
        <v>0.16</v>
      </c>
      <c r="M831">
        <v>8354.64</v>
      </c>
      <c r="N831">
        <v>75191.759999999995</v>
      </c>
      <c r="O831">
        <v>0.25</v>
      </c>
      <c r="P831">
        <v>18797.939999999999</v>
      </c>
      <c r="Q831" t="s">
        <v>51</v>
      </c>
      <c r="R831" t="s">
        <v>48</v>
      </c>
      <c r="S831">
        <v>8</v>
      </c>
      <c r="T831">
        <f>YEAR(Sales_Data_1[[#This Row],[Order_Date]])</f>
        <v>2023</v>
      </c>
      <c r="U831" t="str">
        <f>TEXT(Sales_Data_1[[#This Row],[Order_Date]], "mmm")</f>
        <v>Feb</v>
      </c>
      <c r="V831">
        <f>MONTH(Sales_Data_1[[#This Row],[Order_Date]])</f>
        <v>2</v>
      </c>
      <c r="W831" t="str">
        <f>TEXT(Sales_Data_1[[#This Row],[Order_Date]], "yyyy-mm")</f>
        <v>2023-02</v>
      </c>
      <c r="X831">
        <f>Sales_Data_1[[#This Row],[Sales]]-Sales_Data_1[[#This Row],[Profit_Amount]]</f>
        <v>56393.819999999992</v>
      </c>
      <c r="Y831" t="str" cm="1">
        <f t="array" ref="Y831">_xlfn.IFS(Sales_Data_1[[#This Row],[Delivery_Days]]&lt;=3, "Fast", Sales_Data_1[[#This Row],[Delivery_Days]]&lt;= 7, "Standard", TRUE, "Delayed")</f>
        <v>Delayed</v>
      </c>
      <c r="Z831" t="str" cm="1">
        <f t="array" ref="Z831">_xlfn.IFS(Sales_Data_1[[#This Row],[Profit_Amount]]&gt; 0, "Profitable", Sales_Data_1[[#This Row],[Profit_Amount]] = 0, "Break-Even", TRUE, "Loss")</f>
        <v>Profitable</v>
      </c>
      <c r="AA831" t="str" cm="1">
        <f t="array" ref="AA831">_xlfn.IFS(Sales_Data_1[[#This Row],[Sales]]&gt;= 1000, "High Value", Sales_Data_1[[#This Row],[Sales]]&gt;= 300, "Mid Value", TRUE, "Low Value")</f>
        <v>High Value</v>
      </c>
    </row>
    <row r="832" spans="1:27" x14ac:dyDescent="0.3">
      <c r="A832" t="s">
        <v>2708</v>
      </c>
      <c r="B832" s="1">
        <v>45594</v>
      </c>
      <c r="C832" t="s">
        <v>30</v>
      </c>
      <c r="D832" t="s">
        <v>31</v>
      </c>
      <c r="E832" t="s">
        <v>42</v>
      </c>
      <c r="F832" t="s">
        <v>97</v>
      </c>
      <c r="G832" t="s">
        <v>92</v>
      </c>
      <c r="H832" t="s">
        <v>109</v>
      </c>
      <c r="I832" t="s">
        <v>1392</v>
      </c>
      <c r="J832">
        <v>4</v>
      </c>
      <c r="K832">
        <v>35227</v>
      </c>
      <c r="L832">
        <v>0.11</v>
      </c>
      <c r="M832">
        <v>31352.03</v>
      </c>
      <c r="N832">
        <v>125408.12</v>
      </c>
      <c r="O832">
        <v>0.15</v>
      </c>
      <c r="P832">
        <v>18811.22</v>
      </c>
      <c r="Q832" t="s">
        <v>37</v>
      </c>
      <c r="R832" t="s">
        <v>48</v>
      </c>
      <c r="S832">
        <v>4</v>
      </c>
      <c r="T832">
        <f>YEAR(Sales_Data_1[[#This Row],[Order_Date]])</f>
        <v>2024</v>
      </c>
      <c r="U832" t="str">
        <f>TEXT(Sales_Data_1[[#This Row],[Order_Date]], "mmm")</f>
        <v>Oct</v>
      </c>
      <c r="V832">
        <f>MONTH(Sales_Data_1[[#This Row],[Order_Date]])</f>
        <v>10</v>
      </c>
      <c r="W832" t="str">
        <f>TEXT(Sales_Data_1[[#This Row],[Order_Date]], "yyyy-mm")</f>
        <v>2024-10</v>
      </c>
      <c r="X832">
        <f>Sales_Data_1[[#This Row],[Sales]]-Sales_Data_1[[#This Row],[Profit_Amount]]</f>
        <v>106596.9</v>
      </c>
      <c r="Y832" t="str" cm="1">
        <f t="array" ref="Y832">_xlfn.IFS(Sales_Data_1[[#This Row],[Delivery_Days]]&lt;=3, "Fast", Sales_Data_1[[#This Row],[Delivery_Days]]&lt;= 7, "Standard", TRUE, "Delayed")</f>
        <v>Standard</v>
      </c>
      <c r="Z832" t="str" cm="1">
        <f t="array" ref="Z832">_xlfn.IFS(Sales_Data_1[[#This Row],[Profit_Amount]]&gt; 0, "Profitable", Sales_Data_1[[#This Row],[Profit_Amount]] = 0, "Break-Even", TRUE, "Loss")</f>
        <v>Profitable</v>
      </c>
      <c r="AA832" t="str" cm="1">
        <f t="array" ref="AA832">_xlfn.IFS(Sales_Data_1[[#This Row],[Sales]]&gt;= 1000, "High Value", Sales_Data_1[[#This Row],[Sales]]&gt;= 300, "Mid Value", TRUE, "Low Value")</f>
        <v>High Value</v>
      </c>
    </row>
    <row r="833" spans="1:27" x14ac:dyDescent="0.3">
      <c r="A833" t="s">
        <v>2593</v>
      </c>
      <c r="B833" s="1">
        <v>45479</v>
      </c>
      <c r="C833" t="s">
        <v>30</v>
      </c>
      <c r="D833" t="s">
        <v>31</v>
      </c>
      <c r="E833" t="s">
        <v>67</v>
      </c>
      <c r="F833" t="s">
        <v>23</v>
      </c>
      <c r="G833" t="s">
        <v>57</v>
      </c>
      <c r="H833" t="s">
        <v>58</v>
      </c>
      <c r="I833" t="s">
        <v>1168</v>
      </c>
      <c r="J833">
        <v>9</v>
      </c>
      <c r="K833">
        <v>11700</v>
      </c>
      <c r="L833">
        <v>0.1</v>
      </c>
      <c r="M833">
        <v>10530</v>
      </c>
      <c r="N833">
        <v>94770</v>
      </c>
      <c r="O833">
        <v>0.2</v>
      </c>
      <c r="P833">
        <v>18954</v>
      </c>
      <c r="Q833" t="s">
        <v>47</v>
      </c>
      <c r="R833" t="s">
        <v>48</v>
      </c>
      <c r="S833">
        <v>9</v>
      </c>
      <c r="T833">
        <f>YEAR(Sales_Data_1[[#This Row],[Order_Date]])</f>
        <v>2024</v>
      </c>
      <c r="U833" t="str">
        <f>TEXT(Sales_Data_1[[#This Row],[Order_Date]], "mmm")</f>
        <v>Jul</v>
      </c>
      <c r="V833">
        <f>MONTH(Sales_Data_1[[#This Row],[Order_Date]])</f>
        <v>7</v>
      </c>
      <c r="W833" t="str">
        <f>TEXT(Sales_Data_1[[#This Row],[Order_Date]], "yyyy-mm")</f>
        <v>2024-07</v>
      </c>
      <c r="X833">
        <f>Sales_Data_1[[#This Row],[Sales]]-Sales_Data_1[[#This Row],[Profit_Amount]]</f>
        <v>75816</v>
      </c>
      <c r="Y833" t="str" cm="1">
        <f t="array" ref="Y833">_xlfn.IFS(Sales_Data_1[[#This Row],[Delivery_Days]]&lt;=3, "Fast", Sales_Data_1[[#This Row],[Delivery_Days]]&lt;= 7, "Standard", TRUE, "Delayed")</f>
        <v>Delayed</v>
      </c>
      <c r="Z833" t="str" cm="1">
        <f t="array" ref="Z833">_xlfn.IFS(Sales_Data_1[[#This Row],[Profit_Amount]]&gt; 0, "Profitable", Sales_Data_1[[#This Row],[Profit_Amount]] = 0, "Break-Even", TRUE, "Loss")</f>
        <v>Profitable</v>
      </c>
      <c r="AA833" t="str" cm="1">
        <f t="array" ref="AA833">_xlfn.IFS(Sales_Data_1[[#This Row],[Sales]]&gt;= 1000, "High Value", Sales_Data_1[[#This Row],[Sales]]&gt;= 300, "Mid Value", TRUE, "Low Value")</f>
        <v>High Value</v>
      </c>
    </row>
    <row r="834" spans="1:27" x14ac:dyDescent="0.3">
      <c r="A834" t="s">
        <v>2297</v>
      </c>
      <c r="B834" s="1">
        <v>45183</v>
      </c>
      <c r="C834" t="s">
        <v>96</v>
      </c>
      <c r="D834" t="s">
        <v>41</v>
      </c>
      <c r="E834" t="s">
        <v>2042</v>
      </c>
      <c r="F834" t="s">
        <v>23</v>
      </c>
      <c r="G834" t="s">
        <v>92</v>
      </c>
      <c r="H834" t="s">
        <v>93</v>
      </c>
      <c r="I834" t="s">
        <v>584</v>
      </c>
      <c r="J834">
        <v>8</v>
      </c>
      <c r="K834">
        <v>16471</v>
      </c>
      <c r="L834">
        <v>0.04</v>
      </c>
      <c r="M834">
        <v>15812.16</v>
      </c>
      <c r="N834">
        <v>126497.28</v>
      </c>
      <c r="O834">
        <v>0.15</v>
      </c>
      <c r="P834">
        <v>18974.59</v>
      </c>
      <c r="Q834" t="s">
        <v>47</v>
      </c>
      <c r="R834" t="s">
        <v>38</v>
      </c>
      <c r="S834">
        <v>5</v>
      </c>
      <c r="T834">
        <f>YEAR(Sales_Data_1[[#This Row],[Order_Date]])</f>
        <v>2023</v>
      </c>
      <c r="U834" t="str">
        <f>TEXT(Sales_Data_1[[#This Row],[Order_Date]], "mmm")</f>
        <v>Sep</v>
      </c>
      <c r="V834">
        <f>MONTH(Sales_Data_1[[#This Row],[Order_Date]])</f>
        <v>9</v>
      </c>
      <c r="W834" t="str">
        <f>TEXT(Sales_Data_1[[#This Row],[Order_Date]], "yyyy-mm")</f>
        <v>2023-09</v>
      </c>
      <c r="X834">
        <f>Sales_Data_1[[#This Row],[Sales]]-Sales_Data_1[[#This Row],[Profit_Amount]]</f>
        <v>107522.69</v>
      </c>
      <c r="Y834" t="str" cm="1">
        <f t="array" ref="Y834">_xlfn.IFS(Sales_Data_1[[#This Row],[Delivery_Days]]&lt;=3, "Fast", Sales_Data_1[[#This Row],[Delivery_Days]]&lt;= 7, "Standard", TRUE, "Delayed")</f>
        <v>Standard</v>
      </c>
      <c r="Z834" t="str" cm="1">
        <f t="array" ref="Z834">_xlfn.IFS(Sales_Data_1[[#This Row],[Profit_Amount]]&gt; 0, "Profitable", Sales_Data_1[[#This Row],[Profit_Amount]] = 0, "Break-Even", TRUE, "Loss")</f>
        <v>Profitable</v>
      </c>
      <c r="AA834" t="str" cm="1">
        <f t="array" ref="AA834">_xlfn.IFS(Sales_Data_1[[#This Row],[Sales]]&gt;= 1000, "High Value", Sales_Data_1[[#This Row],[Sales]]&gt;= 300, "Mid Value", TRUE, "Low Value")</f>
        <v>High Value</v>
      </c>
    </row>
    <row r="835" spans="1:27" x14ac:dyDescent="0.3">
      <c r="A835" t="s">
        <v>2893</v>
      </c>
      <c r="B835" s="1">
        <v>45779</v>
      </c>
      <c r="C835" t="s">
        <v>96</v>
      </c>
      <c r="D835" t="s">
        <v>56</v>
      </c>
      <c r="E835" t="s">
        <v>67</v>
      </c>
      <c r="F835" t="s">
        <v>33</v>
      </c>
      <c r="G835" t="s">
        <v>24</v>
      </c>
      <c r="H835" t="s">
        <v>25</v>
      </c>
      <c r="I835" t="s">
        <v>1756</v>
      </c>
      <c r="J835">
        <v>7</v>
      </c>
      <c r="K835">
        <v>13925</v>
      </c>
      <c r="L835">
        <v>0.21</v>
      </c>
      <c r="M835">
        <v>11000.75</v>
      </c>
      <c r="N835">
        <v>77005.25</v>
      </c>
      <c r="O835">
        <v>0.25</v>
      </c>
      <c r="P835">
        <v>19251.310000000001</v>
      </c>
      <c r="Q835" t="s">
        <v>27</v>
      </c>
      <c r="R835" t="s">
        <v>48</v>
      </c>
      <c r="S835">
        <v>2</v>
      </c>
      <c r="T835">
        <f>YEAR(Sales_Data_1[[#This Row],[Order_Date]])</f>
        <v>2025</v>
      </c>
      <c r="U835" t="str">
        <f>TEXT(Sales_Data_1[[#This Row],[Order_Date]], "mmm")</f>
        <v>May</v>
      </c>
      <c r="V835">
        <f>MONTH(Sales_Data_1[[#This Row],[Order_Date]])</f>
        <v>5</v>
      </c>
      <c r="W835" t="str">
        <f>TEXT(Sales_Data_1[[#This Row],[Order_Date]], "yyyy-mm")</f>
        <v>2025-05</v>
      </c>
      <c r="X835">
        <f>Sales_Data_1[[#This Row],[Sales]]-Sales_Data_1[[#This Row],[Profit_Amount]]</f>
        <v>57753.94</v>
      </c>
      <c r="Y835" t="str" cm="1">
        <f t="array" ref="Y835">_xlfn.IFS(Sales_Data_1[[#This Row],[Delivery_Days]]&lt;=3, "Fast", Sales_Data_1[[#This Row],[Delivery_Days]]&lt;= 7, "Standard", TRUE, "Delayed")</f>
        <v>Fast</v>
      </c>
      <c r="Z835" t="str" cm="1">
        <f t="array" ref="Z835">_xlfn.IFS(Sales_Data_1[[#This Row],[Profit_Amount]]&gt; 0, "Profitable", Sales_Data_1[[#This Row],[Profit_Amount]] = 0, "Break-Even", TRUE, "Loss")</f>
        <v>Profitable</v>
      </c>
      <c r="AA835" t="str" cm="1">
        <f t="array" ref="AA835">_xlfn.IFS(Sales_Data_1[[#This Row],[Sales]]&gt;= 1000, "High Value", Sales_Data_1[[#This Row],[Sales]]&gt;= 300, "Mid Value", TRUE, "Low Value")</f>
        <v>High Value</v>
      </c>
    </row>
    <row r="836" spans="1:27" x14ac:dyDescent="0.3">
      <c r="A836" t="s">
        <v>2873</v>
      </c>
      <c r="B836" s="1">
        <v>45759</v>
      </c>
      <c r="C836" t="s">
        <v>55</v>
      </c>
      <c r="D836" t="s">
        <v>31</v>
      </c>
      <c r="E836" t="s">
        <v>2042</v>
      </c>
      <c r="F836" t="s">
        <v>33</v>
      </c>
      <c r="G836" t="s">
        <v>57</v>
      </c>
      <c r="H836" t="s">
        <v>81</v>
      </c>
      <c r="I836" t="s">
        <v>1716</v>
      </c>
      <c r="J836">
        <v>9</v>
      </c>
      <c r="K836">
        <v>11028</v>
      </c>
      <c r="L836">
        <v>0.03</v>
      </c>
      <c r="M836">
        <v>10697.16</v>
      </c>
      <c r="N836">
        <v>96274.44</v>
      </c>
      <c r="O836">
        <v>0.2</v>
      </c>
      <c r="P836">
        <v>19254.89</v>
      </c>
      <c r="Q836" t="s">
        <v>47</v>
      </c>
      <c r="R836" t="s">
        <v>48</v>
      </c>
      <c r="S836">
        <v>8</v>
      </c>
      <c r="T836">
        <f>YEAR(Sales_Data_1[[#This Row],[Order_Date]])</f>
        <v>2025</v>
      </c>
      <c r="U836" t="str">
        <f>TEXT(Sales_Data_1[[#This Row],[Order_Date]], "mmm")</f>
        <v>Apr</v>
      </c>
      <c r="V836">
        <f>MONTH(Sales_Data_1[[#This Row],[Order_Date]])</f>
        <v>4</v>
      </c>
      <c r="W836" t="str">
        <f>TEXT(Sales_Data_1[[#This Row],[Order_Date]], "yyyy-mm")</f>
        <v>2025-04</v>
      </c>
      <c r="X836">
        <f>Sales_Data_1[[#This Row],[Sales]]-Sales_Data_1[[#This Row],[Profit_Amount]]</f>
        <v>77019.55</v>
      </c>
      <c r="Y836" t="str" cm="1">
        <f t="array" ref="Y836">_xlfn.IFS(Sales_Data_1[[#This Row],[Delivery_Days]]&lt;=3, "Fast", Sales_Data_1[[#This Row],[Delivery_Days]]&lt;= 7, "Standard", TRUE, "Delayed")</f>
        <v>Delayed</v>
      </c>
      <c r="Z836" t="str" cm="1">
        <f t="array" ref="Z836">_xlfn.IFS(Sales_Data_1[[#This Row],[Profit_Amount]]&gt; 0, "Profitable", Sales_Data_1[[#This Row],[Profit_Amount]] = 0, "Break-Even", TRUE, "Loss")</f>
        <v>Profitable</v>
      </c>
      <c r="AA836" t="str" cm="1">
        <f t="array" ref="AA836">_xlfn.IFS(Sales_Data_1[[#This Row],[Sales]]&gt;= 1000, "High Value", Sales_Data_1[[#This Row],[Sales]]&gt;= 300, "Mid Value", TRUE, "Low Value")</f>
        <v>High Value</v>
      </c>
    </row>
    <row r="837" spans="1:27" x14ac:dyDescent="0.3">
      <c r="A837" t="s">
        <v>2366</v>
      </c>
      <c r="B837" s="1">
        <v>45252</v>
      </c>
      <c r="C837" t="s">
        <v>20</v>
      </c>
      <c r="D837" t="s">
        <v>21</v>
      </c>
      <c r="E837" t="s">
        <v>67</v>
      </c>
      <c r="F837" t="s">
        <v>103</v>
      </c>
      <c r="G837" t="s">
        <v>92</v>
      </c>
      <c r="H837" t="s">
        <v>243</v>
      </c>
      <c r="I837" t="s">
        <v>720</v>
      </c>
      <c r="J837">
        <v>3</v>
      </c>
      <c r="K837">
        <v>44068</v>
      </c>
      <c r="L837">
        <v>0.02</v>
      </c>
      <c r="M837">
        <v>43186.64</v>
      </c>
      <c r="N837">
        <v>129559.92</v>
      </c>
      <c r="O837">
        <v>0.15</v>
      </c>
      <c r="P837">
        <v>19433.990000000002</v>
      </c>
      <c r="Q837" t="s">
        <v>37</v>
      </c>
      <c r="R837" t="s">
        <v>48</v>
      </c>
      <c r="S837">
        <v>7</v>
      </c>
      <c r="T837">
        <f>YEAR(Sales_Data_1[[#This Row],[Order_Date]])</f>
        <v>2023</v>
      </c>
      <c r="U837" t="str">
        <f>TEXT(Sales_Data_1[[#This Row],[Order_Date]], "mmm")</f>
        <v>Nov</v>
      </c>
      <c r="V837">
        <f>MONTH(Sales_Data_1[[#This Row],[Order_Date]])</f>
        <v>11</v>
      </c>
      <c r="W837" t="str">
        <f>TEXT(Sales_Data_1[[#This Row],[Order_Date]], "yyyy-mm")</f>
        <v>2023-11</v>
      </c>
      <c r="X837">
        <f>Sales_Data_1[[#This Row],[Sales]]-Sales_Data_1[[#This Row],[Profit_Amount]]</f>
        <v>110125.93</v>
      </c>
      <c r="Y837" t="str" cm="1">
        <f t="array" ref="Y837">_xlfn.IFS(Sales_Data_1[[#This Row],[Delivery_Days]]&lt;=3, "Fast", Sales_Data_1[[#This Row],[Delivery_Days]]&lt;= 7, "Standard", TRUE, "Delayed")</f>
        <v>Standard</v>
      </c>
      <c r="Z837" t="str" cm="1">
        <f t="array" ref="Z837">_xlfn.IFS(Sales_Data_1[[#This Row],[Profit_Amount]]&gt; 0, "Profitable", Sales_Data_1[[#This Row],[Profit_Amount]] = 0, "Break-Even", TRUE, "Loss")</f>
        <v>Profitable</v>
      </c>
      <c r="AA837" t="str" cm="1">
        <f t="array" ref="AA837">_xlfn.IFS(Sales_Data_1[[#This Row],[Sales]]&gt;= 1000, "High Value", Sales_Data_1[[#This Row],[Sales]]&gt;= 300, "Mid Value", TRUE, "Low Value")</f>
        <v>High Value</v>
      </c>
    </row>
    <row r="838" spans="1:27" x14ac:dyDescent="0.3">
      <c r="A838" t="s">
        <v>2392</v>
      </c>
      <c r="B838" s="1">
        <v>45278</v>
      </c>
      <c r="C838" t="s">
        <v>55</v>
      </c>
      <c r="D838" t="s">
        <v>56</v>
      </c>
      <c r="E838" t="s">
        <v>42</v>
      </c>
      <c r="F838" t="s">
        <v>23</v>
      </c>
      <c r="G838" t="s">
        <v>57</v>
      </c>
      <c r="H838" t="s">
        <v>183</v>
      </c>
      <c r="I838" t="s">
        <v>771</v>
      </c>
      <c r="J838">
        <v>6</v>
      </c>
      <c r="K838">
        <v>19014</v>
      </c>
      <c r="L838">
        <v>0.12</v>
      </c>
      <c r="M838">
        <v>16732.32</v>
      </c>
      <c r="N838">
        <v>100393.92</v>
      </c>
      <c r="O838">
        <v>0.2</v>
      </c>
      <c r="P838">
        <v>20078.78</v>
      </c>
      <c r="Q838" t="s">
        <v>37</v>
      </c>
      <c r="R838" t="s">
        <v>48</v>
      </c>
      <c r="S838">
        <v>7</v>
      </c>
      <c r="T838">
        <f>YEAR(Sales_Data_1[[#This Row],[Order_Date]])</f>
        <v>2023</v>
      </c>
      <c r="U838" t="str">
        <f>TEXT(Sales_Data_1[[#This Row],[Order_Date]], "mmm")</f>
        <v>Dec</v>
      </c>
      <c r="V838">
        <f>MONTH(Sales_Data_1[[#This Row],[Order_Date]])</f>
        <v>12</v>
      </c>
      <c r="W838" t="str">
        <f>TEXT(Sales_Data_1[[#This Row],[Order_Date]], "yyyy-mm")</f>
        <v>2023-12</v>
      </c>
      <c r="X838">
        <f>Sales_Data_1[[#This Row],[Sales]]-Sales_Data_1[[#This Row],[Profit_Amount]]</f>
        <v>80315.14</v>
      </c>
      <c r="Y838" t="str" cm="1">
        <f t="array" ref="Y838">_xlfn.IFS(Sales_Data_1[[#This Row],[Delivery_Days]]&lt;=3, "Fast", Sales_Data_1[[#This Row],[Delivery_Days]]&lt;= 7, "Standard", TRUE, "Delayed")</f>
        <v>Standard</v>
      </c>
      <c r="Z838" t="str" cm="1">
        <f t="array" ref="Z838">_xlfn.IFS(Sales_Data_1[[#This Row],[Profit_Amount]]&gt; 0, "Profitable", Sales_Data_1[[#This Row],[Profit_Amount]] = 0, "Break-Even", TRUE, "Loss")</f>
        <v>Profitable</v>
      </c>
      <c r="AA838" t="str" cm="1">
        <f t="array" ref="AA838">_xlfn.IFS(Sales_Data_1[[#This Row],[Sales]]&gt;= 1000, "High Value", Sales_Data_1[[#This Row],[Sales]]&gt;= 300, "Mid Value", TRUE, "Low Value")</f>
        <v>High Value</v>
      </c>
    </row>
    <row r="839" spans="1:27" x14ac:dyDescent="0.3">
      <c r="A839" t="s">
        <v>2055</v>
      </c>
      <c r="B839" s="1">
        <v>44941</v>
      </c>
      <c r="C839" t="s">
        <v>20</v>
      </c>
      <c r="D839" t="s">
        <v>21</v>
      </c>
      <c r="E839" t="s">
        <v>67</v>
      </c>
      <c r="F839" t="s">
        <v>23</v>
      </c>
      <c r="G839" t="s">
        <v>24</v>
      </c>
      <c r="H839" t="s">
        <v>74</v>
      </c>
      <c r="I839" t="s">
        <v>84</v>
      </c>
      <c r="J839">
        <v>8</v>
      </c>
      <c r="K839">
        <v>13398</v>
      </c>
      <c r="L839">
        <v>0.24</v>
      </c>
      <c r="M839">
        <v>10182.48</v>
      </c>
      <c r="N839">
        <v>81459.839999999997</v>
      </c>
      <c r="O839">
        <v>0.25</v>
      </c>
      <c r="P839">
        <v>20364.96</v>
      </c>
      <c r="Q839" t="s">
        <v>47</v>
      </c>
      <c r="R839" t="s">
        <v>48</v>
      </c>
      <c r="S839">
        <v>9</v>
      </c>
      <c r="T839">
        <f>YEAR(Sales_Data_1[[#This Row],[Order_Date]])</f>
        <v>2023</v>
      </c>
      <c r="U839" t="str">
        <f>TEXT(Sales_Data_1[[#This Row],[Order_Date]], "mmm")</f>
        <v>Jan</v>
      </c>
      <c r="V839">
        <f>MONTH(Sales_Data_1[[#This Row],[Order_Date]])</f>
        <v>1</v>
      </c>
      <c r="W839" t="str">
        <f>TEXT(Sales_Data_1[[#This Row],[Order_Date]], "yyyy-mm")</f>
        <v>2023-01</v>
      </c>
      <c r="X839">
        <f>Sales_Data_1[[#This Row],[Sales]]-Sales_Data_1[[#This Row],[Profit_Amount]]</f>
        <v>61094.879999999997</v>
      </c>
      <c r="Y839" t="str" cm="1">
        <f t="array" ref="Y839">_xlfn.IFS(Sales_Data_1[[#This Row],[Delivery_Days]]&lt;=3, "Fast", Sales_Data_1[[#This Row],[Delivery_Days]]&lt;= 7, "Standard", TRUE, "Delayed")</f>
        <v>Delayed</v>
      </c>
      <c r="Z839" t="str" cm="1">
        <f t="array" ref="Z839">_xlfn.IFS(Sales_Data_1[[#This Row],[Profit_Amount]]&gt; 0, "Profitable", Sales_Data_1[[#This Row],[Profit_Amount]] = 0, "Break-Even", TRUE, "Loss")</f>
        <v>Profitable</v>
      </c>
      <c r="AA839" t="str" cm="1">
        <f t="array" ref="AA839">_xlfn.IFS(Sales_Data_1[[#This Row],[Sales]]&gt;= 1000, "High Value", Sales_Data_1[[#This Row],[Sales]]&gt;= 300, "Mid Value", TRUE, "Low Value")</f>
        <v>High Value</v>
      </c>
    </row>
    <row r="840" spans="1:27" x14ac:dyDescent="0.3">
      <c r="A840" t="s">
        <v>2925</v>
      </c>
      <c r="B840" s="1">
        <v>45811</v>
      </c>
      <c r="C840" t="s">
        <v>40</v>
      </c>
      <c r="D840" t="s">
        <v>21</v>
      </c>
      <c r="E840" t="s">
        <v>2040</v>
      </c>
      <c r="F840" t="s">
        <v>103</v>
      </c>
      <c r="G840" t="s">
        <v>92</v>
      </c>
      <c r="H840" t="s">
        <v>178</v>
      </c>
      <c r="I840" t="s">
        <v>1819</v>
      </c>
      <c r="J840">
        <v>7</v>
      </c>
      <c r="K840">
        <v>19833</v>
      </c>
      <c r="L840">
        <v>0.02</v>
      </c>
      <c r="M840">
        <v>19436.34</v>
      </c>
      <c r="N840">
        <v>136054.38</v>
      </c>
      <c r="O840">
        <v>0.15</v>
      </c>
      <c r="P840">
        <v>20408.16</v>
      </c>
      <c r="Q840" t="s">
        <v>51</v>
      </c>
      <c r="R840" t="s">
        <v>48</v>
      </c>
      <c r="S840">
        <v>1</v>
      </c>
      <c r="T840">
        <f>YEAR(Sales_Data_1[[#This Row],[Order_Date]])</f>
        <v>2025</v>
      </c>
      <c r="U840" t="str">
        <f>TEXT(Sales_Data_1[[#This Row],[Order_Date]], "mmm")</f>
        <v>Jun</v>
      </c>
      <c r="V840">
        <f>MONTH(Sales_Data_1[[#This Row],[Order_Date]])</f>
        <v>6</v>
      </c>
      <c r="W840" t="str">
        <f>TEXT(Sales_Data_1[[#This Row],[Order_Date]], "yyyy-mm")</f>
        <v>2025-06</v>
      </c>
      <c r="X840">
        <f>Sales_Data_1[[#This Row],[Sales]]-Sales_Data_1[[#This Row],[Profit_Amount]]</f>
        <v>115646.22</v>
      </c>
      <c r="Y840" t="str" cm="1">
        <f t="array" ref="Y840">_xlfn.IFS(Sales_Data_1[[#This Row],[Delivery_Days]]&lt;=3, "Fast", Sales_Data_1[[#This Row],[Delivery_Days]]&lt;= 7, "Standard", TRUE, "Delayed")</f>
        <v>Fast</v>
      </c>
      <c r="Z840" t="str" cm="1">
        <f t="array" ref="Z840">_xlfn.IFS(Sales_Data_1[[#This Row],[Profit_Amount]]&gt; 0, "Profitable", Sales_Data_1[[#This Row],[Profit_Amount]] = 0, "Break-Even", TRUE, "Loss")</f>
        <v>Profitable</v>
      </c>
      <c r="AA840" t="str" cm="1">
        <f t="array" ref="AA840">_xlfn.IFS(Sales_Data_1[[#This Row],[Sales]]&gt;= 1000, "High Value", Sales_Data_1[[#This Row],[Sales]]&gt;= 300, "Mid Value", TRUE, "Low Value")</f>
        <v>High Value</v>
      </c>
    </row>
    <row r="841" spans="1:27" x14ac:dyDescent="0.3">
      <c r="A841" t="s">
        <v>2228</v>
      </c>
      <c r="B841" s="1">
        <v>45114</v>
      </c>
      <c r="C841" t="s">
        <v>40</v>
      </c>
      <c r="D841" t="s">
        <v>21</v>
      </c>
      <c r="E841" t="s">
        <v>2042</v>
      </c>
      <c r="F841" t="s">
        <v>23</v>
      </c>
      <c r="G841" t="s">
        <v>92</v>
      </c>
      <c r="H841" t="s">
        <v>178</v>
      </c>
      <c r="I841" t="s">
        <v>446</v>
      </c>
      <c r="J841">
        <v>5</v>
      </c>
      <c r="K841">
        <v>33196</v>
      </c>
      <c r="L841">
        <v>0.18</v>
      </c>
      <c r="M841">
        <v>27220.720000000001</v>
      </c>
      <c r="N841">
        <v>136103.6</v>
      </c>
      <c r="O841">
        <v>0.15</v>
      </c>
      <c r="P841">
        <v>20415.54</v>
      </c>
      <c r="Q841" t="s">
        <v>37</v>
      </c>
      <c r="R841" t="s">
        <v>28</v>
      </c>
      <c r="S841">
        <v>5</v>
      </c>
      <c r="T841">
        <f>YEAR(Sales_Data_1[[#This Row],[Order_Date]])</f>
        <v>2023</v>
      </c>
      <c r="U841" t="str">
        <f>TEXT(Sales_Data_1[[#This Row],[Order_Date]], "mmm")</f>
        <v>Jul</v>
      </c>
      <c r="V841">
        <f>MONTH(Sales_Data_1[[#This Row],[Order_Date]])</f>
        <v>7</v>
      </c>
      <c r="W841" t="str">
        <f>TEXT(Sales_Data_1[[#This Row],[Order_Date]], "yyyy-mm")</f>
        <v>2023-07</v>
      </c>
      <c r="X841">
        <f>Sales_Data_1[[#This Row],[Sales]]-Sales_Data_1[[#This Row],[Profit_Amount]]</f>
        <v>115688.06</v>
      </c>
      <c r="Y841" t="str" cm="1">
        <f t="array" ref="Y841">_xlfn.IFS(Sales_Data_1[[#This Row],[Delivery_Days]]&lt;=3, "Fast", Sales_Data_1[[#This Row],[Delivery_Days]]&lt;= 7, "Standard", TRUE, "Delayed")</f>
        <v>Standard</v>
      </c>
      <c r="Z841" t="str" cm="1">
        <f t="array" ref="Z841">_xlfn.IFS(Sales_Data_1[[#This Row],[Profit_Amount]]&gt; 0, "Profitable", Sales_Data_1[[#This Row],[Profit_Amount]] = 0, "Break-Even", TRUE, "Loss")</f>
        <v>Profitable</v>
      </c>
      <c r="AA841" t="str" cm="1">
        <f t="array" ref="AA841">_xlfn.IFS(Sales_Data_1[[#This Row],[Sales]]&gt;= 1000, "High Value", Sales_Data_1[[#This Row],[Sales]]&gt;= 300, "Mid Value", TRUE, "Low Value")</f>
        <v>High Value</v>
      </c>
    </row>
    <row r="842" spans="1:27" x14ac:dyDescent="0.3">
      <c r="A842" t="s">
        <v>2354</v>
      </c>
      <c r="B842" s="1">
        <v>45240</v>
      </c>
      <c r="C842" t="s">
        <v>40</v>
      </c>
      <c r="D842" t="s">
        <v>21</v>
      </c>
      <c r="E842" t="s">
        <v>67</v>
      </c>
      <c r="F842" t="s">
        <v>68</v>
      </c>
      <c r="G842" t="s">
        <v>92</v>
      </c>
      <c r="H842" t="s">
        <v>243</v>
      </c>
      <c r="I842" t="s">
        <v>696</v>
      </c>
      <c r="J842">
        <v>9</v>
      </c>
      <c r="K842">
        <v>16441</v>
      </c>
      <c r="L842">
        <v>0.08</v>
      </c>
      <c r="M842">
        <v>15125.72</v>
      </c>
      <c r="N842">
        <v>136131.48000000001</v>
      </c>
      <c r="O842">
        <v>0.15</v>
      </c>
      <c r="P842">
        <v>20419.72</v>
      </c>
      <c r="Q842" t="s">
        <v>47</v>
      </c>
      <c r="R842" t="s">
        <v>48</v>
      </c>
      <c r="S842">
        <v>2</v>
      </c>
      <c r="T842">
        <f>YEAR(Sales_Data_1[[#This Row],[Order_Date]])</f>
        <v>2023</v>
      </c>
      <c r="U842" t="str">
        <f>TEXT(Sales_Data_1[[#This Row],[Order_Date]], "mmm")</f>
        <v>Nov</v>
      </c>
      <c r="V842">
        <f>MONTH(Sales_Data_1[[#This Row],[Order_Date]])</f>
        <v>11</v>
      </c>
      <c r="W842" t="str">
        <f>TEXT(Sales_Data_1[[#This Row],[Order_Date]], "yyyy-mm")</f>
        <v>2023-11</v>
      </c>
      <c r="X842">
        <f>Sales_Data_1[[#This Row],[Sales]]-Sales_Data_1[[#This Row],[Profit_Amount]]</f>
        <v>115711.76000000001</v>
      </c>
      <c r="Y842" t="str" cm="1">
        <f t="array" ref="Y842">_xlfn.IFS(Sales_Data_1[[#This Row],[Delivery_Days]]&lt;=3, "Fast", Sales_Data_1[[#This Row],[Delivery_Days]]&lt;= 7, "Standard", TRUE, "Delayed")</f>
        <v>Fast</v>
      </c>
      <c r="Z842" t="str" cm="1">
        <f t="array" ref="Z842">_xlfn.IFS(Sales_Data_1[[#This Row],[Profit_Amount]]&gt; 0, "Profitable", Sales_Data_1[[#This Row],[Profit_Amount]] = 0, "Break-Even", TRUE, "Loss")</f>
        <v>Profitable</v>
      </c>
      <c r="AA842" t="str" cm="1">
        <f t="array" ref="AA842">_xlfn.IFS(Sales_Data_1[[#This Row],[Sales]]&gt;= 1000, "High Value", Sales_Data_1[[#This Row],[Sales]]&gt;= 300, "Mid Value", TRUE, "Low Value")</f>
        <v>High Value</v>
      </c>
    </row>
    <row r="843" spans="1:27" x14ac:dyDescent="0.3">
      <c r="A843" t="s">
        <v>2157</v>
      </c>
      <c r="B843" s="1">
        <v>45043</v>
      </c>
      <c r="C843" t="s">
        <v>20</v>
      </c>
      <c r="D843" t="s">
        <v>56</v>
      </c>
      <c r="E843" t="s">
        <v>42</v>
      </c>
      <c r="F843" t="s">
        <v>23</v>
      </c>
      <c r="G843" t="s">
        <v>57</v>
      </c>
      <c r="H843" t="s">
        <v>100</v>
      </c>
      <c r="I843" t="s">
        <v>304</v>
      </c>
      <c r="J843">
        <v>9</v>
      </c>
      <c r="K843">
        <v>14588</v>
      </c>
      <c r="L843">
        <v>0.22</v>
      </c>
      <c r="M843">
        <v>11378.64</v>
      </c>
      <c r="N843">
        <v>102407.76</v>
      </c>
      <c r="O843">
        <v>0.2</v>
      </c>
      <c r="P843">
        <v>20481.55</v>
      </c>
      <c r="Q843" t="s">
        <v>27</v>
      </c>
      <c r="R843" t="s">
        <v>38</v>
      </c>
      <c r="S843">
        <v>5</v>
      </c>
      <c r="T843">
        <f>YEAR(Sales_Data_1[[#This Row],[Order_Date]])</f>
        <v>2023</v>
      </c>
      <c r="U843" t="str">
        <f>TEXT(Sales_Data_1[[#This Row],[Order_Date]], "mmm")</f>
        <v>Apr</v>
      </c>
      <c r="V843">
        <f>MONTH(Sales_Data_1[[#This Row],[Order_Date]])</f>
        <v>4</v>
      </c>
      <c r="W843" t="str">
        <f>TEXT(Sales_Data_1[[#This Row],[Order_Date]], "yyyy-mm")</f>
        <v>2023-04</v>
      </c>
      <c r="X843">
        <f>Sales_Data_1[[#This Row],[Sales]]-Sales_Data_1[[#This Row],[Profit_Amount]]</f>
        <v>81926.209999999992</v>
      </c>
      <c r="Y843" t="str" cm="1">
        <f t="array" ref="Y843">_xlfn.IFS(Sales_Data_1[[#This Row],[Delivery_Days]]&lt;=3, "Fast", Sales_Data_1[[#This Row],[Delivery_Days]]&lt;= 7, "Standard", TRUE, "Delayed")</f>
        <v>Standard</v>
      </c>
      <c r="Z843" t="str" cm="1">
        <f t="array" ref="Z843">_xlfn.IFS(Sales_Data_1[[#This Row],[Profit_Amount]]&gt; 0, "Profitable", Sales_Data_1[[#This Row],[Profit_Amount]] = 0, "Break-Even", TRUE, "Loss")</f>
        <v>Profitable</v>
      </c>
      <c r="AA843" t="str" cm="1">
        <f t="array" ref="AA843">_xlfn.IFS(Sales_Data_1[[#This Row],[Sales]]&gt;= 1000, "High Value", Sales_Data_1[[#This Row],[Sales]]&gt;= 300, "Mid Value", TRUE, "Low Value")</f>
        <v>High Value</v>
      </c>
    </row>
    <row r="844" spans="1:27" x14ac:dyDescent="0.3">
      <c r="A844" t="s">
        <v>2988</v>
      </c>
      <c r="B844" s="1">
        <v>45874</v>
      </c>
      <c r="C844" t="s">
        <v>40</v>
      </c>
      <c r="D844" t="s">
        <v>31</v>
      </c>
      <c r="E844" t="s">
        <v>42</v>
      </c>
      <c r="F844" t="s">
        <v>43</v>
      </c>
      <c r="G844" t="s">
        <v>24</v>
      </c>
      <c r="H844" t="s">
        <v>186</v>
      </c>
      <c r="I844" t="s">
        <v>1938</v>
      </c>
      <c r="J844">
        <v>9</v>
      </c>
      <c r="K844">
        <v>9174</v>
      </c>
      <c r="L844">
        <v>0</v>
      </c>
      <c r="M844">
        <v>9174</v>
      </c>
      <c r="N844">
        <v>82566</v>
      </c>
      <c r="O844">
        <v>0.25</v>
      </c>
      <c r="P844">
        <v>20641.5</v>
      </c>
      <c r="Q844" t="s">
        <v>27</v>
      </c>
      <c r="R844" t="s">
        <v>48</v>
      </c>
      <c r="S844">
        <v>3</v>
      </c>
      <c r="T844">
        <f>YEAR(Sales_Data_1[[#This Row],[Order_Date]])</f>
        <v>2025</v>
      </c>
      <c r="U844" t="str">
        <f>TEXT(Sales_Data_1[[#This Row],[Order_Date]], "mmm")</f>
        <v>Aug</v>
      </c>
      <c r="V844">
        <f>MONTH(Sales_Data_1[[#This Row],[Order_Date]])</f>
        <v>8</v>
      </c>
      <c r="W844" t="str">
        <f>TEXT(Sales_Data_1[[#This Row],[Order_Date]], "yyyy-mm")</f>
        <v>2025-08</v>
      </c>
      <c r="X844">
        <f>Sales_Data_1[[#This Row],[Sales]]-Sales_Data_1[[#This Row],[Profit_Amount]]</f>
        <v>61924.5</v>
      </c>
      <c r="Y844" t="str" cm="1">
        <f t="array" ref="Y844">_xlfn.IFS(Sales_Data_1[[#This Row],[Delivery_Days]]&lt;=3, "Fast", Sales_Data_1[[#This Row],[Delivery_Days]]&lt;= 7, "Standard", TRUE, "Delayed")</f>
        <v>Fast</v>
      </c>
      <c r="Z844" t="str" cm="1">
        <f t="array" ref="Z844">_xlfn.IFS(Sales_Data_1[[#This Row],[Profit_Amount]]&gt; 0, "Profitable", Sales_Data_1[[#This Row],[Profit_Amount]] = 0, "Break-Even", TRUE, "Loss")</f>
        <v>Profitable</v>
      </c>
      <c r="AA844" t="str" cm="1">
        <f t="array" ref="AA844">_xlfn.IFS(Sales_Data_1[[#This Row],[Sales]]&gt;= 1000, "High Value", Sales_Data_1[[#This Row],[Sales]]&gt;= 300, "Mid Value", TRUE, "Low Value")</f>
        <v>High Value</v>
      </c>
    </row>
    <row r="845" spans="1:27" x14ac:dyDescent="0.3">
      <c r="A845" t="s">
        <v>2305</v>
      </c>
      <c r="B845" s="1">
        <v>45191</v>
      </c>
      <c r="C845" t="s">
        <v>63</v>
      </c>
      <c r="D845" t="s">
        <v>21</v>
      </c>
      <c r="E845" t="s">
        <v>2042</v>
      </c>
      <c r="F845" t="s">
        <v>97</v>
      </c>
      <c r="G845" t="s">
        <v>24</v>
      </c>
      <c r="H845" t="s">
        <v>121</v>
      </c>
      <c r="I845" t="s">
        <v>600</v>
      </c>
      <c r="J845">
        <v>7</v>
      </c>
      <c r="K845">
        <v>12556</v>
      </c>
      <c r="L845">
        <v>0.06</v>
      </c>
      <c r="M845">
        <v>11802.64</v>
      </c>
      <c r="N845">
        <v>82618.48</v>
      </c>
      <c r="O845">
        <v>0.25</v>
      </c>
      <c r="P845">
        <v>20654.62</v>
      </c>
      <c r="Q845" t="s">
        <v>37</v>
      </c>
      <c r="R845" t="s">
        <v>38</v>
      </c>
      <c r="S845">
        <v>1</v>
      </c>
      <c r="T845">
        <f>YEAR(Sales_Data_1[[#This Row],[Order_Date]])</f>
        <v>2023</v>
      </c>
      <c r="U845" t="str">
        <f>TEXT(Sales_Data_1[[#This Row],[Order_Date]], "mmm")</f>
        <v>Sep</v>
      </c>
      <c r="V845">
        <f>MONTH(Sales_Data_1[[#This Row],[Order_Date]])</f>
        <v>9</v>
      </c>
      <c r="W845" t="str">
        <f>TEXT(Sales_Data_1[[#This Row],[Order_Date]], "yyyy-mm")</f>
        <v>2023-09</v>
      </c>
      <c r="X845">
        <f>Sales_Data_1[[#This Row],[Sales]]-Sales_Data_1[[#This Row],[Profit_Amount]]</f>
        <v>61963.86</v>
      </c>
      <c r="Y845" t="str" cm="1">
        <f t="array" ref="Y845">_xlfn.IFS(Sales_Data_1[[#This Row],[Delivery_Days]]&lt;=3, "Fast", Sales_Data_1[[#This Row],[Delivery_Days]]&lt;= 7, "Standard", TRUE, "Delayed")</f>
        <v>Fast</v>
      </c>
      <c r="Z845" t="str" cm="1">
        <f t="array" ref="Z845">_xlfn.IFS(Sales_Data_1[[#This Row],[Profit_Amount]]&gt; 0, "Profitable", Sales_Data_1[[#This Row],[Profit_Amount]] = 0, "Break-Even", TRUE, "Loss")</f>
        <v>Profitable</v>
      </c>
      <c r="AA845" t="str" cm="1">
        <f t="array" ref="AA845">_xlfn.IFS(Sales_Data_1[[#This Row],[Sales]]&gt;= 1000, "High Value", Sales_Data_1[[#This Row],[Sales]]&gt;= 300, "Mid Value", TRUE, "Low Value")</f>
        <v>High Value</v>
      </c>
    </row>
    <row r="846" spans="1:27" x14ac:dyDescent="0.3">
      <c r="A846" t="s">
        <v>2552</v>
      </c>
      <c r="B846" s="1">
        <v>45438</v>
      </c>
      <c r="C846" t="s">
        <v>96</v>
      </c>
      <c r="D846" t="s">
        <v>56</v>
      </c>
      <c r="E846" t="s">
        <v>42</v>
      </c>
      <c r="F846" t="s">
        <v>103</v>
      </c>
      <c r="G846" t="s">
        <v>24</v>
      </c>
      <c r="H846" t="s">
        <v>74</v>
      </c>
      <c r="I846" t="s">
        <v>1087</v>
      </c>
      <c r="J846">
        <v>8</v>
      </c>
      <c r="K846">
        <v>13677</v>
      </c>
      <c r="L846">
        <v>0.24</v>
      </c>
      <c r="M846">
        <v>10394.52</v>
      </c>
      <c r="N846">
        <v>83156.160000000003</v>
      </c>
      <c r="O846">
        <v>0.25</v>
      </c>
      <c r="P846">
        <v>20789.04</v>
      </c>
      <c r="Q846" t="s">
        <v>27</v>
      </c>
      <c r="R846" t="s">
        <v>48</v>
      </c>
      <c r="S846">
        <v>7</v>
      </c>
      <c r="T846">
        <f>YEAR(Sales_Data_1[[#This Row],[Order_Date]])</f>
        <v>2024</v>
      </c>
      <c r="U846" t="str">
        <f>TEXT(Sales_Data_1[[#This Row],[Order_Date]], "mmm")</f>
        <v>May</v>
      </c>
      <c r="V846">
        <f>MONTH(Sales_Data_1[[#This Row],[Order_Date]])</f>
        <v>5</v>
      </c>
      <c r="W846" t="str">
        <f>TEXT(Sales_Data_1[[#This Row],[Order_Date]], "yyyy-mm")</f>
        <v>2024-05</v>
      </c>
      <c r="X846">
        <f>Sales_Data_1[[#This Row],[Sales]]-Sales_Data_1[[#This Row],[Profit_Amount]]</f>
        <v>62367.12</v>
      </c>
      <c r="Y846" t="str" cm="1">
        <f t="array" ref="Y846">_xlfn.IFS(Sales_Data_1[[#This Row],[Delivery_Days]]&lt;=3, "Fast", Sales_Data_1[[#This Row],[Delivery_Days]]&lt;= 7, "Standard", TRUE, "Delayed")</f>
        <v>Standard</v>
      </c>
      <c r="Z846" t="str" cm="1">
        <f t="array" ref="Z846">_xlfn.IFS(Sales_Data_1[[#This Row],[Profit_Amount]]&gt; 0, "Profitable", Sales_Data_1[[#This Row],[Profit_Amount]] = 0, "Break-Even", TRUE, "Loss")</f>
        <v>Profitable</v>
      </c>
      <c r="AA846" t="str" cm="1">
        <f t="array" ref="AA846">_xlfn.IFS(Sales_Data_1[[#This Row],[Sales]]&gt;= 1000, "High Value", Sales_Data_1[[#This Row],[Sales]]&gt;= 300, "Mid Value", TRUE, "Low Value")</f>
        <v>High Value</v>
      </c>
    </row>
    <row r="847" spans="1:27" x14ac:dyDescent="0.3">
      <c r="A847" t="s">
        <v>2869</v>
      </c>
      <c r="B847" s="1">
        <v>45755</v>
      </c>
      <c r="C847" t="s">
        <v>40</v>
      </c>
      <c r="D847" t="s">
        <v>41</v>
      </c>
      <c r="E847" t="s">
        <v>2042</v>
      </c>
      <c r="F847" t="s">
        <v>68</v>
      </c>
      <c r="G847" t="s">
        <v>57</v>
      </c>
      <c r="H847" t="s">
        <v>58</v>
      </c>
      <c r="I847" t="s">
        <v>1708</v>
      </c>
      <c r="J847">
        <v>7</v>
      </c>
      <c r="K847">
        <v>18230</v>
      </c>
      <c r="L847">
        <v>0.18</v>
      </c>
      <c r="M847">
        <v>14948.6</v>
      </c>
      <c r="N847">
        <v>104640.2</v>
      </c>
      <c r="O847">
        <v>0.2</v>
      </c>
      <c r="P847">
        <v>20928.04</v>
      </c>
      <c r="Q847" t="s">
        <v>51</v>
      </c>
      <c r="R847" t="s">
        <v>48</v>
      </c>
      <c r="S847">
        <v>2</v>
      </c>
      <c r="T847">
        <f>YEAR(Sales_Data_1[[#This Row],[Order_Date]])</f>
        <v>2025</v>
      </c>
      <c r="U847" t="str">
        <f>TEXT(Sales_Data_1[[#This Row],[Order_Date]], "mmm")</f>
        <v>Apr</v>
      </c>
      <c r="V847">
        <f>MONTH(Sales_Data_1[[#This Row],[Order_Date]])</f>
        <v>4</v>
      </c>
      <c r="W847" t="str">
        <f>TEXT(Sales_Data_1[[#This Row],[Order_Date]], "yyyy-mm")</f>
        <v>2025-04</v>
      </c>
      <c r="X847">
        <f>Sales_Data_1[[#This Row],[Sales]]-Sales_Data_1[[#This Row],[Profit_Amount]]</f>
        <v>83712.160000000003</v>
      </c>
      <c r="Y847" t="str" cm="1">
        <f t="array" ref="Y847">_xlfn.IFS(Sales_Data_1[[#This Row],[Delivery_Days]]&lt;=3, "Fast", Sales_Data_1[[#This Row],[Delivery_Days]]&lt;= 7, "Standard", TRUE, "Delayed")</f>
        <v>Fast</v>
      </c>
      <c r="Z847" t="str" cm="1">
        <f t="array" ref="Z847">_xlfn.IFS(Sales_Data_1[[#This Row],[Profit_Amount]]&gt; 0, "Profitable", Sales_Data_1[[#This Row],[Profit_Amount]] = 0, "Break-Even", TRUE, "Loss")</f>
        <v>Profitable</v>
      </c>
      <c r="AA847" t="str" cm="1">
        <f t="array" ref="AA847">_xlfn.IFS(Sales_Data_1[[#This Row],[Sales]]&gt;= 1000, "High Value", Sales_Data_1[[#This Row],[Sales]]&gt;= 300, "Mid Value", TRUE, "Low Value")</f>
        <v>High Value</v>
      </c>
    </row>
    <row r="848" spans="1:27" x14ac:dyDescent="0.3">
      <c r="A848" t="s">
        <v>2135</v>
      </c>
      <c r="B848" s="1">
        <v>45021</v>
      </c>
      <c r="C848" t="s">
        <v>63</v>
      </c>
      <c r="D848" t="s">
        <v>41</v>
      </c>
      <c r="E848" t="s">
        <v>42</v>
      </c>
      <c r="F848" t="s">
        <v>97</v>
      </c>
      <c r="G848" t="s">
        <v>92</v>
      </c>
      <c r="H848" t="s">
        <v>178</v>
      </c>
      <c r="I848" t="s">
        <v>260</v>
      </c>
      <c r="J848">
        <v>5</v>
      </c>
      <c r="K848">
        <v>36916</v>
      </c>
      <c r="L848">
        <v>0.24</v>
      </c>
      <c r="M848">
        <v>28056.16</v>
      </c>
      <c r="N848">
        <v>140280.79999999999</v>
      </c>
      <c r="O848">
        <v>0.15</v>
      </c>
      <c r="P848">
        <v>21042.12</v>
      </c>
      <c r="Q848" t="s">
        <v>27</v>
      </c>
      <c r="R848" t="s">
        <v>48</v>
      </c>
      <c r="S848">
        <v>8</v>
      </c>
      <c r="T848">
        <f>YEAR(Sales_Data_1[[#This Row],[Order_Date]])</f>
        <v>2023</v>
      </c>
      <c r="U848" t="str">
        <f>TEXT(Sales_Data_1[[#This Row],[Order_Date]], "mmm")</f>
        <v>Apr</v>
      </c>
      <c r="V848">
        <f>MONTH(Sales_Data_1[[#This Row],[Order_Date]])</f>
        <v>4</v>
      </c>
      <c r="W848" t="str">
        <f>TEXT(Sales_Data_1[[#This Row],[Order_Date]], "yyyy-mm")</f>
        <v>2023-04</v>
      </c>
      <c r="X848">
        <f>Sales_Data_1[[#This Row],[Sales]]-Sales_Data_1[[#This Row],[Profit_Amount]]</f>
        <v>119238.68</v>
      </c>
      <c r="Y848" t="str" cm="1">
        <f t="array" ref="Y848">_xlfn.IFS(Sales_Data_1[[#This Row],[Delivery_Days]]&lt;=3, "Fast", Sales_Data_1[[#This Row],[Delivery_Days]]&lt;= 7, "Standard", TRUE, "Delayed")</f>
        <v>Delayed</v>
      </c>
      <c r="Z848" t="str" cm="1">
        <f t="array" ref="Z848">_xlfn.IFS(Sales_Data_1[[#This Row],[Profit_Amount]]&gt; 0, "Profitable", Sales_Data_1[[#This Row],[Profit_Amount]] = 0, "Break-Even", TRUE, "Loss")</f>
        <v>Profitable</v>
      </c>
      <c r="AA848" t="str" cm="1">
        <f t="array" ref="AA848">_xlfn.IFS(Sales_Data_1[[#This Row],[Sales]]&gt;= 1000, "High Value", Sales_Data_1[[#This Row],[Sales]]&gt;= 300, "Mid Value", TRUE, "Low Value")</f>
        <v>High Value</v>
      </c>
    </row>
    <row r="849" spans="1:27" x14ac:dyDescent="0.3">
      <c r="A849" t="s">
        <v>2969</v>
      </c>
      <c r="B849" s="1">
        <v>45855</v>
      </c>
      <c r="C849" t="s">
        <v>40</v>
      </c>
      <c r="D849" t="s">
        <v>31</v>
      </c>
      <c r="E849" t="s">
        <v>2040</v>
      </c>
      <c r="F849" t="s">
        <v>97</v>
      </c>
      <c r="G849" t="s">
        <v>92</v>
      </c>
      <c r="H849" t="s">
        <v>93</v>
      </c>
      <c r="I849" t="s">
        <v>1901</v>
      </c>
      <c r="J849">
        <v>9</v>
      </c>
      <c r="K849">
        <v>17521</v>
      </c>
      <c r="L849">
        <v>0.11</v>
      </c>
      <c r="M849">
        <v>15593.69</v>
      </c>
      <c r="N849">
        <v>140343.21</v>
      </c>
      <c r="O849">
        <v>0.15</v>
      </c>
      <c r="P849">
        <v>21051.48</v>
      </c>
      <c r="Q849" t="s">
        <v>47</v>
      </c>
      <c r="R849" t="s">
        <v>48</v>
      </c>
      <c r="S849">
        <v>5</v>
      </c>
      <c r="T849">
        <f>YEAR(Sales_Data_1[[#This Row],[Order_Date]])</f>
        <v>2025</v>
      </c>
      <c r="U849" t="str">
        <f>TEXT(Sales_Data_1[[#This Row],[Order_Date]], "mmm")</f>
        <v>Jul</v>
      </c>
      <c r="V849">
        <f>MONTH(Sales_Data_1[[#This Row],[Order_Date]])</f>
        <v>7</v>
      </c>
      <c r="W849" t="str">
        <f>TEXT(Sales_Data_1[[#This Row],[Order_Date]], "yyyy-mm")</f>
        <v>2025-07</v>
      </c>
      <c r="X849">
        <f>Sales_Data_1[[#This Row],[Sales]]-Sales_Data_1[[#This Row],[Profit_Amount]]</f>
        <v>119291.73</v>
      </c>
      <c r="Y849" t="str" cm="1">
        <f t="array" ref="Y849">_xlfn.IFS(Sales_Data_1[[#This Row],[Delivery_Days]]&lt;=3, "Fast", Sales_Data_1[[#This Row],[Delivery_Days]]&lt;= 7, "Standard", TRUE, "Delayed")</f>
        <v>Standard</v>
      </c>
      <c r="Z849" t="str" cm="1">
        <f t="array" ref="Z849">_xlfn.IFS(Sales_Data_1[[#This Row],[Profit_Amount]]&gt; 0, "Profitable", Sales_Data_1[[#This Row],[Profit_Amount]] = 0, "Break-Even", TRUE, "Loss")</f>
        <v>Profitable</v>
      </c>
      <c r="AA849" t="str" cm="1">
        <f t="array" ref="AA849">_xlfn.IFS(Sales_Data_1[[#This Row],[Sales]]&gt;= 1000, "High Value", Sales_Data_1[[#This Row],[Sales]]&gt;= 300, "Mid Value", TRUE, "Low Value")</f>
        <v>High Value</v>
      </c>
    </row>
    <row r="850" spans="1:27" x14ac:dyDescent="0.3">
      <c r="A850" t="s">
        <v>2250</v>
      </c>
      <c r="B850" s="1">
        <v>45136</v>
      </c>
      <c r="C850" t="s">
        <v>96</v>
      </c>
      <c r="D850" t="s">
        <v>31</v>
      </c>
      <c r="E850" t="s">
        <v>67</v>
      </c>
      <c r="F850" t="s">
        <v>43</v>
      </c>
      <c r="G850" t="s">
        <v>24</v>
      </c>
      <c r="H850" t="s">
        <v>121</v>
      </c>
      <c r="I850" t="s">
        <v>490</v>
      </c>
      <c r="J850">
        <v>6</v>
      </c>
      <c r="K850">
        <v>14380</v>
      </c>
      <c r="L850">
        <v>0.02</v>
      </c>
      <c r="M850">
        <v>14092.4</v>
      </c>
      <c r="N850">
        <v>84554.4</v>
      </c>
      <c r="O850">
        <v>0.25</v>
      </c>
      <c r="P850">
        <v>21138.6</v>
      </c>
      <c r="Q850" t="s">
        <v>47</v>
      </c>
      <c r="R850" t="s">
        <v>38</v>
      </c>
      <c r="S850">
        <v>4</v>
      </c>
      <c r="T850">
        <f>YEAR(Sales_Data_1[[#This Row],[Order_Date]])</f>
        <v>2023</v>
      </c>
      <c r="U850" t="str">
        <f>TEXT(Sales_Data_1[[#This Row],[Order_Date]], "mmm")</f>
        <v>Jul</v>
      </c>
      <c r="V850">
        <f>MONTH(Sales_Data_1[[#This Row],[Order_Date]])</f>
        <v>7</v>
      </c>
      <c r="W850" t="str">
        <f>TEXT(Sales_Data_1[[#This Row],[Order_Date]], "yyyy-mm")</f>
        <v>2023-07</v>
      </c>
      <c r="X850">
        <f>Sales_Data_1[[#This Row],[Sales]]-Sales_Data_1[[#This Row],[Profit_Amount]]</f>
        <v>63415.799999999996</v>
      </c>
      <c r="Y850" t="str" cm="1">
        <f t="array" ref="Y850">_xlfn.IFS(Sales_Data_1[[#This Row],[Delivery_Days]]&lt;=3, "Fast", Sales_Data_1[[#This Row],[Delivery_Days]]&lt;= 7, "Standard", TRUE, "Delayed")</f>
        <v>Standard</v>
      </c>
      <c r="Z850" t="str" cm="1">
        <f t="array" ref="Z850">_xlfn.IFS(Sales_Data_1[[#This Row],[Profit_Amount]]&gt; 0, "Profitable", Sales_Data_1[[#This Row],[Profit_Amount]] = 0, "Break-Even", TRUE, "Loss")</f>
        <v>Profitable</v>
      </c>
      <c r="AA850" t="str" cm="1">
        <f t="array" ref="AA850">_xlfn.IFS(Sales_Data_1[[#This Row],[Sales]]&gt;= 1000, "High Value", Sales_Data_1[[#This Row],[Sales]]&gt;= 300, "Mid Value", TRUE, "Low Value")</f>
        <v>High Value</v>
      </c>
    </row>
    <row r="851" spans="1:27" x14ac:dyDescent="0.3">
      <c r="A851" t="s">
        <v>2759</v>
      </c>
      <c r="B851" s="1">
        <v>45645</v>
      </c>
      <c r="C851" t="s">
        <v>63</v>
      </c>
      <c r="D851" t="s">
        <v>31</v>
      </c>
      <c r="E851" t="s">
        <v>67</v>
      </c>
      <c r="F851" t="s">
        <v>103</v>
      </c>
      <c r="G851" t="s">
        <v>57</v>
      </c>
      <c r="H851" t="s">
        <v>183</v>
      </c>
      <c r="I851" t="s">
        <v>1493</v>
      </c>
      <c r="J851">
        <v>9</v>
      </c>
      <c r="K851">
        <v>12517</v>
      </c>
      <c r="L851">
        <v>0.06</v>
      </c>
      <c r="M851">
        <v>11765.98</v>
      </c>
      <c r="N851">
        <v>105893.82</v>
      </c>
      <c r="O851">
        <v>0.2</v>
      </c>
      <c r="P851">
        <v>21178.76</v>
      </c>
      <c r="Q851" t="s">
        <v>37</v>
      </c>
      <c r="R851" t="s">
        <v>38</v>
      </c>
      <c r="S851">
        <v>3</v>
      </c>
      <c r="T851">
        <f>YEAR(Sales_Data_1[[#This Row],[Order_Date]])</f>
        <v>2024</v>
      </c>
      <c r="U851" t="str">
        <f>TEXT(Sales_Data_1[[#This Row],[Order_Date]], "mmm")</f>
        <v>Dec</v>
      </c>
      <c r="V851">
        <f>MONTH(Sales_Data_1[[#This Row],[Order_Date]])</f>
        <v>12</v>
      </c>
      <c r="W851" t="str">
        <f>TEXT(Sales_Data_1[[#This Row],[Order_Date]], "yyyy-mm")</f>
        <v>2024-12</v>
      </c>
      <c r="X851">
        <f>Sales_Data_1[[#This Row],[Sales]]-Sales_Data_1[[#This Row],[Profit_Amount]]</f>
        <v>84715.060000000012</v>
      </c>
      <c r="Y851" t="str" cm="1">
        <f t="array" ref="Y851">_xlfn.IFS(Sales_Data_1[[#This Row],[Delivery_Days]]&lt;=3, "Fast", Sales_Data_1[[#This Row],[Delivery_Days]]&lt;= 7, "Standard", TRUE, "Delayed")</f>
        <v>Fast</v>
      </c>
      <c r="Z851" t="str" cm="1">
        <f t="array" ref="Z851">_xlfn.IFS(Sales_Data_1[[#This Row],[Profit_Amount]]&gt; 0, "Profitable", Sales_Data_1[[#This Row],[Profit_Amount]] = 0, "Break-Even", TRUE, "Loss")</f>
        <v>Profitable</v>
      </c>
      <c r="AA851" t="str" cm="1">
        <f t="array" ref="AA851">_xlfn.IFS(Sales_Data_1[[#This Row],[Sales]]&gt;= 1000, "High Value", Sales_Data_1[[#This Row],[Sales]]&gt;= 300, "Mid Value", TRUE, "Low Value")</f>
        <v>High Value</v>
      </c>
    </row>
    <row r="852" spans="1:27" x14ac:dyDescent="0.3">
      <c r="A852" t="s">
        <v>2362</v>
      </c>
      <c r="B852" s="1">
        <v>45248</v>
      </c>
      <c r="C852" t="s">
        <v>55</v>
      </c>
      <c r="D852" t="s">
        <v>21</v>
      </c>
      <c r="E852" t="s">
        <v>2040</v>
      </c>
      <c r="F852" t="s">
        <v>103</v>
      </c>
      <c r="G852" t="s">
        <v>57</v>
      </c>
      <c r="H852" t="s">
        <v>183</v>
      </c>
      <c r="I852" t="s">
        <v>712</v>
      </c>
      <c r="J852">
        <v>9</v>
      </c>
      <c r="K852">
        <v>13130</v>
      </c>
      <c r="L852">
        <v>0.1</v>
      </c>
      <c r="M852">
        <v>11817</v>
      </c>
      <c r="N852">
        <v>106353</v>
      </c>
      <c r="O852">
        <v>0.2</v>
      </c>
      <c r="P852">
        <v>21270.6</v>
      </c>
      <c r="Q852" t="s">
        <v>51</v>
      </c>
      <c r="R852" t="s">
        <v>28</v>
      </c>
      <c r="S852">
        <v>2</v>
      </c>
      <c r="T852">
        <f>YEAR(Sales_Data_1[[#This Row],[Order_Date]])</f>
        <v>2023</v>
      </c>
      <c r="U852" t="str">
        <f>TEXT(Sales_Data_1[[#This Row],[Order_Date]], "mmm")</f>
        <v>Nov</v>
      </c>
      <c r="V852">
        <f>MONTH(Sales_Data_1[[#This Row],[Order_Date]])</f>
        <v>11</v>
      </c>
      <c r="W852" t="str">
        <f>TEXT(Sales_Data_1[[#This Row],[Order_Date]], "yyyy-mm")</f>
        <v>2023-11</v>
      </c>
      <c r="X852">
        <f>Sales_Data_1[[#This Row],[Sales]]-Sales_Data_1[[#This Row],[Profit_Amount]]</f>
        <v>85082.4</v>
      </c>
      <c r="Y852" t="str" cm="1">
        <f t="array" ref="Y852">_xlfn.IFS(Sales_Data_1[[#This Row],[Delivery_Days]]&lt;=3, "Fast", Sales_Data_1[[#This Row],[Delivery_Days]]&lt;= 7, "Standard", TRUE, "Delayed")</f>
        <v>Fast</v>
      </c>
      <c r="Z852" t="str" cm="1">
        <f t="array" ref="Z852">_xlfn.IFS(Sales_Data_1[[#This Row],[Profit_Amount]]&gt; 0, "Profitable", Sales_Data_1[[#This Row],[Profit_Amount]] = 0, "Break-Even", TRUE, "Loss")</f>
        <v>Profitable</v>
      </c>
      <c r="AA852" t="str" cm="1">
        <f t="array" ref="AA852">_xlfn.IFS(Sales_Data_1[[#This Row],[Sales]]&gt;= 1000, "High Value", Sales_Data_1[[#This Row],[Sales]]&gt;= 300, "Mid Value", TRUE, "Low Value")</f>
        <v>High Value</v>
      </c>
    </row>
    <row r="853" spans="1:27" x14ac:dyDescent="0.3">
      <c r="A853" t="s">
        <v>2361</v>
      </c>
      <c r="B853" s="1">
        <v>45247</v>
      </c>
      <c r="C853" t="s">
        <v>63</v>
      </c>
      <c r="D853" t="s">
        <v>41</v>
      </c>
      <c r="E853" t="s">
        <v>67</v>
      </c>
      <c r="F853" t="s">
        <v>68</v>
      </c>
      <c r="G853" t="s">
        <v>57</v>
      </c>
      <c r="H853" t="s">
        <v>183</v>
      </c>
      <c r="I853" t="s">
        <v>710</v>
      </c>
      <c r="J853">
        <v>7</v>
      </c>
      <c r="K853">
        <v>15673</v>
      </c>
      <c r="L853">
        <v>0.02</v>
      </c>
      <c r="M853">
        <v>15359.54</v>
      </c>
      <c r="N853">
        <v>107516.78</v>
      </c>
      <c r="O853">
        <v>0.2</v>
      </c>
      <c r="P853">
        <v>21503.360000000001</v>
      </c>
      <c r="Q853" t="s">
        <v>51</v>
      </c>
      <c r="R853" t="s">
        <v>48</v>
      </c>
      <c r="S853">
        <v>2</v>
      </c>
      <c r="T853">
        <f>YEAR(Sales_Data_1[[#This Row],[Order_Date]])</f>
        <v>2023</v>
      </c>
      <c r="U853" t="str">
        <f>TEXT(Sales_Data_1[[#This Row],[Order_Date]], "mmm")</f>
        <v>Nov</v>
      </c>
      <c r="V853">
        <f>MONTH(Sales_Data_1[[#This Row],[Order_Date]])</f>
        <v>11</v>
      </c>
      <c r="W853" t="str">
        <f>TEXT(Sales_Data_1[[#This Row],[Order_Date]], "yyyy-mm")</f>
        <v>2023-11</v>
      </c>
      <c r="X853">
        <f>Sales_Data_1[[#This Row],[Sales]]-Sales_Data_1[[#This Row],[Profit_Amount]]</f>
        <v>86013.42</v>
      </c>
      <c r="Y853" t="str" cm="1">
        <f t="array" ref="Y853">_xlfn.IFS(Sales_Data_1[[#This Row],[Delivery_Days]]&lt;=3, "Fast", Sales_Data_1[[#This Row],[Delivery_Days]]&lt;= 7, "Standard", TRUE, "Delayed")</f>
        <v>Fast</v>
      </c>
      <c r="Z853" t="str" cm="1">
        <f t="array" ref="Z853">_xlfn.IFS(Sales_Data_1[[#This Row],[Profit_Amount]]&gt; 0, "Profitable", Sales_Data_1[[#This Row],[Profit_Amount]] = 0, "Break-Even", TRUE, "Loss")</f>
        <v>Profitable</v>
      </c>
      <c r="AA853" t="str" cm="1">
        <f t="array" ref="AA853">_xlfn.IFS(Sales_Data_1[[#This Row],[Sales]]&gt;= 1000, "High Value", Sales_Data_1[[#This Row],[Sales]]&gt;= 300, "Mid Value", TRUE, "Low Value")</f>
        <v>High Value</v>
      </c>
    </row>
    <row r="854" spans="1:27" x14ac:dyDescent="0.3">
      <c r="A854" t="s">
        <v>2660</v>
      </c>
      <c r="B854" s="1">
        <v>45546</v>
      </c>
      <c r="C854" t="s">
        <v>55</v>
      </c>
      <c r="D854" t="s">
        <v>41</v>
      </c>
      <c r="E854" t="s">
        <v>42</v>
      </c>
      <c r="F854" t="s">
        <v>43</v>
      </c>
      <c r="G854" t="s">
        <v>24</v>
      </c>
      <c r="H854" t="s">
        <v>186</v>
      </c>
      <c r="I854" t="s">
        <v>1300</v>
      </c>
      <c r="J854">
        <v>8</v>
      </c>
      <c r="K854">
        <v>12041</v>
      </c>
      <c r="L854">
        <v>0.1</v>
      </c>
      <c r="M854">
        <v>10836.9</v>
      </c>
      <c r="N854">
        <v>86695.2</v>
      </c>
      <c r="O854">
        <v>0.25</v>
      </c>
      <c r="P854">
        <v>21673.8</v>
      </c>
      <c r="Q854" t="s">
        <v>51</v>
      </c>
      <c r="R854" t="s">
        <v>48</v>
      </c>
      <c r="S854">
        <v>2</v>
      </c>
      <c r="T854">
        <f>YEAR(Sales_Data_1[[#This Row],[Order_Date]])</f>
        <v>2024</v>
      </c>
      <c r="U854" t="str">
        <f>TEXT(Sales_Data_1[[#This Row],[Order_Date]], "mmm")</f>
        <v>Sep</v>
      </c>
      <c r="V854">
        <f>MONTH(Sales_Data_1[[#This Row],[Order_Date]])</f>
        <v>9</v>
      </c>
      <c r="W854" t="str">
        <f>TEXT(Sales_Data_1[[#This Row],[Order_Date]], "yyyy-mm")</f>
        <v>2024-09</v>
      </c>
      <c r="X854">
        <f>Sales_Data_1[[#This Row],[Sales]]-Sales_Data_1[[#This Row],[Profit_Amount]]</f>
        <v>65021.399999999994</v>
      </c>
      <c r="Y854" t="str" cm="1">
        <f t="array" ref="Y854">_xlfn.IFS(Sales_Data_1[[#This Row],[Delivery_Days]]&lt;=3, "Fast", Sales_Data_1[[#This Row],[Delivery_Days]]&lt;= 7, "Standard", TRUE, "Delayed")</f>
        <v>Fast</v>
      </c>
      <c r="Z854" t="str" cm="1">
        <f t="array" ref="Z854">_xlfn.IFS(Sales_Data_1[[#This Row],[Profit_Amount]]&gt; 0, "Profitable", Sales_Data_1[[#This Row],[Profit_Amount]] = 0, "Break-Even", TRUE, "Loss")</f>
        <v>Profitable</v>
      </c>
      <c r="AA854" t="str" cm="1">
        <f t="array" ref="AA854">_xlfn.IFS(Sales_Data_1[[#This Row],[Sales]]&gt;= 1000, "High Value", Sales_Data_1[[#This Row],[Sales]]&gt;= 300, "Mid Value", TRUE, "Low Value")</f>
        <v>High Value</v>
      </c>
    </row>
    <row r="855" spans="1:27" x14ac:dyDescent="0.3">
      <c r="A855" t="s">
        <v>2431</v>
      </c>
      <c r="B855" s="1">
        <v>45317</v>
      </c>
      <c r="C855" t="s">
        <v>30</v>
      </c>
      <c r="D855" t="s">
        <v>41</v>
      </c>
      <c r="E855" t="s">
        <v>67</v>
      </c>
      <c r="F855" t="s">
        <v>103</v>
      </c>
      <c r="G855" t="s">
        <v>92</v>
      </c>
      <c r="H855" t="s">
        <v>178</v>
      </c>
      <c r="I855" t="s">
        <v>848</v>
      </c>
      <c r="J855">
        <v>2</v>
      </c>
      <c r="K855">
        <v>74315</v>
      </c>
      <c r="L855">
        <v>0.02</v>
      </c>
      <c r="M855">
        <v>72828.7</v>
      </c>
      <c r="N855">
        <v>145657.4</v>
      </c>
      <c r="O855">
        <v>0.15</v>
      </c>
      <c r="P855">
        <v>21848.61</v>
      </c>
      <c r="Q855" t="s">
        <v>51</v>
      </c>
      <c r="R855" t="s">
        <v>48</v>
      </c>
      <c r="S855">
        <v>3</v>
      </c>
      <c r="T855">
        <f>YEAR(Sales_Data_1[[#This Row],[Order_Date]])</f>
        <v>2024</v>
      </c>
      <c r="U855" t="str">
        <f>TEXT(Sales_Data_1[[#This Row],[Order_Date]], "mmm")</f>
        <v>Jan</v>
      </c>
      <c r="V855">
        <f>MONTH(Sales_Data_1[[#This Row],[Order_Date]])</f>
        <v>1</v>
      </c>
      <c r="W855" t="str">
        <f>TEXT(Sales_Data_1[[#This Row],[Order_Date]], "yyyy-mm")</f>
        <v>2024-01</v>
      </c>
      <c r="X855">
        <f>Sales_Data_1[[#This Row],[Sales]]-Sales_Data_1[[#This Row],[Profit_Amount]]</f>
        <v>123808.79</v>
      </c>
      <c r="Y855" t="str" cm="1">
        <f t="array" ref="Y855">_xlfn.IFS(Sales_Data_1[[#This Row],[Delivery_Days]]&lt;=3, "Fast", Sales_Data_1[[#This Row],[Delivery_Days]]&lt;= 7, "Standard", TRUE, "Delayed")</f>
        <v>Fast</v>
      </c>
      <c r="Z855" t="str" cm="1">
        <f t="array" ref="Z855">_xlfn.IFS(Sales_Data_1[[#This Row],[Profit_Amount]]&gt; 0, "Profitable", Sales_Data_1[[#This Row],[Profit_Amount]] = 0, "Break-Even", TRUE, "Loss")</f>
        <v>Profitable</v>
      </c>
      <c r="AA855" t="str" cm="1">
        <f t="array" ref="AA855">_xlfn.IFS(Sales_Data_1[[#This Row],[Sales]]&gt;= 1000, "High Value", Sales_Data_1[[#This Row],[Sales]]&gt;= 300, "Mid Value", TRUE, "Low Value")</f>
        <v>High Value</v>
      </c>
    </row>
    <row r="856" spans="1:27" x14ac:dyDescent="0.3">
      <c r="A856" t="s">
        <v>2475</v>
      </c>
      <c r="B856" s="1">
        <v>45361</v>
      </c>
      <c r="C856" t="s">
        <v>20</v>
      </c>
      <c r="D856" t="s">
        <v>41</v>
      </c>
      <c r="E856" t="s">
        <v>2042</v>
      </c>
      <c r="F856" t="s">
        <v>103</v>
      </c>
      <c r="G856" t="s">
        <v>24</v>
      </c>
      <c r="H856" t="s">
        <v>186</v>
      </c>
      <c r="I856" t="s">
        <v>936</v>
      </c>
      <c r="J856">
        <v>7</v>
      </c>
      <c r="K856">
        <v>14559</v>
      </c>
      <c r="L856">
        <v>0.14000000000000001</v>
      </c>
      <c r="M856">
        <v>12520.74</v>
      </c>
      <c r="N856">
        <v>87645.18</v>
      </c>
      <c r="O856">
        <v>0.25</v>
      </c>
      <c r="P856">
        <v>21911.3</v>
      </c>
      <c r="Q856" t="s">
        <v>27</v>
      </c>
      <c r="R856" t="s">
        <v>48</v>
      </c>
      <c r="S856">
        <v>6</v>
      </c>
      <c r="T856">
        <f>YEAR(Sales_Data_1[[#This Row],[Order_Date]])</f>
        <v>2024</v>
      </c>
      <c r="U856" t="str">
        <f>TEXT(Sales_Data_1[[#This Row],[Order_Date]], "mmm")</f>
        <v>Mar</v>
      </c>
      <c r="V856">
        <f>MONTH(Sales_Data_1[[#This Row],[Order_Date]])</f>
        <v>3</v>
      </c>
      <c r="W856" t="str">
        <f>TEXT(Sales_Data_1[[#This Row],[Order_Date]], "yyyy-mm")</f>
        <v>2024-03</v>
      </c>
      <c r="X856">
        <f>Sales_Data_1[[#This Row],[Sales]]-Sales_Data_1[[#This Row],[Profit_Amount]]</f>
        <v>65733.87999999999</v>
      </c>
      <c r="Y856" t="str" cm="1">
        <f t="array" ref="Y856">_xlfn.IFS(Sales_Data_1[[#This Row],[Delivery_Days]]&lt;=3, "Fast", Sales_Data_1[[#This Row],[Delivery_Days]]&lt;= 7, "Standard", TRUE, "Delayed")</f>
        <v>Standard</v>
      </c>
      <c r="Z856" t="str" cm="1">
        <f t="array" ref="Z856">_xlfn.IFS(Sales_Data_1[[#This Row],[Profit_Amount]]&gt; 0, "Profitable", Sales_Data_1[[#This Row],[Profit_Amount]] = 0, "Break-Even", TRUE, "Loss")</f>
        <v>Profitable</v>
      </c>
      <c r="AA856" t="str" cm="1">
        <f t="array" ref="AA856">_xlfn.IFS(Sales_Data_1[[#This Row],[Sales]]&gt;= 1000, "High Value", Sales_Data_1[[#This Row],[Sales]]&gt;= 300, "Mid Value", TRUE, "Low Value")</f>
        <v>High Value</v>
      </c>
    </row>
    <row r="857" spans="1:27" x14ac:dyDescent="0.3">
      <c r="A857" t="s">
        <v>2915</v>
      </c>
      <c r="B857" s="1">
        <v>45801</v>
      </c>
      <c r="C857" t="s">
        <v>20</v>
      </c>
      <c r="D857" t="s">
        <v>41</v>
      </c>
      <c r="E857" t="s">
        <v>67</v>
      </c>
      <c r="F857" t="s">
        <v>97</v>
      </c>
      <c r="G857" t="s">
        <v>92</v>
      </c>
      <c r="H857" t="s">
        <v>178</v>
      </c>
      <c r="I857" t="s">
        <v>1799</v>
      </c>
      <c r="J857">
        <v>9</v>
      </c>
      <c r="K857">
        <v>19557</v>
      </c>
      <c r="L857">
        <v>0.17</v>
      </c>
      <c r="M857">
        <v>16232.31</v>
      </c>
      <c r="N857">
        <v>146090.79</v>
      </c>
      <c r="O857">
        <v>0.15</v>
      </c>
      <c r="P857">
        <v>21913.62</v>
      </c>
      <c r="Q857" t="s">
        <v>51</v>
      </c>
      <c r="R857" t="s">
        <v>48</v>
      </c>
      <c r="S857">
        <v>1</v>
      </c>
      <c r="T857">
        <f>YEAR(Sales_Data_1[[#This Row],[Order_Date]])</f>
        <v>2025</v>
      </c>
      <c r="U857" t="str">
        <f>TEXT(Sales_Data_1[[#This Row],[Order_Date]], "mmm")</f>
        <v>May</v>
      </c>
      <c r="V857">
        <f>MONTH(Sales_Data_1[[#This Row],[Order_Date]])</f>
        <v>5</v>
      </c>
      <c r="W857" t="str">
        <f>TEXT(Sales_Data_1[[#This Row],[Order_Date]], "yyyy-mm")</f>
        <v>2025-05</v>
      </c>
      <c r="X857">
        <f>Sales_Data_1[[#This Row],[Sales]]-Sales_Data_1[[#This Row],[Profit_Amount]]</f>
        <v>124177.17000000001</v>
      </c>
      <c r="Y857" t="str" cm="1">
        <f t="array" ref="Y857">_xlfn.IFS(Sales_Data_1[[#This Row],[Delivery_Days]]&lt;=3, "Fast", Sales_Data_1[[#This Row],[Delivery_Days]]&lt;= 7, "Standard", TRUE, "Delayed")</f>
        <v>Fast</v>
      </c>
      <c r="Z857" t="str" cm="1">
        <f t="array" ref="Z857">_xlfn.IFS(Sales_Data_1[[#This Row],[Profit_Amount]]&gt; 0, "Profitable", Sales_Data_1[[#This Row],[Profit_Amount]] = 0, "Break-Even", TRUE, "Loss")</f>
        <v>Profitable</v>
      </c>
      <c r="AA857" t="str" cm="1">
        <f t="array" ref="AA857">_xlfn.IFS(Sales_Data_1[[#This Row],[Sales]]&gt;= 1000, "High Value", Sales_Data_1[[#This Row],[Sales]]&gt;= 300, "Mid Value", TRUE, "Low Value")</f>
        <v>High Value</v>
      </c>
    </row>
    <row r="858" spans="1:27" x14ac:dyDescent="0.3">
      <c r="A858" t="s">
        <v>2119</v>
      </c>
      <c r="B858" s="1">
        <v>45005</v>
      </c>
      <c r="C858" t="s">
        <v>30</v>
      </c>
      <c r="D858" t="s">
        <v>41</v>
      </c>
      <c r="E858" t="s">
        <v>42</v>
      </c>
      <c r="F858" t="s">
        <v>33</v>
      </c>
      <c r="G858" t="s">
        <v>24</v>
      </c>
      <c r="H858" t="s">
        <v>74</v>
      </c>
      <c r="I858" t="s">
        <v>227</v>
      </c>
      <c r="J858">
        <v>7</v>
      </c>
      <c r="K858">
        <v>14042</v>
      </c>
      <c r="L858">
        <v>0.1</v>
      </c>
      <c r="M858">
        <v>12637.8</v>
      </c>
      <c r="N858">
        <v>88464.6</v>
      </c>
      <c r="O858">
        <v>0.25</v>
      </c>
      <c r="P858">
        <v>22116.15</v>
      </c>
      <c r="Q858" t="s">
        <v>47</v>
      </c>
      <c r="R858" t="s">
        <v>48</v>
      </c>
      <c r="S858">
        <v>3</v>
      </c>
      <c r="T858">
        <f>YEAR(Sales_Data_1[[#This Row],[Order_Date]])</f>
        <v>2023</v>
      </c>
      <c r="U858" t="str">
        <f>TEXT(Sales_Data_1[[#This Row],[Order_Date]], "mmm")</f>
        <v>Mar</v>
      </c>
      <c r="V858">
        <f>MONTH(Sales_Data_1[[#This Row],[Order_Date]])</f>
        <v>3</v>
      </c>
      <c r="W858" t="str">
        <f>TEXT(Sales_Data_1[[#This Row],[Order_Date]], "yyyy-mm")</f>
        <v>2023-03</v>
      </c>
      <c r="X858">
        <f>Sales_Data_1[[#This Row],[Sales]]-Sales_Data_1[[#This Row],[Profit_Amount]]</f>
        <v>66348.450000000012</v>
      </c>
      <c r="Y858" t="str" cm="1">
        <f t="array" ref="Y858">_xlfn.IFS(Sales_Data_1[[#This Row],[Delivery_Days]]&lt;=3, "Fast", Sales_Data_1[[#This Row],[Delivery_Days]]&lt;= 7, "Standard", TRUE, "Delayed")</f>
        <v>Fast</v>
      </c>
      <c r="Z858" t="str" cm="1">
        <f t="array" ref="Z858">_xlfn.IFS(Sales_Data_1[[#This Row],[Profit_Amount]]&gt; 0, "Profitable", Sales_Data_1[[#This Row],[Profit_Amount]] = 0, "Break-Even", TRUE, "Loss")</f>
        <v>Profitable</v>
      </c>
      <c r="AA858" t="str" cm="1">
        <f t="array" ref="AA858">_xlfn.IFS(Sales_Data_1[[#This Row],[Sales]]&gt;= 1000, "High Value", Sales_Data_1[[#This Row],[Sales]]&gt;= 300, "Mid Value", TRUE, "Low Value")</f>
        <v>High Value</v>
      </c>
    </row>
    <row r="859" spans="1:27" x14ac:dyDescent="0.3">
      <c r="A859" t="s">
        <v>2579</v>
      </c>
      <c r="B859" s="1">
        <v>45465</v>
      </c>
      <c r="C859" t="s">
        <v>30</v>
      </c>
      <c r="D859" t="s">
        <v>21</v>
      </c>
      <c r="E859" t="s">
        <v>2040</v>
      </c>
      <c r="F859" t="s">
        <v>68</v>
      </c>
      <c r="G859" t="s">
        <v>57</v>
      </c>
      <c r="H859" t="s">
        <v>58</v>
      </c>
      <c r="I859" t="s">
        <v>824</v>
      </c>
      <c r="J859">
        <v>7</v>
      </c>
      <c r="K859">
        <v>16083</v>
      </c>
      <c r="L859">
        <v>0.01</v>
      </c>
      <c r="M859">
        <v>15922.17</v>
      </c>
      <c r="N859">
        <v>111455.19</v>
      </c>
      <c r="O859">
        <v>0.2</v>
      </c>
      <c r="P859">
        <v>22291.040000000001</v>
      </c>
      <c r="Q859" t="s">
        <v>47</v>
      </c>
      <c r="R859" t="s">
        <v>48</v>
      </c>
      <c r="S859">
        <v>2</v>
      </c>
      <c r="T859">
        <f>YEAR(Sales_Data_1[[#This Row],[Order_Date]])</f>
        <v>2024</v>
      </c>
      <c r="U859" t="str">
        <f>TEXT(Sales_Data_1[[#This Row],[Order_Date]], "mmm")</f>
        <v>Jun</v>
      </c>
      <c r="V859">
        <f>MONTH(Sales_Data_1[[#This Row],[Order_Date]])</f>
        <v>6</v>
      </c>
      <c r="W859" t="str">
        <f>TEXT(Sales_Data_1[[#This Row],[Order_Date]], "yyyy-mm")</f>
        <v>2024-06</v>
      </c>
      <c r="X859">
        <f>Sales_Data_1[[#This Row],[Sales]]-Sales_Data_1[[#This Row],[Profit_Amount]]</f>
        <v>89164.15</v>
      </c>
      <c r="Y859" t="str" cm="1">
        <f t="array" ref="Y859">_xlfn.IFS(Sales_Data_1[[#This Row],[Delivery_Days]]&lt;=3, "Fast", Sales_Data_1[[#This Row],[Delivery_Days]]&lt;= 7, "Standard", TRUE, "Delayed")</f>
        <v>Fast</v>
      </c>
      <c r="Z859" t="str" cm="1">
        <f t="array" ref="Z859">_xlfn.IFS(Sales_Data_1[[#This Row],[Profit_Amount]]&gt; 0, "Profitable", Sales_Data_1[[#This Row],[Profit_Amount]] = 0, "Break-Even", TRUE, "Loss")</f>
        <v>Profitable</v>
      </c>
      <c r="AA859" t="str" cm="1">
        <f t="array" ref="AA859">_xlfn.IFS(Sales_Data_1[[#This Row],[Sales]]&gt;= 1000, "High Value", Sales_Data_1[[#This Row],[Sales]]&gt;= 300, "Mid Value", TRUE, "Low Value")</f>
        <v>High Value</v>
      </c>
    </row>
    <row r="860" spans="1:27" x14ac:dyDescent="0.3">
      <c r="A860" t="s">
        <v>2148</v>
      </c>
      <c r="B860" s="1">
        <v>45034</v>
      </c>
      <c r="C860" t="s">
        <v>63</v>
      </c>
      <c r="D860" t="s">
        <v>31</v>
      </c>
      <c r="E860" t="s">
        <v>2042</v>
      </c>
      <c r="F860" t="s">
        <v>68</v>
      </c>
      <c r="G860" t="s">
        <v>24</v>
      </c>
      <c r="H860" t="s">
        <v>25</v>
      </c>
      <c r="I860" t="s">
        <v>286</v>
      </c>
      <c r="J860">
        <v>8</v>
      </c>
      <c r="K860">
        <v>12130</v>
      </c>
      <c r="L860">
        <v>0.08</v>
      </c>
      <c r="M860">
        <v>11159.6</v>
      </c>
      <c r="N860">
        <v>89276.800000000003</v>
      </c>
      <c r="O860">
        <v>0.25</v>
      </c>
      <c r="P860">
        <v>22319.200000000001</v>
      </c>
      <c r="Q860" t="s">
        <v>47</v>
      </c>
      <c r="R860" t="s">
        <v>48</v>
      </c>
      <c r="S860">
        <v>8</v>
      </c>
      <c r="T860">
        <f>YEAR(Sales_Data_1[[#This Row],[Order_Date]])</f>
        <v>2023</v>
      </c>
      <c r="U860" t="str">
        <f>TEXT(Sales_Data_1[[#This Row],[Order_Date]], "mmm")</f>
        <v>Apr</v>
      </c>
      <c r="V860">
        <f>MONTH(Sales_Data_1[[#This Row],[Order_Date]])</f>
        <v>4</v>
      </c>
      <c r="W860" t="str">
        <f>TEXT(Sales_Data_1[[#This Row],[Order_Date]], "yyyy-mm")</f>
        <v>2023-04</v>
      </c>
      <c r="X860">
        <f>Sales_Data_1[[#This Row],[Sales]]-Sales_Data_1[[#This Row],[Profit_Amount]]</f>
        <v>66957.600000000006</v>
      </c>
      <c r="Y860" t="str" cm="1">
        <f t="array" ref="Y860">_xlfn.IFS(Sales_Data_1[[#This Row],[Delivery_Days]]&lt;=3, "Fast", Sales_Data_1[[#This Row],[Delivery_Days]]&lt;= 7, "Standard", TRUE, "Delayed")</f>
        <v>Delayed</v>
      </c>
      <c r="Z860" t="str" cm="1">
        <f t="array" ref="Z860">_xlfn.IFS(Sales_Data_1[[#This Row],[Profit_Amount]]&gt; 0, "Profitable", Sales_Data_1[[#This Row],[Profit_Amount]] = 0, "Break-Even", TRUE, "Loss")</f>
        <v>Profitable</v>
      </c>
      <c r="AA860" t="str" cm="1">
        <f t="array" ref="AA860">_xlfn.IFS(Sales_Data_1[[#This Row],[Sales]]&gt;= 1000, "High Value", Sales_Data_1[[#This Row],[Sales]]&gt;= 300, "Mid Value", TRUE, "Low Value")</f>
        <v>High Value</v>
      </c>
    </row>
    <row r="861" spans="1:27" x14ac:dyDescent="0.3">
      <c r="A861" t="s">
        <v>2370</v>
      </c>
      <c r="B861" s="1">
        <v>45256</v>
      </c>
      <c r="C861" t="s">
        <v>20</v>
      </c>
      <c r="D861" t="s">
        <v>41</v>
      </c>
      <c r="E861" t="s">
        <v>2040</v>
      </c>
      <c r="F861" t="s">
        <v>103</v>
      </c>
      <c r="G861" t="s">
        <v>57</v>
      </c>
      <c r="H861" t="s">
        <v>58</v>
      </c>
      <c r="I861" t="s">
        <v>728</v>
      </c>
      <c r="J861">
        <v>8</v>
      </c>
      <c r="K861">
        <v>18393</v>
      </c>
      <c r="L861">
        <v>0.24</v>
      </c>
      <c r="M861">
        <v>13978.68</v>
      </c>
      <c r="N861">
        <v>111829.44</v>
      </c>
      <c r="O861">
        <v>0.2</v>
      </c>
      <c r="P861">
        <v>22365.89</v>
      </c>
      <c r="Q861" t="s">
        <v>37</v>
      </c>
      <c r="R861" t="s">
        <v>48</v>
      </c>
      <c r="S861">
        <v>6</v>
      </c>
      <c r="T861">
        <f>YEAR(Sales_Data_1[[#This Row],[Order_Date]])</f>
        <v>2023</v>
      </c>
      <c r="U861" t="str">
        <f>TEXT(Sales_Data_1[[#This Row],[Order_Date]], "mmm")</f>
        <v>Nov</v>
      </c>
      <c r="V861">
        <f>MONTH(Sales_Data_1[[#This Row],[Order_Date]])</f>
        <v>11</v>
      </c>
      <c r="W861" t="str">
        <f>TEXT(Sales_Data_1[[#This Row],[Order_Date]], "yyyy-mm")</f>
        <v>2023-11</v>
      </c>
      <c r="X861">
        <f>Sales_Data_1[[#This Row],[Sales]]-Sales_Data_1[[#This Row],[Profit_Amount]]</f>
        <v>89463.55</v>
      </c>
      <c r="Y861" t="str" cm="1">
        <f t="array" ref="Y861">_xlfn.IFS(Sales_Data_1[[#This Row],[Delivery_Days]]&lt;=3, "Fast", Sales_Data_1[[#This Row],[Delivery_Days]]&lt;= 7, "Standard", TRUE, "Delayed")</f>
        <v>Standard</v>
      </c>
      <c r="Z861" t="str" cm="1">
        <f t="array" ref="Z861">_xlfn.IFS(Sales_Data_1[[#This Row],[Profit_Amount]]&gt; 0, "Profitable", Sales_Data_1[[#This Row],[Profit_Amount]] = 0, "Break-Even", TRUE, "Loss")</f>
        <v>Profitable</v>
      </c>
      <c r="AA861" t="str" cm="1">
        <f t="array" ref="AA861">_xlfn.IFS(Sales_Data_1[[#This Row],[Sales]]&gt;= 1000, "High Value", Sales_Data_1[[#This Row],[Sales]]&gt;= 300, "Mid Value", TRUE, "Low Value")</f>
        <v>High Value</v>
      </c>
    </row>
    <row r="862" spans="1:27" x14ac:dyDescent="0.3">
      <c r="A862" t="s">
        <v>2765</v>
      </c>
      <c r="B862" s="1">
        <v>45651</v>
      </c>
      <c r="C862" t="s">
        <v>96</v>
      </c>
      <c r="D862" t="s">
        <v>56</v>
      </c>
      <c r="E862" t="s">
        <v>67</v>
      </c>
      <c r="F862" t="s">
        <v>103</v>
      </c>
      <c r="G862" t="s">
        <v>92</v>
      </c>
      <c r="H862" t="s">
        <v>243</v>
      </c>
      <c r="I862" t="s">
        <v>1505</v>
      </c>
      <c r="J862">
        <v>8</v>
      </c>
      <c r="K862">
        <v>18706</v>
      </c>
      <c r="L862">
        <v>0</v>
      </c>
      <c r="M862">
        <v>18706</v>
      </c>
      <c r="N862">
        <v>149648</v>
      </c>
      <c r="O862">
        <v>0.15</v>
      </c>
      <c r="P862">
        <v>22447.200000000001</v>
      </c>
      <c r="Q862" t="s">
        <v>37</v>
      </c>
      <c r="R862" t="s">
        <v>48</v>
      </c>
      <c r="S862">
        <v>4</v>
      </c>
      <c r="T862">
        <f>YEAR(Sales_Data_1[[#This Row],[Order_Date]])</f>
        <v>2024</v>
      </c>
      <c r="U862" t="str">
        <f>TEXT(Sales_Data_1[[#This Row],[Order_Date]], "mmm")</f>
        <v>Dec</v>
      </c>
      <c r="V862">
        <f>MONTH(Sales_Data_1[[#This Row],[Order_Date]])</f>
        <v>12</v>
      </c>
      <c r="W862" t="str">
        <f>TEXT(Sales_Data_1[[#This Row],[Order_Date]], "yyyy-mm")</f>
        <v>2024-12</v>
      </c>
      <c r="X862">
        <f>Sales_Data_1[[#This Row],[Sales]]-Sales_Data_1[[#This Row],[Profit_Amount]]</f>
        <v>127200.8</v>
      </c>
      <c r="Y862" t="str" cm="1">
        <f t="array" ref="Y862">_xlfn.IFS(Sales_Data_1[[#This Row],[Delivery_Days]]&lt;=3, "Fast", Sales_Data_1[[#This Row],[Delivery_Days]]&lt;= 7, "Standard", TRUE, "Delayed")</f>
        <v>Standard</v>
      </c>
      <c r="Z862" t="str" cm="1">
        <f t="array" ref="Z862">_xlfn.IFS(Sales_Data_1[[#This Row],[Profit_Amount]]&gt; 0, "Profitable", Sales_Data_1[[#This Row],[Profit_Amount]] = 0, "Break-Even", TRUE, "Loss")</f>
        <v>Profitable</v>
      </c>
      <c r="AA862" t="str" cm="1">
        <f t="array" ref="AA862">_xlfn.IFS(Sales_Data_1[[#This Row],[Sales]]&gt;= 1000, "High Value", Sales_Data_1[[#This Row],[Sales]]&gt;= 300, "Mid Value", TRUE, "Low Value")</f>
        <v>High Value</v>
      </c>
    </row>
    <row r="863" spans="1:27" x14ac:dyDescent="0.3">
      <c r="A863" t="s">
        <v>2190</v>
      </c>
      <c r="B863" s="1">
        <v>45076</v>
      </c>
      <c r="C863" t="s">
        <v>30</v>
      </c>
      <c r="D863" t="s">
        <v>56</v>
      </c>
      <c r="E863" t="s">
        <v>2040</v>
      </c>
      <c r="F863" t="s">
        <v>43</v>
      </c>
      <c r="G863" t="s">
        <v>24</v>
      </c>
      <c r="H863" t="s">
        <v>74</v>
      </c>
      <c r="I863" t="s">
        <v>370</v>
      </c>
      <c r="J863">
        <v>9</v>
      </c>
      <c r="K863">
        <v>10508</v>
      </c>
      <c r="L863">
        <v>0.05</v>
      </c>
      <c r="M863">
        <v>9982.6</v>
      </c>
      <c r="N863">
        <v>89843.4</v>
      </c>
      <c r="O863">
        <v>0.25</v>
      </c>
      <c r="P863">
        <v>22460.85</v>
      </c>
      <c r="Q863" t="s">
        <v>47</v>
      </c>
      <c r="R863" t="s">
        <v>38</v>
      </c>
      <c r="S863">
        <v>5</v>
      </c>
      <c r="T863">
        <f>YEAR(Sales_Data_1[[#This Row],[Order_Date]])</f>
        <v>2023</v>
      </c>
      <c r="U863" t="str">
        <f>TEXT(Sales_Data_1[[#This Row],[Order_Date]], "mmm")</f>
        <v>May</v>
      </c>
      <c r="V863">
        <f>MONTH(Sales_Data_1[[#This Row],[Order_Date]])</f>
        <v>5</v>
      </c>
      <c r="W863" t="str">
        <f>TEXT(Sales_Data_1[[#This Row],[Order_Date]], "yyyy-mm")</f>
        <v>2023-05</v>
      </c>
      <c r="X863">
        <f>Sales_Data_1[[#This Row],[Sales]]-Sales_Data_1[[#This Row],[Profit_Amount]]</f>
        <v>67382.549999999988</v>
      </c>
      <c r="Y863" t="str" cm="1">
        <f t="array" ref="Y863">_xlfn.IFS(Sales_Data_1[[#This Row],[Delivery_Days]]&lt;=3, "Fast", Sales_Data_1[[#This Row],[Delivery_Days]]&lt;= 7, "Standard", TRUE, "Delayed")</f>
        <v>Standard</v>
      </c>
      <c r="Z863" t="str" cm="1">
        <f t="array" ref="Z863">_xlfn.IFS(Sales_Data_1[[#This Row],[Profit_Amount]]&gt; 0, "Profitable", Sales_Data_1[[#This Row],[Profit_Amount]] = 0, "Break-Even", TRUE, "Loss")</f>
        <v>Profitable</v>
      </c>
      <c r="AA863" t="str" cm="1">
        <f t="array" ref="AA863">_xlfn.IFS(Sales_Data_1[[#This Row],[Sales]]&gt;= 1000, "High Value", Sales_Data_1[[#This Row],[Sales]]&gt;= 300, "Mid Value", TRUE, "Low Value")</f>
        <v>High Value</v>
      </c>
    </row>
    <row r="864" spans="1:27" x14ac:dyDescent="0.3">
      <c r="A864" t="s">
        <v>2092</v>
      </c>
      <c r="B864" s="1">
        <v>44978</v>
      </c>
      <c r="C864" t="s">
        <v>20</v>
      </c>
      <c r="D864" t="s">
        <v>21</v>
      </c>
      <c r="E864" t="s">
        <v>42</v>
      </c>
      <c r="F864" t="s">
        <v>23</v>
      </c>
      <c r="G864" t="s">
        <v>24</v>
      </c>
      <c r="H864" t="s">
        <v>74</v>
      </c>
      <c r="I864" t="s">
        <v>170</v>
      </c>
      <c r="J864">
        <v>8</v>
      </c>
      <c r="K864">
        <v>13732</v>
      </c>
      <c r="L864">
        <v>0.18</v>
      </c>
      <c r="M864">
        <v>11260.24</v>
      </c>
      <c r="N864">
        <v>90081.919999999998</v>
      </c>
      <c r="O864">
        <v>0.25</v>
      </c>
      <c r="P864">
        <v>22520.48</v>
      </c>
      <c r="Q864" t="s">
        <v>47</v>
      </c>
      <c r="R864" t="s">
        <v>28</v>
      </c>
      <c r="S864">
        <v>5</v>
      </c>
      <c r="T864">
        <f>YEAR(Sales_Data_1[[#This Row],[Order_Date]])</f>
        <v>2023</v>
      </c>
      <c r="U864" t="str">
        <f>TEXT(Sales_Data_1[[#This Row],[Order_Date]], "mmm")</f>
        <v>Feb</v>
      </c>
      <c r="V864">
        <f>MONTH(Sales_Data_1[[#This Row],[Order_Date]])</f>
        <v>2</v>
      </c>
      <c r="W864" t="str">
        <f>TEXT(Sales_Data_1[[#This Row],[Order_Date]], "yyyy-mm")</f>
        <v>2023-02</v>
      </c>
      <c r="X864">
        <f>Sales_Data_1[[#This Row],[Sales]]-Sales_Data_1[[#This Row],[Profit_Amount]]</f>
        <v>67561.440000000002</v>
      </c>
      <c r="Y864" t="str" cm="1">
        <f t="array" ref="Y864">_xlfn.IFS(Sales_Data_1[[#This Row],[Delivery_Days]]&lt;=3, "Fast", Sales_Data_1[[#This Row],[Delivery_Days]]&lt;= 7, "Standard", TRUE, "Delayed")</f>
        <v>Standard</v>
      </c>
      <c r="Z864" t="str" cm="1">
        <f t="array" ref="Z864">_xlfn.IFS(Sales_Data_1[[#This Row],[Profit_Amount]]&gt; 0, "Profitable", Sales_Data_1[[#This Row],[Profit_Amount]] = 0, "Break-Even", TRUE, "Loss")</f>
        <v>Profitable</v>
      </c>
      <c r="AA864" t="str" cm="1">
        <f t="array" ref="AA864">_xlfn.IFS(Sales_Data_1[[#This Row],[Sales]]&gt;= 1000, "High Value", Sales_Data_1[[#This Row],[Sales]]&gt;= 300, "Mid Value", TRUE, "Low Value")</f>
        <v>High Value</v>
      </c>
    </row>
    <row r="865" spans="1:27" x14ac:dyDescent="0.3">
      <c r="A865" t="s">
        <v>2865</v>
      </c>
      <c r="B865" s="1">
        <v>45751</v>
      </c>
      <c r="C865" t="s">
        <v>55</v>
      </c>
      <c r="D865" t="s">
        <v>41</v>
      </c>
      <c r="E865" t="s">
        <v>67</v>
      </c>
      <c r="F865" t="s">
        <v>103</v>
      </c>
      <c r="G865" t="s">
        <v>92</v>
      </c>
      <c r="H865" t="s">
        <v>243</v>
      </c>
      <c r="I865" t="s">
        <v>1701</v>
      </c>
      <c r="J865">
        <v>5</v>
      </c>
      <c r="K865">
        <v>40447</v>
      </c>
      <c r="L865">
        <v>0.25</v>
      </c>
      <c r="M865">
        <v>30335.25</v>
      </c>
      <c r="N865">
        <v>151676.25</v>
      </c>
      <c r="O865">
        <v>0.15</v>
      </c>
      <c r="P865">
        <v>22751.439999999999</v>
      </c>
      <c r="Q865" t="s">
        <v>47</v>
      </c>
      <c r="R865" t="s">
        <v>48</v>
      </c>
      <c r="S865">
        <v>6</v>
      </c>
      <c r="T865">
        <f>YEAR(Sales_Data_1[[#This Row],[Order_Date]])</f>
        <v>2025</v>
      </c>
      <c r="U865" t="str">
        <f>TEXT(Sales_Data_1[[#This Row],[Order_Date]], "mmm")</f>
        <v>Apr</v>
      </c>
      <c r="V865">
        <f>MONTH(Sales_Data_1[[#This Row],[Order_Date]])</f>
        <v>4</v>
      </c>
      <c r="W865" t="str">
        <f>TEXT(Sales_Data_1[[#This Row],[Order_Date]], "yyyy-mm")</f>
        <v>2025-04</v>
      </c>
      <c r="X865">
        <f>Sales_Data_1[[#This Row],[Sales]]-Sales_Data_1[[#This Row],[Profit_Amount]]</f>
        <v>128924.81</v>
      </c>
      <c r="Y865" t="str" cm="1">
        <f t="array" ref="Y865">_xlfn.IFS(Sales_Data_1[[#This Row],[Delivery_Days]]&lt;=3, "Fast", Sales_Data_1[[#This Row],[Delivery_Days]]&lt;= 7, "Standard", TRUE, "Delayed")</f>
        <v>Standard</v>
      </c>
      <c r="Z865" t="str" cm="1">
        <f t="array" ref="Z865">_xlfn.IFS(Sales_Data_1[[#This Row],[Profit_Amount]]&gt; 0, "Profitable", Sales_Data_1[[#This Row],[Profit_Amount]] = 0, "Break-Even", TRUE, "Loss")</f>
        <v>Profitable</v>
      </c>
      <c r="AA865" t="str" cm="1">
        <f t="array" ref="AA865">_xlfn.IFS(Sales_Data_1[[#This Row],[Sales]]&gt;= 1000, "High Value", Sales_Data_1[[#This Row],[Sales]]&gt;= 300, "Mid Value", TRUE, "Low Value")</f>
        <v>High Value</v>
      </c>
    </row>
    <row r="866" spans="1:27" x14ac:dyDescent="0.3">
      <c r="A866" t="s">
        <v>2397</v>
      </c>
      <c r="B866" s="1">
        <v>45283</v>
      </c>
      <c r="C866" t="s">
        <v>40</v>
      </c>
      <c r="D866" t="s">
        <v>56</v>
      </c>
      <c r="E866" t="s">
        <v>67</v>
      </c>
      <c r="F866" t="s">
        <v>97</v>
      </c>
      <c r="G866" t="s">
        <v>24</v>
      </c>
      <c r="H866" t="s">
        <v>25</v>
      </c>
      <c r="I866" t="s">
        <v>148</v>
      </c>
      <c r="J866">
        <v>8</v>
      </c>
      <c r="K866">
        <v>11658</v>
      </c>
      <c r="L866">
        <v>0.02</v>
      </c>
      <c r="M866">
        <v>11424.84</v>
      </c>
      <c r="N866">
        <v>91398.720000000001</v>
      </c>
      <c r="O866">
        <v>0.25</v>
      </c>
      <c r="P866">
        <v>22849.68</v>
      </c>
      <c r="Q866" t="s">
        <v>37</v>
      </c>
      <c r="R866" t="s">
        <v>48</v>
      </c>
      <c r="S866">
        <v>3</v>
      </c>
      <c r="T866">
        <f>YEAR(Sales_Data_1[[#This Row],[Order_Date]])</f>
        <v>2023</v>
      </c>
      <c r="U866" t="str">
        <f>TEXT(Sales_Data_1[[#This Row],[Order_Date]], "mmm")</f>
        <v>Dec</v>
      </c>
      <c r="V866">
        <f>MONTH(Sales_Data_1[[#This Row],[Order_Date]])</f>
        <v>12</v>
      </c>
      <c r="W866" t="str">
        <f>TEXT(Sales_Data_1[[#This Row],[Order_Date]], "yyyy-mm")</f>
        <v>2023-12</v>
      </c>
      <c r="X866">
        <f>Sales_Data_1[[#This Row],[Sales]]-Sales_Data_1[[#This Row],[Profit_Amount]]</f>
        <v>68549.040000000008</v>
      </c>
      <c r="Y866" t="str" cm="1">
        <f t="array" ref="Y866">_xlfn.IFS(Sales_Data_1[[#This Row],[Delivery_Days]]&lt;=3, "Fast", Sales_Data_1[[#This Row],[Delivery_Days]]&lt;= 7, "Standard", TRUE, "Delayed")</f>
        <v>Fast</v>
      </c>
      <c r="Z866" t="str" cm="1">
        <f t="array" ref="Z866">_xlfn.IFS(Sales_Data_1[[#This Row],[Profit_Amount]]&gt; 0, "Profitable", Sales_Data_1[[#This Row],[Profit_Amount]] = 0, "Break-Even", TRUE, "Loss")</f>
        <v>Profitable</v>
      </c>
      <c r="AA866" t="str" cm="1">
        <f t="array" ref="AA866">_xlfn.IFS(Sales_Data_1[[#This Row],[Sales]]&gt;= 1000, "High Value", Sales_Data_1[[#This Row],[Sales]]&gt;= 300, "Mid Value", TRUE, "Low Value")</f>
        <v>High Value</v>
      </c>
    </row>
    <row r="867" spans="1:27" x14ac:dyDescent="0.3">
      <c r="A867" t="s">
        <v>2800</v>
      </c>
      <c r="B867" s="1">
        <v>45686</v>
      </c>
      <c r="C867" t="s">
        <v>63</v>
      </c>
      <c r="D867" t="s">
        <v>56</v>
      </c>
      <c r="E867" t="s">
        <v>2042</v>
      </c>
      <c r="F867" t="s">
        <v>97</v>
      </c>
      <c r="G867" t="s">
        <v>57</v>
      </c>
      <c r="H867" t="s">
        <v>58</v>
      </c>
      <c r="I867" t="s">
        <v>1573</v>
      </c>
      <c r="J867">
        <v>9</v>
      </c>
      <c r="K867">
        <v>14087</v>
      </c>
      <c r="L867">
        <v>0.09</v>
      </c>
      <c r="M867">
        <v>12819.17</v>
      </c>
      <c r="N867">
        <v>115372.53</v>
      </c>
      <c r="O867">
        <v>0.2</v>
      </c>
      <c r="P867">
        <v>23074.51</v>
      </c>
      <c r="Q867" t="s">
        <v>51</v>
      </c>
      <c r="R867" t="s">
        <v>48</v>
      </c>
      <c r="S867">
        <v>6</v>
      </c>
      <c r="T867">
        <f>YEAR(Sales_Data_1[[#This Row],[Order_Date]])</f>
        <v>2025</v>
      </c>
      <c r="U867" t="str">
        <f>TEXT(Sales_Data_1[[#This Row],[Order_Date]], "mmm")</f>
        <v>Jan</v>
      </c>
      <c r="V867">
        <f>MONTH(Sales_Data_1[[#This Row],[Order_Date]])</f>
        <v>1</v>
      </c>
      <c r="W867" t="str">
        <f>TEXT(Sales_Data_1[[#This Row],[Order_Date]], "yyyy-mm")</f>
        <v>2025-01</v>
      </c>
      <c r="X867">
        <f>Sales_Data_1[[#This Row],[Sales]]-Sales_Data_1[[#This Row],[Profit_Amount]]</f>
        <v>92298.02</v>
      </c>
      <c r="Y867" t="str" cm="1">
        <f t="array" ref="Y867">_xlfn.IFS(Sales_Data_1[[#This Row],[Delivery_Days]]&lt;=3, "Fast", Sales_Data_1[[#This Row],[Delivery_Days]]&lt;= 7, "Standard", TRUE, "Delayed")</f>
        <v>Standard</v>
      </c>
      <c r="Z867" t="str" cm="1">
        <f t="array" ref="Z867">_xlfn.IFS(Sales_Data_1[[#This Row],[Profit_Amount]]&gt; 0, "Profitable", Sales_Data_1[[#This Row],[Profit_Amount]] = 0, "Break-Even", TRUE, "Loss")</f>
        <v>Profitable</v>
      </c>
      <c r="AA867" t="str" cm="1">
        <f t="array" ref="AA867">_xlfn.IFS(Sales_Data_1[[#This Row],[Sales]]&gt;= 1000, "High Value", Sales_Data_1[[#This Row],[Sales]]&gt;= 300, "Mid Value", TRUE, "Low Value")</f>
        <v>High Value</v>
      </c>
    </row>
    <row r="868" spans="1:27" x14ac:dyDescent="0.3">
      <c r="A868" t="s">
        <v>2807</v>
      </c>
      <c r="B868" s="1">
        <v>45693</v>
      </c>
      <c r="C868" t="s">
        <v>96</v>
      </c>
      <c r="D868" t="s">
        <v>56</v>
      </c>
      <c r="E868" t="s">
        <v>2042</v>
      </c>
      <c r="F868" t="s">
        <v>43</v>
      </c>
      <c r="G868" t="s">
        <v>57</v>
      </c>
      <c r="H868" t="s">
        <v>183</v>
      </c>
      <c r="I868" t="s">
        <v>1454</v>
      </c>
      <c r="J868">
        <v>9</v>
      </c>
      <c r="K868">
        <v>16871</v>
      </c>
      <c r="L868">
        <v>0.24</v>
      </c>
      <c r="M868">
        <v>12821.96</v>
      </c>
      <c r="N868">
        <v>115397.64</v>
      </c>
      <c r="O868">
        <v>0.2</v>
      </c>
      <c r="P868">
        <v>23079.53</v>
      </c>
      <c r="Q868" t="s">
        <v>27</v>
      </c>
      <c r="R868" t="s">
        <v>48</v>
      </c>
      <c r="S868">
        <v>7</v>
      </c>
      <c r="T868">
        <f>YEAR(Sales_Data_1[[#This Row],[Order_Date]])</f>
        <v>2025</v>
      </c>
      <c r="U868" t="str">
        <f>TEXT(Sales_Data_1[[#This Row],[Order_Date]], "mmm")</f>
        <v>Feb</v>
      </c>
      <c r="V868">
        <f>MONTH(Sales_Data_1[[#This Row],[Order_Date]])</f>
        <v>2</v>
      </c>
      <c r="W868" t="str">
        <f>TEXT(Sales_Data_1[[#This Row],[Order_Date]], "yyyy-mm")</f>
        <v>2025-02</v>
      </c>
      <c r="X868">
        <f>Sales_Data_1[[#This Row],[Sales]]-Sales_Data_1[[#This Row],[Profit_Amount]]</f>
        <v>92318.11</v>
      </c>
      <c r="Y868" t="str" cm="1">
        <f t="array" ref="Y868">_xlfn.IFS(Sales_Data_1[[#This Row],[Delivery_Days]]&lt;=3, "Fast", Sales_Data_1[[#This Row],[Delivery_Days]]&lt;= 7, "Standard", TRUE, "Delayed")</f>
        <v>Standard</v>
      </c>
      <c r="Z868" t="str" cm="1">
        <f t="array" ref="Z868">_xlfn.IFS(Sales_Data_1[[#This Row],[Profit_Amount]]&gt; 0, "Profitable", Sales_Data_1[[#This Row],[Profit_Amount]] = 0, "Break-Even", TRUE, "Loss")</f>
        <v>Profitable</v>
      </c>
      <c r="AA868" t="str" cm="1">
        <f t="array" ref="AA868">_xlfn.IFS(Sales_Data_1[[#This Row],[Sales]]&gt;= 1000, "High Value", Sales_Data_1[[#This Row],[Sales]]&gt;= 300, "Mid Value", TRUE, "Low Value")</f>
        <v>High Value</v>
      </c>
    </row>
    <row r="869" spans="1:27" x14ac:dyDescent="0.3">
      <c r="A869" t="s">
        <v>2550</v>
      </c>
      <c r="B869" s="1">
        <v>45436</v>
      </c>
      <c r="C869" t="s">
        <v>20</v>
      </c>
      <c r="D869" t="s">
        <v>56</v>
      </c>
      <c r="E869" t="s">
        <v>2040</v>
      </c>
      <c r="F869" t="s">
        <v>23</v>
      </c>
      <c r="G869" t="s">
        <v>92</v>
      </c>
      <c r="H869" t="s">
        <v>93</v>
      </c>
      <c r="I869" t="s">
        <v>1083</v>
      </c>
      <c r="J869">
        <v>3</v>
      </c>
      <c r="K869">
        <v>65099</v>
      </c>
      <c r="L869">
        <v>0.21</v>
      </c>
      <c r="M869">
        <v>51428.21</v>
      </c>
      <c r="N869">
        <v>154284.63</v>
      </c>
      <c r="O869">
        <v>0.15</v>
      </c>
      <c r="P869">
        <v>23142.69</v>
      </c>
      <c r="Q869" t="s">
        <v>51</v>
      </c>
      <c r="R869" t="s">
        <v>28</v>
      </c>
      <c r="S869">
        <v>8</v>
      </c>
      <c r="T869">
        <f>YEAR(Sales_Data_1[[#This Row],[Order_Date]])</f>
        <v>2024</v>
      </c>
      <c r="U869" t="str">
        <f>TEXT(Sales_Data_1[[#This Row],[Order_Date]], "mmm")</f>
        <v>May</v>
      </c>
      <c r="V869">
        <f>MONTH(Sales_Data_1[[#This Row],[Order_Date]])</f>
        <v>5</v>
      </c>
      <c r="W869" t="str">
        <f>TEXT(Sales_Data_1[[#This Row],[Order_Date]], "yyyy-mm")</f>
        <v>2024-05</v>
      </c>
      <c r="X869">
        <f>Sales_Data_1[[#This Row],[Sales]]-Sales_Data_1[[#This Row],[Profit_Amount]]</f>
        <v>131141.94</v>
      </c>
      <c r="Y869" t="str" cm="1">
        <f t="array" ref="Y869">_xlfn.IFS(Sales_Data_1[[#This Row],[Delivery_Days]]&lt;=3, "Fast", Sales_Data_1[[#This Row],[Delivery_Days]]&lt;= 7, "Standard", TRUE, "Delayed")</f>
        <v>Delayed</v>
      </c>
      <c r="Z869" t="str" cm="1">
        <f t="array" ref="Z869">_xlfn.IFS(Sales_Data_1[[#This Row],[Profit_Amount]]&gt; 0, "Profitable", Sales_Data_1[[#This Row],[Profit_Amount]] = 0, "Break-Even", TRUE, "Loss")</f>
        <v>Profitable</v>
      </c>
      <c r="AA869" t="str" cm="1">
        <f t="array" ref="AA869">_xlfn.IFS(Sales_Data_1[[#This Row],[Sales]]&gt;= 1000, "High Value", Sales_Data_1[[#This Row],[Sales]]&gt;= 300, "Mid Value", TRUE, "Low Value")</f>
        <v>High Value</v>
      </c>
    </row>
    <row r="870" spans="1:27" x14ac:dyDescent="0.3">
      <c r="A870" t="s">
        <v>2097</v>
      </c>
      <c r="B870" s="1">
        <v>44983</v>
      </c>
      <c r="C870" t="s">
        <v>20</v>
      </c>
      <c r="D870" t="s">
        <v>31</v>
      </c>
      <c r="E870" t="s">
        <v>2042</v>
      </c>
      <c r="F870" t="s">
        <v>103</v>
      </c>
      <c r="G870" t="s">
        <v>24</v>
      </c>
      <c r="H870" t="s">
        <v>121</v>
      </c>
      <c r="I870" t="s">
        <v>181</v>
      </c>
      <c r="J870">
        <v>8</v>
      </c>
      <c r="K870">
        <v>13080</v>
      </c>
      <c r="L870">
        <v>0.11</v>
      </c>
      <c r="M870">
        <v>11641.2</v>
      </c>
      <c r="N870">
        <v>93129.600000000006</v>
      </c>
      <c r="O870">
        <v>0.25</v>
      </c>
      <c r="P870">
        <v>23282.400000000001</v>
      </c>
      <c r="Q870" t="s">
        <v>47</v>
      </c>
      <c r="R870" t="s">
        <v>48</v>
      </c>
      <c r="S870">
        <v>4</v>
      </c>
      <c r="T870">
        <f>YEAR(Sales_Data_1[[#This Row],[Order_Date]])</f>
        <v>2023</v>
      </c>
      <c r="U870" t="str">
        <f>TEXT(Sales_Data_1[[#This Row],[Order_Date]], "mmm")</f>
        <v>Feb</v>
      </c>
      <c r="V870">
        <f>MONTH(Sales_Data_1[[#This Row],[Order_Date]])</f>
        <v>2</v>
      </c>
      <c r="W870" t="str">
        <f>TEXT(Sales_Data_1[[#This Row],[Order_Date]], "yyyy-mm")</f>
        <v>2023-02</v>
      </c>
      <c r="X870">
        <f>Sales_Data_1[[#This Row],[Sales]]-Sales_Data_1[[#This Row],[Profit_Amount]]</f>
        <v>69847.200000000012</v>
      </c>
      <c r="Y870" t="str" cm="1">
        <f t="array" ref="Y870">_xlfn.IFS(Sales_Data_1[[#This Row],[Delivery_Days]]&lt;=3, "Fast", Sales_Data_1[[#This Row],[Delivery_Days]]&lt;= 7, "Standard", TRUE, "Delayed")</f>
        <v>Standard</v>
      </c>
      <c r="Z870" t="str" cm="1">
        <f t="array" ref="Z870">_xlfn.IFS(Sales_Data_1[[#This Row],[Profit_Amount]]&gt; 0, "Profitable", Sales_Data_1[[#This Row],[Profit_Amount]] = 0, "Break-Even", TRUE, "Loss")</f>
        <v>Profitable</v>
      </c>
      <c r="AA870" t="str" cm="1">
        <f t="array" ref="AA870">_xlfn.IFS(Sales_Data_1[[#This Row],[Sales]]&gt;= 1000, "High Value", Sales_Data_1[[#This Row],[Sales]]&gt;= 300, "Mid Value", TRUE, "Low Value")</f>
        <v>High Value</v>
      </c>
    </row>
    <row r="871" spans="1:27" x14ac:dyDescent="0.3">
      <c r="A871" t="s">
        <v>3038</v>
      </c>
      <c r="B871" s="1">
        <v>45924</v>
      </c>
      <c r="C871" t="s">
        <v>40</v>
      </c>
      <c r="D871" t="s">
        <v>31</v>
      </c>
      <c r="E871" t="s">
        <v>2040</v>
      </c>
      <c r="F871" t="s">
        <v>103</v>
      </c>
      <c r="G871" t="s">
        <v>92</v>
      </c>
      <c r="H871" t="s">
        <v>109</v>
      </c>
      <c r="I871" t="s">
        <v>2034</v>
      </c>
      <c r="J871">
        <v>5</v>
      </c>
      <c r="K871">
        <v>31384</v>
      </c>
      <c r="L871">
        <v>0.01</v>
      </c>
      <c r="M871">
        <v>31070.16</v>
      </c>
      <c r="N871">
        <v>155350.79999999999</v>
      </c>
      <c r="O871">
        <v>0.15</v>
      </c>
      <c r="P871">
        <v>23302.62</v>
      </c>
      <c r="Q871" t="s">
        <v>51</v>
      </c>
      <c r="R871" t="s">
        <v>48</v>
      </c>
      <c r="S871">
        <v>7</v>
      </c>
      <c r="T871">
        <f>YEAR(Sales_Data_1[[#This Row],[Order_Date]])</f>
        <v>2025</v>
      </c>
      <c r="U871" t="str">
        <f>TEXT(Sales_Data_1[[#This Row],[Order_Date]], "mmm")</f>
        <v>Sep</v>
      </c>
      <c r="V871">
        <f>MONTH(Sales_Data_1[[#This Row],[Order_Date]])</f>
        <v>9</v>
      </c>
      <c r="W871" t="str">
        <f>TEXT(Sales_Data_1[[#This Row],[Order_Date]], "yyyy-mm")</f>
        <v>2025-09</v>
      </c>
      <c r="X871">
        <f>Sales_Data_1[[#This Row],[Sales]]-Sales_Data_1[[#This Row],[Profit_Amount]]</f>
        <v>132048.18</v>
      </c>
      <c r="Y871" t="str" cm="1">
        <f t="array" ref="Y871">_xlfn.IFS(Sales_Data_1[[#This Row],[Delivery_Days]]&lt;=3, "Fast", Sales_Data_1[[#This Row],[Delivery_Days]]&lt;= 7, "Standard", TRUE, "Delayed")</f>
        <v>Standard</v>
      </c>
      <c r="Z871" t="str" cm="1">
        <f t="array" ref="Z871">_xlfn.IFS(Sales_Data_1[[#This Row],[Profit_Amount]]&gt; 0, "Profitable", Sales_Data_1[[#This Row],[Profit_Amount]] = 0, "Break-Even", TRUE, "Loss")</f>
        <v>Profitable</v>
      </c>
      <c r="AA871" t="str" cm="1">
        <f t="array" ref="AA871">_xlfn.IFS(Sales_Data_1[[#This Row],[Sales]]&gt;= 1000, "High Value", Sales_Data_1[[#This Row],[Sales]]&gt;= 300, "Mid Value", TRUE, "Low Value")</f>
        <v>High Value</v>
      </c>
    </row>
    <row r="872" spans="1:27" x14ac:dyDescent="0.3">
      <c r="A872" t="s">
        <v>2547</v>
      </c>
      <c r="B872" s="1">
        <v>45433</v>
      </c>
      <c r="C872" t="s">
        <v>30</v>
      </c>
      <c r="D872" t="s">
        <v>31</v>
      </c>
      <c r="E872" t="s">
        <v>2040</v>
      </c>
      <c r="F872" t="s">
        <v>23</v>
      </c>
      <c r="G872" t="s">
        <v>24</v>
      </c>
      <c r="H872" t="s">
        <v>74</v>
      </c>
      <c r="I872" t="s">
        <v>1077</v>
      </c>
      <c r="J872">
        <v>9</v>
      </c>
      <c r="K872">
        <v>12795</v>
      </c>
      <c r="L872">
        <v>0.19</v>
      </c>
      <c r="M872">
        <v>10363.950000000001</v>
      </c>
      <c r="N872">
        <v>93275.55</v>
      </c>
      <c r="O872">
        <v>0.25</v>
      </c>
      <c r="P872">
        <v>23318.89</v>
      </c>
      <c r="Q872" t="s">
        <v>27</v>
      </c>
      <c r="R872" t="s">
        <v>48</v>
      </c>
      <c r="S872">
        <v>8</v>
      </c>
      <c r="T872">
        <f>YEAR(Sales_Data_1[[#This Row],[Order_Date]])</f>
        <v>2024</v>
      </c>
      <c r="U872" t="str">
        <f>TEXT(Sales_Data_1[[#This Row],[Order_Date]], "mmm")</f>
        <v>May</v>
      </c>
      <c r="V872">
        <f>MONTH(Sales_Data_1[[#This Row],[Order_Date]])</f>
        <v>5</v>
      </c>
      <c r="W872" t="str">
        <f>TEXT(Sales_Data_1[[#This Row],[Order_Date]], "yyyy-mm")</f>
        <v>2024-05</v>
      </c>
      <c r="X872">
        <f>Sales_Data_1[[#This Row],[Sales]]-Sales_Data_1[[#This Row],[Profit_Amount]]</f>
        <v>69956.66</v>
      </c>
      <c r="Y872" t="str" cm="1">
        <f t="array" ref="Y872">_xlfn.IFS(Sales_Data_1[[#This Row],[Delivery_Days]]&lt;=3, "Fast", Sales_Data_1[[#This Row],[Delivery_Days]]&lt;= 7, "Standard", TRUE, "Delayed")</f>
        <v>Delayed</v>
      </c>
      <c r="Z872" t="str" cm="1">
        <f t="array" ref="Z872">_xlfn.IFS(Sales_Data_1[[#This Row],[Profit_Amount]]&gt; 0, "Profitable", Sales_Data_1[[#This Row],[Profit_Amount]] = 0, "Break-Even", TRUE, "Loss")</f>
        <v>Profitable</v>
      </c>
      <c r="AA872" t="str" cm="1">
        <f t="array" ref="AA872">_xlfn.IFS(Sales_Data_1[[#This Row],[Sales]]&gt;= 1000, "High Value", Sales_Data_1[[#This Row],[Sales]]&gt;= 300, "Mid Value", TRUE, "Low Value")</f>
        <v>High Value</v>
      </c>
    </row>
    <row r="873" spans="1:27" x14ac:dyDescent="0.3">
      <c r="A873" t="s">
        <v>2826</v>
      </c>
      <c r="B873" s="1">
        <v>45712</v>
      </c>
      <c r="C873" t="s">
        <v>40</v>
      </c>
      <c r="D873" t="s">
        <v>21</v>
      </c>
      <c r="E873" t="s">
        <v>2040</v>
      </c>
      <c r="F873" t="s">
        <v>33</v>
      </c>
      <c r="G873" t="s">
        <v>92</v>
      </c>
      <c r="H873" t="s">
        <v>178</v>
      </c>
      <c r="I873" t="s">
        <v>1623</v>
      </c>
      <c r="J873">
        <v>6</v>
      </c>
      <c r="K873">
        <v>33225</v>
      </c>
      <c r="L873">
        <v>0.22</v>
      </c>
      <c r="M873">
        <v>25915.5</v>
      </c>
      <c r="N873">
        <v>155493</v>
      </c>
      <c r="O873">
        <v>0.15</v>
      </c>
      <c r="P873">
        <v>23323.95</v>
      </c>
      <c r="Q873" t="s">
        <v>51</v>
      </c>
      <c r="R873" t="s">
        <v>48</v>
      </c>
      <c r="S873">
        <v>2</v>
      </c>
      <c r="T873">
        <f>YEAR(Sales_Data_1[[#This Row],[Order_Date]])</f>
        <v>2025</v>
      </c>
      <c r="U873" t="str">
        <f>TEXT(Sales_Data_1[[#This Row],[Order_Date]], "mmm")</f>
        <v>Feb</v>
      </c>
      <c r="V873">
        <f>MONTH(Sales_Data_1[[#This Row],[Order_Date]])</f>
        <v>2</v>
      </c>
      <c r="W873" t="str">
        <f>TEXT(Sales_Data_1[[#This Row],[Order_Date]], "yyyy-mm")</f>
        <v>2025-02</v>
      </c>
      <c r="X873">
        <f>Sales_Data_1[[#This Row],[Sales]]-Sales_Data_1[[#This Row],[Profit_Amount]]</f>
        <v>132169.04999999999</v>
      </c>
      <c r="Y873" t="str" cm="1">
        <f t="array" ref="Y873">_xlfn.IFS(Sales_Data_1[[#This Row],[Delivery_Days]]&lt;=3, "Fast", Sales_Data_1[[#This Row],[Delivery_Days]]&lt;= 7, "Standard", TRUE, "Delayed")</f>
        <v>Fast</v>
      </c>
      <c r="Z873" t="str" cm="1">
        <f t="array" ref="Z873">_xlfn.IFS(Sales_Data_1[[#This Row],[Profit_Amount]]&gt; 0, "Profitable", Sales_Data_1[[#This Row],[Profit_Amount]] = 0, "Break-Even", TRUE, "Loss")</f>
        <v>Profitable</v>
      </c>
      <c r="AA873" t="str" cm="1">
        <f t="array" ref="AA873">_xlfn.IFS(Sales_Data_1[[#This Row],[Sales]]&gt;= 1000, "High Value", Sales_Data_1[[#This Row],[Sales]]&gt;= 300, "Mid Value", TRUE, "Low Value")</f>
        <v>High Value</v>
      </c>
    </row>
    <row r="874" spans="1:27" x14ac:dyDescent="0.3">
      <c r="A874" t="s">
        <v>2764</v>
      </c>
      <c r="B874" s="1">
        <v>45650</v>
      </c>
      <c r="C874" t="s">
        <v>96</v>
      </c>
      <c r="D874" t="s">
        <v>31</v>
      </c>
      <c r="E874" t="s">
        <v>42</v>
      </c>
      <c r="F874" t="s">
        <v>23</v>
      </c>
      <c r="G874" t="s">
        <v>24</v>
      </c>
      <c r="H874" t="s">
        <v>121</v>
      </c>
      <c r="I874" t="s">
        <v>1503</v>
      </c>
      <c r="J874">
        <v>8</v>
      </c>
      <c r="K874">
        <v>11935</v>
      </c>
      <c r="L874">
        <v>0.02</v>
      </c>
      <c r="M874">
        <v>11696.3</v>
      </c>
      <c r="N874">
        <v>93570.4</v>
      </c>
      <c r="O874">
        <v>0.25</v>
      </c>
      <c r="P874">
        <v>23392.6</v>
      </c>
      <c r="Q874" t="s">
        <v>51</v>
      </c>
      <c r="R874" t="s">
        <v>48</v>
      </c>
      <c r="S874">
        <v>7</v>
      </c>
      <c r="T874">
        <f>YEAR(Sales_Data_1[[#This Row],[Order_Date]])</f>
        <v>2024</v>
      </c>
      <c r="U874" t="str">
        <f>TEXT(Sales_Data_1[[#This Row],[Order_Date]], "mmm")</f>
        <v>Dec</v>
      </c>
      <c r="V874">
        <f>MONTH(Sales_Data_1[[#This Row],[Order_Date]])</f>
        <v>12</v>
      </c>
      <c r="W874" t="str">
        <f>TEXT(Sales_Data_1[[#This Row],[Order_Date]], "yyyy-mm")</f>
        <v>2024-12</v>
      </c>
      <c r="X874">
        <f>Sales_Data_1[[#This Row],[Sales]]-Sales_Data_1[[#This Row],[Profit_Amount]]</f>
        <v>70177.799999999988</v>
      </c>
      <c r="Y874" t="str" cm="1">
        <f t="array" ref="Y874">_xlfn.IFS(Sales_Data_1[[#This Row],[Delivery_Days]]&lt;=3, "Fast", Sales_Data_1[[#This Row],[Delivery_Days]]&lt;= 7, "Standard", TRUE, "Delayed")</f>
        <v>Standard</v>
      </c>
      <c r="Z874" t="str" cm="1">
        <f t="array" ref="Z874">_xlfn.IFS(Sales_Data_1[[#This Row],[Profit_Amount]]&gt; 0, "Profitable", Sales_Data_1[[#This Row],[Profit_Amount]] = 0, "Break-Even", TRUE, "Loss")</f>
        <v>Profitable</v>
      </c>
      <c r="AA874" t="str" cm="1">
        <f t="array" ref="AA874">_xlfn.IFS(Sales_Data_1[[#This Row],[Sales]]&gt;= 1000, "High Value", Sales_Data_1[[#This Row],[Sales]]&gt;= 300, "Mid Value", TRUE, "Low Value")</f>
        <v>High Value</v>
      </c>
    </row>
    <row r="875" spans="1:27" x14ac:dyDescent="0.3">
      <c r="A875" t="s">
        <v>2830</v>
      </c>
      <c r="B875" s="1">
        <v>45716</v>
      </c>
      <c r="C875" t="s">
        <v>63</v>
      </c>
      <c r="D875" t="s">
        <v>41</v>
      </c>
      <c r="E875" t="s">
        <v>2040</v>
      </c>
      <c r="F875" t="s">
        <v>103</v>
      </c>
      <c r="G875" t="s">
        <v>92</v>
      </c>
      <c r="H875" t="s">
        <v>93</v>
      </c>
      <c r="I875" t="s">
        <v>1631</v>
      </c>
      <c r="J875">
        <v>8</v>
      </c>
      <c r="K875">
        <v>21005</v>
      </c>
      <c r="L875">
        <v>7.0000000000000007E-2</v>
      </c>
      <c r="M875">
        <v>19534.650000000001</v>
      </c>
      <c r="N875">
        <v>156277.20000000001</v>
      </c>
      <c r="O875">
        <v>0.15</v>
      </c>
      <c r="P875">
        <v>23441.58</v>
      </c>
      <c r="Q875" t="s">
        <v>51</v>
      </c>
      <c r="R875" t="s">
        <v>48</v>
      </c>
      <c r="S875">
        <v>7</v>
      </c>
      <c r="T875">
        <f>YEAR(Sales_Data_1[[#This Row],[Order_Date]])</f>
        <v>2025</v>
      </c>
      <c r="U875" t="str">
        <f>TEXT(Sales_Data_1[[#This Row],[Order_Date]], "mmm")</f>
        <v>Feb</v>
      </c>
      <c r="V875">
        <f>MONTH(Sales_Data_1[[#This Row],[Order_Date]])</f>
        <v>2</v>
      </c>
      <c r="W875" t="str">
        <f>TEXT(Sales_Data_1[[#This Row],[Order_Date]], "yyyy-mm")</f>
        <v>2025-02</v>
      </c>
      <c r="X875">
        <f>Sales_Data_1[[#This Row],[Sales]]-Sales_Data_1[[#This Row],[Profit_Amount]]</f>
        <v>132835.62</v>
      </c>
      <c r="Y875" t="str" cm="1">
        <f t="array" ref="Y875">_xlfn.IFS(Sales_Data_1[[#This Row],[Delivery_Days]]&lt;=3, "Fast", Sales_Data_1[[#This Row],[Delivery_Days]]&lt;= 7, "Standard", TRUE, "Delayed")</f>
        <v>Standard</v>
      </c>
      <c r="Z875" t="str" cm="1">
        <f t="array" ref="Z875">_xlfn.IFS(Sales_Data_1[[#This Row],[Profit_Amount]]&gt; 0, "Profitable", Sales_Data_1[[#This Row],[Profit_Amount]] = 0, "Break-Even", TRUE, "Loss")</f>
        <v>Profitable</v>
      </c>
      <c r="AA875" t="str" cm="1">
        <f t="array" ref="AA875">_xlfn.IFS(Sales_Data_1[[#This Row],[Sales]]&gt;= 1000, "High Value", Sales_Data_1[[#This Row],[Sales]]&gt;= 300, "Mid Value", TRUE, "Low Value")</f>
        <v>High Value</v>
      </c>
    </row>
    <row r="876" spans="1:27" x14ac:dyDescent="0.3">
      <c r="A876" t="s">
        <v>3006</v>
      </c>
      <c r="B876" s="1">
        <v>45892</v>
      </c>
      <c r="C876" t="s">
        <v>96</v>
      </c>
      <c r="D876" t="s">
        <v>56</v>
      </c>
      <c r="E876" t="s">
        <v>2040</v>
      </c>
      <c r="F876" t="s">
        <v>97</v>
      </c>
      <c r="G876" t="s">
        <v>57</v>
      </c>
      <c r="H876" t="s">
        <v>81</v>
      </c>
      <c r="I876" t="s">
        <v>977</v>
      </c>
      <c r="J876">
        <v>9</v>
      </c>
      <c r="K876">
        <v>16939</v>
      </c>
      <c r="L876">
        <v>0.23</v>
      </c>
      <c r="M876">
        <v>13043.03</v>
      </c>
      <c r="N876">
        <v>117387.27</v>
      </c>
      <c r="O876">
        <v>0.2</v>
      </c>
      <c r="P876">
        <v>23477.45</v>
      </c>
      <c r="Q876" t="s">
        <v>51</v>
      </c>
      <c r="R876" t="s">
        <v>48</v>
      </c>
      <c r="S876">
        <v>4</v>
      </c>
      <c r="T876">
        <f>YEAR(Sales_Data_1[[#This Row],[Order_Date]])</f>
        <v>2025</v>
      </c>
      <c r="U876" t="str">
        <f>TEXT(Sales_Data_1[[#This Row],[Order_Date]], "mmm")</f>
        <v>Aug</v>
      </c>
      <c r="V876">
        <f>MONTH(Sales_Data_1[[#This Row],[Order_Date]])</f>
        <v>8</v>
      </c>
      <c r="W876" t="str">
        <f>TEXT(Sales_Data_1[[#This Row],[Order_Date]], "yyyy-mm")</f>
        <v>2025-08</v>
      </c>
      <c r="X876">
        <f>Sales_Data_1[[#This Row],[Sales]]-Sales_Data_1[[#This Row],[Profit_Amount]]</f>
        <v>93909.82</v>
      </c>
      <c r="Y876" t="str" cm="1">
        <f t="array" ref="Y876">_xlfn.IFS(Sales_Data_1[[#This Row],[Delivery_Days]]&lt;=3, "Fast", Sales_Data_1[[#This Row],[Delivery_Days]]&lt;= 7, "Standard", TRUE, "Delayed")</f>
        <v>Standard</v>
      </c>
      <c r="Z876" t="str" cm="1">
        <f t="array" ref="Z876">_xlfn.IFS(Sales_Data_1[[#This Row],[Profit_Amount]]&gt; 0, "Profitable", Sales_Data_1[[#This Row],[Profit_Amount]] = 0, "Break-Even", TRUE, "Loss")</f>
        <v>Profitable</v>
      </c>
      <c r="AA876" t="str" cm="1">
        <f t="array" ref="AA876">_xlfn.IFS(Sales_Data_1[[#This Row],[Sales]]&gt;= 1000, "High Value", Sales_Data_1[[#This Row],[Sales]]&gt;= 300, "Mid Value", TRUE, "Low Value")</f>
        <v>High Value</v>
      </c>
    </row>
    <row r="877" spans="1:27" x14ac:dyDescent="0.3">
      <c r="A877" t="s">
        <v>2421</v>
      </c>
      <c r="B877" s="1">
        <v>45307</v>
      </c>
      <c r="C877" t="s">
        <v>20</v>
      </c>
      <c r="D877" t="s">
        <v>41</v>
      </c>
      <c r="E877" t="s">
        <v>67</v>
      </c>
      <c r="F877" t="s">
        <v>23</v>
      </c>
      <c r="G877" t="s">
        <v>57</v>
      </c>
      <c r="H877" t="s">
        <v>81</v>
      </c>
      <c r="I877" t="s">
        <v>828</v>
      </c>
      <c r="J877">
        <v>9</v>
      </c>
      <c r="K877">
        <v>16052</v>
      </c>
      <c r="L877">
        <v>0.18</v>
      </c>
      <c r="M877">
        <v>13162.64</v>
      </c>
      <c r="N877">
        <v>118463.76</v>
      </c>
      <c r="O877">
        <v>0.2</v>
      </c>
      <c r="P877">
        <v>23692.75</v>
      </c>
      <c r="Q877" t="s">
        <v>37</v>
      </c>
      <c r="R877" t="s">
        <v>38</v>
      </c>
      <c r="S877">
        <v>1</v>
      </c>
      <c r="T877">
        <f>YEAR(Sales_Data_1[[#This Row],[Order_Date]])</f>
        <v>2024</v>
      </c>
      <c r="U877" t="str">
        <f>TEXT(Sales_Data_1[[#This Row],[Order_Date]], "mmm")</f>
        <v>Jan</v>
      </c>
      <c r="V877">
        <f>MONTH(Sales_Data_1[[#This Row],[Order_Date]])</f>
        <v>1</v>
      </c>
      <c r="W877" t="str">
        <f>TEXT(Sales_Data_1[[#This Row],[Order_Date]], "yyyy-mm")</f>
        <v>2024-01</v>
      </c>
      <c r="X877">
        <f>Sales_Data_1[[#This Row],[Sales]]-Sales_Data_1[[#This Row],[Profit_Amount]]</f>
        <v>94771.01</v>
      </c>
      <c r="Y877" t="str" cm="1">
        <f t="array" ref="Y877">_xlfn.IFS(Sales_Data_1[[#This Row],[Delivery_Days]]&lt;=3, "Fast", Sales_Data_1[[#This Row],[Delivery_Days]]&lt;= 7, "Standard", TRUE, "Delayed")</f>
        <v>Fast</v>
      </c>
      <c r="Z877" t="str" cm="1">
        <f t="array" ref="Z877">_xlfn.IFS(Sales_Data_1[[#This Row],[Profit_Amount]]&gt; 0, "Profitable", Sales_Data_1[[#This Row],[Profit_Amount]] = 0, "Break-Even", TRUE, "Loss")</f>
        <v>Profitable</v>
      </c>
      <c r="AA877" t="str" cm="1">
        <f t="array" ref="AA877">_xlfn.IFS(Sales_Data_1[[#This Row],[Sales]]&gt;= 1000, "High Value", Sales_Data_1[[#This Row],[Sales]]&gt;= 300, "Mid Value", TRUE, "Low Value")</f>
        <v>High Value</v>
      </c>
    </row>
    <row r="878" spans="1:27" x14ac:dyDescent="0.3">
      <c r="A878" t="s">
        <v>2129</v>
      </c>
      <c r="B878" s="1">
        <v>45015</v>
      </c>
      <c r="C878" t="s">
        <v>40</v>
      </c>
      <c r="D878" t="s">
        <v>21</v>
      </c>
      <c r="E878" t="s">
        <v>67</v>
      </c>
      <c r="F878" t="s">
        <v>97</v>
      </c>
      <c r="G878" t="s">
        <v>24</v>
      </c>
      <c r="H878" t="s">
        <v>25</v>
      </c>
      <c r="I878" t="s">
        <v>248</v>
      </c>
      <c r="J878">
        <v>9</v>
      </c>
      <c r="K878">
        <v>11339</v>
      </c>
      <c r="L878">
        <v>7.0000000000000007E-2</v>
      </c>
      <c r="M878">
        <v>10545.27</v>
      </c>
      <c r="N878">
        <v>94907.43</v>
      </c>
      <c r="O878">
        <v>0.25</v>
      </c>
      <c r="P878">
        <v>23726.86</v>
      </c>
      <c r="Q878" t="s">
        <v>27</v>
      </c>
      <c r="R878" t="s">
        <v>48</v>
      </c>
      <c r="S878">
        <v>4</v>
      </c>
      <c r="T878">
        <f>YEAR(Sales_Data_1[[#This Row],[Order_Date]])</f>
        <v>2023</v>
      </c>
      <c r="U878" t="str">
        <f>TEXT(Sales_Data_1[[#This Row],[Order_Date]], "mmm")</f>
        <v>Mar</v>
      </c>
      <c r="V878">
        <f>MONTH(Sales_Data_1[[#This Row],[Order_Date]])</f>
        <v>3</v>
      </c>
      <c r="W878" t="str">
        <f>TEXT(Sales_Data_1[[#This Row],[Order_Date]], "yyyy-mm")</f>
        <v>2023-03</v>
      </c>
      <c r="X878">
        <f>Sales_Data_1[[#This Row],[Sales]]-Sales_Data_1[[#This Row],[Profit_Amount]]</f>
        <v>71180.569999999992</v>
      </c>
      <c r="Y878" t="str" cm="1">
        <f t="array" ref="Y878">_xlfn.IFS(Sales_Data_1[[#This Row],[Delivery_Days]]&lt;=3, "Fast", Sales_Data_1[[#This Row],[Delivery_Days]]&lt;= 7, "Standard", TRUE, "Delayed")</f>
        <v>Standard</v>
      </c>
      <c r="Z878" t="str" cm="1">
        <f t="array" ref="Z878">_xlfn.IFS(Sales_Data_1[[#This Row],[Profit_Amount]]&gt; 0, "Profitable", Sales_Data_1[[#This Row],[Profit_Amount]] = 0, "Break-Even", TRUE, "Loss")</f>
        <v>Profitable</v>
      </c>
      <c r="AA878" t="str" cm="1">
        <f t="array" ref="AA878">_xlfn.IFS(Sales_Data_1[[#This Row],[Sales]]&gt;= 1000, "High Value", Sales_Data_1[[#This Row],[Sales]]&gt;= 300, "Mid Value", TRUE, "Low Value")</f>
        <v>High Value</v>
      </c>
    </row>
    <row r="879" spans="1:27" x14ac:dyDescent="0.3">
      <c r="A879" t="s">
        <v>2753</v>
      </c>
      <c r="B879" s="1">
        <v>45639</v>
      </c>
      <c r="C879" t="s">
        <v>96</v>
      </c>
      <c r="D879" t="s">
        <v>41</v>
      </c>
      <c r="E879" t="s">
        <v>67</v>
      </c>
      <c r="F879" t="s">
        <v>23</v>
      </c>
      <c r="G879" t="s">
        <v>57</v>
      </c>
      <c r="H879" t="s">
        <v>58</v>
      </c>
      <c r="I879" t="s">
        <v>1481</v>
      </c>
      <c r="J879">
        <v>9</v>
      </c>
      <c r="K879">
        <v>14500</v>
      </c>
      <c r="L879">
        <v>0.09</v>
      </c>
      <c r="M879">
        <v>13195</v>
      </c>
      <c r="N879">
        <v>118755</v>
      </c>
      <c r="O879">
        <v>0.2</v>
      </c>
      <c r="P879">
        <v>23751</v>
      </c>
      <c r="Q879" t="s">
        <v>37</v>
      </c>
      <c r="R879" t="s">
        <v>48</v>
      </c>
      <c r="S879">
        <v>3</v>
      </c>
      <c r="T879">
        <f>YEAR(Sales_Data_1[[#This Row],[Order_Date]])</f>
        <v>2024</v>
      </c>
      <c r="U879" t="str">
        <f>TEXT(Sales_Data_1[[#This Row],[Order_Date]], "mmm")</f>
        <v>Dec</v>
      </c>
      <c r="V879">
        <f>MONTH(Sales_Data_1[[#This Row],[Order_Date]])</f>
        <v>12</v>
      </c>
      <c r="W879" t="str">
        <f>TEXT(Sales_Data_1[[#This Row],[Order_Date]], "yyyy-mm")</f>
        <v>2024-12</v>
      </c>
      <c r="X879">
        <f>Sales_Data_1[[#This Row],[Sales]]-Sales_Data_1[[#This Row],[Profit_Amount]]</f>
        <v>95004</v>
      </c>
      <c r="Y879" t="str" cm="1">
        <f t="array" ref="Y879">_xlfn.IFS(Sales_Data_1[[#This Row],[Delivery_Days]]&lt;=3, "Fast", Sales_Data_1[[#This Row],[Delivery_Days]]&lt;= 7, "Standard", TRUE, "Delayed")</f>
        <v>Fast</v>
      </c>
      <c r="Z879" t="str" cm="1">
        <f t="array" ref="Z879">_xlfn.IFS(Sales_Data_1[[#This Row],[Profit_Amount]]&gt; 0, "Profitable", Sales_Data_1[[#This Row],[Profit_Amount]] = 0, "Break-Even", TRUE, "Loss")</f>
        <v>Profitable</v>
      </c>
      <c r="AA879" t="str" cm="1">
        <f t="array" ref="AA879">_xlfn.IFS(Sales_Data_1[[#This Row],[Sales]]&gt;= 1000, "High Value", Sales_Data_1[[#This Row],[Sales]]&gt;= 300, "Mid Value", TRUE, "Low Value")</f>
        <v>High Value</v>
      </c>
    </row>
    <row r="880" spans="1:27" x14ac:dyDescent="0.3">
      <c r="A880" t="s">
        <v>2768</v>
      </c>
      <c r="B880" s="1">
        <v>45654</v>
      </c>
      <c r="C880" t="s">
        <v>63</v>
      </c>
      <c r="D880" t="s">
        <v>56</v>
      </c>
      <c r="E880" t="s">
        <v>42</v>
      </c>
      <c r="F880" t="s">
        <v>43</v>
      </c>
      <c r="G880" t="s">
        <v>57</v>
      </c>
      <c r="H880" t="s">
        <v>81</v>
      </c>
      <c r="I880" t="s">
        <v>1510</v>
      </c>
      <c r="J880">
        <v>8</v>
      </c>
      <c r="K880">
        <v>18406</v>
      </c>
      <c r="L880">
        <v>0.19</v>
      </c>
      <c r="M880">
        <v>14908.86</v>
      </c>
      <c r="N880">
        <v>119270.88</v>
      </c>
      <c r="O880">
        <v>0.2</v>
      </c>
      <c r="P880">
        <v>23854.18</v>
      </c>
      <c r="Q880" t="s">
        <v>27</v>
      </c>
      <c r="R880" t="s">
        <v>48</v>
      </c>
      <c r="S880">
        <v>9</v>
      </c>
      <c r="T880">
        <f>YEAR(Sales_Data_1[[#This Row],[Order_Date]])</f>
        <v>2024</v>
      </c>
      <c r="U880" t="str">
        <f>TEXT(Sales_Data_1[[#This Row],[Order_Date]], "mmm")</f>
        <v>Dec</v>
      </c>
      <c r="V880">
        <f>MONTH(Sales_Data_1[[#This Row],[Order_Date]])</f>
        <v>12</v>
      </c>
      <c r="W880" t="str">
        <f>TEXT(Sales_Data_1[[#This Row],[Order_Date]], "yyyy-mm")</f>
        <v>2024-12</v>
      </c>
      <c r="X880">
        <f>Sales_Data_1[[#This Row],[Sales]]-Sales_Data_1[[#This Row],[Profit_Amount]]</f>
        <v>95416.700000000012</v>
      </c>
      <c r="Y880" t="str" cm="1">
        <f t="array" ref="Y880">_xlfn.IFS(Sales_Data_1[[#This Row],[Delivery_Days]]&lt;=3, "Fast", Sales_Data_1[[#This Row],[Delivery_Days]]&lt;= 7, "Standard", TRUE, "Delayed")</f>
        <v>Delayed</v>
      </c>
      <c r="Z880" t="str" cm="1">
        <f t="array" ref="Z880">_xlfn.IFS(Sales_Data_1[[#This Row],[Profit_Amount]]&gt; 0, "Profitable", Sales_Data_1[[#This Row],[Profit_Amount]] = 0, "Break-Even", TRUE, "Loss")</f>
        <v>Profitable</v>
      </c>
      <c r="AA880" t="str" cm="1">
        <f t="array" ref="AA880">_xlfn.IFS(Sales_Data_1[[#This Row],[Sales]]&gt;= 1000, "High Value", Sales_Data_1[[#This Row],[Sales]]&gt;= 300, "Mid Value", TRUE, "Low Value")</f>
        <v>High Value</v>
      </c>
    </row>
    <row r="881" spans="1:27" x14ac:dyDescent="0.3">
      <c r="A881" t="s">
        <v>3024</v>
      </c>
      <c r="B881" s="1">
        <v>45910</v>
      </c>
      <c r="C881" t="s">
        <v>30</v>
      </c>
      <c r="D881" t="s">
        <v>56</v>
      </c>
      <c r="E881" t="s">
        <v>67</v>
      </c>
      <c r="F881" t="s">
        <v>33</v>
      </c>
      <c r="G881" t="s">
        <v>57</v>
      </c>
      <c r="H881" t="s">
        <v>183</v>
      </c>
      <c r="I881" t="s">
        <v>2007</v>
      </c>
      <c r="J881">
        <v>7</v>
      </c>
      <c r="K881">
        <v>17795</v>
      </c>
      <c r="L881">
        <v>0.04</v>
      </c>
      <c r="M881">
        <v>17083.2</v>
      </c>
      <c r="N881">
        <v>119582.39999999999</v>
      </c>
      <c r="O881">
        <v>0.2</v>
      </c>
      <c r="P881">
        <v>23916.48</v>
      </c>
      <c r="Q881" t="s">
        <v>51</v>
      </c>
      <c r="R881" t="s">
        <v>48</v>
      </c>
      <c r="S881">
        <v>8</v>
      </c>
      <c r="T881">
        <f>YEAR(Sales_Data_1[[#This Row],[Order_Date]])</f>
        <v>2025</v>
      </c>
      <c r="U881" t="str">
        <f>TEXT(Sales_Data_1[[#This Row],[Order_Date]], "mmm")</f>
        <v>Sep</v>
      </c>
      <c r="V881">
        <f>MONTH(Sales_Data_1[[#This Row],[Order_Date]])</f>
        <v>9</v>
      </c>
      <c r="W881" t="str">
        <f>TEXT(Sales_Data_1[[#This Row],[Order_Date]], "yyyy-mm")</f>
        <v>2025-09</v>
      </c>
      <c r="X881">
        <f>Sales_Data_1[[#This Row],[Sales]]-Sales_Data_1[[#This Row],[Profit_Amount]]</f>
        <v>95665.919999999998</v>
      </c>
      <c r="Y881" t="str" cm="1">
        <f t="array" ref="Y881">_xlfn.IFS(Sales_Data_1[[#This Row],[Delivery_Days]]&lt;=3, "Fast", Sales_Data_1[[#This Row],[Delivery_Days]]&lt;= 7, "Standard", TRUE, "Delayed")</f>
        <v>Delayed</v>
      </c>
      <c r="Z881" t="str" cm="1">
        <f t="array" ref="Z881">_xlfn.IFS(Sales_Data_1[[#This Row],[Profit_Amount]]&gt; 0, "Profitable", Sales_Data_1[[#This Row],[Profit_Amount]] = 0, "Break-Even", TRUE, "Loss")</f>
        <v>Profitable</v>
      </c>
      <c r="AA881" t="str" cm="1">
        <f t="array" ref="AA881">_xlfn.IFS(Sales_Data_1[[#This Row],[Sales]]&gt;= 1000, "High Value", Sales_Data_1[[#This Row],[Sales]]&gt;= 300, "Mid Value", TRUE, "Low Value")</f>
        <v>High Value</v>
      </c>
    </row>
    <row r="882" spans="1:27" x14ac:dyDescent="0.3">
      <c r="A882" t="s">
        <v>2252</v>
      </c>
      <c r="B882" s="1">
        <v>45138</v>
      </c>
      <c r="C882" t="s">
        <v>40</v>
      </c>
      <c r="D882" t="s">
        <v>56</v>
      </c>
      <c r="E882" t="s">
        <v>42</v>
      </c>
      <c r="F882" t="s">
        <v>68</v>
      </c>
      <c r="G882" t="s">
        <v>24</v>
      </c>
      <c r="H882" t="s">
        <v>25</v>
      </c>
      <c r="I882" t="s">
        <v>494</v>
      </c>
      <c r="J882">
        <v>9</v>
      </c>
      <c r="K882">
        <v>12865</v>
      </c>
      <c r="L882">
        <v>0.17</v>
      </c>
      <c r="M882">
        <v>10677.95</v>
      </c>
      <c r="N882">
        <v>96101.55</v>
      </c>
      <c r="O882">
        <v>0.25</v>
      </c>
      <c r="P882">
        <v>24025.39</v>
      </c>
      <c r="Q882" t="s">
        <v>47</v>
      </c>
      <c r="R882" t="s">
        <v>48</v>
      </c>
      <c r="S882">
        <v>4</v>
      </c>
      <c r="T882">
        <f>YEAR(Sales_Data_1[[#This Row],[Order_Date]])</f>
        <v>2023</v>
      </c>
      <c r="U882" t="str">
        <f>TEXT(Sales_Data_1[[#This Row],[Order_Date]], "mmm")</f>
        <v>Jul</v>
      </c>
      <c r="V882">
        <f>MONTH(Sales_Data_1[[#This Row],[Order_Date]])</f>
        <v>7</v>
      </c>
      <c r="W882" t="str">
        <f>TEXT(Sales_Data_1[[#This Row],[Order_Date]], "yyyy-mm")</f>
        <v>2023-07</v>
      </c>
      <c r="X882">
        <f>Sales_Data_1[[#This Row],[Sales]]-Sales_Data_1[[#This Row],[Profit_Amount]]</f>
        <v>72076.160000000003</v>
      </c>
      <c r="Y882" t="str" cm="1">
        <f t="array" ref="Y882">_xlfn.IFS(Sales_Data_1[[#This Row],[Delivery_Days]]&lt;=3, "Fast", Sales_Data_1[[#This Row],[Delivery_Days]]&lt;= 7, "Standard", TRUE, "Delayed")</f>
        <v>Standard</v>
      </c>
      <c r="Z882" t="str" cm="1">
        <f t="array" ref="Z882">_xlfn.IFS(Sales_Data_1[[#This Row],[Profit_Amount]]&gt; 0, "Profitable", Sales_Data_1[[#This Row],[Profit_Amount]] = 0, "Break-Even", TRUE, "Loss")</f>
        <v>Profitable</v>
      </c>
      <c r="AA882" t="str" cm="1">
        <f t="array" ref="AA882">_xlfn.IFS(Sales_Data_1[[#This Row],[Sales]]&gt;= 1000, "High Value", Sales_Data_1[[#This Row],[Sales]]&gt;= 300, "Mid Value", TRUE, "Low Value")</f>
        <v>High Value</v>
      </c>
    </row>
    <row r="883" spans="1:27" x14ac:dyDescent="0.3">
      <c r="A883" t="s">
        <v>2376</v>
      </c>
      <c r="B883" s="1">
        <v>45262</v>
      </c>
      <c r="C883" t="s">
        <v>20</v>
      </c>
      <c r="D883" t="s">
        <v>41</v>
      </c>
      <c r="E883" t="s">
        <v>2042</v>
      </c>
      <c r="F883" t="s">
        <v>33</v>
      </c>
      <c r="G883" t="s">
        <v>57</v>
      </c>
      <c r="H883" t="s">
        <v>81</v>
      </c>
      <c r="I883" t="s">
        <v>740</v>
      </c>
      <c r="J883">
        <v>7</v>
      </c>
      <c r="K883">
        <v>19456</v>
      </c>
      <c r="L883">
        <v>0.11</v>
      </c>
      <c r="M883">
        <v>17315.84</v>
      </c>
      <c r="N883">
        <v>121210.88</v>
      </c>
      <c r="O883">
        <v>0.2</v>
      </c>
      <c r="P883">
        <v>24242.18</v>
      </c>
      <c r="Q883" t="s">
        <v>51</v>
      </c>
      <c r="R883" t="s">
        <v>38</v>
      </c>
      <c r="S883">
        <v>3</v>
      </c>
      <c r="T883">
        <f>YEAR(Sales_Data_1[[#This Row],[Order_Date]])</f>
        <v>2023</v>
      </c>
      <c r="U883" t="str">
        <f>TEXT(Sales_Data_1[[#This Row],[Order_Date]], "mmm")</f>
        <v>Dec</v>
      </c>
      <c r="V883">
        <f>MONTH(Sales_Data_1[[#This Row],[Order_Date]])</f>
        <v>12</v>
      </c>
      <c r="W883" t="str">
        <f>TEXT(Sales_Data_1[[#This Row],[Order_Date]], "yyyy-mm")</f>
        <v>2023-12</v>
      </c>
      <c r="X883">
        <f>Sales_Data_1[[#This Row],[Sales]]-Sales_Data_1[[#This Row],[Profit_Amount]]</f>
        <v>96968.700000000012</v>
      </c>
      <c r="Y883" t="str" cm="1">
        <f t="array" ref="Y883">_xlfn.IFS(Sales_Data_1[[#This Row],[Delivery_Days]]&lt;=3, "Fast", Sales_Data_1[[#This Row],[Delivery_Days]]&lt;= 7, "Standard", TRUE, "Delayed")</f>
        <v>Fast</v>
      </c>
      <c r="Z883" t="str" cm="1">
        <f t="array" ref="Z883">_xlfn.IFS(Sales_Data_1[[#This Row],[Profit_Amount]]&gt; 0, "Profitable", Sales_Data_1[[#This Row],[Profit_Amount]] = 0, "Break-Even", TRUE, "Loss")</f>
        <v>Profitable</v>
      </c>
      <c r="AA883" t="str" cm="1">
        <f t="array" ref="AA883">_xlfn.IFS(Sales_Data_1[[#This Row],[Sales]]&gt;= 1000, "High Value", Sales_Data_1[[#This Row],[Sales]]&gt;= 300, "Mid Value", TRUE, "Low Value")</f>
        <v>High Value</v>
      </c>
    </row>
    <row r="884" spans="1:27" x14ac:dyDescent="0.3">
      <c r="A884" t="s">
        <v>2373</v>
      </c>
      <c r="B884" s="1">
        <v>45259</v>
      </c>
      <c r="C884" t="s">
        <v>55</v>
      </c>
      <c r="D884" t="s">
        <v>21</v>
      </c>
      <c r="E884" t="s">
        <v>67</v>
      </c>
      <c r="F884" t="s">
        <v>43</v>
      </c>
      <c r="G884" t="s">
        <v>92</v>
      </c>
      <c r="H884" t="s">
        <v>243</v>
      </c>
      <c r="I884" t="s">
        <v>734</v>
      </c>
      <c r="J884">
        <v>4</v>
      </c>
      <c r="K884">
        <v>41401</v>
      </c>
      <c r="L884">
        <v>0.02</v>
      </c>
      <c r="M884">
        <v>40572.980000000003</v>
      </c>
      <c r="N884">
        <v>162291.92000000001</v>
      </c>
      <c r="O884">
        <v>0.15</v>
      </c>
      <c r="P884">
        <v>24343.79</v>
      </c>
      <c r="Q884" t="s">
        <v>27</v>
      </c>
      <c r="R884" t="s">
        <v>48</v>
      </c>
      <c r="S884">
        <v>4</v>
      </c>
      <c r="T884">
        <f>YEAR(Sales_Data_1[[#This Row],[Order_Date]])</f>
        <v>2023</v>
      </c>
      <c r="U884" t="str">
        <f>TEXT(Sales_Data_1[[#This Row],[Order_Date]], "mmm")</f>
        <v>Nov</v>
      </c>
      <c r="V884">
        <f>MONTH(Sales_Data_1[[#This Row],[Order_Date]])</f>
        <v>11</v>
      </c>
      <c r="W884" t="str">
        <f>TEXT(Sales_Data_1[[#This Row],[Order_Date]], "yyyy-mm")</f>
        <v>2023-11</v>
      </c>
      <c r="X884">
        <f>Sales_Data_1[[#This Row],[Sales]]-Sales_Data_1[[#This Row],[Profit_Amount]]</f>
        <v>137948.13</v>
      </c>
      <c r="Y884" t="str" cm="1">
        <f t="array" ref="Y884">_xlfn.IFS(Sales_Data_1[[#This Row],[Delivery_Days]]&lt;=3, "Fast", Sales_Data_1[[#This Row],[Delivery_Days]]&lt;= 7, "Standard", TRUE, "Delayed")</f>
        <v>Standard</v>
      </c>
      <c r="Z884" t="str" cm="1">
        <f t="array" ref="Z884">_xlfn.IFS(Sales_Data_1[[#This Row],[Profit_Amount]]&gt; 0, "Profitable", Sales_Data_1[[#This Row],[Profit_Amount]] = 0, "Break-Even", TRUE, "Loss")</f>
        <v>Profitable</v>
      </c>
      <c r="AA884" t="str" cm="1">
        <f t="array" ref="AA884">_xlfn.IFS(Sales_Data_1[[#This Row],[Sales]]&gt;= 1000, "High Value", Sales_Data_1[[#This Row],[Sales]]&gt;= 300, "Mid Value", TRUE, "Low Value")</f>
        <v>High Value</v>
      </c>
    </row>
    <row r="885" spans="1:27" x14ac:dyDescent="0.3">
      <c r="A885" t="s">
        <v>2935</v>
      </c>
      <c r="B885" s="1">
        <v>45821</v>
      </c>
      <c r="C885" t="s">
        <v>40</v>
      </c>
      <c r="D885" t="s">
        <v>31</v>
      </c>
      <c r="E885" t="s">
        <v>67</v>
      </c>
      <c r="F885" t="s">
        <v>103</v>
      </c>
      <c r="G885" t="s">
        <v>92</v>
      </c>
      <c r="H885" t="s">
        <v>243</v>
      </c>
      <c r="I885" t="s">
        <v>1838</v>
      </c>
      <c r="J885">
        <v>8</v>
      </c>
      <c r="K885">
        <v>25892</v>
      </c>
      <c r="L885">
        <v>0.21</v>
      </c>
      <c r="M885">
        <v>20454.68</v>
      </c>
      <c r="N885">
        <v>163637.44</v>
      </c>
      <c r="O885">
        <v>0.15</v>
      </c>
      <c r="P885">
        <v>24545.62</v>
      </c>
      <c r="Q885" t="s">
        <v>51</v>
      </c>
      <c r="R885" t="s">
        <v>38</v>
      </c>
      <c r="S885">
        <v>4</v>
      </c>
      <c r="T885">
        <f>YEAR(Sales_Data_1[[#This Row],[Order_Date]])</f>
        <v>2025</v>
      </c>
      <c r="U885" t="str">
        <f>TEXT(Sales_Data_1[[#This Row],[Order_Date]], "mmm")</f>
        <v>Jun</v>
      </c>
      <c r="V885">
        <f>MONTH(Sales_Data_1[[#This Row],[Order_Date]])</f>
        <v>6</v>
      </c>
      <c r="W885" t="str">
        <f>TEXT(Sales_Data_1[[#This Row],[Order_Date]], "yyyy-mm")</f>
        <v>2025-06</v>
      </c>
      <c r="X885">
        <f>Sales_Data_1[[#This Row],[Sales]]-Sales_Data_1[[#This Row],[Profit_Amount]]</f>
        <v>139091.82</v>
      </c>
      <c r="Y885" t="str" cm="1">
        <f t="array" ref="Y885">_xlfn.IFS(Sales_Data_1[[#This Row],[Delivery_Days]]&lt;=3, "Fast", Sales_Data_1[[#This Row],[Delivery_Days]]&lt;= 7, "Standard", TRUE, "Delayed")</f>
        <v>Standard</v>
      </c>
      <c r="Z885" t="str" cm="1">
        <f t="array" ref="Z885">_xlfn.IFS(Sales_Data_1[[#This Row],[Profit_Amount]]&gt; 0, "Profitable", Sales_Data_1[[#This Row],[Profit_Amount]] = 0, "Break-Even", TRUE, "Loss")</f>
        <v>Profitable</v>
      </c>
      <c r="AA885" t="str" cm="1">
        <f t="array" ref="AA885">_xlfn.IFS(Sales_Data_1[[#This Row],[Sales]]&gt;= 1000, "High Value", Sales_Data_1[[#This Row],[Sales]]&gt;= 300, "Mid Value", TRUE, "Low Value")</f>
        <v>High Value</v>
      </c>
    </row>
    <row r="886" spans="1:27" x14ac:dyDescent="0.3">
      <c r="A886" t="s">
        <v>2534</v>
      </c>
      <c r="B886" s="1">
        <v>45420</v>
      </c>
      <c r="C886" t="s">
        <v>30</v>
      </c>
      <c r="D886" t="s">
        <v>31</v>
      </c>
      <c r="E886" t="s">
        <v>67</v>
      </c>
      <c r="F886" t="s">
        <v>23</v>
      </c>
      <c r="G886" t="s">
        <v>92</v>
      </c>
      <c r="H886" t="s">
        <v>93</v>
      </c>
      <c r="I886" t="s">
        <v>1052</v>
      </c>
      <c r="J886">
        <v>8</v>
      </c>
      <c r="K886">
        <v>24716</v>
      </c>
      <c r="L886">
        <v>0.17</v>
      </c>
      <c r="M886">
        <v>20514.28</v>
      </c>
      <c r="N886">
        <v>164114.23999999999</v>
      </c>
      <c r="O886">
        <v>0.15</v>
      </c>
      <c r="P886">
        <v>24617.14</v>
      </c>
      <c r="Q886" t="s">
        <v>27</v>
      </c>
      <c r="R886" t="s">
        <v>48</v>
      </c>
      <c r="S886">
        <v>9</v>
      </c>
      <c r="T886">
        <f>YEAR(Sales_Data_1[[#This Row],[Order_Date]])</f>
        <v>2024</v>
      </c>
      <c r="U886" t="str">
        <f>TEXT(Sales_Data_1[[#This Row],[Order_Date]], "mmm")</f>
        <v>May</v>
      </c>
      <c r="V886">
        <f>MONTH(Sales_Data_1[[#This Row],[Order_Date]])</f>
        <v>5</v>
      </c>
      <c r="W886" t="str">
        <f>TEXT(Sales_Data_1[[#This Row],[Order_Date]], "yyyy-mm")</f>
        <v>2024-05</v>
      </c>
      <c r="X886">
        <f>Sales_Data_1[[#This Row],[Sales]]-Sales_Data_1[[#This Row],[Profit_Amount]]</f>
        <v>139497.09999999998</v>
      </c>
      <c r="Y886" t="str" cm="1">
        <f t="array" ref="Y886">_xlfn.IFS(Sales_Data_1[[#This Row],[Delivery_Days]]&lt;=3, "Fast", Sales_Data_1[[#This Row],[Delivery_Days]]&lt;= 7, "Standard", TRUE, "Delayed")</f>
        <v>Delayed</v>
      </c>
      <c r="Z886" t="str" cm="1">
        <f t="array" ref="Z886">_xlfn.IFS(Sales_Data_1[[#This Row],[Profit_Amount]]&gt; 0, "Profitable", Sales_Data_1[[#This Row],[Profit_Amount]] = 0, "Break-Even", TRUE, "Loss")</f>
        <v>Profitable</v>
      </c>
      <c r="AA886" t="str" cm="1">
        <f t="array" ref="AA886">_xlfn.IFS(Sales_Data_1[[#This Row],[Sales]]&gt;= 1000, "High Value", Sales_Data_1[[#This Row],[Sales]]&gt;= 300, "Mid Value", TRUE, "Low Value")</f>
        <v>High Value</v>
      </c>
    </row>
    <row r="887" spans="1:27" x14ac:dyDescent="0.3">
      <c r="A887" t="s">
        <v>2353</v>
      </c>
      <c r="B887" s="1">
        <v>45239</v>
      </c>
      <c r="C887" t="s">
        <v>96</v>
      </c>
      <c r="D887" t="s">
        <v>31</v>
      </c>
      <c r="E887" t="s">
        <v>2042</v>
      </c>
      <c r="F887" t="s">
        <v>103</v>
      </c>
      <c r="G887" t="s">
        <v>57</v>
      </c>
      <c r="H887" t="s">
        <v>81</v>
      </c>
      <c r="I887" t="s">
        <v>694</v>
      </c>
      <c r="J887">
        <v>8</v>
      </c>
      <c r="K887">
        <v>17600</v>
      </c>
      <c r="L887">
        <v>0.12</v>
      </c>
      <c r="M887">
        <v>15488</v>
      </c>
      <c r="N887">
        <v>123904</v>
      </c>
      <c r="O887">
        <v>0.2</v>
      </c>
      <c r="P887">
        <v>24780.799999999999</v>
      </c>
      <c r="Q887" t="s">
        <v>27</v>
      </c>
      <c r="R887" t="s">
        <v>38</v>
      </c>
      <c r="S887">
        <v>1</v>
      </c>
      <c r="T887">
        <f>YEAR(Sales_Data_1[[#This Row],[Order_Date]])</f>
        <v>2023</v>
      </c>
      <c r="U887" t="str">
        <f>TEXT(Sales_Data_1[[#This Row],[Order_Date]], "mmm")</f>
        <v>Nov</v>
      </c>
      <c r="V887">
        <f>MONTH(Sales_Data_1[[#This Row],[Order_Date]])</f>
        <v>11</v>
      </c>
      <c r="W887" t="str">
        <f>TEXT(Sales_Data_1[[#This Row],[Order_Date]], "yyyy-mm")</f>
        <v>2023-11</v>
      </c>
      <c r="X887">
        <f>Sales_Data_1[[#This Row],[Sales]]-Sales_Data_1[[#This Row],[Profit_Amount]]</f>
        <v>99123.199999999997</v>
      </c>
      <c r="Y887" t="str" cm="1">
        <f t="array" ref="Y887">_xlfn.IFS(Sales_Data_1[[#This Row],[Delivery_Days]]&lt;=3, "Fast", Sales_Data_1[[#This Row],[Delivery_Days]]&lt;= 7, "Standard", TRUE, "Delayed")</f>
        <v>Fast</v>
      </c>
      <c r="Z887" t="str" cm="1">
        <f t="array" ref="Z887">_xlfn.IFS(Sales_Data_1[[#This Row],[Profit_Amount]]&gt; 0, "Profitable", Sales_Data_1[[#This Row],[Profit_Amount]] = 0, "Break-Even", TRUE, "Loss")</f>
        <v>Profitable</v>
      </c>
      <c r="AA887" t="str" cm="1">
        <f t="array" ref="AA887">_xlfn.IFS(Sales_Data_1[[#This Row],[Sales]]&gt;= 1000, "High Value", Sales_Data_1[[#This Row],[Sales]]&gt;= 300, "Mid Value", TRUE, "Low Value")</f>
        <v>High Value</v>
      </c>
    </row>
    <row r="888" spans="1:27" x14ac:dyDescent="0.3">
      <c r="A888" t="s">
        <v>2977</v>
      </c>
      <c r="B888" s="1">
        <v>45863</v>
      </c>
      <c r="C888" t="s">
        <v>55</v>
      </c>
      <c r="D888" t="s">
        <v>21</v>
      </c>
      <c r="E888" t="s">
        <v>2040</v>
      </c>
      <c r="F888" t="s">
        <v>68</v>
      </c>
      <c r="G888" t="s">
        <v>92</v>
      </c>
      <c r="H888" t="s">
        <v>178</v>
      </c>
      <c r="I888" t="s">
        <v>1917</v>
      </c>
      <c r="J888">
        <v>3</v>
      </c>
      <c r="K888">
        <v>60669</v>
      </c>
      <c r="L888">
        <v>0.09</v>
      </c>
      <c r="M888">
        <v>55208.79</v>
      </c>
      <c r="N888">
        <v>165626.37</v>
      </c>
      <c r="O888">
        <v>0.15</v>
      </c>
      <c r="P888">
        <v>24843.96</v>
      </c>
      <c r="Q888" t="s">
        <v>47</v>
      </c>
      <c r="R888" t="s">
        <v>48</v>
      </c>
      <c r="S888">
        <v>9</v>
      </c>
      <c r="T888">
        <f>YEAR(Sales_Data_1[[#This Row],[Order_Date]])</f>
        <v>2025</v>
      </c>
      <c r="U888" t="str">
        <f>TEXT(Sales_Data_1[[#This Row],[Order_Date]], "mmm")</f>
        <v>Jul</v>
      </c>
      <c r="V888">
        <f>MONTH(Sales_Data_1[[#This Row],[Order_Date]])</f>
        <v>7</v>
      </c>
      <c r="W888" t="str">
        <f>TEXT(Sales_Data_1[[#This Row],[Order_Date]], "yyyy-mm")</f>
        <v>2025-07</v>
      </c>
      <c r="X888">
        <f>Sales_Data_1[[#This Row],[Sales]]-Sales_Data_1[[#This Row],[Profit_Amount]]</f>
        <v>140782.41</v>
      </c>
      <c r="Y888" t="str" cm="1">
        <f t="array" ref="Y888">_xlfn.IFS(Sales_Data_1[[#This Row],[Delivery_Days]]&lt;=3, "Fast", Sales_Data_1[[#This Row],[Delivery_Days]]&lt;= 7, "Standard", TRUE, "Delayed")</f>
        <v>Delayed</v>
      </c>
      <c r="Z888" t="str" cm="1">
        <f t="array" ref="Z888">_xlfn.IFS(Sales_Data_1[[#This Row],[Profit_Amount]]&gt; 0, "Profitable", Sales_Data_1[[#This Row],[Profit_Amount]] = 0, "Break-Even", TRUE, "Loss")</f>
        <v>Profitable</v>
      </c>
      <c r="AA888" t="str" cm="1">
        <f t="array" ref="AA888">_xlfn.IFS(Sales_Data_1[[#This Row],[Sales]]&gt;= 1000, "High Value", Sales_Data_1[[#This Row],[Sales]]&gt;= 300, "Mid Value", TRUE, "Low Value")</f>
        <v>High Value</v>
      </c>
    </row>
    <row r="889" spans="1:27" x14ac:dyDescent="0.3">
      <c r="A889" t="s">
        <v>2118</v>
      </c>
      <c r="B889" s="1">
        <v>45004</v>
      </c>
      <c r="C889" t="s">
        <v>96</v>
      </c>
      <c r="D889" t="s">
        <v>56</v>
      </c>
      <c r="E889" t="s">
        <v>2042</v>
      </c>
      <c r="F889" t="s">
        <v>97</v>
      </c>
      <c r="G889" t="s">
        <v>24</v>
      </c>
      <c r="H889" t="s">
        <v>25</v>
      </c>
      <c r="I889" t="s">
        <v>225</v>
      </c>
      <c r="J889">
        <v>8</v>
      </c>
      <c r="K889">
        <v>13201</v>
      </c>
      <c r="L889">
        <v>0.03</v>
      </c>
      <c r="M889">
        <v>12804.97</v>
      </c>
      <c r="N889">
        <v>102439.76</v>
      </c>
      <c r="O889">
        <v>0.25</v>
      </c>
      <c r="P889">
        <v>25609.94</v>
      </c>
      <c r="Q889" t="s">
        <v>51</v>
      </c>
      <c r="R889" t="s">
        <v>48</v>
      </c>
      <c r="S889">
        <v>8</v>
      </c>
      <c r="T889">
        <f>YEAR(Sales_Data_1[[#This Row],[Order_Date]])</f>
        <v>2023</v>
      </c>
      <c r="U889" t="str">
        <f>TEXT(Sales_Data_1[[#This Row],[Order_Date]], "mmm")</f>
        <v>Mar</v>
      </c>
      <c r="V889">
        <f>MONTH(Sales_Data_1[[#This Row],[Order_Date]])</f>
        <v>3</v>
      </c>
      <c r="W889" t="str">
        <f>TEXT(Sales_Data_1[[#This Row],[Order_Date]], "yyyy-mm")</f>
        <v>2023-03</v>
      </c>
      <c r="X889">
        <f>Sales_Data_1[[#This Row],[Sales]]-Sales_Data_1[[#This Row],[Profit_Amount]]</f>
        <v>76829.819999999992</v>
      </c>
      <c r="Y889" t="str" cm="1">
        <f t="array" ref="Y889">_xlfn.IFS(Sales_Data_1[[#This Row],[Delivery_Days]]&lt;=3, "Fast", Sales_Data_1[[#This Row],[Delivery_Days]]&lt;= 7, "Standard", TRUE, "Delayed")</f>
        <v>Delayed</v>
      </c>
      <c r="Z889" t="str" cm="1">
        <f t="array" ref="Z889">_xlfn.IFS(Sales_Data_1[[#This Row],[Profit_Amount]]&gt; 0, "Profitable", Sales_Data_1[[#This Row],[Profit_Amount]] = 0, "Break-Even", TRUE, "Loss")</f>
        <v>Profitable</v>
      </c>
      <c r="AA889" t="str" cm="1">
        <f t="array" ref="AA889">_xlfn.IFS(Sales_Data_1[[#This Row],[Sales]]&gt;= 1000, "High Value", Sales_Data_1[[#This Row],[Sales]]&gt;= 300, "Mid Value", TRUE, "Low Value")</f>
        <v>High Value</v>
      </c>
    </row>
    <row r="890" spans="1:27" x14ac:dyDescent="0.3">
      <c r="A890" t="s">
        <v>2553</v>
      </c>
      <c r="B890" s="1">
        <v>45439</v>
      </c>
      <c r="C890" t="s">
        <v>63</v>
      </c>
      <c r="D890" t="s">
        <v>41</v>
      </c>
      <c r="E890" t="s">
        <v>2040</v>
      </c>
      <c r="F890" t="s">
        <v>97</v>
      </c>
      <c r="G890" t="s">
        <v>92</v>
      </c>
      <c r="H890" t="s">
        <v>178</v>
      </c>
      <c r="I890" t="s">
        <v>1089</v>
      </c>
      <c r="J890">
        <v>7</v>
      </c>
      <c r="K890">
        <v>28268</v>
      </c>
      <c r="L890">
        <v>0.13</v>
      </c>
      <c r="M890">
        <v>24593.16</v>
      </c>
      <c r="N890">
        <v>172152.12</v>
      </c>
      <c r="O890">
        <v>0.15</v>
      </c>
      <c r="P890">
        <v>25822.82</v>
      </c>
      <c r="Q890" t="s">
        <v>47</v>
      </c>
      <c r="R890" t="s">
        <v>48</v>
      </c>
      <c r="S890">
        <v>6</v>
      </c>
      <c r="T890">
        <f>YEAR(Sales_Data_1[[#This Row],[Order_Date]])</f>
        <v>2024</v>
      </c>
      <c r="U890" t="str">
        <f>TEXT(Sales_Data_1[[#This Row],[Order_Date]], "mmm")</f>
        <v>May</v>
      </c>
      <c r="V890">
        <f>MONTH(Sales_Data_1[[#This Row],[Order_Date]])</f>
        <v>5</v>
      </c>
      <c r="W890" t="str">
        <f>TEXT(Sales_Data_1[[#This Row],[Order_Date]], "yyyy-mm")</f>
        <v>2024-05</v>
      </c>
      <c r="X890">
        <f>Sales_Data_1[[#This Row],[Sales]]-Sales_Data_1[[#This Row],[Profit_Amount]]</f>
        <v>146329.29999999999</v>
      </c>
      <c r="Y890" t="str" cm="1">
        <f t="array" ref="Y890">_xlfn.IFS(Sales_Data_1[[#This Row],[Delivery_Days]]&lt;=3, "Fast", Sales_Data_1[[#This Row],[Delivery_Days]]&lt;= 7, "Standard", TRUE, "Delayed")</f>
        <v>Standard</v>
      </c>
      <c r="Z890" t="str" cm="1">
        <f t="array" ref="Z890">_xlfn.IFS(Sales_Data_1[[#This Row],[Profit_Amount]]&gt; 0, "Profitable", Sales_Data_1[[#This Row],[Profit_Amount]] = 0, "Break-Even", TRUE, "Loss")</f>
        <v>Profitable</v>
      </c>
      <c r="AA890" t="str" cm="1">
        <f t="array" ref="AA890">_xlfn.IFS(Sales_Data_1[[#This Row],[Sales]]&gt;= 1000, "High Value", Sales_Data_1[[#This Row],[Sales]]&gt;= 300, "Mid Value", TRUE, "Low Value")</f>
        <v>High Value</v>
      </c>
    </row>
    <row r="891" spans="1:27" x14ac:dyDescent="0.3">
      <c r="A891" t="s">
        <v>2521</v>
      </c>
      <c r="B891" s="1">
        <v>45407</v>
      </c>
      <c r="C891" t="s">
        <v>96</v>
      </c>
      <c r="D891" t="s">
        <v>56</v>
      </c>
      <c r="E891" t="s">
        <v>2042</v>
      </c>
      <c r="F891" t="s">
        <v>33</v>
      </c>
      <c r="G891" t="s">
        <v>92</v>
      </c>
      <c r="H891" t="s">
        <v>178</v>
      </c>
      <c r="I891" t="s">
        <v>1026</v>
      </c>
      <c r="J891">
        <v>6</v>
      </c>
      <c r="K891">
        <v>34226</v>
      </c>
      <c r="L891">
        <v>0.16</v>
      </c>
      <c r="M891">
        <v>28749.84</v>
      </c>
      <c r="N891">
        <v>172499.04</v>
      </c>
      <c r="O891">
        <v>0.15</v>
      </c>
      <c r="P891">
        <v>25874.86</v>
      </c>
      <c r="Q891" t="s">
        <v>47</v>
      </c>
      <c r="R891" t="s">
        <v>48</v>
      </c>
      <c r="S891">
        <v>2</v>
      </c>
      <c r="T891">
        <f>YEAR(Sales_Data_1[[#This Row],[Order_Date]])</f>
        <v>2024</v>
      </c>
      <c r="U891" t="str">
        <f>TEXT(Sales_Data_1[[#This Row],[Order_Date]], "mmm")</f>
        <v>Apr</v>
      </c>
      <c r="V891">
        <f>MONTH(Sales_Data_1[[#This Row],[Order_Date]])</f>
        <v>4</v>
      </c>
      <c r="W891" t="str">
        <f>TEXT(Sales_Data_1[[#This Row],[Order_Date]], "yyyy-mm")</f>
        <v>2024-04</v>
      </c>
      <c r="X891">
        <f>Sales_Data_1[[#This Row],[Sales]]-Sales_Data_1[[#This Row],[Profit_Amount]]</f>
        <v>146624.18</v>
      </c>
      <c r="Y891" t="str" cm="1">
        <f t="array" ref="Y891">_xlfn.IFS(Sales_Data_1[[#This Row],[Delivery_Days]]&lt;=3, "Fast", Sales_Data_1[[#This Row],[Delivery_Days]]&lt;= 7, "Standard", TRUE, "Delayed")</f>
        <v>Fast</v>
      </c>
      <c r="Z891" t="str" cm="1">
        <f t="array" ref="Z891">_xlfn.IFS(Sales_Data_1[[#This Row],[Profit_Amount]]&gt; 0, "Profitable", Sales_Data_1[[#This Row],[Profit_Amount]] = 0, "Break-Even", TRUE, "Loss")</f>
        <v>Profitable</v>
      </c>
      <c r="AA891" t="str" cm="1">
        <f t="array" ref="AA891">_xlfn.IFS(Sales_Data_1[[#This Row],[Sales]]&gt;= 1000, "High Value", Sales_Data_1[[#This Row],[Sales]]&gt;= 300, "Mid Value", TRUE, "Low Value")</f>
        <v>High Value</v>
      </c>
    </row>
    <row r="892" spans="1:27" x14ac:dyDescent="0.3">
      <c r="A892" t="s">
        <v>2074</v>
      </c>
      <c r="B892" s="1">
        <v>44960</v>
      </c>
      <c r="C892" t="s">
        <v>63</v>
      </c>
      <c r="D892" t="s">
        <v>41</v>
      </c>
      <c r="E892" t="s">
        <v>42</v>
      </c>
      <c r="F892" t="s">
        <v>68</v>
      </c>
      <c r="G892" t="s">
        <v>92</v>
      </c>
      <c r="H892" t="s">
        <v>109</v>
      </c>
      <c r="I892" t="s">
        <v>132</v>
      </c>
      <c r="J892">
        <v>3</v>
      </c>
      <c r="K892">
        <v>62579</v>
      </c>
      <c r="L892">
        <v>7.0000000000000007E-2</v>
      </c>
      <c r="M892">
        <v>58198.47</v>
      </c>
      <c r="N892">
        <v>174595.41</v>
      </c>
      <c r="O892">
        <v>0.15</v>
      </c>
      <c r="P892">
        <v>26189.31</v>
      </c>
      <c r="Q892" t="s">
        <v>37</v>
      </c>
      <c r="R892" t="s">
        <v>48</v>
      </c>
      <c r="S892">
        <v>3</v>
      </c>
      <c r="T892">
        <f>YEAR(Sales_Data_1[[#This Row],[Order_Date]])</f>
        <v>2023</v>
      </c>
      <c r="U892" t="str">
        <f>TEXT(Sales_Data_1[[#This Row],[Order_Date]], "mmm")</f>
        <v>Feb</v>
      </c>
      <c r="V892">
        <f>MONTH(Sales_Data_1[[#This Row],[Order_Date]])</f>
        <v>2</v>
      </c>
      <c r="W892" t="str">
        <f>TEXT(Sales_Data_1[[#This Row],[Order_Date]], "yyyy-mm")</f>
        <v>2023-02</v>
      </c>
      <c r="X892">
        <f>Sales_Data_1[[#This Row],[Sales]]-Sales_Data_1[[#This Row],[Profit_Amount]]</f>
        <v>148406.1</v>
      </c>
      <c r="Y892" t="str" cm="1">
        <f t="array" ref="Y892">_xlfn.IFS(Sales_Data_1[[#This Row],[Delivery_Days]]&lt;=3, "Fast", Sales_Data_1[[#This Row],[Delivery_Days]]&lt;= 7, "Standard", TRUE, "Delayed")</f>
        <v>Fast</v>
      </c>
      <c r="Z892" t="str" cm="1">
        <f t="array" ref="Z892">_xlfn.IFS(Sales_Data_1[[#This Row],[Profit_Amount]]&gt; 0, "Profitable", Sales_Data_1[[#This Row],[Profit_Amount]] = 0, "Break-Even", TRUE, "Loss")</f>
        <v>Profitable</v>
      </c>
      <c r="AA892" t="str" cm="1">
        <f t="array" ref="AA892">_xlfn.IFS(Sales_Data_1[[#This Row],[Sales]]&gt;= 1000, "High Value", Sales_Data_1[[#This Row],[Sales]]&gt;= 300, "Mid Value", TRUE, "Low Value")</f>
        <v>High Value</v>
      </c>
    </row>
    <row r="893" spans="1:27" x14ac:dyDescent="0.3">
      <c r="A893" t="s">
        <v>2554</v>
      </c>
      <c r="B893" s="1">
        <v>45440</v>
      </c>
      <c r="C893" t="s">
        <v>40</v>
      </c>
      <c r="D893" t="s">
        <v>31</v>
      </c>
      <c r="E893" t="s">
        <v>42</v>
      </c>
      <c r="F893" t="s">
        <v>33</v>
      </c>
      <c r="G893" t="s">
        <v>24</v>
      </c>
      <c r="H893" t="s">
        <v>25</v>
      </c>
      <c r="I893" t="s">
        <v>1091</v>
      </c>
      <c r="J893">
        <v>9</v>
      </c>
      <c r="K893">
        <v>13330</v>
      </c>
      <c r="L893">
        <v>0.12</v>
      </c>
      <c r="M893">
        <v>11730.4</v>
      </c>
      <c r="N893">
        <v>105573.6</v>
      </c>
      <c r="O893">
        <v>0.25</v>
      </c>
      <c r="P893">
        <v>26393.4</v>
      </c>
      <c r="Q893" t="s">
        <v>27</v>
      </c>
      <c r="R893" t="s">
        <v>48</v>
      </c>
      <c r="S893">
        <v>6</v>
      </c>
      <c r="T893">
        <f>YEAR(Sales_Data_1[[#This Row],[Order_Date]])</f>
        <v>2024</v>
      </c>
      <c r="U893" t="str">
        <f>TEXT(Sales_Data_1[[#This Row],[Order_Date]], "mmm")</f>
        <v>May</v>
      </c>
      <c r="V893">
        <f>MONTH(Sales_Data_1[[#This Row],[Order_Date]])</f>
        <v>5</v>
      </c>
      <c r="W893" t="str">
        <f>TEXT(Sales_Data_1[[#This Row],[Order_Date]], "yyyy-mm")</f>
        <v>2024-05</v>
      </c>
      <c r="X893">
        <f>Sales_Data_1[[#This Row],[Sales]]-Sales_Data_1[[#This Row],[Profit_Amount]]</f>
        <v>79180.200000000012</v>
      </c>
      <c r="Y893" t="str" cm="1">
        <f t="array" ref="Y893">_xlfn.IFS(Sales_Data_1[[#This Row],[Delivery_Days]]&lt;=3, "Fast", Sales_Data_1[[#This Row],[Delivery_Days]]&lt;= 7, "Standard", TRUE, "Delayed")</f>
        <v>Standard</v>
      </c>
      <c r="Z893" t="str" cm="1">
        <f t="array" ref="Z893">_xlfn.IFS(Sales_Data_1[[#This Row],[Profit_Amount]]&gt; 0, "Profitable", Sales_Data_1[[#This Row],[Profit_Amount]] = 0, "Break-Even", TRUE, "Loss")</f>
        <v>Profitable</v>
      </c>
      <c r="AA893" t="str" cm="1">
        <f t="array" ref="AA893">_xlfn.IFS(Sales_Data_1[[#This Row],[Sales]]&gt;= 1000, "High Value", Sales_Data_1[[#This Row],[Sales]]&gt;= 300, "Mid Value", TRUE, "Low Value")</f>
        <v>High Value</v>
      </c>
    </row>
    <row r="894" spans="1:27" x14ac:dyDescent="0.3">
      <c r="A894" t="s">
        <v>2340</v>
      </c>
      <c r="B894" s="1">
        <v>45226</v>
      </c>
      <c r="C894" t="s">
        <v>96</v>
      </c>
      <c r="D894" t="s">
        <v>41</v>
      </c>
      <c r="E894" t="s">
        <v>42</v>
      </c>
      <c r="F894" t="s">
        <v>103</v>
      </c>
      <c r="G894" t="s">
        <v>92</v>
      </c>
      <c r="H894" t="s">
        <v>243</v>
      </c>
      <c r="I894" t="s">
        <v>669</v>
      </c>
      <c r="J894">
        <v>3</v>
      </c>
      <c r="K894">
        <v>74157</v>
      </c>
      <c r="L894">
        <v>0.2</v>
      </c>
      <c r="M894">
        <v>59325.599999999999</v>
      </c>
      <c r="N894">
        <v>177976.8</v>
      </c>
      <c r="O894">
        <v>0.15</v>
      </c>
      <c r="P894">
        <v>26696.52</v>
      </c>
      <c r="Q894" t="s">
        <v>27</v>
      </c>
      <c r="R894" t="s">
        <v>48</v>
      </c>
      <c r="S894">
        <v>3</v>
      </c>
      <c r="T894">
        <f>YEAR(Sales_Data_1[[#This Row],[Order_Date]])</f>
        <v>2023</v>
      </c>
      <c r="U894" t="str">
        <f>TEXT(Sales_Data_1[[#This Row],[Order_Date]], "mmm")</f>
        <v>Oct</v>
      </c>
      <c r="V894">
        <f>MONTH(Sales_Data_1[[#This Row],[Order_Date]])</f>
        <v>10</v>
      </c>
      <c r="W894" t="str">
        <f>TEXT(Sales_Data_1[[#This Row],[Order_Date]], "yyyy-mm")</f>
        <v>2023-10</v>
      </c>
      <c r="X894">
        <f>Sales_Data_1[[#This Row],[Sales]]-Sales_Data_1[[#This Row],[Profit_Amount]]</f>
        <v>151280.28</v>
      </c>
      <c r="Y894" t="str" cm="1">
        <f t="array" ref="Y894">_xlfn.IFS(Sales_Data_1[[#This Row],[Delivery_Days]]&lt;=3, "Fast", Sales_Data_1[[#This Row],[Delivery_Days]]&lt;= 7, "Standard", TRUE, "Delayed")</f>
        <v>Fast</v>
      </c>
      <c r="Z894" t="str" cm="1">
        <f t="array" ref="Z894">_xlfn.IFS(Sales_Data_1[[#This Row],[Profit_Amount]]&gt; 0, "Profitable", Sales_Data_1[[#This Row],[Profit_Amount]] = 0, "Break-Even", TRUE, "Loss")</f>
        <v>Profitable</v>
      </c>
      <c r="AA894" t="str" cm="1">
        <f t="array" ref="AA894">_xlfn.IFS(Sales_Data_1[[#This Row],[Sales]]&gt;= 1000, "High Value", Sales_Data_1[[#This Row],[Sales]]&gt;= 300, "Mid Value", TRUE, "Low Value")</f>
        <v>High Value</v>
      </c>
    </row>
    <row r="895" spans="1:27" x14ac:dyDescent="0.3">
      <c r="A895" t="s">
        <v>2562</v>
      </c>
      <c r="B895" s="1">
        <v>45448</v>
      </c>
      <c r="C895" t="s">
        <v>20</v>
      </c>
      <c r="D895" t="s">
        <v>56</v>
      </c>
      <c r="E895" t="s">
        <v>2040</v>
      </c>
      <c r="F895" t="s">
        <v>43</v>
      </c>
      <c r="G895" t="s">
        <v>92</v>
      </c>
      <c r="H895" t="s">
        <v>93</v>
      </c>
      <c r="I895" t="s">
        <v>1107</v>
      </c>
      <c r="J895">
        <v>3</v>
      </c>
      <c r="K895">
        <v>65677</v>
      </c>
      <c r="L895">
        <v>0.09</v>
      </c>
      <c r="M895">
        <v>59766.07</v>
      </c>
      <c r="N895">
        <v>179298.21</v>
      </c>
      <c r="O895">
        <v>0.15</v>
      </c>
      <c r="P895">
        <v>26894.73</v>
      </c>
      <c r="Q895" t="s">
        <v>27</v>
      </c>
      <c r="R895" t="s">
        <v>48</v>
      </c>
      <c r="S895">
        <v>2</v>
      </c>
      <c r="T895">
        <f>YEAR(Sales_Data_1[[#This Row],[Order_Date]])</f>
        <v>2024</v>
      </c>
      <c r="U895" t="str">
        <f>TEXT(Sales_Data_1[[#This Row],[Order_Date]], "mmm")</f>
        <v>Jun</v>
      </c>
      <c r="V895">
        <f>MONTH(Sales_Data_1[[#This Row],[Order_Date]])</f>
        <v>6</v>
      </c>
      <c r="W895" t="str">
        <f>TEXT(Sales_Data_1[[#This Row],[Order_Date]], "yyyy-mm")</f>
        <v>2024-06</v>
      </c>
      <c r="X895">
        <f>Sales_Data_1[[#This Row],[Sales]]-Sales_Data_1[[#This Row],[Profit_Amount]]</f>
        <v>152403.47999999998</v>
      </c>
      <c r="Y895" t="str" cm="1">
        <f t="array" ref="Y895">_xlfn.IFS(Sales_Data_1[[#This Row],[Delivery_Days]]&lt;=3, "Fast", Sales_Data_1[[#This Row],[Delivery_Days]]&lt;= 7, "Standard", TRUE, "Delayed")</f>
        <v>Fast</v>
      </c>
      <c r="Z895" t="str" cm="1">
        <f t="array" ref="Z895">_xlfn.IFS(Sales_Data_1[[#This Row],[Profit_Amount]]&gt; 0, "Profitable", Sales_Data_1[[#This Row],[Profit_Amount]] = 0, "Break-Even", TRUE, "Loss")</f>
        <v>Profitable</v>
      </c>
      <c r="AA895" t="str" cm="1">
        <f t="array" ref="AA895">_xlfn.IFS(Sales_Data_1[[#This Row],[Sales]]&gt;= 1000, "High Value", Sales_Data_1[[#This Row],[Sales]]&gt;= 300, "Mid Value", TRUE, "Low Value")</f>
        <v>High Value</v>
      </c>
    </row>
    <row r="896" spans="1:27" x14ac:dyDescent="0.3">
      <c r="A896" t="s">
        <v>2082</v>
      </c>
      <c r="B896" s="1">
        <v>44968</v>
      </c>
      <c r="C896" t="s">
        <v>30</v>
      </c>
      <c r="D896" t="s">
        <v>56</v>
      </c>
      <c r="E896" t="s">
        <v>42</v>
      </c>
      <c r="F896" t="s">
        <v>97</v>
      </c>
      <c r="G896" t="s">
        <v>92</v>
      </c>
      <c r="H896" t="s">
        <v>109</v>
      </c>
      <c r="I896" t="s">
        <v>150</v>
      </c>
      <c r="J896">
        <v>9</v>
      </c>
      <c r="K896">
        <v>26082</v>
      </c>
      <c r="L896">
        <v>0.23</v>
      </c>
      <c r="M896">
        <v>20083.14</v>
      </c>
      <c r="N896">
        <v>180748.26</v>
      </c>
      <c r="O896">
        <v>0.15</v>
      </c>
      <c r="P896">
        <v>27112.240000000002</v>
      </c>
      <c r="Q896" t="s">
        <v>47</v>
      </c>
      <c r="R896" t="s">
        <v>38</v>
      </c>
      <c r="S896">
        <v>8</v>
      </c>
      <c r="T896">
        <f>YEAR(Sales_Data_1[[#This Row],[Order_Date]])</f>
        <v>2023</v>
      </c>
      <c r="U896" t="str">
        <f>TEXT(Sales_Data_1[[#This Row],[Order_Date]], "mmm")</f>
        <v>Feb</v>
      </c>
      <c r="V896">
        <f>MONTH(Sales_Data_1[[#This Row],[Order_Date]])</f>
        <v>2</v>
      </c>
      <c r="W896" t="str">
        <f>TEXT(Sales_Data_1[[#This Row],[Order_Date]], "yyyy-mm")</f>
        <v>2023-02</v>
      </c>
      <c r="X896">
        <f>Sales_Data_1[[#This Row],[Sales]]-Sales_Data_1[[#This Row],[Profit_Amount]]</f>
        <v>153636.02000000002</v>
      </c>
      <c r="Y896" t="str" cm="1">
        <f t="array" ref="Y896">_xlfn.IFS(Sales_Data_1[[#This Row],[Delivery_Days]]&lt;=3, "Fast", Sales_Data_1[[#This Row],[Delivery_Days]]&lt;= 7, "Standard", TRUE, "Delayed")</f>
        <v>Delayed</v>
      </c>
      <c r="Z896" t="str" cm="1">
        <f t="array" ref="Z896">_xlfn.IFS(Sales_Data_1[[#This Row],[Profit_Amount]]&gt; 0, "Profitable", Sales_Data_1[[#This Row],[Profit_Amount]] = 0, "Break-Even", TRUE, "Loss")</f>
        <v>Profitable</v>
      </c>
      <c r="AA896" t="str" cm="1">
        <f t="array" ref="AA896">_xlfn.IFS(Sales_Data_1[[#This Row],[Sales]]&gt;= 1000, "High Value", Sales_Data_1[[#This Row],[Sales]]&gt;= 300, "Mid Value", TRUE, "Low Value")</f>
        <v>High Value</v>
      </c>
    </row>
    <row r="897" spans="1:27" x14ac:dyDescent="0.3">
      <c r="A897" t="s">
        <v>2415</v>
      </c>
      <c r="B897" s="1">
        <v>45301</v>
      </c>
      <c r="C897" t="s">
        <v>63</v>
      </c>
      <c r="D897" t="s">
        <v>41</v>
      </c>
      <c r="E897" t="s">
        <v>42</v>
      </c>
      <c r="F897" t="s">
        <v>23</v>
      </c>
      <c r="G897" t="s">
        <v>92</v>
      </c>
      <c r="H897" t="s">
        <v>93</v>
      </c>
      <c r="I897" t="s">
        <v>816</v>
      </c>
      <c r="J897">
        <v>5</v>
      </c>
      <c r="K897">
        <v>43893</v>
      </c>
      <c r="L897">
        <v>0.16</v>
      </c>
      <c r="M897">
        <v>36870.120000000003</v>
      </c>
      <c r="N897">
        <v>184350.6</v>
      </c>
      <c r="O897">
        <v>0.15</v>
      </c>
      <c r="P897">
        <v>27652.59</v>
      </c>
      <c r="Q897" t="s">
        <v>47</v>
      </c>
      <c r="R897" t="s">
        <v>48</v>
      </c>
      <c r="S897">
        <v>3</v>
      </c>
      <c r="T897">
        <f>YEAR(Sales_Data_1[[#This Row],[Order_Date]])</f>
        <v>2024</v>
      </c>
      <c r="U897" t="str">
        <f>TEXT(Sales_Data_1[[#This Row],[Order_Date]], "mmm")</f>
        <v>Jan</v>
      </c>
      <c r="V897">
        <f>MONTH(Sales_Data_1[[#This Row],[Order_Date]])</f>
        <v>1</v>
      </c>
      <c r="W897" t="str">
        <f>TEXT(Sales_Data_1[[#This Row],[Order_Date]], "yyyy-mm")</f>
        <v>2024-01</v>
      </c>
      <c r="X897">
        <f>Sales_Data_1[[#This Row],[Sales]]-Sales_Data_1[[#This Row],[Profit_Amount]]</f>
        <v>156698.01</v>
      </c>
      <c r="Y897" t="str" cm="1">
        <f t="array" ref="Y897">_xlfn.IFS(Sales_Data_1[[#This Row],[Delivery_Days]]&lt;=3, "Fast", Sales_Data_1[[#This Row],[Delivery_Days]]&lt;= 7, "Standard", TRUE, "Delayed")</f>
        <v>Fast</v>
      </c>
      <c r="Z897" t="str" cm="1">
        <f t="array" ref="Z897">_xlfn.IFS(Sales_Data_1[[#This Row],[Profit_Amount]]&gt; 0, "Profitable", Sales_Data_1[[#This Row],[Profit_Amount]] = 0, "Break-Even", TRUE, "Loss")</f>
        <v>Profitable</v>
      </c>
      <c r="AA897" t="str" cm="1">
        <f t="array" ref="AA897">_xlfn.IFS(Sales_Data_1[[#This Row],[Sales]]&gt;= 1000, "High Value", Sales_Data_1[[#This Row],[Sales]]&gt;= 300, "Mid Value", TRUE, "Low Value")</f>
        <v>High Value</v>
      </c>
    </row>
    <row r="898" spans="1:27" x14ac:dyDescent="0.3">
      <c r="A898" t="s">
        <v>2212</v>
      </c>
      <c r="B898" s="1">
        <v>45098</v>
      </c>
      <c r="C898" t="s">
        <v>40</v>
      </c>
      <c r="D898" t="s">
        <v>56</v>
      </c>
      <c r="E898" t="s">
        <v>2040</v>
      </c>
      <c r="F898" t="s">
        <v>103</v>
      </c>
      <c r="G898" t="s">
        <v>92</v>
      </c>
      <c r="H898" t="s">
        <v>109</v>
      </c>
      <c r="I898" t="s">
        <v>414</v>
      </c>
      <c r="J898">
        <v>9</v>
      </c>
      <c r="K898">
        <v>25398</v>
      </c>
      <c r="L898">
        <v>0.19</v>
      </c>
      <c r="M898">
        <v>20572.38</v>
      </c>
      <c r="N898">
        <v>185151.42</v>
      </c>
      <c r="O898">
        <v>0.15</v>
      </c>
      <c r="P898">
        <v>27772.71</v>
      </c>
      <c r="Q898" t="s">
        <v>47</v>
      </c>
      <c r="R898" t="s">
        <v>48</v>
      </c>
      <c r="S898">
        <v>9</v>
      </c>
      <c r="T898">
        <f>YEAR(Sales_Data_1[[#This Row],[Order_Date]])</f>
        <v>2023</v>
      </c>
      <c r="U898" t="str">
        <f>TEXT(Sales_Data_1[[#This Row],[Order_Date]], "mmm")</f>
        <v>Jun</v>
      </c>
      <c r="V898">
        <f>MONTH(Sales_Data_1[[#This Row],[Order_Date]])</f>
        <v>6</v>
      </c>
      <c r="W898" t="str">
        <f>TEXT(Sales_Data_1[[#This Row],[Order_Date]], "yyyy-mm")</f>
        <v>2023-06</v>
      </c>
      <c r="X898">
        <f>Sales_Data_1[[#This Row],[Sales]]-Sales_Data_1[[#This Row],[Profit_Amount]]</f>
        <v>157378.71000000002</v>
      </c>
      <c r="Y898" t="str" cm="1">
        <f t="array" ref="Y898">_xlfn.IFS(Sales_Data_1[[#This Row],[Delivery_Days]]&lt;=3, "Fast", Sales_Data_1[[#This Row],[Delivery_Days]]&lt;= 7, "Standard", TRUE, "Delayed")</f>
        <v>Delayed</v>
      </c>
      <c r="Z898" t="str" cm="1">
        <f t="array" ref="Z898">_xlfn.IFS(Sales_Data_1[[#This Row],[Profit_Amount]]&gt; 0, "Profitable", Sales_Data_1[[#This Row],[Profit_Amount]] = 0, "Break-Even", TRUE, "Loss")</f>
        <v>Profitable</v>
      </c>
      <c r="AA898" t="str" cm="1">
        <f t="array" ref="AA898">_xlfn.IFS(Sales_Data_1[[#This Row],[Sales]]&gt;= 1000, "High Value", Sales_Data_1[[#This Row],[Sales]]&gt;= 300, "Mid Value", TRUE, "Low Value")</f>
        <v>High Value</v>
      </c>
    </row>
    <row r="899" spans="1:27" x14ac:dyDescent="0.3">
      <c r="A899" t="s">
        <v>2945</v>
      </c>
      <c r="B899" s="1">
        <v>45831</v>
      </c>
      <c r="C899" t="s">
        <v>63</v>
      </c>
      <c r="D899" t="s">
        <v>31</v>
      </c>
      <c r="E899" t="s">
        <v>42</v>
      </c>
      <c r="F899" t="s">
        <v>23</v>
      </c>
      <c r="G899" t="s">
        <v>24</v>
      </c>
      <c r="H899" t="s">
        <v>25</v>
      </c>
      <c r="I899" t="s">
        <v>1858</v>
      </c>
      <c r="J899">
        <v>8</v>
      </c>
      <c r="K899">
        <v>14183</v>
      </c>
      <c r="L899">
        <v>0.02</v>
      </c>
      <c r="M899">
        <v>13899.34</v>
      </c>
      <c r="N899">
        <v>111194.72</v>
      </c>
      <c r="O899">
        <v>0.25</v>
      </c>
      <c r="P899">
        <v>27798.68</v>
      </c>
      <c r="Q899" t="s">
        <v>37</v>
      </c>
      <c r="R899" t="s">
        <v>48</v>
      </c>
      <c r="S899">
        <v>1</v>
      </c>
      <c r="T899">
        <f>YEAR(Sales_Data_1[[#This Row],[Order_Date]])</f>
        <v>2025</v>
      </c>
      <c r="U899" t="str">
        <f>TEXT(Sales_Data_1[[#This Row],[Order_Date]], "mmm")</f>
        <v>Jun</v>
      </c>
      <c r="V899">
        <f>MONTH(Sales_Data_1[[#This Row],[Order_Date]])</f>
        <v>6</v>
      </c>
      <c r="W899" t="str">
        <f>TEXT(Sales_Data_1[[#This Row],[Order_Date]], "yyyy-mm")</f>
        <v>2025-06</v>
      </c>
      <c r="X899">
        <f>Sales_Data_1[[#This Row],[Sales]]-Sales_Data_1[[#This Row],[Profit_Amount]]</f>
        <v>83396.040000000008</v>
      </c>
      <c r="Y899" t="str" cm="1">
        <f t="array" ref="Y899">_xlfn.IFS(Sales_Data_1[[#This Row],[Delivery_Days]]&lt;=3, "Fast", Sales_Data_1[[#This Row],[Delivery_Days]]&lt;= 7, "Standard", TRUE, "Delayed")</f>
        <v>Fast</v>
      </c>
      <c r="Z899" t="str" cm="1">
        <f t="array" ref="Z899">_xlfn.IFS(Sales_Data_1[[#This Row],[Profit_Amount]]&gt; 0, "Profitable", Sales_Data_1[[#This Row],[Profit_Amount]] = 0, "Break-Even", TRUE, "Loss")</f>
        <v>Profitable</v>
      </c>
      <c r="AA899" t="str" cm="1">
        <f t="array" ref="AA899">_xlfn.IFS(Sales_Data_1[[#This Row],[Sales]]&gt;= 1000, "High Value", Sales_Data_1[[#This Row],[Sales]]&gt;= 300, "Mid Value", TRUE, "Low Value")</f>
        <v>High Value</v>
      </c>
    </row>
    <row r="900" spans="1:27" x14ac:dyDescent="0.3">
      <c r="A900" t="s">
        <v>2122</v>
      </c>
      <c r="B900" s="1">
        <v>45008</v>
      </c>
      <c r="C900" t="s">
        <v>63</v>
      </c>
      <c r="D900" t="s">
        <v>31</v>
      </c>
      <c r="E900" t="s">
        <v>2042</v>
      </c>
      <c r="F900" t="s">
        <v>103</v>
      </c>
      <c r="G900" t="s">
        <v>92</v>
      </c>
      <c r="H900" t="s">
        <v>93</v>
      </c>
      <c r="I900" t="s">
        <v>233</v>
      </c>
      <c r="J900">
        <v>4</v>
      </c>
      <c r="K900">
        <v>52229</v>
      </c>
      <c r="L900">
        <v>0.11</v>
      </c>
      <c r="M900">
        <v>46483.81</v>
      </c>
      <c r="N900">
        <v>185935.24</v>
      </c>
      <c r="O900">
        <v>0.15</v>
      </c>
      <c r="P900">
        <v>27890.29</v>
      </c>
      <c r="Q900" t="s">
        <v>37</v>
      </c>
      <c r="R900" t="s">
        <v>48</v>
      </c>
      <c r="S900">
        <v>6</v>
      </c>
      <c r="T900">
        <f>YEAR(Sales_Data_1[[#This Row],[Order_Date]])</f>
        <v>2023</v>
      </c>
      <c r="U900" t="str">
        <f>TEXT(Sales_Data_1[[#This Row],[Order_Date]], "mmm")</f>
        <v>Mar</v>
      </c>
      <c r="V900">
        <f>MONTH(Sales_Data_1[[#This Row],[Order_Date]])</f>
        <v>3</v>
      </c>
      <c r="W900" t="str">
        <f>TEXT(Sales_Data_1[[#This Row],[Order_Date]], "yyyy-mm")</f>
        <v>2023-03</v>
      </c>
      <c r="X900">
        <f>Sales_Data_1[[#This Row],[Sales]]-Sales_Data_1[[#This Row],[Profit_Amount]]</f>
        <v>158044.94999999998</v>
      </c>
      <c r="Y900" t="str" cm="1">
        <f t="array" ref="Y900">_xlfn.IFS(Sales_Data_1[[#This Row],[Delivery_Days]]&lt;=3, "Fast", Sales_Data_1[[#This Row],[Delivery_Days]]&lt;= 7, "Standard", TRUE, "Delayed")</f>
        <v>Standard</v>
      </c>
      <c r="Z900" t="str" cm="1">
        <f t="array" ref="Z900">_xlfn.IFS(Sales_Data_1[[#This Row],[Profit_Amount]]&gt; 0, "Profitable", Sales_Data_1[[#This Row],[Profit_Amount]] = 0, "Break-Even", TRUE, "Loss")</f>
        <v>Profitable</v>
      </c>
      <c r="AA900" t="str" cm="1">
        <f t="array" ref="AA900">_xlfn.IFS(Sales_Data_1[[#This Row],[Sales]]&gt;= 1000, "High Value", Sales_Data_1[[#This Row],[Sales]]&gt;= 300, "Mid Value", TRUE, "Low Value")</f>
        <v>High Value</v>
      </c>
    </row>
    <row r="901" spans="1:27" x14ac:dyDescent="0.3">
      <c r="A901" t="s">
        <v>2096</v>
      </c>
      <c r="B901" s="1">
        <v>44982</v>
      </c>
      <c r="C901" t="s">
        <v>63</v>
      </c>
      <c r="D901" t="s">
        <v>41</v>
      </c>
      <c r="E901" t="s">
        <v>42</v>
      </c>
      <c r="F901" t="s">
        <v>103</v>
      </c>
      <c r="G901" t="s">
        <v>92</v>
      </c>
      <c r="H901" t="s">
        <v>178</v>
      </c>
      <c r="I901" t="s">
        <v>179</v>
      </c>
      <c r="J901">
        <v>5</v>
      </c>
      <c r="K901">
        <v>40027</v>
      </c>
      <c r="L901">
        <v>7.0000000000000007E-2</v>
      </c>
      <c r="M901">
        <v>37225.11</v>
      </c>
      <c r="N901">
        <v>186125.55</v>
      </c>
      <c r="O901">
        <v>0.15</v>
      </c>
      <c r="P901">
        <v>27918.83</v>
      </c>
      <c r="Q901" t="s">
        <v>47</v>
      </c>
      <c r="R901" t="s">
        <v>48</v>
      </c>
      <c r="S901">
        <v>7</v>
      </c>
      <c r="T901">
        <f>YEAR(Sales_Data_1[[#This Row],[Order_Date]])</f>
        <v>2023</v>
      </c>
      <c r="U901" t="str">
        <f>TEXT(Sales_Data_1[[#This Row],[Order_Date]], "mmm")</f>
        <v>Feb</v>
      </c>
      <c r="V901">
        <f>MONTH(Sales_Data_1[[#This Row],[Order_Date]])</f>
        <v>2</v>
      </c>
      <c r="W901" t="str">
        <f>TEXT(Sales_Data_1[[#This Row],[Order_Date]], "yyyy-mm")</f>
        <v>2023-02</v>
      </c>
      <c r="X901">
        <f>Sales_Data_1[[#This Row],[Sales]]-Sales_Data_1[[#This Row],[Profit_Amount]]</f>
        <v>158206.71999999997</v>
      </c>
      <c r="Y901" t="str" cm="1">
        <f t="array" ref="Y901">_xlfn.IFS(Sales_Data_1[[#This Row],[Delivery_Days]]&lt;=3, "Fast", Sales_Data_1[[#This Row],[Delivery_Days]]&lt;= 7, "Standard", TRUE, "Delayed")</f>
        <v>Standard</v>
      </c>
      <c r="Z901" t="str" cm="1">
        <f t="array" ref="Z901">_xlfn.IFS(Sales_Data_1[[#This Row],[Profit_Amount]]&gt; 0, "Profitable", Sales_Data_1[[#This Row],[Profit_Amount]] = 0, "Break-Even", TRUE, "Loss")</f>
        <v>Profitable</v>
      </c>
      <c r="AA901" t="str" cm="1">
        <f t="array" ref="AA901">_xlfn.IFS(Sales_Data_1[[#This Row],[Sales]]&gt;= 1000, "High Value", Sales_Data_1[[#This Row],[Sales]]&gt;= 300, "Mid Value", TRUE, "Low Value")</f>
        <v>High Value</v>
      </c>
    </row>
    <row r="902" spans="1:27" x14ac:dyDescent="0.3">
      <c r="A902" t="s">
        <v>2472</v>
      </c>
      <c r="B902" s="1">
        <v>45358</v>
      </c>
      <c r="C902" t="s">
        <v>55</v>
      </c>
      <c r="D902" t="s">
        <v>56</v>
      </c>
      <c r="E902" t="s">
        <v>2042</v>
      </c>
      <c r="F902" t="s">
        <v>97</v>
      </c>
      <c r="G902" t="s">
        <v>92</v>
      </c>
      <c r="H902" t="s">
        <v>93</v>
      </c>
      <c r="I902" t="s">
        <v>930</v>
      </c>
      <c r="J902">
        <v>6</v>
      </c>
      <c r="K902">
        <v>39301</v>
      </c>
      <c r="L902">
        <v>0.21</v>
      </c>
      <c r="M902">
        <v>31047.79</v>
      </c>
      <c r="N902">
        <v>186286.74</v>
      </c>
      <c r="O902">
        <v>0.15</v>
      </c>
      <c r="P902">
        <v>27943.01</v>
      </c>
      <c r="Q902" t="s">
        <v>27</v>
      </c>
      <c r="R902" t="s">
        <v>38</v>
      </c>
      <c r="S902">
        <v>5</v>
      </c>
      <c r="T902">
        <f>YEAR(Sales_Data_1[[#This Row],[Order_Date]])</f>
        <v>2024</v>
      </c>
      <c r="U902" t="str">
        <f>TEXT(Sales_Data_1[[#This Row],[Order_Date]], "mmm")</f>
        <v>Mar</v>
      </c>
      <c r="V902">
        <f>MONTH(Sales_Data_1[[#This Row],[Order_Date]])</f>
        <v>3</v>
      </c>
      <c r="W902" t="str">
        <f>TEXT(Sales_Data_1[[#This Row],[Order_Date]], "yyyy-mm")</f>
        <v>2024-03</v>
      </c>
      <c r="X902">
        <f>Sales_Data_1[[#This Row],[Sales]]-Sales_Data_1[[#This Row],[Profit_Amount]]</f>
        <v>158343.72999999998</v>
      </c>
      <c r="Y902" t="str" cm="1">
        <f t="array" ref="Y902">_xlfn.IFS(Sales_Data_1[[#This Row],[Delivery_Days]]&lt;=3, "Fast", Sales_Data_1[[#This Row],[Delivery_Days]]&lt;= 7, "Standard", TRUE, "Delayed")</f>
        <v>Standard</v>
      </c>
      <c r="Z902" t="str" cm="1">
        <f t="array" ref="Z902">_xlfn.IFS(Sales_Data_1[[#This Row],[Profit_Amount]]&gt; 0, "Profitable", Sales_Data_1[[#This Row],[Profit_Amount]] = 0, "Break-Even", TRUE, "Loss")</f>
        <v>Profitable</v>
      </c>
      <c r="AA902" t="str" cm="1">
        <f t="array" ref="AA902">_xlfn.IFS(Sales_Data_1[[#This Row],[Sales]]&gt;= 1000, "High Value", Sales_Data_1[[#This Row],[Sales]]&gt;= 300, "Mid Value", TRUE, "Low Value")</f>
        <v>High Value</v>
      </c>
    </row>
    <row r="903" spans="1:27" x14ac:dyDescent="0.3">
      <c r="A903" t="s">
        <v>2655</v>
      </c>
      <c r="B903" s="1">
        <v>45541</v>
      </c>
      <c r="C903" t="s">
        <v>30</v>
      </c>
      <c r="D903" t="s">
        <v>56</v>
      </c>
      <c r="E903" t="s">
        <v>2040</v>
      </c>
      <c r="F903" t="s">
        <v>103</v>
      </c>
      <c r="G903" t="s">
        <v>92</v>
      </c>
      <c r="H903" t="s">
        <v>109</v>
      </c>
      <c r="I903" t="s">
        <v>1290</v>
      </c>
      <c r="J903">
        <v>7</v>
      </c>
      <c r="K903">
        <v>30281</v>
      </c>
      <c r="L903">
        <v>0.12</v>
      </c>
      <c r="M903">
        <v>26647.279999999999</v>
      </c>
      <c r="N903">
        <v>186530.96</v>
      </c>
      <c r="O903">
        <v>0.15</v>
      </c>
      <c r="P903">
        <v>27979.64</v>
      </c>
      <c r="Q903" t="s">
        <v>27</v>
      </c>
      <c r="R903" t="s">
        <v>28</v>
      </c>
      <c r="S903">
        <v>6</v>
      </c>
      <c r="T903">
        <f>YEAR(Sales_Data_1[[#This Row],[Order_Date]])</f>
        <v>2024</v>
      </c>
      <c r="U903" t="str">
        <f>TEXT(Sales_Data_1[[#This Row],[Order_Date]], "mmm")</f>
        <v>Sep</v>
      </c>
      <c r="V903">
        <f>MONTH(Sales_Data_1[[#This Row],[Order_Date]])</f>
        <v>9</v>
      </c>
      <c r="W903" t="str">
        <f>TEXT(Sales_Data_1[[#This Row],[Order_Date]], "yyyy-mm")</f>
        <v>2024-09</v>
      </c>
      <c r="X903">
        <f>Sales_Data_1[[#This Row],[Sales]]-Sales_Data_1[[#This Row],[Profit_Amount]]</f>
        <v>158551.32</v>
      </c>
      <c r="Y903" t="str" cm="1">
        <f t="array" ref="Y903">_xlfn.IFS(Sales_Data_1[[#This Row],[Delivery_Days]]&lt;=3, "Fast", Sales_Data_1[[#This Row],[Delivery_Days]]&lt;= 7, "Standard", TRUE, "Delayed")</f>
        <v>Standard</v>
      </c>
      <c r="Z903" t="str" cm="1">
        <f t="array" ref="Z903">_xlfn.IFS(Sales_Data_1[[#This Row],[Profit_Amount]]&gt; 0, "Profitable", Sales_Data_1[[#This Row],[Profit_Amount]] = 0, "Break-Even", TRUE, "Loss")</f>
        <v>Profitable</v>
      </c>
      <c r="AA903" t="str" cm="1">
        <f t="array" ref="AA903">_xlfn.IFS(Sales_Data_1[[#This Row],[Sales]]&gt;= 1000, "High Value", Sales_Data_1[[#This Row],[Sales]]&gt;= 300, "Mid Value", TRUE, "Low Value")</f>
        <v>High Value</v>
      </c>
    </row>
    <row r="904" spans="1:27" x14ac:dyDescent="0.3">
      <c r="A904" t="s">
        <v>2278</v>
      </c>
      <c r="B904" s="1">
        <v>45164</v>
      </c>
      <c r="C904" t="s">
        <v>96</v>
      </c>
      <c r="D904" t="s">
        <v>21</v>
      </c>
      <c r="E904" t="s">
        <v>2040</v>
      </c>
      <c r="F904" t="s">
        <v>23</v>
      </c>
      <c r="G904" t="s">
        <v>24</v>
      </c>
      <c r="H904" t="s">
        <v>121</v>
      </c>
      <c r="I904" t="s">
        <v>546</v>
      </c>
      <c r="J904">
        <v>9</v>
      </c>
      <c r="K904">
        <v>13281</v>
      </c>
      <c r="L904">
        <v>0.05</v>
      </c>
      <c r="M904">
        <v>12616.95</v>
      </c>
      <c r="N904">
        <v>113552.55</v>
      </c>
      <c r="O904">
        <v>0.25</v>
      </c>
      <c r="P904">
        <v>28388.14</v>
      </c>
      <c r="Q904" t="s">
        <v>37</v>
      </c>
      <c r="R904" t="s">
        <v>38</v>
      </c>
      <c r="S904">
        <v>5</v>
      </c>
      <c r="T904">
        <f>YEAR(Sales_Data_1[[#This Row],[Order_Date]])</f>
        <v>2023</v>
      </c>
      <c r="U904" t="str">
        <f>TEXT(Sales_Data_1[[#This Row],[Order_Date]], "mmm")</f>
        <v>Aug</v>
      </c>
      <c r="V904">
        <f>MONTH(Sales_Data_1[[#This Row],[Order_Date]])</f>
        <v>8</v>
      </c>
      <c r="W904" t="str">
        <f>TEXT(Sales_Data_1[[#This Row],[Order_Date]], "yyyy-mm")</f>
        <v>2023-08</v>
      </c>
      <c r="X904">
        <f>Sales_Data_1[[#This Row],[Sales]]-Sales_Data_1[[#This Row],[Profit_Amount]]</f>
        <v>85164.41</v>
      </c>
      <c r="Y904" t="str" cm="1">
        <f t="array" ref="Y904">_xlfn.IFS(Sales_Data_1[[#This Row],[Delivery_Days]]&lt;=3, "Fast", Sales_Data_1[[#This Row],[Delivery_Days]]&lt;= 7, "Standard", TRUE, "Delayed")</f>
        <v>Standard</v>
      </c>
      <c r="Z904" t="str" cm="1">
        <f t="array" ref="Z904">_xlfn.IFS(Sales_Data_1[[#This Row],[Profit_Amount]]&gt; 0, "Profitable", Sales_Data_1[[#This Row],[Profit_Amount]] = 0, "Break-Even", TRUE, "Loss")</f>
        <v>Profitable</v>
      </c>
      <c r="AA904" t="str" cm="1">
        <f t="array" ref="AA904">_xlfn.IFS(Sales_Data_1[[#This Row],[Sales]]&gt;= 1000, "High Value", Sales_Data_1[[#This Row],[Sales]]&gt;= 300, "Mid Value", TRUE, "Low Value")</f>
        <v>High Value</v>
      </c>
    </row>
    <row r="905" spans="1:27" x14ac:dyDescent="0.3">
      <c r="A905" t="s">
        <v>2699</v>
      </c>
      <c r="B905" s="1">
        <v>45585</v>
      </c>
      <c r="C905" t="s">
        <v>96</v>
      </c>
      <c r="D905" t="s">
        <v>41</v>
      </c>
      <c r="E905" t="s">
        <v>2042</v>
      </c>
      <c r="F905" t="s">
        <v>103</v>
      </c>
      <c r="G905" t="s">
        <v>92</v>
      </c>
      <c r="H905" t="s">
        <v>93</v>
      </c>
      <c r="I905" t="s">
        <v>1376</v>
      </c>
      <c r="J905">
        <v>4</v>
      </c>
      <c r="K905">
        <v>60979</v>
      </c>
      <c r="L905">
        <v>0.22</v>
      </c>
      <c r="M905">
        <v>47563.62</v>
      </c>
      <c r="N905">
        <v>190254.48</v>
      </c>
      <c r="O905">
        <v>0.15</v>
      </c>
      <c r="P905">
        <v>28538.17</v>
      </c>
      <c r="Q905" t="s">
        <v>27</v>
      </c>
      <c r="R905" t="s">
        <v>48</v>
      </c>
      <c r="S905">
        <v>9</v>
      </c>
      <c r="T905">
        <f>YEAR(Sales_Data_1[[#This Row],[Order_Date]])</f>
        <v>2024</v>
      </c>
      <c r="U905" t="str">
        <f>TEXT(Sales_Data_1[[#This Row],[Order_Date]], "mmm")</f>
        <v>Oct</v>
      </c>
      <c r="V905">
        <f>MONTH(Sales_Data_1[[#This Row],[Order_Date]])</f>
        <v>10</v>
      </c>
      <c r="W905" t="str">
        <f>TEXT(Sales_Data_1[[#This Row],[Order_Date]], "yyyy-mm")</f>
        <v>2024-10</v>
      </c>
      <c r="X905">
        <f>Sales_Data_1[[#This Row],[Sales]]-Sales_Data_1[[#This Row],[Profit_Amount]]</f>
        <v>161716.31</v>
      </c>
      <c r="Y905" t="str" cm="1">
        <f t="array" ref="Y905">_xlfn.IFS(Sales_Data_1[[#This Row],[Delivery_Days]]&lt;=3, "Fast", Sales_Data_1[[#This Row],[Delivery_Days]]&lt;= 7, "Standard", TRUE, "Delayed")</f>
        <v>Delayed</v>
      </c>
      <c r="Z905" t="str" cm="1">
        <f t="array" ref="Z905">_xlfn.IFS(Sales_Data_1[[#This Row],[Profit_Amount]]&gt; 0, "Profitable", Sales_Data_1[[#This Row],[Profit_Amount]] = 0, "Break-Even", TRUE, "Loss")</f>
        <v>Profitable</v>
      </c>
      <c r="AA905" t="str" cm="1">
        <f t="array" ref="AA905">_xlfn.IFS(Sales_Data_1[[#This Row],[Sales]]&gt;= 1000, "High Value", Sales_Data_1[[#This Row],[Sales]]&gt;= 300, "Mid Value", TRUE, "Low Value")</f>
        <v>High Value</v>
      </c>
    </row>
    <row r="906" spans="1:27" x14ac:dyDescent="0.3">
      <c r="A906" t="s">
        <v>2857</v>
      </c>
      <c r="B906" s="1">
        <v>45743</v>
      </c>
      <c r="C906" t="s">
        <v>55</v>
      </c>
      <c r="D906" t="s">
        <v>21</v>
      </c>
      <c r="E906" t="s">
        <v>67</v>
      </c>
      <c r="F906" t="s">
        <v>33</v>
      </c>
      <c r="G906" t="s">
        <v>92</v>
      </c>
      <c r="H906" t="s">
        <v>109</v>
      </c>
      <c r="I906" t="s">
        <v>1685</v>
      </c>
      <c r="J906">
        <v>8</v>
      </c>
      <c r="K906">
        <v>26184</v>
      </c>
      <c r="L906">
        <v>0.08</v>
      </c>
      <c r="M906">
        <v>24089.279999999999</v>
      </c>
      <c r="N906">
        <v>192714.23999999999</v>
      </c>
      <c r="O906">
        <v>0.15</v>
      </c>
      <c r="P906">
        <v>28907.14</v>
      </c>
      <c r="Q906" t="s">
        <v>37</v>
      </c>
      <c r="R906" t="s">
        <v>48</v>
      </c>
      <c r="S906">
        <v>3</v>
      </c>
      <c r="T906">
        <f>YEAR(Sales_Data_1[[#This Row],[Order_Date]])</f>
        <v>2025</v>
      </c>
      <c r="U906" t="str">
        <f>TEXT(Sales_Data_1[[#This Row],[Order_Date]], "mmm")</f>
        <v>Mar</v>
      </c>
      <c r="V906">
        <f>MONTH(Sales_Data_1[[#This Row],[Order_Date]])</f>
        <v>3</v>
      </c>
      <c r="W906" t="str">
        <f>TEXT(Sales_Data_1[[#This Row],[Order_Date]], "yyyy-mm")</f>
        <v>2025-03</v>
      </c>
      <c r="X906">
        <f>Sales_Data_1[[#This Row],[Sales]]-Sales_Data_1[[#This Row],[Profit_Amount]]</f>
        <v>163807.09999999998</v>
      </c>
      <c r="Y906" t="str" cm="1">
        <f t="array" ref="Y906">_xlfn.IFS(Sales_Data_1[[#This Row],[Delivery_Days]]&lt;=3, "Fast", Sales_Data_1[[#This Row],[Delivery_Days]]&lt;= 7, "Standard", TRUE, "Delayed")</f>
        <v>Fast</v>
      </c>
      <c r="Z906" t="str" cm="1">
        <f t="array" ref="Z906">_xlfn.IFS(Sales_Data_1[[#This Row],[Profit_Amount]]&gt; 0, "Profitable", Sales_Data_1[[#This Row],[Profit_Amount]] = 0, "Break-Even", TRUE, "Loss")</f>
        <v>Profitable</v>
      </c>
      <c r="AA906" t="str" cm="1">
        <f t="array" ref="AA906">_xlfn.IFS(Sales_Data_1[[#This Row],[Sales]]&gt;= 1000, "High Value", Sales_Data_1[[#This Row],[Sales]]&gt;= 300, "Mid Value", TRUE, "Low Value")</f>
        <v>High Value</v>
      </c>
    </row>
    <row r="907" spans="1:27" x14ac:dyDescent="0.3">
      <c r="A907" t="s">
        <v>2776</v>
      </c>
      <c r="B907" s="1">
        <v>45662</v>
      </c>
      <c r="C907" t="s">
        <v>30</v>
      </c>
      <c r="D907" t="s">
        <v>21</v>
      </c>
      <c r="E907" t="s">
        <v>2040</v>
      </c>
      <c r="F907" t="s">
        <v>103</v>
      </c>
      <c r="G907" t="s">
        <v>57</v>
      </c>
      <c r="H907" t="s">
        <v>81</v>
      </c>
      <c r="I907" t="s">
        <v>1526</v>
      </c>
      <c r="J907">
        <v>9</v>
      </c>
      <c r="K907">
        <v>18898</v>
      </c>
      <c r="L907">
        <v>0.15</v>
      </c>
      <c r="M907">
        <v>16063.3</v>
      </c>
      <c r="N907">
        <v>144569.70000000001</v>
      </c>
      <c r="O907">
        <v>0.2</v>
      </c>
      <c r="P907">
        <v>28913.94</v>
      </c>
      <c r="Q907" t="s">
        <v>47</v>
      </c>
      <c r="R907" t="s">
        <v>48</v>
      </c>
      <c r="S907">
        <v>4</v>
      </c>
      <c r="T907">
        <f>YEAR(Sales_Data_1[[#This Row],[Order_Date]])</f>
        <v>2025</v>
      </c>
      <c r="U907" t="str">
        <f>TEXT(Sales_Data_1[[#This Row],[Order_Date]], "mmm")</f>
        <v>Jan</v>
      </c>
      <c r="V907">
        <f>MONTH(Sales_Data_1[[#This Row],[Order_Date]])</f>
        <v>1</v>
      </c>
      <c r="W907" t="str">
        <f>TEXT(Sales_Data_1[[#This Row],[Order_Date]], "yyyy-mm")</f>
        <v>2025-01</v>
      </c>
      <c r="X907">
        <f>Sales_Data_1[[#This Row],[Sales]]-Sales_Data_1[[#This Row],[Profit_Amount]]</f>
        <v>115655.76000000001</v>
      </c>
      <c r="Y907" t="str" cm="1">
        <f t="array" ref="Y907">_xlfn.IFS(Sales_Data_1[[#This Row],[Delivery_Days]]&lt;=3, "Fast", Sales_Data_1[[#This Row],[Delivery_Days]]&lt;= 7, "Standard", TRUE, "Delayed")</f>
        <v>Standard</v>
      </c>
      <c r="Z907" t="str" cm="1">
        <f t="array" ref="Z907">_xlfn.IFS(Sales_Data_1[[#This Row],[Profit_Amount]]&gt; 0, "Profitable", Sales_Data_1[[#This Row],[Profit_Amount]] = 0, "Break-Even", TRUE, "Loss")</f>
        <v>Profitable</v>
      </c>
      <c r="AA907" t="str" cm="1">
        <f t="array" ref="AA907">_xlfn.IFS(Sales_Data_1[[#This Row],[Sales]]&gt;= 1000, "High Value", Sales_Data_1[[#This Row],[Sales]]&gt;= 300, "Mid Value", TRUE, "Low Value")</f>
        <v>High Value</v>
      </c>
    </row>
    <row r="908" spans="1:27" x14ac:dyDescent="0.3">
      <c r="A908" t="s">
        <v>2870</v>
      </c>
      <c r="B908" s="1">
        <v>45756</v>
      </c>
      <c r="C908" t="s">
        <v>96</v>
      </c>
      <c r="D908" t="s">
        <v>31</v>
      </c>
      <c r="E908" t="s">
        <v>2040</v>
      </c>
      <c r="F908" t="s">
        <v>97</v>
      </c>
      <c r="G908" t="s">
        <v>92</v>
      </c>
      <c r="H908" t="s">
        <v>109</v>
      </c>
      <c r="I908" t="s">
        <v>1710</v>
      </c>
      <c r="J908">
        <v>8</v>
      </c>
      <c r="K908">
        <v>24472</v>
      </c>
      <c r="L908">
        <v>0.01</v>
      </c>
      <c r="M908">
        <v>24227.279999999999</v>
      </c>
      <c r="N908">
        <v>193818.23999999999</v>
      </c>
      <c r="O908">
        <v>0.15</v>
      </c>
      <c r="P908">
        <v>29072.74</v>
      </c>
      <c r="Q908" t="s">
        <v>47</v>
      </c>
      <c r="R908" t="s">
        <v>48</v>
      </c>
      <c r="S908">
        <v>7</v>
      </c>
      <c r="T908">
        <f>YEAR(Sales_Data_1[[#This Row],[Order_Date]])</f>
        <v>2025</v>
      </c>
      <c r="U908" t="str">
        <f>TEXT(Sales_Data_1[[#This Row],[Order_Date]], "mmm")</f>
        <v>Apr</v>
      </c>
      <c r="V908">
        <f>MONTH(Sales_Data_1[[#This Row],[Order_Date]])</f>
        <v>4</v>
      </c>
      <c r="W908" t="str">
        <f>TEXT(Sales_Data_1[[#This Row],[Order_Date]], "yyyy-mm")</f>
        <v>2025-04</v>
      </c>
      <c r="X908">
        <f>Sales_Data_1[[#This Row],[Sales]]-Sales_Data_1[[#This Row],[Profit_Amount]]</f>
        <v>164745.5</v>
      </c>
      <c r="Y908" t="str" cm="1">
        <f t="array" ref="Y908">_xlfn.IFS(Sales_Data_1[[#This Row],[Delivery_Days]]&lt;=3, "Fast", Sales_Data_1[[#This Row],[Delivery_Days]]&lt;= 7, "Standard", TRUE, "Delayed")</f>
        <v>Standard</v>
      </c>
      <c r="Z908" t="str" cm="1">
        <f t="array" ref="Z908">_xlfn.IFS(Sales_Data_1[[#This Row],[Profit_Amount]]&gt; 0, "Profitable", Sales_Data_1[[#This Row],[Profit_Amount]] = 0, "Break-Even", TRUE, "Loss")</f>
        <v>Profitable</v>
      </c>
      <c r="AA908" t="str" cm="1">
        <f t="array" ref="AA908">_xlfn.IFS(Sales_Data_1[[#This Row],[Sales]]&gt;= 1000, "High Value", Sales_Data_1[[#This Row],[Sales]]&gt;= 300, "Mid Value", TRUE, "Low Value")</f>
        <v>High Value</v>
      </c>
    </row>
    <row r="909" spans="1:27" x14ac:dyDescent="0.3">
      <c r="A909" t="s">
        <v>2132</v>
      </c>
      <c r="B909" s="1">
        <v>45018</v>
      </c>
      <c r="C909" t="s">
        <v>63</v>
      </c>
      <c r="D909" t="s">
        <v>41</v>
      </c>
      <c r="E909" t="s">
        <v>67</v>
      </c>
      <c r="F909" t="s">
        <v>33</v>
      </c>
      <c r="G909" t="s">
        <v>92</v>
      </c>
      <c r="H909" t="s">
        <v>93</v>
      </c>
      <c r="I909" t="s">
        <v>254</v>
      </c>
      <c r="J909">
        <v>3</v>
      </c>
      <c r="K909">
        <v>76061</v>
      </c>
      <c r="L909">
        <v>0.15</v>
      </c>
      <c r="M909">
        <v>64651.85</v>
      </c>
      <c r="N909">
        <v>193955.55</v>
      </c>
      <c r="O909">
        <v>0.15</v>
      </c>
      <c r="P909">
        <v>29093.33</v>
      </c>
      <c r="Q909" t="s">
        <v>37</v>
      </c>
      <c r="R909" t="s">
        <v>48</v>
      </c>
      <c r="S909">
        <v>9</v>
      </c>
      <c r="T909">
        <f>YEAR(Sales_Data_1[[#This Row],[Order_Date]])</f>
        <v>2023</v>
      </c>
      <c r="U909" t="str">
        <f>TEXT(Sales_Data_1[[#This Row],[Order_Date]], "mmm")</f>
        <v>Apr</v>
      </c>
      <c r="V909">
        <f>MONTH(Sales_Data_1[[#This Row],[Order_Date]])</f>
        <v>4</v>
      </c>
      <c r="W909" t="str">
        <f>TEXT(Sales_Data_1[[#This Row],[Order_Date]], "yyyy-mm")</f>
        <v>2023-04</v>
      </c>
      <c r="X909">
        <f>Sales_Data_1[[#This Row],[Sales]]-Sales_Data_1[[#This Row],[Profit_Amount]]</f>
        <v>164862.21999999997</v>
      </c>
      <c r="Y909" t="str" cm="1">
        <f t="array" ref="Y909">_xlfn.IFS(Sales_Data_1[[#This Row],[Delivery_Days]]&lt;=3, "Fast", Sales_Data_1[[#This Row],[Delivery_Days]]&lt;= 7, "Standard", TRUE, "Delayed")</f>
        <v>Delayed</v>
      </c>
      <c r="Z909" t="str" cm="1">
        <f t="array" ref="Z909">_xlfn.IFS(Sales_Data_1[[#This Row],[Profit_Amount]]&gt; 0, "Profitable", Sales_Data_1[[#This Row],[Profit_Amount]] = 0, "Break-Even", TRUE, "Loss")</f>
        <v>Profitable</v>
      </c>
      <c r="AA909" t="str" cm="1">
        <f t="array" ref="AA909">_xlfn.IFS(Sales_Data_1[[#This Row],[Sales]]&gt;= 1000, "High Value", Sales_Data_1[[#This Row],[Sales]]&gt;= 300, "Mid Value", TRUE, "Low Value")</f>
        <v>High Value</v>
      </c>
    </row>
    <row r="910" spans="1:27" x14ac:dyDescent="0.3">
      <c r="A910" t="s">
        <v>2204</v>
      </c>
      <c r="B910" s="1">
        <v>45090</v>
      </c>
      <c r="C910" t="s">
        <v>63</v>
      </c>
      <c r="D910" t="s">
        <v>41</v>
      </c>
      <c r="E910" t="s">
        <v>2040</v>
      </c>
      <c r="F910" t="s">
        <v>23</v>
      </c>
      <c r="G910" t="s">
        <v>92</v>
      </c>
      <c r="H910" t="s">
        <v>178</v>
      </c>
      <c r="I910" t="s">
        <v>398</v>
      </c>
      <c r="J910">
        <v>5</v>
      </c>
      <c r="K910">
        <v>51235</v>
      </c>
      <c r="L910">
        <v>0.24</v>
      </c>
      <c r="M910">
        <v>38938.6</v>
      </c>
      <c r="N910">
        <v>194693</v>
      </c>
      <c r="O910">
        <v>0.15</v>
      </c>
      <c r="P910">
        <v>29203.95</v>
      </c>
      <c r="Q910" t="s">
        <v>47</v>
      </c>
      <c r="R910" t="s">
        <v>48</v>
      </c>
      <c r="S910">
        <v>1</v>
      </c>
      <c r="T910">
        <f>YEAR(Sales_Data_1[[#This Row],[Order_Date]])</f>
        <v>2023</v>
      </c>
      <c r="U910" t="str">
        <f>TEXT(Sales_Data_1[[#This Row],[Order_Date]], "mmm")</f>
        <v>Jun</v>
      </c>
      <c r="V910">
        <f>MONTH(Sales_Data_1[[#This Row],[Order_Date]])</f>
        <v>6</v>
      </c>
      <c r="W910" t="str">
        <f>TEXT(Sales_Data_1[[#This Row],[Order_Date]], "yyyy-mm")</f>
        <v>2023-06</v>
      </c>
      <c r="X910">
        <f>Sales_Data_1[[#This Row],[Sales]]-Sales_Data_1[[#This Row],[Profit_Amount]]</f>
        <v>165489.04999999999</v>
      </c>
      <c r="Y910" t="str" cm="1">
        <f t="array" ref="Y910">_xlfn.IFS(Sales_Data_1[[#This Row],[Delivery_Days]]&lt;=3, "Fast", Sales_Data_1[[#This Row],[Delivery_Days]]&lt;= 7, "Standard", TRUE, "Delayed")</f>
        <v>Fast</v>
      </c>
      <c r="Z910" t="str" cm="1">
        <f t="array" ref="Z910">_xlfn.IFS(Sales_Data_1[[#This Row],[Profit_Amount]]&gt; 0, "Profitable", Sales_Data_1[[#This Row],[Profit_Amount]] = 0, "Break-Even", TRUE, "Loss")</f>
        <v>Profitable</v>
      </c>
      <c r="AA910" t="str" cm="1">
        <f t="array" ref="AA910">_xlfn.IFS(Sales_Data_1[[#This Row],[Sales]]&gt;= 1000, "High Value", Sales_Data_1[[#This Row],[Sales]]&gt;= 300, "Mid Value", TRUE, "Low Value")</f>
        <v>High Value</v>
      </c>
    </row>
    <row r="911" spans="1:27" x14ac:dyDescent="0.3">
      <c r="A911" t="s">
        <v>2277</v>
      </c>
      <c r="B911" s="1">
        <v>45163</v>
      </c>
      <c r="C911" t="s">
        <v>20</v>
      </c>
      <c r="D911" t="s">
        <v>21</v>
      </c>
      <c r="E911" t="s">
        <v>42</v>
      </c>
      <c r="F911" t="s">
        <v>33</v>
      </c>
      <c r="G911" t="s">
        <v>92</v>
      </c>
      <c r="H911" t="s">
        <v>243</v>
      </c>
      <c r="I911" t="s">
        <v>544</v>
      </c>
      <c r="J911">
        <v>6</v>
      </c>
      <c r="K911">
        <v>37723</v>
      </c>
      <c r="L911">
        <v>0.13</v>
      </c>
      <c r="M911">
        <v>32819.01</v>
      </c>
      <c r="N911">
        <v>196914.06</v>
      </c>
      <c r="O911">
        <v>0.15</v>
      </c>
      <c r="P911">
        <v>29537.11</v>
      </c>
      <c r="Q911" t="s">
        <v>47</v>
      </c>
      <c r="R911" t="s">
        <v>48</v>
      </c>
      <c r="S911">
        <v>2</v>
      </c>
      <c r="T911">
        <f>YEAR(Sales_Data_1[[#This Row],[Order_Date]])</f>
        <v>2023</v>
      </c>
      <c r="U911" t="str">
        <f>TEXT(Sales_Data_1[[#This Row],[Order_Date]], "mmm")</f>
        <v>Aug</v>
      </c>
      <c r="V911">
        <f>MONTH(Sales_Data_1[[#This Row],[Order_Date]])</f>
        <v>8</v>
      </c>
      <c r="W911" t="str">
        <f>TEXT(Sales_Data_1[[#This Row],[Order_Date]], "yyyy-mm")</f>
        <v>2023-08</v>
      </c>
      <c r="X911">
        <f>Sales_Data_1[[#This Row],[Sales]]-Sales_Data_1[[#This Row],[Profit_Amount]]</f>
        <v>167376.95000000001</v>
      </c>
      <c r="Y911" t="str" cm="1">
        <f t="array" ref="Y911">_xlfn.IFS(Sales_Data_1[[#This Row],[Delivery_Days]]&lt;=3, "Fast", Sales_Data_1[[#This Row],[Delivery_Days]]&lt;= 7, "Standard", TRUE, "Delayed")</f>
        <v>Fast</v>
      </c>
      <c r="Z911" t="str" cm="1">
        <f t="array" ref="Z911">_xlfn.IFS(Sales_Data_1[[#This Row],[Profit_Amount]]&gt; 0, "Profitable", Sales_Data_1[[#This Row],[Profit_Amount]] = 0, "Break-Even", TRUE, "Loss")</f>
        <v>Profitable</v>
      </c>
      <c r="AA911" t="str" cm="1">
        <f t="array" ref="AA911">_xlfn.IFS(Sales_Data_1[[#This Row],[Sales]]&gt;= 1000, "High Value", Sales_Data_1[[#This Row],[Sales]]&gt;= 300, "Mid Value", TRUE, "Low Value")</f>
        <v>High Value</v>
      </c>
    </row>
    <row r="912" spans="1:27" x14ac:dyDescent="0.3">
      <c r="A912" t="s">
        <v>2631</v>
      </c>
      <c r="B912" s="1">
        <v>45517</v>
      </c>
      <c r="C912" t="s">
        <v>63</v>
      </c>
      <c r="D912" t="s">
        <v>41</v>
      </c>
      <c r="E912" t="s">
        <v>2040</v>
      </c>
      <c r="F912" t="s">
        <v>68</v>
      </c>
      <c r="G912" t="s">
        <v>92</v>
      </c>
      <c r="H912" t="s">
        <v>109</v>
      </c>
      <c r="I912" t="s">
        <v>112</v>
      </c>
      <c r="J912">
        <v>6</v>
      </c>
      <c r="K912">
        <v>39300</v>
      </c>
      <c r="L912">
        <v>0.16</v>
      </c>
      <c r="M912">
        <v>33012</v>
      </c>
      <c r="N912">
        <v>198072</v>
      </c>
      <c r="O912">
        <v>0.15</v>
      </c>
      <c r="P912">
        <v>29710.799999999999</v>
      </c>
      <c r="Q912" t="s">
        <v>51</v>
      </c>
      <c r="R912" t="s">
        <v>48</v>
      </c>
      <c r="S912">
        <v>4</v>
      </c>
      <c r="T912">
        <f>YEAR(Sales_Data_1[[#This Row],[Order_Date]])</f>
        <v>2024</v>
      </c>
      <c r="U912" t="str">
        <f>TEXT(Sales_Data_1[[#This Row],[Order_Date]], "mmm")</f>
        <v>Aug</v>
      </c>
      <c r="V912">
        <f>MONTH(Sales_Data_1[[#This Row],[Order_Date]])</f>
        <v>8</v>
      </c>
      <c r="W912" t="str">
        <f>TEXT(Sales_Data_1[[#This Row],[Order_Date]], "yyyy-mm")</f>
        <v>2024-08</v>
      </c>
      <c r="X912">
        <f>Sales_Data_1[[#This Row],[Sales]]-Sales_Data_1[[#This Row],[Profit_Amount]]</f>
        <v>168361.2</v>
      </c>
      <c r="Y912" t="str" cm="1">
        <f t="array" ref="Y912">_xlfn.IFS(Sales_Data_1[[#This Row],[Delivery_Days]]&lt;=3, "Fast", Sales_Data_1[[#This Row],[Delivery_Days]]&lt;= 7, "Standard", TRUE, "Delayed")</f>
        <v>Standard</v>
      </c>
      <c r="Z912" t="str" cm="1">
        <f t="array" ref="Z912">_xlfn.IFS(Sales_Data_1[[#This Row],[Profit_Amount]]&gt; 0, "Profitable", Sales_Data_1[[#This Row],[Profit_Amount]] = 0, "Break-Even", TRUE, "Loss")</f>
        <v>Profitable</v>
      </c>
      <c r="AA912" t="str" cm="1">
        <f t="array" ref="AA912">_xlfn.IFS(Sales_Data_1[[#This Row],[Sales]]&gt;= 1000, "High Value", Sales_Data_1[[#This Row],[Sales]]&gt;= 300, "Mid Value", TRUE, "Low Value")</f>
        <v>High Value</v>
      </c>
    </row>
    <row r="913" spans="1:27" x14ac:dyDescent="0.3">
      <c r="A913" t="s">
        <v>2189</v>
      </c>
      <c r="B913" s="1">
        <v>45075</v>
      </c>
      <c r="C913" t="s">
        <v>30</v>
      </c>
      <c r="D913" t="s">
        <v>56</v>
      </c>
      <c r="E913" t="s">
        <v>42</v>
      </c>
      <c r="F913" t="s">
        <v>43</v>
      </c>
      <c r="G913" t="s">
        <v>57</v>
      </c>
      <c r="H913" t="s">
        <v>100</v>
      </c>
      <c r="I913" t="s">
        <v>368</v>
      </c>
      <c r="J913">
        <v>9</v>
      </c>
      <c r="K913">
        <v>16846</v>
      </c>
      <c r="L913">
        <v>0.02</v>
      </c>
      <c r="M913">
        <v>16509.080000000002</v>
      </c>
      <c r="N913">
        <v>148581.72</v>
      </c>
      <c r="O913">
        <v>0.2</v>
      </c>
      <c r="P913">
        <v>29716.34</v>
      </c>
      <c r="Q913" t="s">
        <v>47</v>
      </c>
      <c r="R913" t="s">
        <v>48</v>
      </c>
      <c r="S913">
        <v>8</v>
      </c>
      <c r="T913">
        <f>YEAR(Sales_Data_1[[#This Row],[Order_Date]])</f>
        <v>2023</v>
      </c>
      <c r="U913" t="str">
        <f>TEXT(Sales_Data_1[[#This Row],[Order_Date]], "mmm")</f>
        <v>May</v>
      </c>
      <c r="V913">
        <f>MONTH(Sales_Data_1[[#This Row],[Order_Date]])</f>
        <v>5</v>
      </c>
      <c r="W913" t="str">
        <f>TEXT(Sales_Data_1[[#This Row],[Order_Date]], "yyyy-mm")</f>
        <v>2023-05</v>
      </c>
      <c r="X913">
        <f>Sales_Data_1[[#This Row],[Sales]]-Sales_Data_1[[#This Row],[Profit_Amount]]</f>
        <v>118865.38</v>
      </c>
      <c r="Y913" t="str" cm="1">
        <f t="array" ref="Y913">_xlfn.IFS(Sales_Data_1[[#This Row],[Delivery_Days]]&lt;=3, "Fast", Sales_Data_1[[#This Row],[Delivery_Days]]&lt;= 7, "Standard", TRUE, "Delayed")</f>
        <v>Delayed</v>
      </c>
      <c r="Z913" t="str" cm="1">
        <f t="array" ref="Z913">_xlfn.IFS(Sales_Data_1[[#This Row],[Profit_Amount]]&gt; 0, "Profitable", Sales_Data_1[[#This Row],[Profit_Amount]] = 0, "Break-Even", TRUE, "Loss")</f>
        <v>Profitable</v>
      </c>
      <c r="AA913" t="str" cm="1">
        <f t="array" ref="AA913">_xlfn.IFS(Sales_Data_1[[#This Row],[Sales]]&gt;= 1000, "High Value", Sales_Data_1[[#This Row],[Sales]]&gt;= 300, "Mid Value", TRUE, "Low Value")</f>
        <v>High Value</v>
      </c>
    </row>
    <row r="914" spans="1:27" x14ac:dyDescent="0.3">
      <c r="A914" t="s">
        <v>2750</v>
      </c>
      <c r="B914" s="1">
        <v>45636</v>
      </c>
      <c r="C914" t="s">
        <v>20</v>
      </c>
      <c r="D914" t="s">
        <v>31</v>
      </c>
      <c r="E914" t="s">
        <v>67</v>
      </c>
      <c r="F914" t="s">
        <v>68</v>
      </c>
      <c r="G914" t="s">
        <v>92</v>
      </c>
      <c r="H914" t="s">
        <v>93</v>
      </c>
      <c r="I914" t="s">
        <v>1475</v>
      </c>
      <c r="J914">
        <v>7</v>
      </c>
      <c r="K914">
        <v>33387</v>
      </c>
      <c r="L914">
        <v>0.15</v>
      </c>
      <c r="M914">
        <v>28378.95</v>
      </c>
      <c r="N914">
        <v>198652.65</v>
      </c>
      <c r="O914">
        <v>0.15</v>
      </c>
      <c r="P914">
        <v>29797.9</v>
      </c>
      <c r="Q914" t="s">
        <v>47</v>
      </c>
      <c r="R914" t="s">
        <v>48</v>
      </c>
      <c r="S914">
        <v>8</v>
      </c>
      <c r="T914">
        <f>YEAR(Sales_Data_1[[#This Row],[Order_Date]])</f>
        <v>2024</v>
      </c>
      <c r="U914" t="str">
        <f>TEXT(Sales_Data_1[[#This Row],[Order_Date]], "mmm")</f>
        <v>Dec</v>
      </c>
      <c r="V914">
        <f>MONTH(Sales_Data_1[[#This Row],[Order_Date]])</f>
        <v>12</v>
      </c>
      <c r="W914" t="str">
        <f>TEXT(Sales_Data_1[[#This Row],[Order_Date]], "yyyy-mm")</f>
        <v>2024-12</v>
      </c>
      <c r="X914">
        <f>Sales_Data_1[[#This Row],[Sales]]-Sales_Data_1[[#This Row],[Profit_Amount]]</f>
        <v>168854.75</v>
      </c>
      <c r="Y914" t="str" cm="1">
        <f t="array" ref="Y914">_xlfn.IFS(Sales_Data_1[[#This Row],[Delivery_Days]]&lt;=3, "Fast", Sales_Data_1[[#This Row],[Delivery_Days]]&lt;= 7, "Standard", TRUE, "Delayed")</f>
        <v>Delayed</v>
      </c>
      <c r="Z914" t="str" cm="1">
        <f t="array" ref="Z914">_xlfn.IFS(Sales_Data_1[[#This Row],[Profit_Amount]]&gt; 0, "Profitable", Sales_Data_1[[#This Row],[Profit_Amount]] = 0, "Break-Even", TRUE, "Loss")</f>
        <v>Profitable</v>
      </c>
      <c r="AA914" t="str" cm="1">
        <f t="array" ref="AA914">_xlfn.IFS(Sales_Data_1[[#This Row],[Sales]]&gt;= 1000, "High Value", Sales_Data_1[[#This Row],[Sales]]&gt;= 300, "Mid Value", TRUE, "Low Value")</f>
        <v>High Value</v>
      </c>
    </row>
    <row r="915" spans="1:27" x14ac:dyDescent="0.3">
      <c r="A915" t="s">
        <v>2539</v>
      </c>
      <c r="B915" s="1">
        <v>45425</v>
      </c>
      <c r="C915" t="s">
        <v>30</v>
      </c>
      <c r="D915" t="s">
        <v>56</v>
      </c>
      <c r="E915" t="s">
        <v>67</v>
      </c>
      <c r="F915" t="s">
        <v>68</v>
      </c>
      <c r="G915" t="s">
        <v>92</v>
      </c>
      <c r="H915" t="s">
        <v>243</v>
      </c>
      <c r="I915" t="s">
        <v>1061</v>
      </c>
      <c r="J915">
        <v>4</v>
      </c>
      <c r="K915">
        <v>60200</v>
      </c>
      <c r="L915">
        <v>0.15</v>
      </c>
      <c r="M915">
        <v>51170</v>
      </c>
      <c r="N915">
        <v>204680</v>
      </c>
      <c r="O915">
        <v>0.15</v>
      </c>
      <c r="P915">
        <v>30702</v>
      </c>
      <c r="Q915" t="s">
        <v>27</v>
      </c>
      <c r="R915" t="s">
        <v>48</v>
      </c>
      <c r="S915">
        <v>1</v>
      </c>
      <c r="T915">
        <f>YEAR(Sales_Data_1[[#This Row],[Order_Date]])</f>
        <v>2024</v>
      </c>
      <c r="U915" t="str">
        <f>TEXT(Sales_Data_1[[#This Row],[Order_Date]], "mmm")</f>
        <v>May</v>
      </c>
      <c r="V915">
        <f>MONTH(Sales_Data_1[[#This Row],[Order_Date]])</f>
        <v>5</v>
      </c>
      <c r="W915" t="str">
        <f>TEXT(Sales_Data_1[[#This Row],[Order_Date]], "yyyy-mm")</f>
        <v>2024-05</v>
      </c>
      <c r="X915">
        <f>Sales_Data_1[[#This Row],[Sales]]-Sales_Data_1[[#This Row],[Profit_Amount]]</f>
        <v>173978</v>
      </c>
      <c r="Y915" t="str" cm="1">
        <f t="array" ref="Y915">_xlfn.IFS(Sales_Data_1[[#This Row],[Delivery_Days]]&lt;=3, "Fast", Sales_Data_1[[#This Row],[Delivery_Days]]&lt;= 7, "Standard", TRUE, "Delayed")</f>
        <v>Fast</v>
      </c>
      <c r="Z915" t="str" cm="1">
        <f t="array" ref="Z915">_xlfn.IFS(Sales_Data_1[[#This Row],[Profit_Amount]]&gt; 0, "Profitable", Sales_Data_1[[#This Row],[Profit_Amount]] = 0, "Break-Even", TRUE, "Loss")</f>
        <v>Profitable</v>
      </c>
      <c r="AA915" t="str" cm="1">
        <f t="array" ref="AA915">_xlfn.IFS(Sales_Data_1[[#This Row],[Sales]]&gt;= 1000, "High Value", Sales_Data_1[[#This Row],[Sales]]&gt;= 300, "Mid Value", TRUE, "Low Value")</f>
        <v>High Value</v>
      </c>
    </row>
    <row r="916" spans="1:27" x14ac:dyDescent="0.3">
      <c r="A916" t="s">
        <v>2592</v>
      </c>
      <c r="B916" s="1">
        <v>45478</v>
      </c>
      <c r="C916" t="s">
        <v>63</v>
      </c>
      <c r="D916" t="s">
        <v>21</v>
      </c>
      <c r="E916" t="s">
        <v>42</v>
      </c>
      <c r="F916" t="s">
        <v>103</v>
      </c>
      <c r="G916" t="s">
        <v>57</v>
      </c>
      <c r="H916" t="s">
        <v>58</v>
      </c>
      <c r="I916" t="s">
        <v>1166</v>
      </c>
      <c r="J916">
        <v>9</v>
      </c>
      <c r="K916">
        <v>17422</v>
      </c>
      <c r="L916">
        <v>0.02</v>
      </c>
      <c r="M916">
        <v>17073.560000000001</v>
      </c>
      <c r="N916">
        <v>153662.04</v>
      </c>
      <c r="O916">
        <v>0.2</v>
      </c>
      <c r="P916">
        <v>30732.41</v>
      </c>
      <c r="Q916" t="s">
        <v>37</v>
      </c>
      <c r="R916" t="s">
        <v>48</v>
      </c>
      <c r="S916">
        <v>3</v>
      </c>
      <c r="T916">
        <f>YEAR(Sales_Data_1[[#This Row],[Order_Date]])</f>
        <v>2024</v>
      </c>
      <c r="U916" t="str">
        <f>TEXT(Sales_Data_1[[#This Row],[Order_Date]], "mmm")</f>
        <v>Jul</v>
      </c>
      <c r="V916">
        <f>MONTH(Sales_Data_1[[#This Row],[Order_Date]])</f>
        <v>7</v>
      </c>
      <c r="W916" t="str">
        <f>TEXT(Sales_Data_1[[#This Row],[Order_Date]], "yyyy-mm")</f>
        <v>2024-07</v>
      </c>
      <c r="X916">
        <f>Sales_Data_1[[#This Row],[Sales]]-Sales_Data_1[[#This Row],[Profit_Amount]]</f>
        <v>122929.63</v>
      </c>
      <c r="Y916" t="str" cm="1">
        <f t="array" ref="Y916">_xlfn.IFS(Sales_Data_1[[#This Row],[Delivery_Days]]&lt;=3, "Fast", Sales_Data_1[[#This Row],[Delivery_Days]]&lt;= 7, "Standard", TRUE, "Delayed")</f>
        <v>Fast</v>
      </c>
      <c r="Z916" t="str" cm="1">
        <f t="array" ref="Z916">_xlfn.IFS(Sales_Data_1[[#This Row],[Profit_Amount]]&gt; 0, "Profitable", Sales_Data_1[[#This Row],[Profit_Amount]] = 0, "Break-Even", TRUE, "Loss")</f>
        <v>Profitable</v>
      </c>
      <c r="AA916" t="str" cm="1">
        <f t="array" ref="AA916">_xlfn.IFS(Sales_Data_1[[#This Row],[Sales]]&gt;= 1000, "High Value", Sales_Data_1[[#This Row],[Sales]]&gt;= 300, "Mid Value", TRUE, "Low Value")</f>
        <v>High Value</v>
      </c>
    </row>
    <row r="917" spans="1:27" x14ac:dyDescent="0.3">
      <c r="A917" t="s">
        <v>2443</v>
      </c>
      <c r="B917" s="1">
        <v>45329</v>
      </c>
      <c r="C917" t="s">
        <v>55</v>
      </c>
      <c r="D917" t="s">
        <v>31</v>
      </c>
      <c r="E917" t="s">
        <v>67</v>
      </c>
      <c r="F917" t="s">
        <v>33</v>
      </c>
      <c r="G917" t="s">
        <v>92</v>
      </c>
      <c r="H917" t="s">
        <v>93</v>
      </c>
      <c r="I917" t="s">
        <v>872</v>
      </c>
      <c r="J917">
        <v>4</v>
      </c>
      <c r="K917">
        <v>55113</v>
      </c>
      <c r="L917">
        <v>7.0000000000000007E-2</v>
      </c>
      <c r="M917">
        <v>51255.09</v>
      </c>
      <c r="N917">
        <v>205020.36</v>
      </c>
      <c r="O917">
        <v>0.15</v>
      </c>
      <c r="P917">
        <v>30753.05</v>
      </c>
      <c r="Q917" t="s">
        <v>47</v>
      </c>
      <c r="R917" t="s">
        <v>38</v>
      </c>
      <c r="S917">
        <v>3</v>
      </c>
      <c r="T917">
        <f>YEAR(Sales_Data_1[[#This Row],[Order_Date]])</f>
        <v>2024</v>
      </c>
      <c r="U917" t="str">
        <f>TEXT(Sales_Data_1[[#This Row],[Order_Date]], "mmm")</f>
        <v>Feb</v>
      </c>
      <c r="V917">
        <f>MONTH(Sales_Data_1[[#This Row],[Order_Date]])</f>
        <v>2</v>
      </c>
      <c r="W917" t="str">
        <f>TEXT(Sales_Data_1[[#This Row],[Order_Date]], "yyyy-mm")</f>
        <v>2024-02</v>
      </c>
      <c r="X917">
        <f>Sales_Data_1[[#This Row],[Sales]]-Sales_Data_1[[#This Row],[Profit_Amount]]</f>
        <v>174267.31</v>
      </c>
      <c r="Y917" t="str" cm="1">
        <f t="array" ref="Y917">_xlfn.IFS(Sales_Data_1[[#This Row],[Delivery_Days]]&lt;=3, "Fast", Sales_Data_1[[#This Row],[Delivery_Days]]&lt;= 7, "Standard", TRUE, "Delayed")</f>
        <v>Fast</v>
      </c>
      <c r="Z917" t="str" cm="1">
        <f t="array" ref="Z917">_xlfn.IFS(Sales_Data_1[[#This Row],[Profit_Amount]]&gt; 0, "Profitable", Sales_Data_1[[#This Row],[Profit_Amount]] = 0, "Break-Even", TRUE, "Loss")</f>
        <v>Profitable</v>
      </c>
      <c r="AA917" t="str" cm="1">
        <f t="array" ref="AA917">_xlfn.IFS(Sales_Data_1[[#This Row],[Sales]]&gt;= 1000, "High Value", Sales_Data_1[[#This Row],[Sales]]&gt;= 300, "Mid Value", TRUE, "Low Value")</f>
        <v>High Value</v>
      </c>
    </row>
    <row r="918" spans="1:27" x14ac:dyDescent="0.3">
      <c r="A918" t="s">
        <v>2939</v>
      </c>
      <c r="B918" s="1">
        <v>45825</v>
      </c>
      <c r="C918" t="s">
        <v>40</v>
      </c>
      <c r="D918" t="s">
        <v>31</v>
      </c>
      <c r="E918" t="s">
        <v>2042</v>
      </c>
      <c r="F918" t="s">
        <v>23</v>
      </c>
      <c r="G918" t="s">
        <v>92</v>
      </c>
      <c r="H918" t="s">
        <v>109</v>
      </c>
      <c r="I918" t="s">
        <v>1846</v>
      </c>
      <c r="J918">
        <v>9</v>
      </c>
      <c r="K918">
        <v>24289</v>
      </c>
      <c r="L918">
        <v>0.06</v>
      </c>
      <c r="M918">
        <v>22831.66</v>
      </c>
      <c r="N918">
        <v>205484.94</v>
      </c>
      <c r="O918">
        <v>0.15</v>
      </c>
      <c r="P918">
        <v>30822.74</v>
      </c>
      <c r="Q918" t="s">
        <v>37</v>
      </c>
      <c r="R918" t="s">
        <v>48</v>
      </c>
      <c r="S918">
        <v>8</v>
      </c>
      <c r="T918">
        <f>YEAR(Sales_Data_1[[#This Row],[Order_Date]])</f>
        <v>2025</v>
      </c>
      <c r="U918" t="str">
        <f>TEXT(Sales_Data_1[[#This Row],[Order_Date]], "mmm")</f>
        <v>Jun</v>
      </c>
      <c r="V918">
        <f>MONTH(Sales_Data_1[[#This Row],[Order_Date]])</f>
        <v>6</v>
      </c>
      <c r="W918" t="str">
        <f>TEXT(Sales_Data_1[[#This Row],[Order_Date]], "yyyy-mm")</f>
        <v>2025-06</v>
      </c>
      <c r="X918">
        <f>Sales_Data_1[[#This Row],[Sales]]-Sales_Data_1[[#This Row],[Profit_Amount]]</f>
        <v>174662.2</v>
      </c>
      <c r="Y918" t="str" cm="1">
        <f t="array" ref="Y918">_xlfn.IFS(Sales_Data_1[[#This Row],[Delivery_Days]]&lt;=3, "Fast", Sales_Data_1[[#This Row],[Delivery_Days]]&lt;= 7, "Standard", TRUE, "Delayed")</f>
        <v>Delayed</v>
      </c>
      <c r="Z918" t="str" cm="1">
        <f t="array" ref="Z918">_xlfn.IFS(Sales_Data_1[[#This Row],[Profit_Amount]]&gt; 0, "Profitable", Sales_Data_1[[#This Row],[Profit_Amount]] = 0, "Break-Even", TRUE, "Loss")</f>
        <v>Profitable</v>
      </c>
      <c r="AA918" t="str" cm="1">
        <f t="array" ref="AA918">_xlfn.IFS(Sales_Data_1[[#This Row],[Sales]]&gt;= 1000, "High Value", Sales_Data_1[[#This Row],[Sales]]&gt;= 300, "Mid Value", TRUE, "Low Value")</f>
        <v>High Value</v>
      </c>
    </row>
    <row r="919" spans="1:27" x14ac:dyDescent="0.3">
      <c r="A919" t="s">
        <v>2976</v>
      </c>
      <c r="B919" s="1">
        <v>45862</v>
      </c>
      <c r="C919" t="s">
        <v>96</v>
      </c>
      <c r="D919" t="s">
        <v>56</v>
      </c>
      <c r="E919" t="s">
        <v>2040</v>
      </c>
      <c r="F919" t="s">
        <v>103</v>
      </c>
      <c r="G919" t="s">
        <v>92</v>
      </c>
      <c r="H919" t="s">
        <v>93</v>
      </c>
      <c r="I919" t="s">
        <v>1915</v>
      </c>
      <c r="J919">
        <v>3</v>
      </c>
      <c r="K919">
        <v>77169</v>
      </c>
      <c r="L919">
        <v>0.11</v>
      </c>
      <c r="M919">
        <v>68680.41</v>
      </c>
      <c r="N919">
        <v>206041.23</v>
      </c>
      <c r="O919">
        <v>0.15</v>
      </c>
      <c r="P919">
        <v>30906.18</v>
      </c>
      <c r="Q919" t="s">
        <v>27</v>
      </c>
      <c r="R919" t="s">
        <v>48</v>
      </c>
      <c r="S919">
        <v>5</v>
      </c>
      <c r="T919">
        <f>YEAR(Sales_Data_1[[#This Row],[Order_Date]])</f>
        <v>2025</v>
      </c>
      <c r="U919" t="str">
        <f>TEXT(Sales_Data_1[[#This Row],[Order_Date]], "mmm")</f>
        <v>Jul</v>
      </c>
      <c r="V919">
        <f>MONTH(Sales_Data_1[[#This Row],[Order_Date]])</f>
        <v>7</v>
      </c>
      <c r="W919" t="str">
        <f>TEXT(Sales_Data_1[[#This Row],[Order_Date]], "yyyy-mm")</f>
        <v>2025-07</v>
      </c>
      <c r="X919">
        <f>Sales_Data_1[[#This Row],[Sales]]-Sales_Data_1[[#This Row],[Profit_Amount]]</f>
        <v>175135.05000000002</v>
      </c>
      <c r="Y919" t="str" cm="1">
        <f t="array" ref="Y919">_xlfn.IFS(Sales_Data_1[[#This Row],[Delivery_Days]]&lt;=3, "Fast", Sales_Data_1[[#This Row],[Delivery_Days]]&lt;= 7, "Standard", TRUE, "Delayed")</f>
        <v>Standard</v>
      </c>
      <c r="Z919" t="str" cm="1">
        <f t="array" ref="Z919">_xlfn.IFS(Sales_Data_1[[#This Row],[Profit_Amount]]&gt; 0, "Profitable", Sales_Data_1[[#This Row],[Profit_Amount]] = 0, "Break-Even", TRUE, "Loss")</f>
        <v>Profitable</v>
      </c>
      <c r="AA919" t="str" cm="1">
        <f t="array" ref="AA919">_xlfn.IFS(Sales_Data_1[[#This Row],[Sales]]&gt;= 1000, "High Value", Sales_Data_1[[#This Row],[Sales]]&gt;= 300, "Mid Value", TRUE, "Low Value")</f>
        <v>High Value</v>
      </c>
    </row>
    <row r="920" spans="1:27" x14ac:dyDescent="0.3">
      <c r="A920" t="s">
        <v>2111</v>
      </c>
      <c r="B920" s="1">
        <v>44997</v>
      </c>
      <c r="C920" t="s">
        <v>63</v>
      </c>
      <c r="D920" t="s">
        <v>21</v>
      </c>
      <c r="E920" t="s">
        <v>42</v>
      </c>
      <c r="F920" t="s">
        <v>23</v>
      </c>
      <c r="G920" t="s">
        <v>92</v>
      </c>
      <c r="H920" t="s">
        <v>178</v>
      </c>
      <c r="I920" t="s">
        <v>211</v>
      </c>
      <c r="J920">
        <v>3</v>
      </c>
      <c r="K920">
        <v>75128</v>
      </c>
      <c r="L920">
        <v>7.0000000000000007E-2</v>
      </c>
      <c r="M920">
        <v>69869.039999999994</v>
      </c>
      <c r="N920">
        <v>209607.12</v>
      </c>
      <c r="O920">
        <v>0.15</v>
      </c>
      <c r="P920">
        <v>31441.07</v>
      </c>
      <c r="Q920" t="s">
        <v>27</v>
      </c>
      <c r="R920" t="s">
        <v>48</v>
      </c>
      <c r="S920">
        <v>8</v>
      </c>
      <c r="T920">
        <f>YEAR(Sales_Data_1[[#This Row],[Order_Date]])</f>
        <v>2023</v>
      </c>
      <c r="U920" t="str">
        <f>TEXT(Sales_Data_1[[#This Row],[Order_Date]], "mmm")</f>
        <v>Mar</v>
      </c>
      <c r="V920">
        <f>MONTH(Sales_Data_1[[#This Row],[Order_Date]])</f>
        <v>3</v>
      </c>
      <c r="W920" t="str">
        <f>TEXT(Sales_Data_1[[#This Row],[Order_Date]], "yyyy-mm")</f>
        <v>2023-03</v>
      </c>
      <c r="X920">
        <f>Sales_Data_1[[#This Row],[Sales]]-Sales_Data_1[[#This Row],[Profit_Amount]]</f>
        <v>178166.05</v>
      </c>
      <c r="Y920" t="str" cm="1">
        <f t="array" ref="Y920">_xlfn.IFS(Sales_Data_1[[#This Row],[Delivery_Days]]&lt;=3, "Fast", Sales_Data_1[[#This Row],[Delivery_Days]]&lt;= 7, "Standard", TRUE, "Delayed")</f>
        <v>Delayed</v>
      </c>
      <c r="Z920" t="str" cm="1">
        <f t="array" ref="Z920">_xlfn.IFS(Sales_Data_1[[#This Row],[Profit_Amount]]&gt; 0, "Profitable", Sales_Data_1[[#This Row],[Profit_Amount]] = 0, "Break-Even", TRUE, "Loss")</f>
        <v>Profitable</v>
      </c>
      <c r="AA920" t="str" cm="1">
        <f t="array" ref="AA920">_xlfn.IFS(Sales_Data_1[[#This Row],[Sales]]&gt;= 1000, "High Value", Sales_Data_1[[#This Row],[Sales]]&gt;= 300, "Mid Value", TRUE, "Low Value")</f>
        <v>High Value</v>
      </c>
    </row>
    <row r="921" spans="1:27" x14ac:dyDescent="0.3">
      <c r="A921" t="s">
        <v>2313</v>
      </c>
      <c r="B921" s="1">
        <v>45199</v>
      </c>
      <c r="C921" t="s">
        <v>63</v>
      </c>
      <c r="D921" t="s">
        <v>41</v>
      </c>
      <c r="E921" t="s">
        <v>2040</v>
      </c>
      <c r="F921" t="s">
        <v>23</v>
      </c>
      <c r="G921" t="s">
        <v>92</v>
      </c>
      <c r="H921" t="s">
        <v>178</v>
      </c>
      <c r="I921" t="s">
        <v>616</v>
      </c>
      <c r="J921">
        <v>4</v>
      </c>
      <c r="K921">
        <v>69889</v>
      </c>
      <c r="L921">
        <v>0.24</v>
      </c>
      <c r="M921">
        <v>53115.64</v>
      </c>
      <c r="N921">
        <v>212462.56</v>
      </c>
      <c r="O921">
        <v>0.15</v>
      </c>
      <c r="P921">
        <v>31869.38</v>
      </c>
      <c r="Q921" t="s">
        <v>47</v>
      </c>
      <c r="R921" t="s">
        <v>38</v>
      </c>
      <c r="S921">
        <v>8</v>
      </c>
      <c r="T921">
        <f>YEAR(Sales_Data_1[[#This Row],[Order_Date]])</f>
        <v>2023</v>
      </c>
      <c r="U921" t="str">
        <f>TEXT(Sales_Data_1[[#This Row],[Order_Date]], "mmm")</f>
        <v>Sep</v>
      </c>
      <c r="V921">
        <f>MONTH(Sales_Data_1[[#This Row],[Order_Date]])</f>
        <v>9</v>
      </c>
      <c r="W921" t="str">
        <f>TEXT(Sales_Data_1[[#This Row],[Order_Date]], "yyyy-mm")</f>
        <v>2023-09</v>
      </c>
      <c r="X921">
        <f>Sales_Data_1[[#This Row],[Sales]]-Sales_Data_1[[#This Row],[Profit_Amount]]</f>
        <v>180593.18</v>
      </c>
      <c r="Y921" t="str" cm="1">
        <f t="array" ref="Y921">_xlfn.IFS(Sales_Data_1[[#This Row],[Delivery_Days]]&lt;=3, "Fast", Sales_Data_1[[#This Row],[Delivery_Days]]&lt;= 7, "Standard", TRUE, "Delayed")</f>
        <v>Delayed</v>
      </c>
      <c r="Z921" t="str" cm="1">
        <f t="array" ref="Z921">_xlfn.IFS(Sales_Data_1[[#This Row],[Profit_Amount]]&gt; 0, "Profitable", Sales_Data_1[[#This Row],[Profit_Amount]] = 0, "Break-Even", TRUE, "Loss")</f>
        <v>Profitable</v>
      </c>
      <c r="AA921" t="str" cm="1">
        <f t="array" ref="AA921">_xlfn.IFS(Sales_Data_1[[#This Row],[Sales]]&gt;= 1000, "High Value", Sales_Data_1[[#This Row],[Sales]]&gt;= 300, "Mid Value", TRUE, "Low Value")</f>
        <v>High Value</v>
      </c>
    </row>
    <row r="922" spans="1:27" x14ac:dyDescent="0.3">
      <c r="A922" t="s">
        <v>2196</v>
      </c>
      <c r="B922" s="1">
        <v>45082</v>
      </c>
      <c r="C922" t="s">
        <v>30</v>
      </c>
      <c r="D922" t="s">
        <v>21</v>
      </c>
      <c r="E922" t="s">
        <v>67</v>
      </c>
      <c r="F922" t="s">
        <v>33</v>
      </c>
      <c r="G922" t="s">
        <v>92</v>
      </c>
      <c r="H922" t="s">
        <v>93</v>
      </c>
      <c r="I922" t="s">
        <v>382</v>
      </c>
      <c r="J922">
        <v>6</v>
      </c>
      <c r="K922">
        <v>38404</v>
      </c>
      <c r="L922">
        <v>7.0000000000000007E-2</v>
      </c>
      <c r="M922">
        <v>35715.72</v>
      </c>
      <c r="N922">
        <v>214294.32</v>
      </c>
      <c r="O922">
        <v>0.15</v>
      </c>
      <c r="P922">
        <v>32144.15</v>
      </c>
      <c r="Q922" t="s">
        <v>37</v>
      </c>
      <c r="R922" t="s">
        <v>28</v>
      </c>
      <c r="S922">
        <v>3</v>
      </c>
      <c r="T922">
        <f>YEAR(Sales_Data_1[[#This Row],[Order_Date]])</f>
        <v>2023</v>
      </c>
      <c r="U922" t="str">
        <f>TEXT(Sales_Data_1[[#This Row],[Order_Date]], "mmm")</f>
        <v>Jun</v>
      </c>
      <c r="V922">
        <f>MONTH(Sales_Data_1[[#This Row],[Order_Date]])</f>
        <v>6</v>
      </c>
      <c r="W922" t="str">
        <f>TEXT(Sales_Data_1[[#This Row],[Order_Date]], "yyyy-mm")</f>
        <v>2023-06</v>
      </c>
      <c r="X922">
        <f>Sales_Data_1[[#This Row],[Sales]]-Sales_Data_1[[#This Row],[Profit_Amount]]</f>
        <v>182150.17</v>
      </c>
      <c r="Y922" t="str" cm="1">
        <f t="array" ref="Y922">_xlfn.IFS(Sales_Data_1[[#This Row],[Delivery_Days]]&lt;=3, "Fast", Sales_Data_1[[#This Row],[Delivery_Days]]&lt;= 7, "Standard", TRUE, "Delayed")</f>
        <v>Fast</v>
      </c>
      <c r="Z922" t="str" cm="1">
        <f t="array" ref="Z922">_xlfn.IFS(Sales_Data_1[[#This Row],[Profit_Amount]]&gt; 0, "Profitable", Sales_Data_1[[#This Row],[Profit_Amount]] = 0, "Break-Even", TRUE, "Loss")</f>
        <v>Profitable</v>
      </c>
      <c r="AA922" t="str" cm="1">
        <f t="array" ref="AA922">_xlfn.IFS(Sales_Data_1[[#This Row],[Sales]]&gt;= 1000, "High Value", Sales_Data_1[[#This Row],[Sales]]&gt;= 300, "Mid Value", TRUE, "Low Value")</f>
        <v>High Value</v>
      </c>
    </row>
    <row r="923" spans="1:27" x14ac:dyDescent="0.3">
      <c r="A923" t="s">
        <v>2979</v>
      </c>
      <c r="B923" s="1">
        <v>45865</v>
      </c>
      <c r="C923" t="s">
        <v>96</v>
      </c>
      <c r="D923" t="s">
        <v>41</v>
      </c>
      <c r="E923" t="s">
        <v>42</v>
      </c>
      <c r="F923" t="s">
        <v>33</v>
      </c>
      <c r="G923" t="s">
        <v>92</v>
      </c>
      <c r="H923" t="s">
        <v>243</v>
      </c>
      <c r="I923" t="s">
        <v>1921</v>
      </c>
      <c r="J923">
        <v>4</v>
      </c>
      <c r="K923">
        <v>57945</v>
      </c>
      <c r="L923">
        <v>0.06</v>
      </c>
      <c r="M923">
        <v>54468.3</v>
      </c>
      <c r="N923">
        <v>217873.2</v>
      </c>
      <c r="O923">
        <v>0.15</v>
      </c>
      <c r="P923">
        <v>32680.98</v>
      </c>
      <c r="Q923" t="s">
        <v>27</v>
      </c>
      <c r="R923" t="s">
        <v>48</v>
      </c>
      <c r="S923">
        <v>3</v>
      </c>
      <c r="T923">
        <f>YEAR(Sales_Data_1[[#This Row],[Order_Date]])</f>
        <v>2025</v>
      </c>
      <c r="U923" t="str">
        <f>TEXT(Sales_Data_1[[#This Row],[Order_Date]], "mmm")</f>
        <v>Jul</v>
      </c>
      <c r="V923">
        <f>MONTH(Sales_Data_1[[#This Row],[Order_Date]])</f>
        <v>7</v>
      </c>
      <c r="W923" t="str">
        <f>TEXT(Sales_Data_1[[#This Row],[Order_Date]], "yyyy-mm")</f>
        <v>2025-07</v>
      </c>
      <c r="X923">
        <f>Sales_Data_1[[#This Row],[Sales]]-Sales_Data_1[[#This Row],[Profit_Amount]]</f>
        <v>185192.22</v>
      </c>
      <c r="Y923" t="str" cm="1">
        <f t="array" ref="Y923">_xlfn.IFS(Sales_Data_1[[#This Row],[Delivery_Days]]&lt;=3, "Fast", Sales_Data_1[[#This Row],[Delivery_Days]]&lt;= 7, "Standard", TRUE, "Delayed")</f>
        <v>Fast</v>
      </c>
      <c r="Z923" t="str" cm="1">
        <f t="array" ref="Z923">_xlfn.IFS(Sales_Data_1[[#This Row],[Profit_Amount]]&gt; 0, "Profitable", Sales_Data_1[[#This Row],[Profit_Amount]] = 0, "Break-Even", TRUE, "Loss")</f>
        <v>Profitable</v>
      </c>
      <c r="AA923" t="str" cm="1">
        <f t="array" ref="AA923">_xlfn.IFS(Sales_Data_1[[#This Row],[Sales]]&gt;= 1000, "High Value", Sales_Data_1[[#This Row],[Sales]]&gt;= 300, "Mid Value", TRUE, "Low Value")</f>
        <v>High Value</v>
      </c>
    </row>
    <row r="924" spans="1:27" x14ac:dyDescent="0.3">
      <c r="A924" t="s">
        <v>2288</v>
      </c>
      <c r="B924" s="1">
        <v>45174</v>
      </c>
      <c r="C924" t="s">
        <v>30</v>
      </c>
      <c r="D924" t="s">
        <v>21</v>
      </c>
      <c r="E924" t="s">
        <v>2040</v>
      </c>
      <c r="F924" t="s">
        <v>43</v>
      </c>
      <c r="G924" t="s">
        <v>92</v>
      </c>
      <c r="H924" t="s">
        <v>93</v>
      </c>
      <c r="I924" t="s">
        <v>566</v>
      </c>
      <c r="J924">
        <v>7</v>
      </c>
      <c r="K924">
        <v>32443</v>
      </c>
      <c r="L924">
        <v>0.04</v>
      </c>
      <c r="M924">
        <v>31145.279999999999</v>
      </c>
      <c r="N924">
        <v>218016.96</v>
      </c>
      <c r="O924">
        <v>0.15</v>
      </c>
      <c r="P924">
        <v>32702.54</v>
      </c>
      <c r="Q924" t="s">
        <v>27</v>
      </c>
      <c r="R924" t="s">
        <v>38</v>
      </c>
      <c r="S924">
        <v>9</v>
      </c>
      <c r="T924">
        <f>YEAR(Sales_Data_1[[#This Row],[Order_Date]])</f>
        <v>2023</v>
      </c>
      <c r="U924" t="str">
        <f>TEXT(Sales_Data_1[[#This Row],[Order_Date]], "mmm")</f>
        <v>Sep</v>
      </c>
      <c r="V924">
        <f>MONTH(Sales_Data_1[[#This Row],[Order_Date]])</f>
        <v>9</v>
      </c>
      <c r="W924" t="str">
        <f>TEXT(Sales_Data_1[[#This Row],[Order_Date]], "yyyy-mm")</f>
        <v>2023-09</v>
      </c>
      <c r="X924">
        <f>Sales_Data_1[[#This Row],[Sales]]-Sales_Data_1[[#This Row],[Profit_Amount]]</f>
        <v>185314.41999999998</v>
      </c>
      <c r="Y924" t="str" cm="1">
        <f t="array" ref="Y924">_xlfn.IFS(Sales_Data_1[[#This Row],[Delivery_Days]]&lt;=3, "Fast", Sales_Data_1[[#This Row],[Delivery_Days]]&lt;= 7, "Standard", TRUE, "Delayed")</f>
        <v>Delayed</v>
      </c>
      <c r="Z924" t="str" cm="1">
        <f t="array" ref="Z924">_xlfn.IFS(Sales_Data_1[[#This Row],[Profit_Amount]]&gt; 0, "Profitable", Sales_Data_1[[#This Row],[Profit_Amount]] = 0, "Break-Even", TRUE, "Loss")</f>
        <v>Profitable</v>
      </c>
      <c r="AA924" t="str" cm="1">
        <f t="array" ref="AA924">_xlfn.IFS(Sales_Data_1[[#This Row],[Sales]]&gt;= 1000, "High Value", Sales_Data_1[[#This Row],[Sales]]&gt;= 300, "Mid Value", TRUE, "Low Value")</f>
        <v>High Value</v>
      </c>
    </row>
    <row r="925" spans="1:27" x14ac:dyDescent="0.3">
      <c r="A925" t="s">
        <v>2546</v>
      </c>
      <c r="B925" s="1">
        <v>45432</v>
      </c>
      <c r="C925" t="s">
        <v>55</v>
      </c>
      <c r="D925" t="s">
        <v>41</v>
      </c>
      <c r="E925" t="s">
        <v>42</v>
      </c>
      <c r="F925" t="s">
        <v>33</v>
      </c>
      <c r="G925" t="s">
        <v>92</v>
      </c>
      <c r="H925" t="s">
        <v>243</v>
      </c>
      <c r="I925" t="s">
        <v>1075</v>
      </c>
      <c r="J925">
        <v>5</v>
      </c>
      <c r="K925">
        <v>43613</v>
      </c>
      <c r="L925">
        <v>0</v>
      </c>
      <c r="M925">
        <v>43613</v>
      </c>
      <c r="N925">
        <v>218065</v>
      </c>
      <c r="O925">
        <v>0.15</v>
      </c>
      <c r="P925">
        <v>32709.75</v>
      </c>
      <c r="Q925" t="s">
        <v>51</v>
      </c>
      <c r="R925" t="s">
        <v>48</v>
      </c>
      <c r="S925">
        <v>7</v>
      </c>
      <c r="T925">
        <f>YEAR(Sales_Data_1[[#This Row],[Order_Date]])</f>
        <v>2024</v>
      </c>
      <c r="U925" t="str">
        <f>TEXT(Sales_Data_1[[#This Row],[Order_Date]], "mmm")</f>
        <v>May</v>
      </c>
      <c r="V925">
        <f>MONTH(Sales_Data_1[[#This Row],[Order_Date]])</f>
        <v>5</v>
      </c>
      <c r="W925" t="str">
        <f>TEXT(Sales_Data_1[[#This Row],[Order_Date]], "yyyy-mm")</f>
        <v>2024-05</v>
      </c>
      <c r="X925">
        <f>Sales_Data_1[[#This Row],[Sales]]-Sales_Data_1[[#This Row],[Profit_Amount]]</f>
        <v>185355.25</v>
      </c>
      <c r="Y925" t="str" cm="1">
        <f t="array" ref="Y925">_xlfn.IFS(Sales_Data_1[[#This Row],[Delivery_Days]]&lt;=3, "Fast", Sales_Data_1[[#This Row],[Delivery_Days]]&lt;= 7, "Standard", TRUE, "Delayed")</f>
        <v>Standard</v>
      </c>
      <c r="Z925" t="str" cm="1">
        <f t="array" ref="Z925">_xlfn.IFS(Sales_Data_1[[#This Row],[Profit_Amount]]&gt; 0, "Profitable", Sales_Data_1[[#This Row],[Profit_Amount]] = 0, "Break-Even", TRUE, "Loss")</f>
        <v>Profitable</v>
      </c>
      <c r="AA925" t="str" cm="1">
        <f t="array" ref="AA925">_xlfn.IFS(Sales_Data_1[[#This Row],[Sales]]&gt;= 1000, "High Value", Sales_Data_1[[#This Row],[Sales]]&gt;= 300, "Mid Value", TRUE, "Low Value")</f>
        <v>High Value</v>
      </c>
    </row>
    <row r="926" spans="1:27" x14ac:dyDescent="0.3">
      <c r="A926" t="s">
        <v>2602</v>
      </c>
      <c r="B926" s="1">
        <v>45488</v>
      </c>
      <c r="C926" t="s">
        <v>55</v>
      </c>
      <c r="D926" t="s">
        <v>21</v>
      </c>
      <c r="E926" t="s">
        <v>42</v>
      </c>
      <c r="F926" t="s">
        <v>23</v>
      </c>
      <c r="G926" t="s">
        <v>92</v>
      </c>
      <c r="H926" t="s">
        <v>93</v>
      </c>
      <c r="I926" t="s">
        <v>1186</v>
      </c>
      <c r="J926">
        <v>4</v>
      </c>
      <c r="K926">
        <v>71949</v>
      </c>
      <c r="L926">
        <v>0.24</v>
      </c>
      <c r="M926">
        <v>54681.24</v>
      </c>
      <c r="N926">
        <v>218724.96</v>
      </c>
      <c r="O926">
        <v>0.15</v>
      </c>
      <c r="P926">
        <v>32808.74</v>
      </c>
      <c r="Q926" t="s">
        <v>51</v>
      </c>
      <c r="R926" t="s">
        <v>48</v>
      </c>
      <c r="S926">
        <v>3</v>
      </c>
      <c r="T926">
        <f>YEAR(Sales_Data_1[[#This Row],[Order_Date]])</f>
        <v>2024</v>
      </c>
      <c r="U926" t="str">
        <f>TEXT(Sales_Data_1[[#This Row],[Order_Date]], "mmm")</f>
        <v>Jul</v>
      </c>
      <c r="V926">
        <f>MONTH(Sales_Data_1[[#This Row],[Order_Date]])</f>
        <v>7</v>
      </c>
      <c r="W926" t="str">
        <f>TEXT(Sales_Data_1[[#This Row],[Order_Date]], "yyyy-mm")</f>
        <v>2024-07</v>
      </c>
      <c r="X926">
        <f>Sales_Data_1[[#This Row],[Sales]]-Sales_Data_1[[#This Row],[Profit_Amount]]</f>
        <v>185916.22</v>
      </c>
      <c r="Y926" t="str" cm="1">
        <f t="array" ref="Y926">_xlfn.IFS(Sales_Data_1[[#This Row],[Delivery_Days]]&lt;=3, "Fast", Sales_Data_1[[#This Row],[Delivery_Days]]&lt;= 7, "Standard", TRUE, "Delayed")</f>
        <v>Fast</v>
      </c>
      <c r="Z926" t="str" cm="1">
        <f t="array" ref="Z926">_xlfn.IFS(Sales_Data_1[[#This Row],[Profit_Amount]]&gt; 0, "Profitable", Sales_Data_1[[#This Row],[Profit_Amount]] = 0, "Break-Even", TRUE, "Loss")</f>
        <v>Profitable</v>
      </c>
      <c r="AA926" t="str" cm="1">
        <f t="array" ref="AA926">_xlfn.IFS(Sales_Data_1[[#This Row],[Sales]]&gt;= 1000, "High Value", Sales_Data_1[[#This Row],[Sales]]&gt;= 300, "Mid Value", TRUE, "Low Value")</f>
        <v>High Value</v>
      </c>
    </row>
    <row r="927" spans="1:27" x14ac:dyDescent="0.3">
      <c r="A927" t="s">
        <v>2854</v>
      </c>
      <c r="B927" s="1">
        <v>45740</v>
      </c>
      <c r="C927" t="s">
        <v>63</v>
      </c>
      <c r="D927" t="s">
        <v>21</v>
      </c>
      <c r="E927" t="s">
        <v>2040</v>
      </c>
      <c r="F927" t="s">
        <v>23</v>
      </c>
      <c r="G927" t="s">
        <v>92</v>
      </c>
      <c r="H927" t="s">
        <v>93</v>
      </c>
      <c r="I927" t="s">
        <v>1679</v>
      </c>
      <c r="J927">
        <v>7</v>
      </c>
      <c r="K927">
        <v>37386</v>
      </c>
      <c r="L927">
        <v>0.16</v>
      </c>
      <c r="M927">
        <v>31404.240000000002</v>
      </c>
      <c r="N927">
        <v>219829.68</v>
      </c>
      <c r="O927">
        <v>0.15</v>
      </c>
      <c r="P927">
        <v>32974.449999999997</v>
      </c>
      <c r="Q927" t="s">
        <v>47</v>
      </c>
      <c r="R927" t="s">
        <v>48</v>
      </c>
      <c r="S927">
        <v>2</v>
      </c>
      <c r="T927">
        <f>YEAR(Sales_Data_1[[#This Row],[Order_Date]])</f>
        <v>2025</v>
      </c>
      <c r="U927" t="str">
        <f>TEXT(Sales_Data_1[[#This Row],[Order_Date]], "mmm")</f>
        <v>Mar</v>
      </c>
      <c r="V927">
        <f>MONTH(Sales_Data_1[[#This Row],[Order_Date]])</f>
        <v>3</v>
      </c>
      <c r="W927" t="str">
        <f>TEXT(Sales_Data_1[[#This Row],[Order_Date]], "yyyy-mm")</f>
        <v>2025-03</v>
      </c>
      <c r="X927">
        <f>Sales_Data_1[[#This Row],[Sales]]-Sales_Data_1[[#This Row],[Profit_Amount]]</f>
        <v>186855.22999999998</v>
      </c>
      <c r="Y927" t="str" cm="1">
        <f t="array" ref="Y927">_xlfn.IFS(Sales_Data_1[[#This Row],[Delivery_Days]]&lt;=3, "Fast", Sales_Data_1[[#This Row],[Delivery_Days]]&lt;= 7, "Standard", TRUE, "Delayed")</f>
        <v>Fast</v>
      </c>
      <c r="Z927" t="str" cm="1">
        <f t="array" ref="Z927">_xlfn.IFS(Sales_Data_1[[#This Row],[Profit_Amount]]&gt; 0, "Profitable", Sales_Data_1[[#This Row],[Profit_Amount]] = 0, "Break-Even", TRUE, "Loss")</f>
        <v>Profitable</v>
      </c>
      <c r="AA927" t="str" cm="1">
        <f t="array" ref="AA927">_xlfn.IFS(Sales_Data_1[[#This Row],[Sales]]&gt;= 1000, "High Value", Sales_Data_1[[#This Row],[Sales]]&gt;= 300, "Mid Value", TRUE, "Low Value")</f>
        <v>High Value</v>
      </c>
    </row>
    <row r="928" spans="1:27" x14ac:dyDescent="0.3">
      <c r="A928" t="s">
        <v>2995</v>
      </c>
      <c r="B928" s="1">
        <v>45881</v>
      </c>
      <c r="C928" t="s">
        <v>30</v>
      </c>
      <c r="D928" t="s">
        <v>31</v>
      </c>
      <c r="E928" t="s">
        <v>42</v>
      </c>
      <c r="F928" t="s">
        <v>33</v>
      </c>
      <c r="G928" t="s">
        <v>92</v>
      </c>
      <c r="H928" t="s">
        <v>178</v>
      </c>
      <c r="I928" t="s">
        <v>1951</v>
      </c>
      <c r="J928">
        <v>6</v>
      </c>
      <c r="K928">
        <v>47823</v>
      </c>
      <c r="L928">
        <v>0.2</v>
      </c>
      <c r="M928">
        <v>38258.400000000001</v>
      </c>
      <c r="N928">
        <v>229550.4</v>
      </c>
      <c r="O928">
        <v>0.15</v>
      </c>
      <c r="P928">
        <v>34432.559999999998</v>
      </c>
      <c r="Q928" t="s">
        <v>51</v>
      </c>
      <c r="R928" t="s">
        <v>48</v>
      </c>
      <c r="S928">
        <v>6</v>
      </c>
      <c r="T928">
        <f>YEAR(Sales_Data_1[[#This Row],[Order_Date]])</f>
        <v>2025</v>
      </c>
      <c r="U928" t="str">
        <f>TEXT(Sales_Data_1[[#This Row],[Order_Date]], "mmm")</f>
        <v>Aug</v>
      </c>
      <c r="V928">
        <f>MONTH(Sales_Data_1[[#This Row],[Order_Date]])</f>
        <v>8</v>
      </c>
      <c r="W928" t="str">
        <f>TEXT(Sales_Data_1[[#This Row],[Order_Date]], "yyyy-mm")</f>
        <v>2025-08</v>
      </c>
      <c r="X928">
        <f>Sales_Data_1[[#This Row],[Sales]]-Sales_Data_1[[#This Row],[Profit_Amount]]</f>
        <v>195117.84</v>
      </c>
      <c r="Y928" t="str" cm="1">
        <f t="array" ref="Y928">_xlfn.IFS(Sales_Data_1[[#This Row],[Delivery_Days]]&lt;=3, "Fast", Sales_Data_1[[#This Row],[Delivery_Days]]&lt;= 7, "Standard", TRUE, "Delayed")</f>
        <v>Standard</v>
      </c>
      <c r="Z928" t="str" cm="1">
        <f t="array" ref="Z928">_xlfn.IFS(Sales_Data_1[[#This Row],[Profit_Amount]]&gt; 0, "Profitable", Sales_Data_1[[#This Row],[Profit_Amount]] = 0, "Break-Even", TRUE, "Loss")</f>
        <v>Profitable</v>
      </c>
      <c r="AA928" t="str" cm="1">
        <f t="array" ref="AA928">_xlfn.IFS(Sales_Data_1[[#This Row],[Sales]]&gt;= 1000, "High Value", Sales_Data_1[[#This Row],[Sales]]&gt;= 300, "Mid Value", TRUE, "Low Value")</f>
        <v>High Value</v>
      </c>
    </row>
    <row r="929" spans="1:27" x14ac:dyDescent="0.3">
      <c r="A929" t="s">
        <v>2381</v>
      </c>
      <c r="B929" s="1">
        <v>45267</v>
      </c>
      <c r="C929" t="s">
        <v>30</v>
      </c>
      <c r="D929" t="s">
        <v>31</v>
      </c>
      <c r="E929" t="s">
        <v>67</v>
      </c>
      <c r="F929" t="s">
        <v>97</v>
      </c>
      <c r="G929" t="s">
        <v>92</v>
      </c>
      <c r="H929" t="s">
        <v>93</v>
      </c>
      <c r="I929" t="s">
        <v>750</v>
      </c>
      <c r="J929">
        <v>4</v>
      </c>
      <c r="K929">
        <v>65826</v>
      </c>
      <c r="L929">
        <v>0.09</v>
      </c>
      <c r="M929">
        <v>59901.66</v>
      </c>
      <c r="N929">
        <v>239606.64</v>
      </c>
      <c r="O929">
        <v>0.15</v>
      </c>
      <c r="P929">
        <v>35941</v>
      </c>
      <c r="Q929" t="s">
        <v>27</v>
      </c>
      <c r="R929" t="s">
        <v>48</v>
      </c>
      <c r="S929">
        <v>3</v>
      </c>
      <c r="T929">
        <f>YEAR(Sales_Data_1[[#This Row],[Order_Date]])</f>
        <v>2023</v>
      </c>
      <c r="U929" t="str">
        <f>TEXT(Sales_Data_1[[#This Row],[Order_Date]], "mmm")</f>
        <v>Dec</v>
      </c>
      <c r="V929">
        <f>MONTH(Sales_Data_1[[#This Row],[Order_Date]])</f>
        <v>12</v>
      </c>
      <c r="W929" t="str">
        <f>TEXT(Sales_Data_1[[#This Row],[Order_Date]], "yyyy-mm")</f>
        <v>2023-12</v>
      </c>
      <c r="X929">
        <f>Sales_Data_1[[#This Row],[Sales]]-Sales_Data_1[[#This Row],[Profit_Amount]]</f>
        <v>203665.64</v>
      </c>
      <c r="Y929" t="str" cm="1">
        <f t="array" ref="Y929">_xlfn.IFS(Sales_Data_1[[#This Row],[Delivery_Days]]&lt;=3, "Fast", Sales_Data_1[[#This Row],[Delivery_Days]]&lt;= 7, "Standard", TRUE, "Delayed")</f>
        <v>Fast</v>
      </c>
      <c r="Z929" t="str" cm="1">
        <f t="array" ref="Z929">_xlfn.IFS(Sales_Data_1[[#This Row],[Profit_Amount]]&gt; 0, "Profitable", Sales_Data_1[[#This Row],[Profit_Amount]] = 0, "Break-Even", TRUE, "Loss")</f>
        <v>Profitable</v>
      </c>
      <c r="AA929" t="str" cm="1">
        <f t="array" ref="AA929">_xlfn.IFS(Sales_Data_1[[#This Row],[Sales]]&gt;= 1000, "High Value", Sales_Data_1[[#This Row],[Sales]]&gt;= 300, "Mid Value", TRUE, "Low Value")</f>
        <v>High Value</v>
      </c>
    </row>
    <row r="930" spans="1:27" x14ac:dyDescent="0.3">
      <c r="A930" t="s">
        <v>2949</v>
      </c>
      <c r="B930" s="1">
        <v>45835</v>
      </c>
      <c r="C930" t="s">
        <v>30</v>
      </c>
      <c r="D930" t="s">
        <v>21</v>
      </c>
      <c r="E930" t="s">
        <v>67</v>
      </c>
      <c r="F930" t="s">
        <v>103</v>
      </c>
      <c r="G930" t="s">
        <v>92</v>
      </c>
      <c r="H930" t="s">
        <v>243</v>
      </c>
      <c r="I930" t="s">
        <v>1866</v>
      </c>
      <c r="J930">
        <v>8</v>
      </c>
      <c r="K930">
        <v>38228</v>
      </c>
      <c r="L930">
        <v>0.21</v>
      </c>
      <c r="M930">
        <v>30200.12</v>
      </c>
      <c r="N930">
        <v>241600.96</v>
      </c>
      <c r="O930">
        <v>0.15</v>
      </c>
      <c r="P930">
        <v>36240.14</v>
      </c>
      <c r="Q930" t="s">
        <v>47</v>
      </c>
      <c r="R930" t="s">
        <v>38</v>
      </c>
      <c r="S930">
        <v>8</v>
      </c>
      <c r="T930">
        <f>YEAR(Sales_Data_1[[#This Row],[Order_Date]])</f>
        <v>2025</v>
      </c>
      <c r="U930" t="str">
        <f>TEXT(Sales_Data_1[[#This Row],[Order_Date]], "mmm")</f>
        <v>Jun</v>
      </c>
      <c r="V930">
        <f>MONTH(Sales_Data_1[[#This Row],[Order_Date]])</f>
        <v>6</v>
      </c>
      <c r="W930" t="str">
        <f>TEXT(Sales_Data_1[[#This Row],[Order_Date]], "yyyy-mm")</f>
        <v>2025-06</v>
      </c>
      <c r="X930">
        <f>Sales_Data_1[[#This Row],[Sales]]-Sales_Data_1[[#This Row],[Profit_Amount]]</f>
        <v>205360.82</v>
      </c>
      <c r="Y930" t="str" cm="1">
        <f t="array" ref="Y930">_xlfn.IFS(Sales_Data_1[[#This Row],[Delivery_Days]]&lt;=3, "Fast", Sales_Data_1[[#This Row],[Delivery_Days]]&lt;= 7, "Standard", TRUE, "Delayed")</f>
        <v>Delayed</v>
      </c>
      <c r="Z930" t="str" cm="1">
        <f t="array" ref="Z930">_xlfn.IFS(Sales_Data_1[[#This Row],[Profit_Amount]]&gt; 0, "Profitable", Sales_Data_1[[#This Row],[Profit_Amount]] = 0, "Break-Even", TRUE, "Loss")</f>
        <v>Profitable</v>
      </c>
      <c r="AA930" t="str" cm="1">
        <f t="array" ref="AA930">_xlfn.IFS(Sales_Data_1[[#This Row],[Sales]]&gt;= 1000, "High Value", Sales_Data_1[[#This Row],[Sales]]&gt;= 300, "Mid Value", TRUE, "Low Value")</f>
        <v>High Value</v>
      </c>
    </row>
    <row r="931" spans="1:27" x14ac:dyDescent="0.3">
      <c r="A931" t="s">
        <v>2789</v>
      </c>
      <c r="B931" s="1">
        <v>45675</v>
      </c>
      <c r="C931" t="s">
        <v>30</v>
      </c>
      <c r="D931" t="s">
        <v>41</v>
      </c>
      <c r="E931" t="s">
        <v>67</v>
      </c>
      <c r="F931" t="s">
        <v>33</v>
      </c>
      <c r="G931" t="s">
        <v>92</v>
      </c>
      <c r="H931" t="s">
        <v>243</v>
      </c>
      <c r="I931" t="s">
        <v>1551</v>
      </c>
      <c r="J931">
        <v>5</v>
      </c>
      <c r="K931">
        <v>57701</v>
      </c>
      <c r="L931">
        <v>0.16</v>
      </c>
      <c r="M931">
        <v>48468.84</v>
      </c>
      <c r="N931">
        <v>242344.2</v>
      </c>
      <c r="O931">
        <v>0.15</v>
      </c>
      <c r="P931">
        <v>36351.629999999997</v>
      </c>
      <c r="Q931" t="s">
        <v>37</v>
      </c>
      <c r="R931" t="s">
        <v>38</v>
      </c>
      <c r="S931">
        <v>2</v>
      </c>
      <c r="T931">
        <f>YEAR(Sales_Data_1[[#This Row],[Order_Date]])</f>
        <v>2025</v>
      </c>
      <c r="U931" t="str">
        <f>TEXT(Sales_Data_1[[#This Row],[Order_Date]], "mmm")</f>
        <v>Jan</v>
      </c>
      <c r="V931">
        <f>MONTH(Sales_Data_1[[#This Row],[Order_Date]])</f>
        <v>1</v>
      </c>
      <c r="W931" t="str">
        <f>TEXT(Sales_Data_1[[#This Row],[Order_Date]], "yyyy-mm")</f>
        <v>2025-01</v>
      </c>
      <c r="X931">
        <f>Sales_Data_1[[#This Row],[Sales]]-Sales_Data_1[[#This Row],[Profit_Amount]]</f>
        <v>205992.57</v>
      </c>
      <c r="Y931" t="str" cm="1">
        <f t="array" ref="Y931">_xlfn.IFS(Sales_Data_1[[#This Row],[Delivery_Days]]&lt;=3, "Fast", Sales_Data_1[[#This Row],[Delivery_Days]]&lt;= 7, "Standard", TRUE, "Delayed")</f>
        <v>Fast</v>
      </c>
      <c r="Z931" t="str" cm="1">
        <f t="array" ref="Z931">_xlfn.IFS(Sales_Data_1[[#This Row],[Profit_Amount]]&gt; 0, "Profitable", Sales_Data_1[[#This Row],[Profit_Amount]] = 0, "Break-Even", TRUE, "Loss")</f>
        <v>Profitable</v>
      </c>
      <c r="AA931" t="str" cm="1">
        <f t="array" ref="AA931">_xlfn.IFS(Sales_Data_1[[#This Row],[Sales]]&gt;= 1000, "High Value", Sales_Data_1[[#This Row],[Sales]]&gt;= 300, "Mid Value", TRUE, "Low Value")</f>
        <v>High Value</v>
      </c>
    </row>
    <row r="932" spans="1:27" x14ac:dyDescent="0.3">
      <c r="A932" t="s">
        <v>2734</v>
      </c>
      <c r="B932" s="1">
        <v>45620</v>
      </c>
      <c r="C932" t="s">
        <v>30</v>
      </c>
      <c r="D932" t="s">
        <v>31</v>
      </c>
      <c r="E932" t="s">
        <v>2042</v>
      </c>
      <c r="F932" t="s">
        <v>68</v>
      </c>
      <c r="G932" t="s">
        <v>92</v>
      </c>
      <c r="H932" t="s">
        <v>178</v>
      </c>
      <c r="I932" t="s">
        <v>1444</v>
      </c>
      <c r="J932">
        <v>6</v>
      </c>
      <c r="K932">
        <v>47643</v>
      </c>
      <c r="L932">
        <v>0.15</v>
      </c>
      <c r="M932">
        <v>40496.550000000003</v>
      </c>
      <c r="N932">
        <v>242979.3</v>
      </c>
      <c r="O932">
        <v>0.15</v>
      </c>
      <c r="P932">
        <v>36446.89</v>
      </c>
      <c r="Q932" t="s">
        <v>47</v>
      </c>
      <c r="R932" t="s">
        <v>48</v>
      </c>
      <c r="S932">
        <v>4</v>
      </c>
      <c r="T932">
        <f>YEAR(Sales_Data_1[[#This Row],[Order_Date]])</f>
        <v>2024</v>
      </c>
      <c r="U932" t="str">
        <f>TEXT(Sales_Data_1[[#This Row],[Order_Date]], "mmm")</f>
        <v>Nov</v>
      </c>
      <c r="V932">
        <f>MONTH(Sales_Data_1[[#This Row],[Order_Date]])</f>
        <v>11</v>
      </c>
      <c r="W932" t="str">
        <f>TEXT(Sales_Data_1[[#This Row],[Order_Date]], "yyyy-mm")</f>
        <v>2024-11</v>
      </c>
      <c r="X932">
        <f>Sales_Data_1[[#This Row],[Sales]]-Sales_Data_1[[#This Row],[Profit_Amount]]</f>
        <v>206532.40999999997</v>
      </c>
      <c r="Y932" t="str" cm="1">
        <f t="array" ref="Y932">_xlfn.IFS(Sales_Data_1[[#This Row],[Delivery_Days]]&lt;=3, "Fast", Sales_Data_1[[#This Row],[Delivery_Days]]&lt;= 7, "Standard", TRUE, "Delayed")</f>
        <v>Standard</v>
      </c>
      <c r="Z932" t="str" cm="1">
        <f t="array" ref="Z932">_xlfn.IFS(Sales_Data_1[[#This Row],[Profit_Amount]]&gt; 0, "Profitable", Sales_Data_1[[#This Row],[Profit_Amount]] = 0, "Break-Even", TRUE, "Loss")</f>
        <v>Profitable</v>
      </c>
      <c r="AA932" t="str" cm="1">
        <f t="array" ref="AA932">_xlfn.IFS(Sales_Data_1[[#This Row],[Sales]]&gt;= 1000, "High Value", Sales_Data_1[[#This Row],[Sales]]&gt;= 300, "Mid Value", TRUE, "Low Value")</f>
        <v>High Value</v>
      </c>
    </row>
    <row r="933" spans="1:27" x14ac:dyDescent="0.3">
      <c r="A933" t="s">
        <v>2884</v>
      </c>
      <c r="B933" s="1">
        <v>45770</v>
      </c>
      <c r="C933" t="s">
        <v>40</v>
      </c>
      <c r="D933" t="s">
        <v>31</v>
      </c>
      <c r="E933" t="s">
        <v>42</v>
      </c>
      <c r="F933" t="s">
        <v>33</v>
      </c>
      <c r="G933" t="s">
        <v>92</v>
      </c>
      <c r="H933" t="s">
        <v>178</v>
      </c>
      <c r="I933" t="s">
        <v>1738</v>
      </c>
      <c r="J933">
        <v>7</v>
      </c>
      <c r="K933">
        <v>35122</v>
      </c>
      <c r="L933">
        <v>0.01</v>
      </c>
      <c r="M933">
        <v>34770.78</v>
      </c>
      <c r="N933">
        <v>243395.46</v>
      </c>
      <c r="O933">
        <v>0.15</v>
      </c>
      <c r="P933">
        <v>36509.32</v>
      </c>
      <c r="Q933" t="s">
        <v>51</v>
      </c>
      <c r="R933" t="s">
        <v>48</v>
      </c>
      <c r="S933">
        <v>4</v>
      </c>
      <c r="T933">
        <f>YEAR(Sales_Data_1[[#This Row],[Order_Date]])</f>
        <v>2025</v>
      </c>
      <c r="U933" t="str">
        <f>TEXT(Sales_Data_1[[#This Row],[Order_Date]], "mmm")</f>
        <v>Apr</v>
      </c>
      <c r="V933">
        <f>MONTH(Sales_Data_1[[#This Row],[Order_Date]])</f>
        <v>4</v>
      </c>
      <c r="W933" t="str">
        <f>TEXT(Sales_Data_1[[#This Row],[Order_Date]], "yyyy-mm")</f>
        <v>2025-04</v>
      </c>
      <c r="X933">
        <f>Sales_Data_1[[#This Row],[Sales]]-Sales_Data_1[[#This Row],[Profit_Amount]]</f>
        <v>206886.13999999998</v>
      </c>
      <c r="Y933" t="str" cm="1">
        <f t="array" ref="Y933">_xlfn.IFS(Sales_Data_1[[#This Row],[Delivery_Days]]&lt;=3, "Fast", Sales_Data_1[[#This Row],[Delivery_Days]]&lt;= 7, "Standard", TRUE, "Delayed")</f>
        <v>Standard</v>
      </c>
      <c r="Z933" t="str" cm="1">
        <f t="array" ref="Z933">_xlfn.IFS(Sales_Data_1[[#This Row],[Profit_Amount]]&gt; 0, "Profitable", Sales_Data_1[[#This Row],[Profit_Amount]] = 0, "Break-Even", TRUE, "Loss")</f>
        <v>Profitable</v>
      </c>
      <c r="AA933" t="str" cm="1">
        <f t="array" ref="AA933">_xlfn.IFS(Sales_Data_1[[#This Row],[Sales]]&gt;= 1000, "High Value", Sales_Data_1[[#This Row],[Sales]]&gt;= 300, "Mid Value", TRUE, "Low Value")</f>
        <v>High Value</v>
      </c>
    </row>
    <row r="934" spans="1:27" x14ac:dyDescent="0.3">
      <c r="A934" t="s">
        <v>2426</v>
      </c>
      <c r="B934" s="1">
        <v>45312</v>
      </c>
      <c r="C934" t="s">
        <v>96</v>
      </c>
      <c r="D934" t="s">
        <v>21</v>
      </c>
      <c r="E934" t="s">
        <v>67</v>
      </c>
      <c r="F934" t="s">
        <v>97</v>
      </c>
      <c r="G934" t="s">
        <v>92</v>
      </c>
      <c r="H934" t="s">
        <v>109</v>
      </c>
      <c r="I934" t="s">
        <v>838</v>
      </c>
      <c r="J934">
        <v>4</v>
      </c>
      <c r="K934">
        <v>64624</v>
      </c>
      <c r="L934">
        <v>0.05</v>
      </c>
      <c r="M934">
        <v>61392.800000000003</v>
      </c>
      <c r="N934">
        <v>245571.20000000001</v>
      </c>
      <c r="O934">
        <v>0.15</v>
      </c>
      <c r="P934">
        <v>36835.68</v>
      </c>
      <c r="Q934" t="s">
        <v>51</v>
      </c>
      <c r="R934" t="s">
        <v>48</v>
      </c>
      <c r="S934">
        <v>5</v>
      </c>
      <c r="T934">
        <f>YEAR(Sales_Data_1[[#This Row],[Order_Date]])</f>
        <v>2024</v>
      </c>
      <c r="U934" t="str">
        <f>TEXT(Sales_Data_1[[#This Row],[Order_Date]], "mmm")</f>
        <v>Jan</v>
      </c>
      <c r="V934">
        <f>MONTH(Sales_Data_1[[#This Row],[Order_Date]])</f>
        <v>1</v>
      </c>
      <c r="W934" t="str">
        <f>TEXT(Sales_Data_1[[#This Row],[Order_Date]], "yyyy-mm")</f>
        <v>2024-01</v>
      </c>
      <c r="X934">
        <f>Sales_Data_1[[#This Row],[Sales]]-Sales_Data_1[[#This Row],[Profit_Amount]]</f>
        <v>208735.52000000002</v>
      </c>
      <c r="Y934" t="str" cm="1">
        <f t="array" ref="Y934">_xlfn.IFS(Sales_Data_1[[#This Row],[Delivery_Days]]&lt;=3, "Fast", Sales_Data_1[[#This Row],[Delivery_Days]]&lt;= 7, "Standard", TRUE, "Delayed")</f>
        <v>Standard</v>
      </c>
      <c r="Z934" t="str" cm="1">
        <f t="array" ref="Z934">_xlfn.IFS(Sales_Data_1[[#This Row],[Profit_Amount]]&gt; 0, "Profitable", Sales_Data_1[[#This Row],[Profit_Amount]] = 0, "Break-Even", TRUE, "Loss")</f>
        <v>Profitable</v>
      </c>
      <c r="AA934" t="str" cm="1">
        <f t="array" ref="AA934">_xlfn.IFS(Sales_Data_1[[#This Row],[Sales]]&gt;= 1000, "High Value", Sales_Data_1[[#This Row],[Sales]]&gt;= 300, "Mid Value", TRUE, "Low Value")</f>
        <v>High Value</v>
      </c>
    </row>
    <row r="935" spans="1:27" x14ac:dyDescent="0.3">
      <c r="A935" t="s">
        <v>2199</v>
      </c>
      <c r="B935" s="1">
        <v>45085</v>
      </c>
      <c r="C935" t="s">
        <v>40</v>
      </c>
      <c r="D935" t="s">
        <v>56</v>
      </c>
      <c r="E935" t="s">
        <v>2042</v>
      </c>
      <c r="F935" t="s">
        <v>43</v>
      </c>
      <c r="G935" t="s">
        <v>92</v>
      </c>
      <c r="H935" t="s">
        <v>178</v>
      </c>
      <c r="I935" t="s">
        <v>388</v>
      </c>
      <c r="J935">
        <v>7</v>
      </c>
      <c r="K935">
        <v>39856</v>
      </c>
      <c r="L935">
        <v>0.11</v>
      </c>
      <c r="M935">
        <v>35471.839999999997</v>
      </c>
      <c r="N935">
        <v>248302.88</v>
      </c>
      <c r="O935">
        <v>0.15</v>
      </c>
      <c r="P935">
        <v>37245.43</v>
      </c>
      <c r="Q935" t="s">
        <v>51</v>
      </c>
      <c r="R935" t="s">
        <v>48</v>
      </c>
      <c r="S935">
        <v>6</v>
      </c>
      <c r="T935">
        <f>YEAR(Sales_Data_1[[#This Row],[Order_Date]])</f>
        <v>2023</v>
      </c>
      <c r="U935" t="str">
        <f>TEXT(Sales_Data_1[[#This Row],[Order_Date]], "mmm")</f>
        <v>Jun</v>
      </c>
      <c r="V935">
        <f>MONTH(Sales_Data_1[[#This Row],[Order_Date]])</f>
        <v>6</v>
      </c>
      <c r="W935" t="str">
        <f>TEXT(Sales_Data_1[[#This Row],[Order_Date]], "yyyy-mm")</f>
        <v>2023-06</v>
      </c>
      <c r="X935">
        <f>Sales_Data_1[[#This Row],[Sales]]-Sales_Data_1[[#This Row],[Profit_Amount]]</f>
        <v>211057.45</v>
      </c>
      <c r="Y935" t="str" cm="1">
        <f t="array" ref="Y935">_xlfn.IFS(Sales_Data_1[[#This Row],[Delivery_Days]]&lt;=3, "Fast", Sales_Data_1[[#This Row],[Delivery_Days]]&lt;= 7, "Standard", TRUE, "Delayed")</f>
        <v>Standard</v>
      </c>
      <c r="Z935" t="str" cm="1">
        <f t="array" ref="Z935">_xlfn.IFS(Sales_Data_1[[#This Row],[Profit_Amount]]&gt; 0, "Profitable", Sales_Data_1[[#This Row],[Profit_Amount]] = 0, "Break-Even", TRUE, "Loss")</f>
        <v>Profitable</v>
      </c>
      <c r="AA935" t="str" cm="1">
        <f t="array" ref="AA935">_xlfn.IFS(Sales_Data_1[[#This Row],[Sales]]&gt;= 1000, "High Value", Sales_Data_1[[#This Row],[Sales]]&gt;= 300, "Mid Value", TRUE, "Low Value")</f>
        <v>High Value</v>
      </c>
    </row>
    <row r="936" spans="1:27" x14ac:dyDescent="0.3">
      <c r="A936" t="s">
        <v>2265</v>
      </c>
      <c r="B936" s="1">
        <v>45151</v>
      </c>
      <c r="C936" t="s">
        <v>63</v>
      </c>
      <c r="D936" t="s">
        <v>21</v>
      </c>
      <c r="E936" t="s">
        <v>42</v>
      </c>
      <c r="F936" t="s">
        <v>103</v>
      </c>
      <c r="G936" t="s">
        <v>92</v>
      </c>
      <c r="H936" t="s">
        <v>243</v>
      </c>
      <c r="I936" t="s">
        <v>520</v>
      </c>
      <c r="J936">
        <v>8</v>
      </c>
      <c r="K936">
        <v>39165</v>
      </c>
      <c r="L936">
        <v>0.2</v>
      </c>
      <c r="M936">
        <v>31332</v>
      </c>
      <c r="N936">
        <v>250656</v>
      </c>
      <c r="O936">
        <v>0.15</v>
      </c>
      <c r="P936">
        <v>37598.400000000001</v>
      </c>
      <c r="Q936" t="s">
        <v>47</v>
      </c>
      <c r="R936" t="s">
        <v>48</v>
      </c>
      <c r="S936">
        <v>4</v>
      </c>
      <c r="T936">
        <f>YEAR(Sales_Data_1[[#This Row],[Order_Date]])</f>
        <v>2023</v>
      </c>
      <c r="U936" t="str">
        <f>TEXT(Sales_Data_1[[#This Row],[Order_Date]], "mmm")</f>
        <v>Aug</v>
      </c>
      <c r="V936">
        <f>MONTH(Sales_Data_1[[#This Row],[Order_Date]])</f>
        <v>8</v>
      </c>
      <c r="W936" t="str">
        <f>TEXT(Sales_Data_1[[#This Row],[Order_Date]], "yyyy-mm")</f>
        <v>2023-08</v>
      </c>
      <c r="X936">
        <f>Sales_Data_1[[#This Row],[Sales]]-Sales_Data_1[[#This Row],[Profit_Amount]]</f>
        <v>213057.6</v>
      </c>
      <c r="Y936" t="str" cm="1">
        <f t="array" ref="Y936">_xlfn.IFS(Sales_Data_1[[#This Row],[Delivery_Days]]&lt;=3, "Fast", Sales_Data_1[[#This Row],[Delivery_Days]]&lt;= 7, "Standard", TRUE, "Delayed")</f>
        <v>Standard</v>
      </c>
      <c r="Z936" t="str" cm="1">
        <f t="array" ref="Z936">_xlfn.IFS(Sales_Data_1[[#This Row],[Profit_Amount]]&gt; 0, "Profitable", Sales_Data_1[[#This Row],[Profit_Amount]] = 0, "Break-Even", TRUE, "Loss")</f>
        <v>Profitable</v>
      </c>
      <c r="AA936" t="str" cm="1">
        <f t="array" ref="AA936">_xlfn.IFS(Sales_Data_1[[#This Row],[Sales]]&gt;= 1000, "High Value", Sales_Data_1[[#This Row],[Sales]]&gt;= 300, "Mid Value", TRUE, "Low Value")</f>
        <v>High Value</v>
      </c>
    </row>
    <row r="937" spans="1:27" x14ac:dyDescent="0.3">
      <c r="A937" t="s">
        <v>2849</v>
      </c>
      <c r="B937" s="1">
        <v>45735</v>
      </c>
      <c r="C937" t="s">
        <v>40</v>
      </c>
      <c r="D937" t="s">
        <v>21</v>
      </c>
      <c r="E937" t="s">
        <v>2040</v>
      </c>
      <c r="F937" t="s">
        <v>43</v>
      </c>
      <c r="G937" t="s">
        <v>92</v>
      </c>
      <c r="H937" t="s">
        <v>93</v>
      </c>
      <c r="I937" t="s">
        <v>1669</v>
      </c>
      <c r="J937">
        <v>7</v>
      </c>
      <c r="K937">
        <v>43937</v>
      </c>
      <c r="L937">
        <v>0.18</v>
      </c>
      <c r="M937">
        <v>36028.339999999997</v>
      </c>
      <c r="N937">
        <v>252198.38</v>
      </c>
      <c r="O937">
        <v>0.15</v>
      </c>
      <c r="P937">
        <v>37829.760000000002</v>
      </c>
      <c r="Q937" t="s">
        <v>27</v>
      </c>
      <c r="R937" t="s">
        <v>48</v>
      </c>
      <c r="S937">
        <v>4</v>
      </c>
      <c r="T937">
        <f>YEAR(Sales_Data_1[[#This Row],[Order_Date]])</f>
        <v>2025</v>
      </c>
      <c r="U937" t="str">
        <f>TEXT(Sales_Data_1[[#This Row],[Order_Date]], "mmm")</f>
        <v>Mar</v>
      </c>
      <c r="V937">
        <f>MONTH(Sales_Data_1[[#This Row],[Order_Date]])</f>
        <v>3</v>
      </c>
      <c r="W937" t="str">
        <f>TEXT(Sales_Data_1[[#This Row],[Order_Date]], "yyyy-mm")</f>
        <v>2025-03</v>
      </c>
      <c r="X937">
        <f>Sales_Data_1[[#This Row],[Sales]]-Sales_Data_1[[#This Row],[Profit_Amount]]</f>
        <v>214368.62</v>
      </c>
      <c r="Y937" t="str" cm="1">
        <f t="array" ref="Y937">_xlfn.IFS(Sales_Data_1[[#This Row],[Delivery_Days]]&lt;=3, "Fast", Sales_Data_1[[#This Row],[Delivery_Days]]&lt;= 7, "Standard", TRUE, "Delayed")</f>
        <v>Standard</v>
      </c>
      <c r="Z937" t="str" cm="1">
        <f t="array" ref="Z937">_xlfn.IFS(Sales_Data_1[[#This Row],[Profit_Amount]]&gt; 0, "Profitable", Sales_Data_1[[#This Row],[Profit_Amount]] = 0, "Break-Even", TRUE, "Loss")</f>
        <v>Profitable</v>
      </c>
      <c r="AA937" t="str" cm="1">
        <f t="array" ref="AA937">_xlfn.IFS(Sales_Data_1[[#This Row],[Sales]]&gt;= 1000, "High Value", Sales_Data_1[[#This Row],[Sales]]&gt;= 300, "Mid Value", TRUE, "Low Value")</f>
        <v>High Value</v>
      </c>
    </row>
    <row r="938" spans="1:27" x14ac:dyDescent="0.3">
      <c r="A938" t="s">
        <v>2501</v>
      </c>
      <c r="B938" s="1">
        <v>45387</v>
      </c>
      <c r="C938" t="s">
        <v>63</v>
      </c>
      <c r="D938" t="s">
        <v>21</v>
      </c>
      <c r="E938" t="s">
        <v>67</v>
      </c>
      <c r="F938" t="s">
        <v>23</v>
      </c>
      <c r="G938" t="s">
        <v>92</v>
      </c>
      <c r="H938" t="s">
        <v>243</v>
      </c>
      <c r="I938" t="s">
        <v>987</v>
      </c>
      <c r="J938">
        <v>4</v>
      </c>
      <c r="K938">
        <v>75450</v>
      </c>
      <c r="L938">
        <v>0.15</v>
      </c>
      <c r="M938">
        <v>64132.5</v>
      </c>
      <c r="N938">
        <v>256530</v>
      </c>
      <c r="O938">
        <v>0.15</v>
      </c>
      <c r="P938">
        <v>38479.5</v>
      </c>
      <c r="Q938" t="s">
        <v>37</v>
      </c>
      <c r="R938" t="s">
        <v>48</v>
      </c>
      <c r="S938">
        <v>9</v>
      </c>
      <c r="T938">
        <f>YEAR(Sales_Data_1[[#This Row],[Order_Date]])</f>
        <v>2024</v>
      </c>
      <c r="U938" t="str">
        <f>TEXT(Sales_Data_1[[#This Row],[Order_Date]], "mmm")</f>
        <v>Apr</v>
      </c>
      <c r="V938">
        <f>MONTH(Sales_Data_1[[#This Row],[Order_Date]])</f>
        <v>4</v>
      </c>
      <c r="W938" t="str">
        <f>TEXT(Sales_Data_1[[#This Row],[Order_Date]], "yyyy-mm")</f>
        <v>2024-04</v>
      </c>
      <c r="X938">
        <f>Sales_Data_1[[#This Row],[Sales]]-Sales_Data_1[[#This Row],[Profit_Amount]]</f>
        <v>218050.5</v>
      </c>
      <c r="Y938" t="str" cm="1">
        <f t="array" ref="Y938">_xlfn.IFS(Sales_Data_1[[#This Row],[Delivery_Days]]&lt;=3, "Fast", Sales_Data_1[[#This Row],[Delivery_Days]]&lt;= 7, "Standard", TRUE, "Delayed")</f>
        <v>Delayed</v>
      </c>
      <c r="Z938" t="str" cm="1">
        <f t="array" ref="Z938">_xlfn.IFS(Sales_Data_1[[#This Row],[Profit_Amount]]&gt; 0, "Profitable", Sales_Data_1[[#This Row],[Profit_Amount]] = 0, "Break-Even", TRUE, "Loss")</f>
        <v>Profitable</v>
      </c>
      <c r="AA938" t="str" cm="1">
        <f t="array" ref="AA938">_xlfn.IFS(Sales_Data_1[[#This Row],[Sales]]&gt;= 1000, "High Value", Sales_Data_1[[#This Row],[Sales]]&gt;= 300, "Mid Value", TRUE, "Low Value")</f>
        <v>High Value</v>
      </c>
    </row>
    <row r="939" spans="1:27" x14ac:dyDescent="0.3">
      <c r="A939" t="s">
        <v>2938</v>
      </c>
      <c r="B939" s="1">
        <v>45824</v>
      </c>
      <c r="C939" t="s">
        <v>20</v>
      </c>
      <c r="D939" t="s">
        <v>21</v>
      </c>
      <c r="E939" t="s">
        <v>42</v>
      </c>
      <c r="F939" t="s">
        <v>68</v>
      </c>
      <c r="G939" t="s">
        <v>92</v>
      </c>
      <c r="H939" t="s">
        <v>109</v>
      </c>
      <c r="I939" t="s">
        <v>1844</v>
      </c>
      <c r="J939">
        <v>7</v>
      </c>
      <c r="K939">
        <v>40682</v>
      </c>
      <c r="L939">
        <v>0.09</v>
      </c>
      <c r="M939">
        <v>37020.620000000003</v>
      </c>
      <c r="N939">
        <v>259144.34</v>
      </c>
      <c r="O939">
        <v>0.15</v>
      </c>
      <c r="P939">
        <v>38871.65</v>
      </c>
      <c r="Q939" t="s">
        <v>37</v>
      </c>
      <c r="R939" t="s">
        <v>48</v>
      </c>
      <c r="S939">
        <v>3</v>
      </c>
      <c r="T939">
        <f>YEAR(Sales_Data_1[[#This Row],[Order_Date]])</f>
        <v>2025</v>
      </c>
      <c r="U939" t="str">
        <f>TEXT(Sales_Data_1[[#This Row],[Order_Date]], "mmm")</f>
        <v>Jun</v>
      </c>
      <c r="V939">
        <f>MONTH(Sales_Data_1[[#This Row],[Order_Date]])</f>
        <v>6</v>
      </c>
      <c r="W939" t="str">
        <f>TEXT(Sales_Data_1[[#This Row],[Order_Date]], "yyyy-mm")</f>
        <v>2025-06</v>
      </c>
      <c r="X939">
        <f>Sales_Data_1[[#This Row],[Sales]]-Sales_Data_1[[#This Row],[Profit_Amount]]</f>
        <v>220272.69</v>
      </c>
      <c r="Y939" t="str" cm="1">
        <f t="array" ref="Y939">_xlfn.IFS(Sales_Data_1[[#This Row],[Delivery_Days]]&lt;=3, "Fast", Sales_Data_1[[#This Row],[Delivery_Days]]&lt;= 7, "Standard", TRUE, "Delayed")</f>
        <v>Fast</v>
      </c>
      <c r="Z939" t="str" cm="1">
        <f t="array" ref="Z939">_xlfn.IFS(Sales_Data_1[[#This Row],[Profit_Amount]]&gt; 0, "Profitable", Sales_Data_1[[#This Row],[Profit_Amount]] = 0, "Break-Even", TRUE, "Loss")</f>
        <v>Profitable</v>
      </c>
      <c r="AA939" t="str" cm="1">
        <f t="array" ref="AA939">_xlfn.IFS(Sales_Data_1[[#This Row],[Sales]]&gt;= 1000, "High Value", Sales_Data_1[[#This Row],[Sales]]&gt;= 300, "Mid Value", TRUE, "Low Value")</f>
        <v>High Value</v>
      </c>
    </row>
    <row r="940" spans="1:27" x14ac:dyDescent="0.3">
      <c r="A940" t="s">
        <v>2262</v>
      </c>
      <c r="B940" s="1">
        <v>45148</v>
      </c>
      <c r="C940" t="s">
        <v>63</v>
      </c>
      <c r="D940" t="s">
        <v>41</v>
      </c>
      <c r="E940" t="s">
        <v>2042</v>
      </c>
      <c r="F940" t="s">
        <v>23</v>
      </c>
      <c r="G940" t="s">
        <v>92</v>
      </c>
      <c r="H940" t="s">
        <v>93</v>
      </c>
      <c r="I940" t="s">
        <v>514</v>
      </c>
      <c r="J940">
        <v>8</v>
      </c>
      <c r="K940">
        <v>35923</v>
      </c>
      <c r="L940">
        <v>0.09</v>
      </c>
      <c r="M940">
        <v>32689.93</v>
      </c>
      <c r="N940">
        <v>261519.44</v>
      </c>
      <c r="O940">
        <v>0.15</v>
      </c>
      <c r="P940">
        <v>39227.919999999998</v>
      </c>
      <c r="Q940" t="s">
        <v>47</v>
      </c>
      <c r="R940" t="s">
        <v>48</v>
      </c>
      <c r="S940">
        <v>5</v>
      </c>
      <c r="T940">
        <f>YEAR(Sales_Data_1[[#This Row],[Order_Date]])</f>
        <v>2023</v>
      </c>
      <c r="U940" t="str">
        <f>TEXT(Sales_Data_1[[#This Row],[Order_Date]], "mmm")</f>
        <v>Aug</v>
      </c>
      <c r="V940">
        <f>MONTH(Sales_Data_1[[#This Row],[Order_Date]])</f>
        <v>8</v>
      </c>
      <c r="W940" t="str">
        <f>TEXT(Sales_Data_1[[#This Row],[Order_Date]], "yyyy-mm")</f>
        <v>2023-08</v>
      </c>
      <c r="X940">
        <f>Sales_Data_1[[#This Row],[Sales]]-Sales_Data_1[[#This Row],[Profit_Amount]]</f>
        <v>222291.52000000002</v>
      </c>
      <c r="Y940" t="str" cm="1">
        <f t="array" ref="Y940">_xlfn.IFS(Sales_Data_1[[#This Row],[Delivery_Days]]&lt;=3, "Fast", Sales_Data_1[[#This Row],[Delivery_Days]]&lt;= 7, "Standard", TRUE, "Delayed")</f>
        <v>Standard</v>
      </c>
      <c r="Z940" t="str" cm="1">
        <f t="array" ref="Z940">_xlfn.IFS(Sales_Data_1[[#This Row],[Profit_Amount]]&gt; 0, "Profitable", Sales_Data_1[[#This Row],[Profit_Amount]] = 0, "Break-Even", TRUE, "Loss")</f>
        <v>Profitable</v>
      </c>
      <c r="AA940" t="str" cm="1">
        <f t="array" ref="AA940">_xlfn.IFS(Sales_Data_1[[#This Row],[Sales]]&gt;= 1000, "High Value", Sales_Data_1[[#This Row],[Sales]]&gt;= 300, "Mid Value", TRUE, "Low Value")</f>
        <v>High Value</v>
      </c>
    </row>
    <row r="941" spans="1:27" x14ac:dyDescent="0.3">
      <c r="A941" t="s">
        <v>2059</v>
      </c>
      <c r="B941" s="1">
        <v>44945</v>
      </c>
      <c r="C941" t="s">
        <v>30</v>
      </c>
      <c r="D941" t="s">
        <v>31</v>
      </c>
      <c r="E941" t="s">
        <v>42</v>
      </c>
      <c r="F941" t="s">
        <v>68</v>
      </c>
      <c r="G941" t="s">
        <v>92</v>
      </c>
      <c r="H941" t="s">
        <v>93</v>
      </c>
      <c r="I941" t="s">
        <v>94</v>
      </c>
      <c r="J941">
        <v>6</v>
      </c>
      <c r="K941">
        <v>56163</v>
      </c>
      <c r="L941">
        <v>0.2</v>
      </c>
      <c r="M941">
        <v>44930.400000000001</v>
      </c>
      <c r="N941">
        <v>269582.40000000002</v>
      </c>
      <c r="O941">
        <v>0.15</v>
      </c>
      <c r="P941">
        <v>40437.360000000001</v>
      </c>
      <c r="Q941" t="s">
        <v>27</v>
      </c>
      <c r="R941" t="s">
        <v>48</v>
      </c>
      <c r="S941">
        <v>3</v>
      </c>
      <c r="T941">
        <f>YEAR(Sales_Data_1[[#This Row],[Order_Date]])</f>
        <v>2023</v>
      </c>
      <c r="U941" t="str">
        <f>TEXT(Sales_Data_1[[#This Row],[Order_Date]], "mmm")</f>
        <v>Jan</v>
      </c>
      <c r="V941">
        <f>MONTH(Sales_Data_1[[#This Row],[Order_Date]])</f>
        <v>1</v>
      </c>
      <c r="W941" t="str">
        <f>TEXT(Sales_Data_1[[#This Row],[Order_Date]], "yyyy-mm")</f>
        <v>2023-01</v>
      </c>
      <c r="X941">
        <f>Sales_Data_1[[#This Row],[Sales]]-Sales_Data_1[[#This Row],[Profit_Amount]]</f>
        <v>229145.04000000004</v>
      </c>
      <c r="Y941" t="str" cm="1">
        <f t="array" ref="Y941">_xlfn.IFS(Sales_Data_1[[#This Row],[Delivery_Days]]&lt;=3, "Fast", Sales_Data_1[[#This Row],[Delivery_Days]]&lt;= 7, "Standard", TRUE, "Delayed")</f>
        <v>Fast</v>
      </c>
      <c r="Z941" t="str" cm="1">
        <f t="array" ref="Z941">_xlfn.IFS(Sales_Data_1[[#This Row],[Profit_Amount]]&gt; 0, "Profitable", Sales_Data_1[[#This Row],[Profit_Amount]] = 0, "Break-Even", TRUE, "Loss")</f>
        <v>Profitable</v>
      </c>
      <c r="AA941" t="str" cm="1">
        <f t="array" ref="AA941">_xlfn.IFS(Sales_Data_1[[#This Row],[Sales]]&gt;= 1000, "High Value", Sales_Data_1[[#This Row],[Sales]]&gt;= 300, "Mid Value", TRUE, "Low Value")</f>
        <v>High Value</v>
      </c>
    </row>
    <row r="942" spans="1:27" x14ac:dyDescent="0.3">
      <c r="A942" t="s">
        <v>2455</v>
      </c>
      <c r="B942" s="1">
        <v>45341</v>
      </c>
      <c r="C942" t="s">
        <v>20</v>
      </c>
      <c r="D942" t="s">
        <v>41</v>
      </c>
      <c r="E942" t="s">
        <v>2042</v>
      </c>
      <c r="F942" t="s">
        <v>33</v>
      </c>
      <c r="G942" t="s">
        <v>92</v>
      </c>
      <c r="H942" t="s">
        <v>178</v>
      </c>
      <c r="I942" t="s">
        <v>896</v>
      </c>
      <c r="J942">
        <v>6</v>
      </c>
      <c r="K942">
        <v>54843</v>
      </c>
      <c r="L942">
        <v>0.17</v>
      </c>
      <c r="M942">
        <v>45519.69</v>
      </c>
      <c r="N942">
        <v>273118.14</v>
      </c>
      <c r="O942">
        <v>0.15</v>
      </c>
      <c r="P942">
        <v>40967.72</v>
      </c>
      <c r="Q942" t="s">
        <v>47</v>
      </c>
      <c r="R942" t="s">
        <v>48</v>
      </c>
      <c r="S942">
        <v>2</v>
      </c>
      <c r="T942">
        <f>YEAR(Sales_Data_1[[#This Row],[Order_Date]])</f>
        <v>2024</v>
      </c>
      <c r="U942" t="str">
        <f>TEXT(Sales_Data_1[[#This Row],[Order_Date]], "mmm")</f>
        <v>Feb</v>
      </c>
      <c r="V942">
        <f>MONTH(Sales_Data_1[[#This Row],[Order_Date]])</f>
        <v>2</v>
      </c>
      <c r="W942" t="str">
        <f>TEXT(Sales_Data_1[[#This Row],[Order_Date]], "yyyy-mm")</f>
        <v>2024-02</v>
      </c>
      <c r="X942">
        <f>Sales_Data_1[[#This Row],[Sales]]-Sales_Data_1[[#This Row],[Profit_Amount]]</f>
        <v>232150.42</v>
      </c>
      <c r="Y942" t="str" cm="1">
        <f t="array" ref="Y942">_xlfn.IFS(Sales_Data_1[[#This Row],[Delivery_Days]]&lt;=3, "Fast", Sales_Data_1[[#This Row],[Delivery_Days]]&lt;= 7, "Standard", TRUE, "Delayed")</f>
        <v>Fast</v>
      </c>
      <c r="Z942" t="str" cm="1">
        <f t="array" ref="Z942">_xlfn.IFS(Sales_Data_1[[#This Row],[Profit_Amount]]&gt; 0, "Profitable", Sales_Data_1[[#This Row],[Profit_Amount]] = 0, "Break-Even", TRUE, "Loss")</f>
        <v>Profitable</v>
      </c>
      <c r="AA942" t="str" cm="1">
        <f t="array" ref="AA942">_xlfn.IFS(Sales_Data_1[[#This Row],[Sales]]&gt;= 1000, "High Value", Sales_Data_1[[#This Row],[Sales]]&gt;= 300, "Mid Value", TRUE, "Low Value")</f>
        <v>High Value</v>
      </c>
    </row>
    <row r="943" spans="1:27" x14ac:dyDescent="0.3">
      <c r="A943" t="s">
        <v>2706</v>
      </c>
      <c r="B943" s="1">
        <v>45592</v>
      </c>
      <c r="C943" t="s">
        <v>20</v>
      </c>
      <c r="D943" t="s">
        <v>56</v>
      </c>
      <c r="E943" t="s">
        <v>2042</v>
      </c>
      <c r="F943" t="s">
        <v>97</v>
      </c>
      <c r="G943" t="s">
        <v>92</v>
      </c>
      <c r="H943" t="s">
        <v>243</v>
      </c>
      <c r="I943" t="s">
        <v>520</v>
      </c>
      <c r="J943">
        <v>6</v>
      </c>
      <c r="K943">
        <v>56857</v>
      </c>
      <c r="L943">
        <v>0.19</v>
      </c>
      <c r="M943">
        <v>46054.17</v>
      </c>
      <c r="N943">
        <v>276325.02</v>
      </c>
      <c r="O943">
        <v>0.15</v>
      </c>
      <c r="P943">
        <v>41448.75</v>
      </c>
      <c r="Q943" t="s">
        <v>47</v>
      </c>
      <c r="R943" t="s">
        <v>38</v>
      </c>
      <c r="S943">
        <v>7</v>
      </c>
      <c r="T943">
        <f>YEAR(Sales_Data_1[[#This Row],[Order_Date]])</f>
        <v>2024</v>
      </c>
      <c r="U943" t="str">
        <f>TEXT(Sales_Data_1[[#This Row],[Order_Date]], "mmm")</f>
        <v>Oct</v>
      </c>
      <c r="V943">
        <f>MONTH(Sales_Data_1[[#This Row],[Order_Date]])</f>
        <v>10</v>
      </c>
      <c r="W943" t="str">
        <f>TEXT(Sales_Data_1[[#This Row],[Order_Date]], "yyyy-mm")</f>
        <v>2024-10</v>
      </c>
      <c r="X943">
        <f>Sales_Data_1[[#This Row],[Sales]]-Sales_Data_1[[#This Row],[Profit_Amount]]</f>
        <v>234876.27000000002</v>
      </c>
      <c r="Y943" t="str" cm="1">
        <f t="array" ref="Y943">_xlfn.IFS(Sales_Data_1[[#This Row],[Delivery_Days]]&lt;=3, "Fast", Sales_Data_1[[#This Row],[Delivery_Days]]&lt;= 7, "Standard", TRUE, "Delayed")</f>
        <v>Standard</v>
      </c>
      <c r="Z943" t="str" cm="1">
        <f t="array" ref="Z943">_xlfn.IFS(Sales_Data_1[[#This Row],[Profit_Amount]]&gt; 0, "Profitable", Sales_Data_1[[#This Row],[Profit_Amount]] = 0, "Break-Even", TRUE, "Loss")</f>
        <v>Profitable</v>
      </c>
      <c r="AA943" t="str" cm="1">
        <f t="array" ref="AA943">_xlfn.IFS(Sales_Data_1[[#This Row],[Sales]]&gt;= 1000, "High Value", Sales_Data_1[[#This Row],[Sales]]&gt;= 300, "Mid Value", TRUE, "Low Value")</f>
        <v>High Value</v>
      </c>
    </row>
    <row r="944" spans="1:27" x14ac:dyDescent="0.3">
      <c r="A944" t="s">
        <v>2220</v>
      </c>
      <c r="B944" s="1">
        <v>45106</v>
      </c>
      <c r="C944" t="s">
        <v>55</v>
      </c>
      <c r="D944" t="s">
        <v>41</v>
      </c>
      <c r="E944" t="s">
        <v>2040</v>
      </c>
      <c r="F944" t="s">
        <v>103</v>
      </c>
      <c r="G944" t="s">
        <v>92</v>
      </c>
      <c r="H944" t="s">
        <v>109</v>
      </c>
      <c r="I944" t="s">
        <v>430</v>
      </c>
      <c r="J944">
        <v>7</v>
      </c>
      <c r="K944">
        <v>42556</v>
      </c>
      <c r="L944">
        <v>7.0000000000000007E-2</v>
      </c>
      <c r="M944">
        <v>39577.08</v>
      </c>
      <c r="N944">
        <v>277039.56</v>
      </c>
      <c r="O944">
        <v>0.15</v>
      </c>
      <c r="P944">
        <v>41555.93</v>
      </c>
      <c r="Q944" t="s">
        <v>37</v>
      </c>
      <c r="R944" t="s">
        <v>48</v>
      </c>
      <c r="S944">
        <v>5</v>
      </c>
      <c r="T944">
        <f>YEAR(Sales_Data_1[[#This Row],[Order_Date]])</f>
        <v>2023</v>
      </c>
      <c r="U944" t="str">
        <f>TEXT(Sales_Data_1[[#This Row],[Order_Date]], "mmm")</f>
        <v>Jun</v>
      </c>
      <c r="V944">
        <f>MONTH(Sales_Data_1[[#This Row],[Order_Date]])</f>
        <v>6</v>
      </c>
      <c r="W944" t="str">
        <f>TEXT(Sales_Data_1[[#This Row],[Order_Date]], "yyyy-mm")</f>
        <v>2023-06</v>
      </c>
      <c r="X944">
        <f>Sales_Data_1[[#This Row],[Sales]]-Sales_Data_1[[#This Row],[Profit_Amount]]</f>
        <v>235483.63</v>
      </c>
      <c r="Y944" t="str" cm="1">
        <f t="array" ref="Y944">_xlfn.IFS(Sales_Data_1[[#This Row],[Delivery_Days]]&lt;=3, "Fast", Sales_Data_1[[#This Row],[Delivery_Days]]&lt;= 7, "Standard", TRUE, "Delayed")</f>
        <v>Standard</v>
      </c>
      <c r="Z944" t="str" cm="1">
        <f t="array" ref="Z944">_xlfn.IFS(Sales_Data_1[[#This Row],[Profit_Amount]]&gt; 0, "Profitable", Sales_Data_1[[#This Row],[Profit_Amount]] = 0, "Break-Even", TRUE, "Loss")</f>
        <v>Profitable</v>
      </c>
      <c r="AA944" t="str" cm="1">
        <f t="array" ref="AA944">_xlfn.IFS(Sales_Data_1[[#This Row],[Sales]]&gt;= 1000, "High Value", Sales_Data_1[[#This Row],[Sales]]&gt;= 300, "Mid Value", TRUE, "Low Value")</f>
        <v>High Value</v>
      </c>
    </row>
    <row r="945" spans="1:27" x14ac:dyDescent="0.3">
      <c r="A945" t="s">
        <v>2275</v>
      </c>
      <c r="B945" s="1">
        <v>45161</v>
      </c>
      <c r="C945" t="s">
        <v>63</v>
      </c>
      <c r="D945" t="s">
        <v>56</v>
      </c>
      <c r="E945" t="s">
        <v>42</v>
      </c>
      <c r="F945" t="s">
        <v>33</v>
      </c>
      <c r="G945" t="s">
        <v>92</v>
      </c>
      <c r="H945" t="s">
        <v>243</v>
      </c>
      <c r="I945" t="s">
        <v>540</v>
      </c>
      <c r="J945">
        <v>5</v>
      </c>
      <c r="K945">
        <v>61924</v>
      </c>
      <c r="L945">
        <v>0.1</v>
      </c>
      <c r="M945">
        <v>55731.6</v>
      </c>
      <c r="N945">
        <v>278658</v>
      </c>
      <c r="O945">
        <v>0.15</v>
      </c>
      <c r="P945">
        <v>41798.699999999997</v>
      </c>
      <c r="Q945" t="s">
        <v>37</v>
      </c>
      <c r="R945" t="s">
        <v>48</v>
      </c>
      <c r="S945">
        <v>2</v>
      </c>
      <c r="T945">
        <f>YEAR(Sales_Data_1[[#This Row],[Order_Date]])</f>
        <v>2023</v>
      </c>
      <c r="U945" t="str">
        <f>TEXT(Sales_Data_1[[#This Row],[Order_Date]], "mmm")</f>
        <v>Aug</v>
      </c>
      <c r="V945">
        <f>MONTH(Sales_Data_1[[#This Row],[Order_Date]])</f>
        <v>8</v>
      </c>
      <c r="W945" t="str">
        <f>TEXT(Sales_Data_1[[#This Row],[Order_Date]], "yyyy-mm")</f>
        <v>2023-08</v>
      </c>
      <c r="X945">
        <f>Sales_Data_1[[#This Row],[Sales]]-Sales_Data_1[[#This Row],[Profit_Amount]]</f>
        <v>236859.3</v>
      </c>
      <c r="Y945" t="str" cm="1">
        <f t="array" ref="Y945">_xlfn.IFS(Sales_Data_1[[#This Row],[Delivery_Days]]&lt;=3, "Fast", Sales_Data_1[[#This Row],[Delivery_Days]]&lt;= 7, "Standard", TRUE, "Delayed")</f>
        <v>Fast</v>
      </c>
      <c r="Z945" t="str" cm="1">
        <f t="array" ref="Z945">_xlfn.IFS(Sales_Data_1[[#This Row],[Profit_Amount]]&gt; 0, "Profitable", Sales_Data_1[[#This Row],[Profit_Amount]] = 0, "Break-Even", TRUE, "Loss")</f>
        <v>Profitable</v>
      </c>
      <c r="AA945" t="str" cm="1">
        <f t="array" ref="AA945">_xlfn.IFS(Sales_Data_1[[#This Row],[Sales]]&gt;= 1000, "High Value", Sales_Data_1[[#This Row],[Sales]]&gt;= 300, "Mid Value", TRUE, "Low Value")</f>
        <v>High Value</v>
      </c>
    </row>
    <row r="946" spans="1:27" x14ac:dyDescent="0.3">
      <c r="A946" t="s">
        <v>2703</v>
      </c>
      <c r="B946" s="1">
        <v>45589</v>
      </c>
      <c r="C946" t="s">
        <v>63</v>
      </c>
      <c r="D946" t="s">
        <v>41</v>
      </c>
      <c r="E946" t="s">
        <v>42</v>
      </c>
      <c r="F946" t="s">
        <v>33</v>
      </c>
      <c r="G946" t="s">
        <v>92</v>
      </c>
      <c r="H946" t="s">
        <v>178</v>
      </c>
      <c r="I946" t="s">
        <v>1384</v>
      </c>
      <c r="J946">
        <v>5</v>
      </c>
      <c r="K946">
        <v>71558</v>
      </c>
      <c r="L946">
        <v>0.22</v>
      </c>
      <c r="M946">
        <v>55815.24</v>
      </c>
      <c r="N946">
        <v>279076.2</v>
      </c>
      <c r="O946">
        <v>0.15</v>
      </c>
      <c r="P946">
        <v>41861.43</v>
      </c>
      <c r="Q946" t="s">
        <v>51</v>
      </c>
      <c r="R946" t="s">
        <v>48</v>
      </c>
      <c r="S946">
        <v>7</v>
      </c>
      <c r="T946">
        <f>YEAR(Sales_Data_1[[#This Row],[Order_Date]])</f>
        <v>2024</v>
      </c>
      <c r="U946" t="str">
        <f>TEXT(Sales_Data_1[[#This Row],[Order_Date]], "mmm")</f>
        <v>Oct</v>
      </c>
      <c r="V946">
        <f>MONTH(Sales_Data_1[[#This Row],[Order_Date]])</f>
        <v>10</v>
      </c>
      <c r="W946" t="str">
        <f>TEXT(Sales_Data_1[[#This Row],[Order_Date]], "yyyy-mm")</f>
        <v>2024-10</v>
      </c>
      <c r="X946">
        <f>Sales_Data_1[[#This Row],[Sales]]-Sales_Data_1[[#This Row],[Profit_Amount]]</f>
        <v>237214.77000000002</v>
      </c>
      <c r="Y946" t="str" cm="1">
        <f t="array" ref="Y946">_xlfn.IFS(Sales_Data_1[[#This Row],[Delivery_Days]]&lt;=3, "Fast", Sales_Data_1[[#This Row],[Delivery_Days]]&lt;= 7, "Standard", TRUE, "Delayed")</f>
        <v>Standard</v>
      </c>
      <c r="Z946" t="str" cm="1">
        <f t="array" ref="Z946">_xlfn.IFS(Sales_Data_1[[#This Row],[Profit_Amount]]&gt; 0, "Profitable", Sales_Data_1[[#This Row],[Profit_Amount]] = 0, "Break-Even", TRUE, "Loss")</f>
        <v>Profitable</v>
      </c>
      <c r="AA946" t="str" cm="1">
        <f t="array" ref="AA946">_xlfn.IFS(Sales_Data_1[[#This Row],[Sales]]&gt;= 1000, "High Value", Sales_Data_1[[#This Row],[Sales]]&gt;= 300, "Mid Value", TRUE, "Low Value")</f>
        <v>High Value</v>
      </c>
    </row>
    <row r="947" spans="1:27" x14ac:dyDescent="0.3">
      <c r="A947" t="s">
        <v>2630</v>
      </c>
      <c r="B947" s="1">
        <v>45516</v>
      </c>
      <c r="C947" t="s">
        <v>20</v>
      </c>
      <c r="D947" t="s">
        <v>41</v>
      </c>
      <c r="E947" t="s">
        <v>42</v>
      </c>
      <c r="F947" t="s">
        <v>23</v>
      </c>
      <c r="G947" t="s">
        <v>92</v>
      </c>
      <c r="H947" t="s">
        <v>93</v>
      </c>
      <c r="I947" t="s">
        <v>1242</v>
      </c>
      <c r="J947">
        <v>9</v>
      </c>
      <c r="K947">
        <v>32420</v>
      </c>
      <c r="L947">
        <v>0.04</v>
      </c>
      <c r="M947">
        <v>31123.200000000001</v>
      </c>
      <c r="N947">
        <v>280108.79999999999</v>
      </c>
      <c r="O947">
        <v>0.15</v>
      </c>
      <c r="P947">
        <v>42016.32</v>
      </c>
      <c r="Q947" t="s">
        <v>27</v>
      </c>
      <c r="R947" t="s">
        <v>48</v>
      </c>
      <c r="S947">
        <v>4</v>
      </c>
      <c r="T947">
        <f>YEAR(Sales_Data_1[[#This Row],[Order_Date]])</f>
        <v>2024</v>
      </c>
      <c r="U947" t="str">
        <f>TEXT(Sales_Data_1[[#This Row],[Order_Date]], "mmm")</f>
        <v>Aug</v>
      </c>
      <c r="V947">
        <f>MONTH(Sales_Data_1[[#This Row],[Order_Date]])</f>
        <v>8</v>
      </c>
      <c r="W947" t="str">
        <f>TEXT(Sales_Data_1[[#This Row],[Order_Date]], "yyyy-mm")</f>
        <v>2024-08</v>
      </c>
      <c r="X947">
        <f>Sales_Data_1[[#This Row],[Sales]]-Sales_Data_1[[#This Row],[Profit_Amount]]</f>
        <v>238092.47999999998</v>
      </c>
      <c r="Y947" t="str" cm="1">
        <f t="array" ref="Y947">_xlfn.IFS(Sales_Data_1[[#This Row],[Delivery_Days]]&lt;=3, "Fast", Sales_Data_1[[#This Row],[Delivery_Days]]&lt;= 7, "Standard", TRUE, "Delayed")</f>
        <v>Standard</v>
      </c>
      <c r="Z947" t="str" cm="1">
        <f t="array" ref="Z947">_xlfn.IFS(Sales_Data_1[[#This Row],[Profit_Amount]]&gt; 0, "Profitable", Sales_Data_1[[#This Row],[Profit_Amount]] = 0, "Break-Even", TRUE, "Loss")</f>
        <v>Profitable</v>
      </c>
      <c r="AA947" t="str" cm="1">
        <f t="array" ref="AA947">_xlfn.IFS(Sales_Data_1[[#This Row],[Sales]]&gt;= 1000, "High Value", Sales_Data_1[[#This Row],[Sales]]&gt;= 300, "Mid Value", TRUE, "Low Value")</f>
        <v>High Value</v>
      </c>
    </row>
    <row r="948" spans="1:27" x14ac:dyDescent="0.3">
      <c r="A948" t="s">
        <v>2996</v>
      </c>
      <c r="B948" s="1">
        <v>45882</v>
      </c>
      <c r="C948" t="s">
        <v>20</v>
      </c>
      <c r="D948" t="s">
        <v>56</v>
      </c>
      <c r="E948" t="s">
        <v>42</v>
      </c>
      <c r="F948" t="s">
        <v>33</v>
      </c>
      <c r="G948" t="s">
        <v>92</v>
      </c>
      <c r="H948" t="s">
        <v>109</v>
      </c>
      <c r="I948" t="s">
        <v>1953</v>
      </c>
      <c r="J948">
        <v>5</v>
      </c>
      <c r="K948">
        <v>73878</v>
      </c>
      <c r="L948">
        <v>0.24</v>
      </c>
      <c r="M948">
        <v>56147.28</v>
      </c>
      <c r="N948">
        <v>280736.40000000002</v>
      </c>
      <c r="O948">
        <v>0.15</v>
      </c>
      <c r="P948">
        <v>42110.46</v>
      </c>
      <c r="Q948" t="s">
        <v>51</v>
      </c>
      <c r="R948" t="s">
        <v>48</v>
      </c>
      <c r="S948">
        <v>9</v>
      </c>
      <c r="T948">
        <f>YEAR(Sales_Data_1[[#This Row],[Order_Date]])</f>
        <v>2025</v>
      </c>
      <c r="U948" t="str">
        <f>TEXT(Sales_Data_1[[#This Row],[Order_Date]], "mmm")</f>
        <v>Aug</v>
      </c>
      <c r="V948">
        <f>MONTH(Sales_Data_1[[#This Row],[Order_Date]])</f>
        <v>8</v>
      </c>
      <c r="W948" t="str">
        <f>TEXT(Sales_Data_1[[#This Row],[Order_Date]], "yyyy-mm")</f>
        <v>2025-08</v>
      </c>
      <c r="X948">
        <f>Sales_Data_1[[#This Row],[Sales]]-Sales_Data_1[[#This Row],[Profit_Amount]]</f>
        <v>238625.94000000003</v>
      </c>
      <c r="Y948" t="str" cm="1">
        <f t="array" ref="Y948">_xlfn.IFS(Sales_Data_1[[#This Row],[Delivery_Days]]&lt;=3, "Fast", Sales_Data_1[[#This Row],[Delivery_Days]]&lt;= 7, "Standard", TRUE, "Delayed")</f>
        <v>Delayed</v>
      </c>
      <c r="Z948" t="str" cm="1">
        <f t="array" ref="Z948">_xlfn.IFS(Sales_Data_1[[#This Row],[Profit_Amount]]&gt; 0, "Profitable", Sales_Data_1[[#This Row],[Profit_Amount]] = 0, "Break-Even", TRUE, "Loss")</f>
        <v>Profitable</v>
      </c>
      <c r="AA948" t="str" cm="1">
        <f t="array" ref="AA948">_xlfn.IFS(Sales_Data_1[[#This Row],[Sales]]&gt;= 1000, "High Value", Sales_Data_1[[#This Row],[Sales]]&gt;= 300, "Mid Value", TRUE, "Low Value")</f>
        <v>High Value</v>
      </c>
    </row>
    <row r="949" spans="1:27" x14ac:dyDescent="0.3">
      <c r="A949" t="s">
        <v>2777</v>
      </c>
      <c r="B949" s="1">
        <v>45663</v>
      </c>
      <c r="C949" t="s">
        <v>96</v>
      </c>
      <c r="D949" t="s">
        <v>21</v>
      </c>
      <c r="E949" t="s">
        <v>2040</v>
      </c>
      <c r="F949" t="s">
        <v>33</v>
      </c>
      <c r="G949" t="s">
        <v>92</v>
      </c>
      <c r="H949" t="s">
        <v>109</v>
      </c>
      <c r="I949" t="s">
        <v>1528</v>
      </c>
      <c r="J949">
        <v>7</v>
      </c>
      <c r="K949">
        <v>48787</v>
      </c>
      <c r="L949">
        <v>0.17</v>
      </c>
      <c r="M949">
        <v>40493.21</v>
      </c>
      <c r="N949">
        <v>283452.46999999997</v>
      </c>
      <c r="O949">
        <v>0.15</v>
      </c>
      <c r="P949">
        <v>42517.87</v>
      </c>
      <c r="Q949" t="s">
        <v>47</v>
      </c>
      <c r="R949" t="s">
        <v>48</v>
      </c>
      <c r="S949">
        <v>6</v>
      </c>
      <c r="T949">
        <f>YEAR(Sales_Data_1[[#This Row],[Order_Date]])</f>
        <v>2025</v>
      </c>
      <c r="U949" t="str">
        <f>TEXT(Sales_Data_1[[#This Row],[Order_Date]], "mmm")</f>
        <v>Jan</v>
      </c>
      <c r="V949">
        <f>MONTH(Sales_Data_1[[#This Row],[Order_Date]])</f>
        <v>1</v>
      </c>
      <c r="W949" t="str">
        <f>TEXT(Sales_Data_1[[#This Row],[Order_Date]], "yyyy-mm")</f>
        <v>2025-01</v>
      </c>
      <c r="X949">
        <f>Sales_Data_1[[#This Row],[Sales]]-Sales_Data_1[[#This Row],[Profit_Amount]]</f>
        <v>240934.59999999998</v>
      </c>
      <c r="Y949" t="str" cm="1">
        <f t="array" ref="Y949">_xlfn.IFS(Sales_Data_1[[#This Row],[Delivery_Days]]&lt;=3, "Fast", Sales_Data_1[[#This Row],[Delivery_Days]]&lt;= 7, "Standard", TRUE, "Delayed")</f>
        <v>Standard</v>
      </c>
      <c r="Z949" t="str" cm="1">
        <f t="array" ref="Z949">_xlfn.IFS(Sales_Data_1[[#This Row],[Profit_Amount]]&gt; 0, "Profitable", Sales_Data_1[[#This Row],[Profit_Amount]] = 0, "Break-Even", TRUE, "Loss")</f>
        <v>Profitable</v>
      </c>
      <c r="AA949" t="str" cm="1">
        <f t="array" ref="AA949">_xlfn.IFS(Sales_Data_1[[#This Row],[Sales]]&gt;= 1000, "High Value", Sales_Data_1[[#This Row],[Sales]]&gt;= 300, "Mid Value", TRUE, "Low Value")</f>
        <v>High Value</v>
      </c>
    </row>
    <row r="950" spans="1:27" x14ac:dyDescent="0.3">
      <c r="A950" t="s">
        <v>2624</v>
      </c>
      <c r="B950" s="1">
        <v>45510</v>
      </c>
      <c r="C950" t="s">
        <v>20</v>
      </c>
      <c r="D950" t="s">
        <v>41</v>
      </c>
      <c r="E950" t="s">
        <v>2042</v>
      </c>
      <c r="F950" t="s">
        <v>97</v>
      </c>
      <c r="G950" t="s">
        <v>92</v>
      </c>
      <c r="H950" t="s">
        <v>109</v>
      </c>
      <c r="I950" t="s">
        <v>1230</v>
      </c>
      <c r="J950">
        <v>6</v>
      </c>
      <c r="K950">
        <v>51424</v>
      </c>
      <c r="L950">
        <v>0.08</v>
      </c>
      <c r="M950">
        <v>47310.080000000002</v>
      </c>
      <c r="N950">
        <v>283860.47999999998</v>
      </c>
      <c r="O950">
        <v>0.15</v>
      </c>
      <c r="P950">
        <v>42579.07</v>
      </c>
      <c r="Q950" t="s">
        <v>47</v>
      </c>
      <c r="R950" t="s">
        <v>48</v>
      </c>
      <c r="S950">
        <v>1</v>
      </c>
      <c r="T950">
        <f>YEAR(Sales_Data_1[[#This Row],[Order_Date]])</f>
        <v>2024</v>
      </c>
      <c r="U950" t="str">
        <f>TEXT(Sales_Data_1[[#This Row],[Order_Date]], "mmm")</f>
        <v>Aug</v>
      </c>
      <c r="V950">
        <f>MONTH(Sales_Data_1[[#This Row],[Order_Date]])</f>
        <v>8</v>
      </c>
      <c r="W950" t="str">
        <f>TEXT(Sales_Data_1[[#This Row],[Order_Date]], "yyyy-mm")</f>
        <v>2024-08</v>
      </c>
      <c r="X950">
        <f>Sales_Data_1[[#This Row],[Sales]]-Sales_Data_1[[#This Row],[Profit_Amount]]</f>
        <v>241281.40999999997</v>
      </c>
      <c r="Y950" t="str" cm="1">
        <f t="array" ref="Y950">_xlfn.IFS(Sales_Data_1[[#This Row],[Delivery_Days]]&lt;=3, "Fast", Sales_Data_1[[#This Row],[Delivery_Days]]&lt;= 7, "Standard", TRUE, "Delayed")</f>
        <v>Fast</v>
      </c>
      <c r="Z950" t="str" cm="1">
        <f t="array" ref="Z950">_xlfn.IFS(Sales_Data_1[[#This Row],[Profit_Amount]]&gt; 0, "Profitable", Sales_Data_1[[#This Row],[Profit_Amount]] = 0, "Break-Even", TRUE, "Loss")</f>
        <v>Profitable</v>
      </c>
      <c r="AA950" t="str" cm="1">
        <f t="array" ref="AA950">_xlfn.IFS(Sales_Data_1[[#This Row],[Sales]]&gt;= 1000, "High Value", Sales_Data_1[[#This Row],[Sales]]&gt;= 300, "Mid Value", TRUE, "Low Value")</f>
        <v>High Value</v>
      </c>
    </row>
    <row r="951" spans="1:27" x14ac:dyDescent="0.3">
      <c r="A951" t="s">
        <v>2518</v>
      </c>
      <c r="B951" s="1">
        <v>45404</v>
      </c>
      <c r="C951" t="s">
        <v>20</v>
      </c>
      <c r="D951" t="s">
        <v>56</v>
      </c>
      <c r="E951" t="s">
        <v>2042</v>
      </c>
      <c r="F951" t="s">
        <v>33</v>
      </c>
      <c r="G951" t="s">
        <v>92</v>
      </c>
      <c r="H951" t="s">
        <v>109</v>
      </c>
      <c r="I951" t="s">
        <v>1020</v>
      </c>
      <c r="J951">
        <v>6</v>
      </c>
      <c r="K951">
        <v>50461</v>
      </c>
      <c r="L951">
        <v>0.05</v>
      </c>
      <c r="M951">
        <v>47937.95</v>
      </c>
      <c r="N951">
        <v>287627.7</v>
      </c>
      <c r="O951">
        <v>0.15</v>
      </c>
      <c r="P951">
        <v>43144.160000000003</v>
      </c>
      <c r="Q951" t="s">
        <v>47</v>
      </c>
      <c r="R951" t="s">
        <v>38</v>
      </c>
      <c r="S951">
        <v>8</v>
      </c>
      <c r="T951">
        <f>YEAR(Sales_Data_1[[#This Row],[Order_Date]])</f>
        <v>2024</v>
      </c>
      <c r="U951" t="str">
        <f>TEXT(Sales_Data_1[[#This Row],[Order_Date]], "mmm")</f>
        <v>Apr</v>
      </c>
      <c r="V951">
        <f>MONTH(Sales_Data_1[[#This Row],[Order_Date]])</f>
        <v>4</v>
      </c>
      <c r="W951" t="str">
        <f>TEXT(Sales_Data_1[[#This Row],[Order_Date]], "yyyy-mm")</f>
        <v>2024-04</v>
      </c>
      <c r="X951">
        <f>Sales_Data_1[[#This Row],[Sales]]-Sales_Data_1[[#This Row],[Profit_Amount]]</f>
        <v>244483.54</v>
      </c>
      <c r="Y951" t="str" cm="1">
        <f t="array" ref="Y951">_xlfn.IFS(Sales_Data_1[[#This Row],[Delivery_Days]]&lt;=3, "Fast", Sales_Data_1[[#This Row],[Delivery_Days]]&lt;= 7, "Standard", TRUE, "Delayed")</f>
        <v>Delayed</v>
      </c>
      <c r="Z951" t="str" cm="1">
        <f t="array" ref="Z951">_xlfn.IFS(Sales_Data_1[[#This Row],[Profit_Amount]]&gt; 0, "Profitable", Sales_Data_1[[#This Row],[Profit_Amount]] = 0, "Break-Even", TRUE, "Loss")</f>
        <v>Profitable</v>
      </c>
      <c r="AA951" t="str" cm="1">
        <f t="array" ref="AA951">_xlfn.IFS(Sales_Data_1[[#This Row],[Sales]]&gt;= 1000, "High Value", Sales_Data_1[[#This Row],[Sales]]&gt;= 300, "Mid Value", TRUE, "Low Value")</f>
        <v>High Value</v>
      </c>
    </row>
    <row r="952" spans="1:27" x14ac:dyDescent="0.3">
      <c r="A952" t="s">
        <v>2648</v>
      </c>
      <c r="B952" s="1">
        <v>45534</v>
      </c>
      <c r="C952" t="s">
        <v>40</v>
      </c>
      <c r="D952" t="s">
        <v>41</v>
      </c>
      <c r="E952" t="s">
        <v>67</v>
      </c>
      <c r="F952" t="s">
        <v>103</v>
      </c>
      <c r="G952" t="s">
        <v>92</v>
      </c>
      <c r="H952" t="s">
        <v>93</v>
      </c>
      <c r="I952" t="s">
        <v>1276</v>
      </c>
      <c r="J952">
        <v>5</v>
      </c>
      <c r="K952">
        <v>74641</v>
      </c>
      <c r="L952">
        <v>0.21</v>
      </c>
      <c r="M952">
        <v>58966.39</v>
      </c>
      <c r="N952">
        <v>294831.95</v>
      </c>
      <c r="O952">
        <v>0.15</v>
      </c>
      <c r="P952">
        <v>44224.79</v>
      </c>
      <c r="Q952" t="s">
        <v>37</v>
      </c>
      <c r="R952" t="s">
        <v>48</v>
      </c>
      <c r="S952">
        <v>9</v>
      </c>
      <c r="T952">
        <f>YEAR(Sales_Data_1[[#This Row],[Order_Date]])</f>
        <v>2024</v>
      </c>
      <c r="U952" t="str">
        <f>TEXT(Sales_Data_1[[#This Row],[Order_Date]], "mmm")</f>
        <v>Aug</v>
      </c>
      <c r="V952">
        <f>MONTH(Sales_Data_1[[#This Row],[Order_Date]])</f>
        <v>8</v>
      </c>
      <c r="W952" t="str">
        <f>TEXT(Sales_Data_1[[#This Row],[Order_Date]], "yyyy-mm")</f>
        <v>2024-08</v>
      </c>
      <c r="X952">
        <f>Sales_Data_1[[#This Row],[Sales]]-Sales_Data_1[[#This Row],[Profit_Amount]]</f>
        <v>250607.16</v>
      </c>
      <c r="Y952" t="str" cm="1">
        <f t="array" ref="Y952">_xlfn.IFS(Sales_Data_1[[#This Row],[Delivery_Days]]&lt;=3, "Fast", Sales_Data_1[[#This Row],[Delivery_Days]]&lt;= 7, "Standard", TRUE, "Delayed")</f>
        <v>Delayed</v>
      </c>
      <c r="Z952" t="str" cm="1">
        <f t="array" ref="Z952">_xlfn.IFS(Sales_Data_1[[#This Row],[Profit_Amount]]&gt; 0, "Profitable", Sales_Data_1[[#This Row],[Profit_Amount]] = 0, "Break-Even", TRUE, "Loss")</f>
        <v>Profitable</v>
      </c>
      <c r="AA952" t="str" cm="1">
        <f t="array" ref="AA952">_xlfn.IFS(Sales_Data_1[[#This Row],[Sales]]&gt;= 1000, "High Value", Sales_Data_1[[#This Row],[Sales]]&gt;= 300, "Mid Value", TRUE, "Low Value")</f>
        <v>High Value</v>
      </c>
    </row>
    <row r="953" spans="1:27" x14ac:dyDescent="0.3">
      <c r="A953" t="s">
        <v>2536</v>
      </c>
      <c r="B953" s="1">
        <v>45422</v>
      </c>
      <c r="C953" t="s">
        <v>40</v>
      </c>
      <c r="D953" t="s">
        <v>21</v>
      </c>
      <c r="E953" t="s">
        <v>42</v>
      </c>
      <c r="F953" t="s">
        <v>103</v>
      </c>
      <c r="G953" t="s">
        <v>92</v>
      </c>
      <c r="H953" t="s">
        <v>93</v>
      </c>
      <c r="I953" t="s">
        <v>1056</v>
      </c>
      <c r="J953">
        <v>7</v>
      </c>
      <c r="K953">
        <v>45298</v>
      </c>
      <c r="L953">
        <v>7.0000000000000007E-2</v>
      </c>
      <c r="M953">
        <v>42127.14</v>
      </c>
      <c r="N953">
        <v>294889.98</v>
      </c>
      <c r="O953">
        <v>0.15</v>
      </c>
      <c r="P953">
        <v>44233.5</v>
      </c>
      <c r="Q953" t="s">
        <v>47</v>
      </c>
      <c r="R953" t="s">
        <v>48</v>
      </c>
      <c r="S953">
        <v>2</v>
      </c>
      <c r="T953">
        <f>YEAR(Sales_Data_1[[#This Row],[Order_Date]])</f>
        <v>2024</v>
      </c>
      <c r="U953" t="str">
        <f>TEXT(Sales_Data_1[[#This Row],[Order_Date]], "mmm")</f>
        <v>May</v>
      </c>
      <c r="V953">
        <f>MONTH(Sales_Data_1[[#This Row],[Order_Date]])</f>
        <v>5</v>
      </c>
      <c r="W953" t="str">
        <f>TEXT(Sales_Data_1[[#This Row],[Order_Date]], "yyyy-mm")</f>
        <v>2024-05</v>
      </c>
      <c r="X953">
        <f>Sales_Data_1[[#This Row],[Sales]]-Sales_Data_1[[#This Row],[Profit_Amount]]</f>
        <v>250656.47999999998</v>
      </c>
      <c r="Y953" t="str" cm="1">
        <f t="array" ref="Y953">_xlfn.IFS(Sales_Data_1[[#This Row],[Delivery_Days]]&lt;=3, "Fast", Sales_Data_1[[#This Row],[Delivery_Days]]&lt;= 7, "Standard", TRUE, "Delayed")</f>
        <v>Fast</v>
      </c>
      <c r="Z953" t="str" cm="1">
        <f t="array" ref="Z953">_xlfn.IFS(Sales_Data_1[[#This Row],[Profit_Amount]]&gt; 0, "Profitable", Sales_Data_1[[#This Row],[Profit_Amount]] = 0, "Break-Even", TRUE, "Loss")</f>
        <v>Profitable</v>
      </c>
      <c r="AA953" t="str" cm="1">
        <f t="array" ref="AA953">_xlfn.IFS(Sales_Data_1[[#This Row],[Sales]]&gt;= 1000, "High Value", Sales_Data_1[[#This Row],[Sales]]&gt;= 300, "Mid Value", TRUE, "Low Value")</f>
        <v>High Value</v>
      </c>
    </row>
    <row r="954" spans="1:27" x14ac:dyDescent="0.3">
      <c r="A954" t="s">
        <v>2393</v>
      </c>
      <c r="B954" s="1">
        <v>45279</v>
      </c>
      <c r="C954" t="s">
        <v>63</v>
      </c>
      <c r="D954" t="s">
        <v>41</v>
      </c>
      <c r="E954" t="s">
        <v>2040</v>
      </c>
      <c r="F954" t="s">
        <v>97</v>
      </c>
      <c r="G954" t="s">
        <v>92</v>
      </c>
      <c r="H954" t="s">
        <v>93</v>
      </c>
      <c r="I954" t="s">
        <v>773</v>
      </c>
      <c r="J954">
        <v>5</v>
      </c>
      <c r="K954">
        <v>59104</v>
      </c>
      <c r="L954">
        <v>0</v>
      </c>
      <c r="M954">
        <v>59104</v>
      </c>
      <c r="N954">
        <v>295520</v>
      </c>
      <c r="O954">
        <v>0.15</v>
      </c>
      <c r="P954">
        <v>44328</v>
      </c>
      <c r="Q954" t="s">
        <v>37</v>
      </c>
      <c r="R954" t="s">
        <v>48</v>
      </c>
      <c r="S954">
        <v>4</v>
      </c>
      <c r="T954">
        <f>YEAR(Sales_Data_1[[#This Row],[Order_Date]])</f>
        <v>2023</v>
      </c>
      <c r="U954" t="str">
        <f>TEXT(Sales_Data_1[[#This Row],[Order_Date]], "mmm")</f>
        <v>Dec</v>
      </c>
      <c r="V954">
        <f>MONTH(Sales_Data_1[[#This Row],[Order_Date]])</f>
        <v>12</v>
      </c>
      <c r="W954" t="str">
        <f>TEXT(Sales_Data_1[[#This Row],[Order_Date]], "yyyy-mm")</f>
        <v>2023-12</v>
      </c>
      <c r="X954">
        <f>Sales_Data_1[[#This Row],[Sales]]-Sales_Data_1[[#This Row],[Profit_Amount]]</f>
        <v>251192</v>
      </c>
      <c r="Y954" t="str" cm="1">
        <f t="array" ref="Y954">_xlfn.IFS(Sales_Data_1[[#This Row],[Delivery_Days]]&lt;=3, "Fast", Sales_Data_1[[#This Row],[Delivery_Days]]&lt;= 7, "Standard", TRUE, "Delayed")</f>
        <v>Standard</v>
      </c>
      <c r="Z954" t="str" cm="1">
        <f t="array" ref="Z954">_xlfn.IFS(Sales_Data_1[[#This Row],[Profit_Amount]]&gt; 0, "Profitable", Sales_Data_1[[#This Row],[Profit_Amount]] = 0, "Break-Even", TRUE, "Loss")</f>
        <v>Profitable</v>
      </c>
      <c r="AA954" t="str" cm="1">
        <f t="array" ref="AA954">_xlfn.IFS(Sales_Data_1[[#This Row],[Sales]]&gt;= 1000, "High Value", Sales_Data_1[[#This Row],[Sales]]&gt;= 300, "Mid Value", TRUE, "Low Value")</f>
        <v>High Value</v>
      </c>
    </row>
    <row r="955" spans="1:27" x14ac:dyDescent="0.3">
      <c r="A955" t="s">
        <v>2244</v>
      </c>
      <c r="B955" s="1">
        <v>45130</v>
      </c>
      <c r="C955" t="s">
        <v>30</v>
      </c>
      <c r="D955" t="s">
        <v>41</v>
      </c>
      <c r="E955" t="s">
        <v>2042</v>
      </c>
      <c r="F955" t="s">
        <v>23</v>
      </c>
      <c r="G955" t="s">
        <v>92</v>
      </c>
      <c r="H955" t="s">
        <v>243</v>
      </c>
      <c r="I955" t="s">
        <v>478</v>
      </c>
      <c r="J955">
        <v>7</v>
      </c>
      <c r="K955">
        <v>52823</v>
      </c>
      <c r="L955">
        <v>0.19</v>
      </c>
      <c r="M955">
        <v>42786.63</v>
      </c>
      <c r="N955">
        <v>299506.40999999997</v>
      </c>
      <c r="O955">
        <v>0.15</v>
      </c>
      <c r="P955">
        <v>44925.96</v>
      </c>
      <c r="Q955" t="s">
        <v>51</v>
      </c>
      <c r="R955" t="s">
        <v>38</v>
      </c>
      <c r="S955">
        <v>4</v>
      </c>
      <c r="T955">
        <f>YEAR(Sales_Data_1[[#This Row],[Order_Date]])</f>
        <v>2023</v>
      </c>
      <c r="U955" t="str">
        <f>TEXT(Sales_Data_1[[#This Row],[Order_Date]], "mmm")</f>
        <v>Jul</v>
      </c>
      <c r="V955">
        <f>MONTH(Sales_Data_1[[#This Row],[Order_Date]])</f>
        <v>7</v>
      </c>
      <c r="W955" t="str">
        <f>TEXT(Sales_Data_1[[#This Row],[Order_Date]], "yyyy-mm")</f>
        <v>2023-07</v>
      </c>
      <c r="X955">
        <f>Sales_Data_1[[#This Row],[Sales]]-Sales_Data_1[[#This Row],[Profit_Amount]]</f>
        <v>254580.44999999998</v>
      </c>
      <c r="Y955" t="str" cm="1">
        <f t="array" ref="Y955">_xlfn.IFS(Sales_Data_1[[#This Row],[Delivery_Days]]&lt;=3, "Fast", Sales_Data_1[[#This Row],[Delivery_Days]]&lt;= 7, "Standard", TRUE, "Delayed")</f>
        <v>Standard</v>
      </c>
      <c r="Z955" t="str" cm="1">
        <f t="array" ref="Z955">_xlfn.IFS(Sales_Data_1[[#This Row],[Profit_Amount]]&gt; 0, "Profitable", Sales_Data_1[[#This Row],[Profit_Amount]] = 0, "Break-Even", TRUE, "Loss")</f>
        <v>Profitable</v>
      </c>
      <c r="AA955" t="str" cm="1">
        <f t="array" ref="AA955">_xlfn.IFS(Sales_Data_1[[#This Row],[Sales]]&gt;= 1000, "High Value", Sales_Data_1[[#This Row],[Sales]]&gt;= 300, "Mid Value", TRUE, "Low Value")</f>
        <v>High Value</v>
      </c>
    </row>
    <row r="956" spans="1:27" x14ac:dyDescent="0.3">
      <c r="A956" t="s">
        <v>2696</v>
      </c>
      <c r="B956" s="1">
        <v>45582</v>
      </c>
      <c r="C956" t="s">
        <v>96</v>
      </c>
      <c r="D956" t="s">
        <v>41</v>
      </c>
      <c r="E956" t="s">
        <v>42</v>
      </c>
      <c r="F956" t="s">
        <v>33</v>
      </c>
      <c r="G956" t="s">
        <v>92</v>
      </c>
      <c r="H956" t="s">
        <v>109</v>
      </c>
      <c r="I956" t="s">
        <v>1370</v>
      </c>
      <c r="J956">
        <v>8</v>
      </c>
      <c r="K956">
        <v>45144</v>
      </c>
      <c r="L956">
        <v>0.17</v>
      </c>
      <c r="M956">
        <v>37469.519999999997</v>
      </c>
      <c r="N956">
        <v>299756.15999999997</v>
      </c>
      <c r="O956">
        <v>0.15</v>
      </c>
      <c r="P956">
        <v>44963.42</v>
      </c>
      <c r="Q956" t="s">
        <v>37</v>
      </c>
      <c r="R956" t="s">
        <v>48</v>
      </c>
      <c r="S956">
        <v>9</v>
      </c>
      <c r="T956">
        <f>YEAR(Sales_Data_1[[#This Row],[Order_Date]])</f>
        <v>2024</v>
      </c>
      <c r="U956" t="str">
        <f>TEXT(Sales_Data_1[[#This Row],[Order_Date]], "mmm")</f>
        <v>Oct</v>
      </c>
      <c r="V956">
        <f>MONTH(Sales_Data_1[[#This Row],[Order_Date]])</f>
        <v>10</v>
      </c>
      <c r="W956" t="str">
        <f>TEXT(Sales_Data_1[[#This Row],[Order_Date]], "yyyy-mm")</f>
        <v>2024-10</v>
      </c>
      <c r="X956">
        <f>Sales_Data_1[[#This Row],[Sales]]-Sales_Data_1[[#This Row],[Profit_Amount]]</f>
        <v>254792.74</v>
      </c>
      <c r="Y956" t="str" cm="1">
        <f t="array" ref="Y956">_xlfn.IFS(Sales_Data_1[[#This Row],[Delivery_Days]]&lt;=3, "Fast", Sales_Data_1[[#This Row],[Delivery_Days]]&lt;= 7, "Standard", TRUE, "Delayed")</f>
        <v>Delayed</v>
      </c>
      <c r="Z956" t="str" cm="1">
        <f t="array" ref="Z956">_xlfn.IFS(Sales_Data_1[[#This Row],[Profit_Amount]]&gt; 0, "Profitable", Sales_Data_1[[#This Row],[Profit_Amount]] = 0, "Break-Even", TRUE, "Loss")</f>
        <v>Profitable</v>
      </c>
      <c r="AA956" t="str" cm="1">
        <f t="array" ref="AA956">_xlfn.IFS(Sales_Data_1[[#This Row],[Sales]]&gt;= 1000, "High Value", Sales_Data_1[[#This Row],[Sales]]&gt;= 300, "Mid Value", TRUE, "Low Value")</f>
        <v>High Value</v>
      </c>
    </row>
    <row r="957" spans="1:27" x14ac:dyDescent="0.3">
      <c r="A957" t="s">
        <v>2283</v>
      </c>
      <c r="B957" s="1">
        <v>45169</v>
      </c>
      <c r="C957" t="s">
        <v>40</v>
      </c>
      <c r="D957" t="s">
        <v>41</v>
      </c>
      <c r="E957" t="s">
        <v>2040</v>
      </c>
      <c r="F957" t="s">
        <v>103</v>
      </c>
      <c r="G957" t="s">
        <v>92</v>
      </c>
      <c r="H957" t="s">
        <v>178</v>
      </c>
      <c r="I957" t="s">
        <v>556</v>
      </c>
      <c r="J957">
        <v>9</v>
      </c>
      <c r="K957">
        <v>41324</v>
      </c>
      <c r="L957">
        <v>0.19</v>
      </c>
      <c r="M957">
        <v>33472.44</v>
      </c>
      <c r="N957">
        <v>301251.96000000002</v>
      </c>
      <c r="O957">
        <v>0.15</v>
      </c>
      <c r="P957">
        <v>45187.79</v>
      </c>
      <c r="Q957" t="s">
        <v>51</v>
      </c>
      <c r="R957" t="s">
        <v>28</v>
      </c>
      <c r="S957">
        <v>9</v>
      </c>
      <c r="T957">
        <f>YEAR(Sales_Data_1[[#This Row],[Order_Date]])</f>
        <v>2023</v>
      </c>
      <c r="U957" t="str">
        <f>TEXT(Sales_Data_1[[#This Row],[Order_Date]], "mmm")</f>
        <v>Aug</v>
      </c>
      <c r="V957">
        <f>MONTH(Sales_Data_1[[#This Row],[Order_Date]])</f>
        <v>8</v>
      </c>
      <c r="W957" t="str">
        <f>TEXT(Sales_Data_1[[#This Row],[Order_Date]], "yyyy-mm")</f>
        <v>2023-08</v>
      </c>
      <c r="X957">
        <f>Sales_Data_1[[#This Row],[Sales]]-Sales_Data_1[[#This Row],[Profit_Amount]]</f>
        <v>256064.17</v>
      </c>
      <c r="Y957" t="str" cm="1">
        <f t="array" ref="Y957">_xlfn.IFS(Sales_Data_1[[#This Row],[Delivery_Days]]&lt;=3, "Fast", Sales_Data_1[[#This Row],[Delivery_Days]]&lt;= 7, "Standard", TRUE, "Delayed")</f>
        <v>Delayed</v>
      </c>
      <c r="Z957" t="str" cm="1">
        <f t="array" ref="Z957">_xlfn.IFS(Sales_Data_1[[#This Row],[Profit_Amount]]&gt; 0, "Profitable", Sales_Data_1[[#This Row],[Profit_Amount]] = 0, "Break-Even", TRUE, "Loss")</f>
        <v>Profitable</v>
      </c>
      <c r="AA957" t="str" cm="1">
        <f t="array" ref="AA957">_xlfn.IFS(Sales_Data_1[[#This Row],[Sales]]&gt;= 1000, "High Value", Sales_Data_1[[#This Row],[Sales]]&gt;= 300, "Mid Value", TRUE, "Low Value")</f>
        <v>High Value</v>
      </c>
    </row>
    <row r="958" spans="1:27" x14ac:dyDescent="0.3">
      <c r="A958" t="s">
        <v>2151</v>
      </c>
      <c r="B958" s="1">
        <v>45037</v>
      </c>
      <c r="C958" t="s">
        <v>55</v>
      </c>
      <c r="D958" t="s">
        <v>31</v>
      </c>
      <c r="E958" t="s">
        <v>42</v>
      </c>
      <c r="F958" t="s">
        <v>97</v>
      </c>
      <c r="G958" t="s">
        <v>92</v>
      </c>
      <c r="H958" t="s">
        <v>109</v>
      </c>
      <c r="I958" t="s">
        <v>292</v>
      </c>
      <c r="J958">
        <v>5</v>
      </c>
      <c r="K958">
        <v>77649</v>
      </c>
      <c r="L958">
        <v>0.22</v>
      </c>
      <c r="M958">
        <v>60566.22</v>
      </c>
      <c r="N958">
        <v>302831.09999999998</v>
      </c>
      <c r="O958">
        <v>0.15</v>
      </c>
      <c r="P958">
        <v>45424.66</v>
      </c>
      <c r="Q958" t="s">
        <v>51</v>
      </c>
      <c r="R958" t="s">
        <v>38</v>
      </c>
      <c r="S958">
        <v>7</v>
      </c>
      <c r="T958">
        <f>YEAR(Sales_Data_1[[#This Row],[Order_Date]])</f>
        <v>2023</v>
      </c>
      <c r="U958" t="str">
        <f>TEXT(Sales_Data_1[[#This Row],[Order_Date]], "mmm")</f>
        <v>Apr</v>
      </c>
      <c r="V958">
        <f>MONTH(Sales_Data_1[[#This Row],[Order_Date]])</f>
        <v>4</v>
      </c>
      <c r="W958" t="str">
        <f>TEXT(Sales_Data_1[[#This Row],[Order_Date]], "yyyy-mm")</f>
        <v>2023-04</v>
      </c>
      <c r="X958">
        <f>Sales_Data_1[[#This Row],[Sales]]-Sales_Data_1[[#This Row],[Profit_Amount]]</f>
        <v>257406.43999999997</v>
      </c>
      <c r="Y958" t="str" cm="1">
        <f t="array" ref="Y958">_xlfn.IFS(Sales_Data_1[[#This Row],[Delivery_Days]]&lt;=3, "Fast", Sales_Data_1[[#This Row],[Delivery_Days]]&lt;= 7, "Standard", TRUE, "Delayed")</f>
        <v>Standard</v>
      </c>
      <c r="Z958" t="str" cm="1">
        <f t="array" ref="Z958">_xlfn.IFS(Sales_Data_1[[#This Row],[Profit_Amount]]&gt; 0, "Profitable", Sales_Data_1[[#This Row],[Profit_Amount]] = 0, "Break-Even", TRUE, "Loss")</f>
        <v>Profitable</v>
      </c>
      <c r="AA958" t="str" cm="1">
        <f t="array" ref="AA958">_xlfn.IFS(Sales_Data_1[[#This Row],[Sales]]&gt;= 1000, "High Value", Sales_Data_1[[#This Row],[Sales]]&gt;= 300, "Mid Value", TRUE, "Low Value")</f>
        <v>High Value</v>
      </c>
    </row>
    <row r="959" spans="1:27" x14ac:dyDescent="0.3">
      <c r="A959" t="s">
        <v>2601</v>
      </c>
      <c r="B959" s="1">
        <v>45487</v>
      </c>
      <c r="C959" t="s">
        <v>63</v>
      </c>
      <c r="D959" t="s">
        <v>31</v>
      </c>
      <c r="E959" t="s">
        <v>2042</v>
      </c>
      <c r="F959" t="s">
        <v>43</v>
      </c>
      <c r="G959" t="s">
        <v>92</v>
      </c>
      <c r="H959" t="s">
        <v>93</v>
      </c>
      <c r="I959" t="s">
        <v>1184</v>
      </c>
      <c r="J959">
        <v>4</v>
      </c>
      <c r="K959">
        <v>79252</v>
      </c>
      <c r="L959">
        <v>0.04</v>
      </c>
      <c r="M959">
        <v>76081.919999999998</v>
      </c>
      <c r="N959">
        <v>304327.67999999999</v>
      </c>
      <c r="O959">
        <v>0.15</v>
      </c>
      <c r="P959">
        <v>45649.15</v>
      </c>
      <c r="Q959" t="s">
        <v>51</v>
      </c>
      <c r="R959" t="s">
        <v>48</v>
      </c>
      <c r="S959">
        <v>2</v>
      </c>
      <c r="T959">
        <f>YEAR(Sales_Data_1[[#This Row],[Order_Date]])</f>
        <v>2024</v>
      </c>
      <c r="U959" t="str">
        <f>TEXT(Sales_Data_1[[#This Row],[Order_Date]], "mmm")</f>
        <v>Jul</v>
      </c>
      <c r="V959">
        <f>MONTH(Sales_Data_1[[#This Row],[Order_Date]])</f>
        <v>7</v>
      </c>
      <c r="W959" t="str">
        <f>TEXT(Sales_Data_1[[#This Row],[Order_Date]], "yyyy-mm")</f>
        <v>2024-07</v>
      </c>
      <c r="X959">
        <f>Sales_Data_1[[#This Row],[Sales]]-Sales_Data_1[[#This Row],[Profit_Amount]]</f>
        <v>258678.53</v>
      </c>
      <c r="Y959" t="str" cm="1">
        <f t="array" ref="Y959">_xlfn.IFS(Sales_Data_1[[#This Row],[Delivery_Days]]&lt;=3, "Fast", Sales_Data_1[[#This Row],[Delivery_Days]]&lt;= 7, "Standard", TRUE, "Delayed")</f>
        <v>Fast</v>
      </c>
      <c r="Z959" t="str" cm="1">
        <f t="array" ref="Z959">_xlfn.IFS(Sales_Data_1[[#This Row],[Profit_Amount]]&gt; 0, "Profitable", Sales_Data_1[[#This Row],[Profit_Amount]] = 0, "Break-Even", TRUE, "Loss")</f>
        <v>Profitable</v>
      </c>
      <c r="AA959" t="str" cm="1">
        <f t="array" ref="AA959">_xlfn.IFS(Sales_Data_1[[#This Row],[Sales]]&gt;= 1000, "High Value", Sales_Data_1[[#This Row],[Sales]]&gt;= 300, "Mid Value", TRUE, "Low Value")</f>
        <v>High Value</v>
      </c>
    </row>
    <row r="960" spans="1:27" x14ac:dyDescent="0.3">
      <c r="A960" t="s">
        <v>2259</v>
      </c>
      <c r="B960" s="1">
        <v>45145</v>
      </c>
      <c r="C960" t="s">
        <v>55</v>
      </c>
      <c r="D960" t="s">
        <v>31</v>
      </c>
      <c r="E960" t="s">
        <v>42</v>
      </c>
      <c r="F960" t="s">
        <v>68</v>
      </c>
      <c r="G960" t="s">
        <v>92</v>
      </c>
      <c r="H960" t="s">
        <v>243</v>
      </c>
      <c r="I960" t="s">
        <v>508</v>
      </c>
      <c r="J960">
        <v>9</v>
      </c>
      <c r="K960">
        <v>37208</v>
      </c>
      <c r="L960">
        <v>0.06</v>
      </c>
      <c r="M960">
        <v>34975.519999999997</v>
      </c>
      <c r="N960">
        <v>314779.68</v>
      </c>
      <c r="O960">
        <v>0.15</v>
      </c>
      <c r="P960">
        <v>47216.95</v>
      </c>
      <c r="Q960" t="s">
        <v>47</v>
      </c>
      <c r="R960" t="s">
        <v>48</v>
      </c>
      <c r="S960">
        <v>5</v>
      </c>
      <c r="T960">
        <f>YEAR(Sales_Data_1[[#This Row],[Order_Date]])</f>
        <v>2023</v>
      </c>
      <c r="U960" t="str">
        <f>TEXT(Sales_Data_1[[#This Row],[Order_Date]], "mmm")</f>
        <v>Aug</v>
      </c>
      <c r="V960">
        <f>MONTH(Sales_Data_1[[#This Row],[Order_Date]])</f>
        <v>8</v>
      </c>
      <c r="W960" t="str">
        <f>TEXT(Sales_Data_1[[#This Row],[Order_Date]], "yyyy-mm")</f>
        <v>2023-08</v>
      </c>
      <c r="X960">
        <f>Sales_Data_1[[#This Row],[Sales]]-Sales_Data_1[[#This Row],[Profit_Amount]]</f>
        <v>267562.73</v>
      </c>
      <c r="Y960" t="str" cm="1">
        <f t="array" ref="Y960">_xlfn.IFS(Sales_Data_1[[#This Row],[Delivery_Days]]&lt;=3, "Fast", Sales_Data_1[[#This Row],[Delivery_Days]]&lt;= 7, "Standard", TRUE, "Delayed")</f>
        <v>Standard</v>
      </c>
      <c r="Z960" t="str" cm="1">
        <f t="array" ref="Z960">_xlfn.IFS(Sales_Data_1[[#This Row],[Profit_Amount]]&gt; 0, "Profitable", Sales_Data_1[[#This Row],[Profit_Amount]] = 0, "Break-Even", TRUE, "Loss")</f>
        <v>Profitable</v>
      </c>
      <c r="AA960" t="str" cm="1">
        <f t="array" ref="AA960">_xlfn.IFS(Sales_Data_1[[#This Row],[Sales]]&gt;= 1000, "High Value", Sales_Data_1[[#This Row],[Sales]]&gt;= 300, "Mid Value", TRUE, "Low Value")</f>
        <v>High Value</v>
      </c>
    </row>
    <row r="961" spans="1:27" x14ac:dyDescent="0.3">
      <c r="A961" t="s">
        <v>2599</v>
      </c>
      <c r="B961" s="1">
        <v>45485</v>
      </c>
      <c r="C961" t="s">
        <v>96</v>
      </c>
      <c r="D961" t="s">
        <v>41</v>
      </c>
      <c r="E961" t="s">
        <v>2040</v>
      </c>
      <c r="F961" t="s">
        <v>23</v>
      </c>
      <c r="G961" t="s">
        <v>92</v>
      </c>
      <c r="H961" t="s">
        <v>93</v>
      </c>
      <c r="I961" t="s">
        <v>1180</v>
      </c>
      <c r="J961">
        <v>8</v>
      </c>
      <c r="K961">
        <v>41174</v>
      </c>
      <c r="L961">
        <v>0.03</v>
      </c>
      <c r="M961">
        <v>39938.78</v>
      </c>
      <c r="N961">
        <v>319510.24</v>
      </c>
      <c r="O961">
        <v>0.15</v>
      </c>
      <c r="P961">
        <v>47926.54</v>
      </c>
      <c r="Q961" t="s">
        <v>47</v>
      </c>
      <c r="R961" t="s">
        <v>48</v>
      </c>
      <c r="S961">
        <v>3</v>
      </c>
      <c r="T961">
        <f>YEAR(Sales_Data_1[[#This Row],[Order_Date]])</f>
        <v>2024</v>
      </c>
      <c r="U961" t="str">
        <f>TEXT(Sales_Data_1[[#This Row],[Order_Date]], "mmm")</f>
        <v>Jul</v>
      </c>
      <c r="V961">
        <f>MONTH(Sales_Data_1[[#This Row],[Order_Date]])</f>
        <v>7</v>
      </c>
      <c r="W961" t="str">
        <f>TEXT(Sales_Data_1[[#This Row],[Order_Date]], "yyyy-mm")</f>
        <v>2024-07</v>
      </c>
      <c r="X961">
        <f>Sales_Data_1[[#This Row],[Sales]]-Sales_Data_1[[#This Row],[Profit_Amount]]</f>
        <v>271583.7</v>
      </c>
      <c r="Y961" t="str" cm="1">
        <f t="array" ref="Y961">_xlfn.IFS(Sales_Data_1[[#This Row],[Delivery_Days]]&lt;=3, "Fast", Sales_Data_1[[#This Row],[Delivery_Days]]&lt;= 7, "Standard", TRUE, "Delayed")</f>
        <v>Fast</v>
      </c>
      <c r="Z961" t="str" cm="1">
        <f t="array" ref="Z961">_xlfn.IFS(Sales_Data_1[[#This Row],[Profit_Amount]]&gt; 0, "Profitable", Sales_Data_1[[#This Row],[Profit_Amount]] = 0, "Break-Even", TRUE, "Loss")</f>
        <v>Profitable</v>
      </c>
      <c r="AA961" t="str" cm="1">
        <f t="array" ref="AA961">_xlfn.IFS(Sales_Data_1[[#This Row],[Sales]]&gt;= 1000, "High Value", Sales_Data_1[[#This Row],[Sales]]&gt;= 300, "Mid Value", TRUE, "Low Value")</f>
        <v>High Value</v>
      </c>
    </row>
    <row r="962" spans="1:27" x14ac:dyDescent="0.3">
      <c r="A962" t="s">
        <v>2958</v>
      </c>
      <c r="B962" s="1">
        <v>45844</v>
      </c>
      <c r="C962" t="s">
        <v>55</v>
      </c>
      <c r="D962" t="s">
        <v>41</v>
      </c>
      <c r="E962" t="s">
        <v>2040</v>
      </c>
      <c r="F962" t="s">
        <v>103</v>
      </c>
      <c r="G962" t="s">
        <v>92</v>
      </c>
      <c r="H962" t="s">
        <v>178</v>
      </c>
      <c r="I962" t="s">
        <v>1881</v>
      </c>
      <c r="J962">
        <v>8</v>
      </c>
      <c r="K962">
        <v>52891</v>
      </c>
      <c r="L962">
        <v>0.24</v>
      </c>
      <c r="M962">
        <v>40197.160000000003</v>
      </c>
      <c r="N962">
        <v>321577.28000000003</v>
      </c>
      <c r="O962">
        <v>0.15</v>
      </c>
      <c r="P962">
        <v>48236.59</v>
      </c>
      <c r="Q962" t="s">
        <v>37</v>
      </c>
      <c r="R962" t="s">
        <v>48</v>
      </c>
      <c r="S962">
        <v>9</v>
      </c>
      <c r="T962">
        <f>YEAR(Sales_Data_1[[#This Row],[Order_Date]])</f>
        <v>2025</v>
      </c>
      <c r="U962" t="str">
        <f>TEXT(Sales_Data_1[[#This Row],[Order_Date]], "mmm")</f>
        <v>Jul</v>
      </c>
      <c r="V962">
        <f>MONTH(Sales_Data_1[[#This Row],[Order_Date]])</f>
        <v>7</v>
      </c>
      <c r="W962" t="str">
        <f>TEXT(Sales_Data_1[[#This Row],[Order_Date]], "yyyy-mm")</f>
        <v>2025-07</v>
      </c>
      <c r="X962">
        <f>Sales_Data_1[[#This Row],[Sales]]-Sales_Data_1[[#This Row],[Profit_Amount]]</f>
        <v>273340.69000000006</v>
      </c>
      <c r="Y962" t="str" cm="1">
        <f t="array" ref="Y962">_xlfn.IFS(Sales_Data_1[[#This Row],[Delivery_Days]]&lt;=3, "Fast", Sales_Data_1[[#This Row],[Delivery_Days]]&lt;= 7, "Standard", TRUE, "Delayed")</f>
        <v>Delayed</v>
      </c>
      <c r="Z962" t="str" cm="1">
        <f t="array" ref="Z962">_xlfn.IFS(Sales_Data_1[[#This Row],[Profit_Amount]]&gt; 0, "Profitable", Sales_Data_1[[#This Row],[Profit_Amount]] = 0, "Break-Even", TRUE, "Loss")</f>
        <v>Profitable</v>
      </c>
      <c r="AA962" t="str" cm="1">
        <f t="array" ref="AA962">_xlfn.IFS(Sales_Data_1[[#This Row],[Sales]]&gt;= 1000, "High Value", Sales_Data_1[[#This Row],[Sales]]&gt;= 300, "Mid Value", TRUE, "Low Value")</f>
        <v>High Value</v>
      </c>
    </row>
    <row r="963" spans="1:27" x14ac:dyDescent="0.3">
      <c r="A963" t="s">
        <v>2770</v>
      </c>
      <c r="B963" s="1">
        <v>45656</v>
      </c>
      <c r="C963" t="s">
        <v>30</v>
      </c>
      <c r="D963" t="s">
        <v>31</v>
      </c>
      <c r="E963" t="s">
        <v>2040</v>
      </c>
      <c r="F963" t="s">
        <v>23</v>
      </c>
      <c r="G963" t="s">
        <v>92</v>
      </c>
      <c r="H963" t="s">
        <v>243</v>
      </c>
      <c r="I963" t="s">
        <v>1514</v>
      </c>
      <c r="J963">
        <v>9</v>
      </c>
      <c r="K963">
        <v>39725</v>
      </c>
      <c r="L963">
        <v>0.09</v>
      </c>
      <c r="M963">
        <v>36149.75</v>
      </c>
      <c r="N963">
        <v>325347.75</v>
      </c>
      <c r="O963">
        <v>0.15</v>
      </c>
      <c r="P963">
        <v>48802.16</v>
      </c>
      <c r="Q963" t="s">
        <v>27</v>
      </c>
      <c r="R963" t="s">
        <v>48</v>
      </c>
      <c r="S963">
        <v>4</v>
      </c>
      <c r="T963">
        <f>YEAR(Sales_Data_1[[#This Row],[Order_Date]])</f>
        <v>2024</v>
      </c>
      <c r="U963" t="str">
        <f>TEXT(Sales_Data_1[[#This Row],[Order_Date]], "mmm")</f>
        <v>Dec</v>
      </c>
      <c r="V963">
        <f>MONTH(Sales_Data_1[[#This Row],[Order_Date]])</f>
        <v>12</v>
      </c>
      <c r="W963" t="str">
        <f>TEXT(Sales_Data_1[[#This Row],[Order_Date]], "yyyy-mm")</f>
        <v>2024-12</v>
      </c>
      <c r="X963">
        <f>Sales_Data_1[[#This Row],[Sales]]-Sales_Data_1[[#This Row],[Profit_Amount]]</f>
        <v>276545.58999999997</v>
      </c>
      <c r="Y963" t="str" cm="1">
        <f t="array" ref="Y963">_xlfn.IFS(Sales_Data_1[[#This Row],[Delivery_Days]]&lt;=3, "Fast", Sales_Data_1[[#This Row],[Delivery_Days]]&lt;= 7, "Standard", TRUE, "Delayed")</f>
        <v>Standard</v>
      </c>
      <c r="Z963" t="str" cm="1">
        <f t="array" ref="Z963">_xlfn.IFS(Sales_Data_1[[#This Row],[Profit_Amount]]&gt; 0, "Profitable", Sales_Data_1[[#This Row],[Profit_Amount]] = 0, "Break-Even", TRUE, "Loss")</f>
        <v>Profitable</v>
      </c>
      <c r="AA963" t="str" cm="1">
        <f t="array" ref="AA963">_xlfn.IFS(Sales_Data_1[[#This Row],[Sales]]&gt;= 1000, "High Value", Sales_Data_1[[#This Row],[Sales]]&gt;= 300, "Mid Value", TRUE, "Low Value")</f>
        <v>High Value</v>
      </c>
    </row>
    <row r="964" spans="1:27" x14ac:dyDescent="0.3">
      <c r="A964" t="s">
        <v>2816</v>
      </c>
      <c r="B964" s="1">
        <v>45702</v>
      </c>
      <c r="C964" t="s">
        <v>40</v>
      </c>
      <c r="D964" t="s">
        <v>21</v>
      </c>
      <c r="E964" t="s">
        <v>2042</v>
      </c>
      <c r="F964" t="s">
        <v>103</v>
      </c>
      <c r="G964" t="s">
        <v>92</v>
      </c>
      <c r="H964" t="s">
        <v>93</v>
      </c>
      <c r="I964" t="s">
        <v>1604</v>
      </c>
      <c r="J964">
        <v>6</v>
      </c>
      <c r="K964">
        <v>71627</v>
      </c>
      <c r="L964">
        <v>0.23</v>
      </c>
      <c r="M964">
        <v>55152.79</v>
      </c>
      <c r="N964">
        <v>330916.74</v>
      </c>
      <c r="O964">
        <v>0.15</v>
      </c>
      <c r="P964">
        <v>49637.51</v>
      </c>
      <c r="Q964" t="s">
        <v>37</v>
      </c>
      <c r="R964" t="s">
        <v>48</v>
      </c>
      <c r="S964">
        <v>2</v>
      </c>
      <c r="T964">
        <f>YEAR(Sales_Data_1[[#This Row],[Order_Date]])</f>
        <v>2025</v>
      </c>
      <c r="U964" t="str">
        <f>TEXT(Sales_Data_1[[#This Row],[Order_Date]], "mmm")</f>
        <v>Feb</v>
      </c>
      <c r="V964">
        <f>MONTH(Sales_Data_1[[#This Row],[Order_Date]])</f>
        <v>2</v>
      </c>
      <c r="W964" t="str">
        <f>TEXT(Sales_Data_1[[#This Row],[Order_Date]], "yyyy-mm")</f>
        <v>2025-02</v>
      </c>
      <c r="X964">
        <f>Sales_Data_1[[#This Row],[Sales]]-Sales_Data_1[[#This Row],[Profit_Amount]]</f>
        <v>281279.23</v>
      </c>
      <c r="Y964" t="str" cm="1">
        <f t="array" ref="Y964">_xlfn.IFS(Sales_Data_1[[#This Row],[Delivery_Days]]&lt;=3, "Fast", Sales_Data_1[[#This Row],[Delivery_Days]]&lt;= 7, "Standard", TRUE, "Delayed")</f>
        <v>Fast</v>
      </c>
      <c r="Z964" t="str" cm="1">
        <f t="array" ref="Z964">_xlfn.IFS(Sales_Data_1[[#This Row],[Profit_Amount]]&gt; 0, "Profitable", Sales_Data_1[[#This Row],[Profit_Amount]] = 0, "Break-Even", TRUE, "Loss")</f>
        <v>Profitable</v>
      </c>
      <c r="AA964" t="str" cm="1">
        <f t="array" ref="AA964">_xlfn.IFS(Sales_Data_1[[#This Row],[Sales]]&gt;= 1000, "High Value", Sales_Data_1[[#This Row],[Sales]]&gt;= 300, "Mid Value", TRUE, "Low Value")</f>
        <v>High Value</v>
      </c>
    </row>
    <row r="965" spans="1:27" x14ac:dyDescent="0.3">
      <c r="A965" t="s">
        <v>2117</v>
      </c>
      <c r="B965" s="1">
        <v>45003</v>
      </c>
      <c r="C965" t="s">
        <v>20</v>
      </c>
      <c r="D965" t="s">
        <v>56</v>
      </c>
      <c r="E965" t="s">
        <v>67</v>
      </c>
      <c r="F965" t="s">
        <v>33</v>
      </c>
      <c r="G965" t="s">
        <v>92</v>
      </c>
      <c r="H965" t="s">
        <v>109</v>
      </c>
      <c r="I965" t="s">
        <v>223</v>
      </c>
      <c r="J965">
        <v>8</v>
      </c>
      <c r="K965">
        <v>55350</v>
      </c>
      <c r="L965">
        <v>0.24</v>
      </c>
      <c r="M965">
        <v>42066</v>
      </c>
      <c r="N965">
        <v>336528</v>
      </c>
      <c r="O965">
        <v>0.15</v>
      </c>
      <c r="P965">
        <v>50479.199999999997</v>
      </c>
      <c r="Q965" t="s">
        <v>47</v>
      </c>
      <c r="R965" t="s">
        <v>48</v>
      </c>
      <c r="S965">
        <v>4</v>
      </c>
      <c r="T965">
        <f>YEAR(Sales_Data_1[[#This Row],[Order_Date]])</f>
        <v>2023</v>
      </c>
      <c r="U965" t="str">
        <f>TEXT(Sales_Data_1[[#This Row],[Order_Date]], "mmm")</f>
        <v>Mar</v>
      </c>
      <c r="V965">
        <f>MONTH(Sales_Data_1[[#This Row],[Order_Date]])</f>
        <v>3</v>
      </c>
      <c r="W965" t="str">
        <f>TEXT(Sales_Data_1[[#This Row],[Order_Date]], "yyyy-mm")</f>
        <v>2023-03</v>
      </c>
      <c r="X965">
        <f>Sales_Data_1[[#This Row],[Sales]]-Sales_Data_1[[#This Row],[Profit_Amount]]</f>
        <v>286048.8</v>
      </c>
      <c r="Y965" t="str" cm="1">
        <f t="array" ref="Y965">_xlfn.IFS(Sales_Data_1[[#This Row],[Delivery_Days]]&lt;=3, "Fast", Sales_Data_1[[#This Row],[Delivery_Days]]&lt;= 7, "Standard", TRUE, "Delayed")</f>
        <v>Standard</v>
      </c>
      <c r="Z965" t="str" cm="1">
        <f t="array" ref="Z965">_xlfn.IFS(Sales_Data_1[[#This Row],[Profit_Amount]]&gt; 0, "Profitable", Sales_Data_1[[#This Row],[Profit_Amount]] = 0, "Break-Even", TRUE, "Loss")</f>
        <v>Profitable</v>
      </c>
      <c r="AA965" t="str" cm="1">
        <f t="array" ref="AA965">_xlfn.IFS(Sales_Data_1[[#This Row],[Sales]]&gt;= 1000, "High Value", Sales_Data_1[[#This Row],[Sales]]&gt;= 300, "Mid Value", TRUE, "Low Value")</f>
        <v>High Value</v>
      </c>
    </row>
    <row r="966" spans="1:27" x14ac:dyDescent="0.3">
      <c r="A966" t="s">
        <v>2942</v>
      </c>
      <c r="B966" s="1">
        <v>45828</v>
      </c>
      <c r="C966" t="s">
        <v>55</v>
      </c>
      <c r="D966" t="s">
        <v>31</v>
      </c>
      <c r="E966" t="s">
        <v>2040</v>
      </c>
      <c r="F966" t="s">
        <v>33</v>
      </c>
      <c r="G966" t="s">
        <v>92</v>
      </c>
      <c r="H966" t="s">
        <v>178</v>
      </c>
      <c r="I966" t="s">
        <v>1852</v>
      </c>
      <c r="J966">
        <v>5</v>
      </c>
      <c r="K966">
        <v>75428</v>
      </c>
      <c r="L966">
        <v>0.1</v>
      </c>
      <c r="M966">
        <v>67885.2</v>
      </c>
      <c r="N966">
        <v>339426</v>
      </c>
      <c r="O966">
        <v>0.15</v>
      </c>
      <c r="P966">
        <v>50913.9</v>
      </c>
      <c r="Q966" t="s">
        <v>27</v>
      </c>
      <c r="R966" t="s">
        <v>28</v>
      </c>
      <c r="S966">
        <v>9</v>
      </c>
      <c r="T966">
        <f>YEAR(Sales_Data_1[[#This Row],[Order_Date]])</f>
        <v>2025</v>
      </c>
      <c r="U966" t="str">
        <f>TEXT(Sales_Data_1[[#This Row],[Order_Date]], "mmm")</f>
        <v>Jun</v>
      </c>
      <c r="V966">
        <f>MONTH(Sales_Data_1[[#This Row],[Order_Date]])</f>
        <v>6</v>
      </c>
      <c r="W966" t="str">
        <f>TEXT(Sales_Data_1[[#This Row],[Order_Date]], "yyyy-mm")</f>
        <v>2025-06</v>
      </c>
      <c r="X966">
        <f>Sales_Data_1[[#This Row],[Sales]]-Sales_Data_1[[#This Row],[Profit_Amount]]</f>
        <v>288512.09999999998</v>
      </c>
      <c r="Y966" t="str" cm="1">
        <f t="array" ref="Y966">_xlfn.IFS(Sales_Data_1[[#This Row],[Delivery_Days]]&lt;=3, "Fast", Sales_Data_1[[#This Row],[Delivery_Days]]&lt;= 7, "Standard", TRUE, "Delayed")</f>
        <v>Delayed</v>
      </c>
      <c r="Z966" t="str" cm="1">
        <f t="array" ref="Z966">_xlfn.IFS(Sales_Data_1[[#This Row],[Profit_Amount]]&gt; 0, "Profitable", Sales_Data_1[[#This Row],[Profit_Amount]] = 0, "Break-Even", TRUE, "Loss")</f>
        <v>Profitable</v>
      </c>
      <c r="AA966" t="str" cm="1">
        <f t="array" ref="AA966">_xlfn.IFS(Sales_Data_1[[#This Row],[Sales]]&gt;= 1000, "High Value", Sales_Data_1[[#This Row],[Sales]]&gt;= 300, "Mid Value", TRUE, "Low Value")</f>
        <v>High Value</v>
      </c>
    </row>
    <row r="967" spans="1:27" x14ac:dyDescent="0.3">
      <c r="A967" t="s">
        <v>2332</v>
      </c>
      <c r="B967" s="1">
        <v>45218</v>
      </c>
      <c r="C967" t="s">
        <v>96</v>
      </c>
      <c r="D967" t="s">
        <v>31</v>
      </c>
      <c r="E967" t="s">
        <v>67</v>
      </c>
      <c r="F967" t="s">
        <v>43</v>
      </c>
      <c r="G967" t="s">
        <v>92</v>
      </c>
      <c r="H967" t="s">
        <v>93</v>
      </c>
      <c r="I967" t="s">
        <v>233</v>
      </c>
      <c r="J967">
        <v>9</v>
      </c>
      <c r="K967">
        <v>46378</v>
      </c>
      <c r="L967">
        <v>0.17</v>
      </c>
      <c r="M967">
        <v>38493.74</v>
      </c>
      <c r="N967">
        <v>346443.66</v>
      </c>
      <c r="O967">
        <v>0.15</v>
      </c>
      <c r="P967">
        <v>51966.55</v>
      </c>
      <c r="Q967" t="s">
        <v>27</v>
      </c>
      <c r="R967" t="s">
        <v>48</v>
      </c>
      <c r="S967">
        <v>3</v>
      </c>
      <c r="T967">
        <f>YEAR(Sales_Data_1[[#This Row],[Order_Date]])</f>
        <v>2023</v>
      </c>
      <c r="U967" t="str">
        <f>TEXT(Sales_Data_1[[#This Row],[Order_Date]], "mmm")</f>
        <v>Oct</v>
      </c>
      <c r="V967">
        <f>MONTH(Sales_Data_1[[#This Row],[Order_Date]])</f>
        <v>10</v>
      </c>
      <c r="W967" t="str">
        <f>TEXT(Sales_Data_1[[#This Row],[Order_Date]], "yyyy-mm")</f>
        <v>2023-10</v>
      </c>
      <c r="X967">
        <f>Sales_Data_1[[#This Row],[Sales]]-Sales_Data_1[[#This Row],[Profit_Amount]]</f>
        <v>294477.11</v>
      </c>
      <c r="Y967" t="str" cm="1">
        <f t="array" ref="Y967">_xlfn.IFS(Sales_Data_1[[#This Row],[Delivery_Days]]&lt;=3, "Fast", Sales_Data_1[[#This Row],[Delivery_Days]]&lt;= 7, "Standard", TRUE, "Delayed")</f>
        <v>Fast</v>
      </c>
      <c r="Z967" t="str" cm="1">
        <f t="array" ref="Z967">_xlfn.IFS(Sales_Data_1[[#This Row],[Profit_Amount]]&gt; 0, "Profitable", Sales_Data_1[[#This Row],[Profit_Amount]] = 0, "Break-Even", TRUE, "Loss")</f>
        <v>Profitable</v>
      </c>
      <c r="AA967" t="str" cm="1">
        <f t="array" ref="AA967">_xlfn.IFS(Sales_Data_1[[#This Row],[Sales]]&gt;= 1000, "High Value", Sales_Data_1[[#This Row],[Sales]]&gt;= 300, "Mid Value", TRUE, "Low Value")</f>
        <v>High Value</v>
      </c>
    </row>
    <row r="968" spans="1:27" x14ac:dyDescent="0.3">
      <c r="A968" t="s">
        <v>2364</v>
      </c>
      <c r="B968" s="1">
        <v>45250</v>
      </c>
      <c r="C968" t="s">
        <v>96</v>
      </c>
      <c r="D968" t="s">
        <v>21</v>
      </c>
      <c r="E968" t="s">
        <v>67</v>
      </c>
      <c r="F968" t="s">
        <v>68</v>
      </c>
      <c r="G968" t="s">
        <v>92</v>
      </c>
      <c r="H968" t="s">
        <v>243</v>
      </c>
      <c r="I968" t="s">
        <v>716</v>
      </c>
      <c r="J968">
        <v>6</v>
      </c>
      <c r="K968">
        <v>75429</v>
      </c>
      <c r="L968">
        <v>0.23</v>
      </c>
      <c r="M968">
        <v>58080.33</v>
      </c>
      <c r="N968">
        <v>348481.98</v>
      </c>
      <c r="O968">
        <v>0.15</v>
      </c>
      <c r="P968">
        <v>52272.3</v>
      </c>
      <c r="Q968" t="s">
        <v>27</v>
      </c>
      <c r="R968" t="s">
        <v>48</v>
      </c>
      <c r="S968">
        <v>4</v>
      </c>
      <c r="T968">
        <f>YEAR(Sales_Data_1[[#This Row],[Order_Date]])</f>
        <v>2023</v>
      </c>
      <c r="U968" t="str">
        <f>TEXT(Sales_Data_1[[#This Row],[Order_Date]], "mmm")</f>
        <v>Nov</v>
      </c>
      <c r="V968">
        <f>MONTH(Sales_Data_1[[#This Row],[Order_Date]])</f>
        <v>11</v>
      </c>
      <c r="W968" t="str">
        <f>TEXT(Sales_Data_1[[#This Row],[Order_Date]], "yyyy-mm")</f>
        <v>2023-11</v>
      </c>
      <c r="X968">
        <f>Sales_Data_1[[#This Row],[Sales]]-Sales_Data_1[[#This Row],[Profit_Amount]]</f>
        <v>296209.68</v>
      </c>
      <c r="Y968" t="str" cm="1">
        <f t="array" ref="Y968">_xlfn.IFS(Sales_Data_1[[#This Row],[Delivery_Days]]&lt;=3, "Fast", Sales_Data_1[[#This Row],[Delivery_Days]]&lt;= 7, "Standard", TRUE, "Delayed")</f>
        <v>Standard</v>
      </c>
      <c r="Z968" t="str" cm="1">
        <f t="array" ref="Z968">_xlfn.IFS(Sales_Data_1[[#This Row],[Profit_Amount]]&gt; 0, "Profitable", Sales_Data_1[[#This Row],[Profit_Amount]] = 0, "Break-Even", TRUE, "Loss")</f>
        <v>Profitable</v>
      </c>
      <c r="AA968" t="str" cm="1">
        <f t="array" ref="AA968">_xlfn.IFS(Sales_Data_1[[#This Row],[Sales]]&gt;= 1000, "High Value", Sales_Data_1[[#This Row],[Sales]]&gt;= 300, "Mid Value", TRUE, "Low Value")</f>
        <v>High Value</v>
      </c>
    </row>
    <row r="969" spans="1:27" x14ac:dyDescent="0.3">
      <c r="A969" t="s">
        <v>2333</v>
      </c>
      <c r="B969" s="1">
        <v>45219</v>
      </c>
      <c r="C969" t="s">
        <v>63</v>
      </c>
      <c r="D969" t="s">
        <v>56</v>
      </c>
      <c r="E969" t="s">
        <v>42</v>
      </c>
      <c r="F969" t="s">
        <v>43</v>
      </c>
      <c r="G969" t="s">
        <v>92</v>
      </c>
      <c r="H969" t="s">
        <v>93</v>
      </c>
      <c r="I969" t="s">
        <v>655</v>
      </c>
      <c r="J969">
        <v>7</v>
      </c>
      <c r="K969">
        <v>52652</v>
      </c>
      <c r="L969">
        <v>0.05</v>
      </c>
      <c r="M969">
        <v>50019.4</v>
      </c>
      <c r="N969">
        <v>350135.8</v>
      </c>
      <c r="O969">
        <v>0.15</v>
      </c>
      <c r="P969">
        <v>52520.37</v>
      </c>
      <c r="Q969" t="s">
        <v>51</v>
      </c>
      <c r="R969" t="s">
        <v>48</v>
      </c>
      <c r="S969">
        <v>3</v>
      </c>
      <c r="T969">
        <f>YEAR(Sales_Data_1[[#This Row],[Order_Date]])</f>
        <v>2023</v>
      </c>
      <c r="U969" t="str">
        <f>TEXT(Sales_Data_1[[#This Row],[Order_Date]], "mmm")</f>
        <v>Oct</v>
      </c>
      <c r="V969">
        <f>MONTH(Sales_Data_1[[#This Row],[Order_Date]])</f>
        <v>10</v>
      </c>
      <c r="W969" t="str">
        <f>TEXT(Sales_Data_1[[#This Row],[Order_Date]], "yyyy-mm")</f>
        <v>2023-10</v>
      </c>
      <c r="X969">
        <f>Sales_Data_1[[#This Row],[Sales]]-Sales_Data_1[[#This Row],[Profit_Amount]]</f>
        <v>297615.43</v>
      </c>
      <c r="Y969" t="str" cm="1">
        <f t="array" ref="Y969">_xlfn.IFS(Sales_Data_1[[#This Row],[Delivery_Days]]&lt;=3, "Fast", Sales_Data_1[[#This Row],[Delivery_Days]]&lt;= 7, "Standard", TRUE, "Delayed")</f>
        <v>Fast</v>
      </c>
      <c r="Z969" t="str" cm="1">
        <f t="array" ref="Z969">_xlfn.IFS(Sales_Data_1[[#This Row],[Profit_Amount]]&gt; 0, "Profitable", Sales_Data_1[[#This Row],[Profit_Amount]] = 0, "Break-Even", TRUE, "Loss")</f>
        <v>Profitable</v>
      </c>
      <c r="AA969" t="str" cm="1">
        <f t="array" ref="AA969">_xlfn.IFS(Sales_Data_1[[#This Row],[Sales]]&gt;= 1000, "High Value", Sales_Data_1[[#This Row],[Sales]]&gt;= 300, "Mid Value", TRUE, "Low Value")</f>
        <v>High Value</v>
      </c>
    </row>
    <row r="970" spans="1:27" x14ac:dyDescent="0.3">
      <c r="A970" t="s">
        <v>2238</v>
      </c>
      <c r="B970" s="1">
        <v>45124</v>
      </c>
      <c r="C970" t="s">
        <v>96</v>
      </c>
      <c r="D970" t="s">
        <v>56</v>
      </c>
      <c r="E970" t="s">
        <v>2040</v>
      </c>
      <c r="F970" t="s">
        <v>103</v>
      </c>
      <c r="G970" t="s">
        <v>92</v>
      </c>
      <c r="H970" t="s">
        <v>243</v>
      </c>
      <c r="I970" t="s">
        <v>466</v>
      </c>
      <c r="J970">
        <v>6</v>
      </c>
      <c r="K970">
        <v>65409</v>
      </c>
      <c r="L970">
        <v>0.08</v>
      </c>
      <c r="M970">
        <v>60176.28</v>
      </c>
      <c r="N970">
        <v>361057.68</v>
      </c>
      <c r="O970">
        <v>0.15</v>
      </c>
      <c r="P970">
        <v>54158.65</v>
      </c>
      <c r="Q970" t="s">
        <v>37</v>
      </c>
      <c r="R970" t="s">
        <v>48</v>
      </c>
      <c r="S970">
        <v>4</v>
      </c>
      <c r="T970">
        <f>YEAR(Sales_Data_1[[#This Row],[Order_Date]])</f>
        <v>2023</v>
      </c>
      <c r="U970" t="str">
        <f>TEXT(Sales_Data_1[[#This Row],[Order_Date]], "mmm")</f>
        <v>Jul</v>
      </c>
      <c r="V970">
        <f>MONTH(Sales_Data_1[[#This Row],[Order_Date]])</f>
        <v>7</v>
      </c>
      <c r="W970" t="str">
        <f>TEXT(Sales_Data_1[[#This Row],[Order_Date]], "yyyy-mm")</f>
        <v>2023-07</v>
      </c>
      <c r="X970">
        <f>Sales_Data_1[[#This Row],[Sales]]-Sales_Data_1[[#This Row],[Profit_Amount]]</f>
        <v>306899.02999999997</v>
      </c>
      <c r="Y970" t="str" cm="1">
        <f t="array" ref="Y970">_xlfn.IFS(Sales_Data_1[[#This Row],[Delivery_Days]]&lt;=3, "Fast", Sales_Data_1[[#This Row],[Delivery_Days]]&lt;= 7, "Standard", TRUE, "Delayed")</f>
        <v>Standard</v>
      </c>
      <c r="Z970" t="str" cm="1">
        <f t="array" ref="Z970">_xlfn.IFS(Sales_Data_1[[#This Row],[Profit_Amount]]&gt; 0, "Profitable", Sales_Data_1[[#This Row],[Profit_Amount]] = 0, "Break-Even", TRUE, "Loss")</f>
        <v>Profitable</v>
      </c>
      <c r="AA970" t="str" cm="1">
        <f t="array" ref="AA970">_xlfn.IFS(Sales_Data_1[[#This Row],[Sales]]&gt;= 1000, "High Value", Sales_Data_1[[#This Row],[Sales]]&gt;= 300, "Mid Value", TRUE, "Low Value")</f>
        <v>High Value</v>
      </c>
    </row>
    <row r="971" spans="1:27" x14ac:dyDescent="0.3">
      <c r="A971" t="s">
        <v>2065</v>
      </c>
      <c r="B971" s="1">
        <v>44951</v>
      </c>
      <c r="C971" t="s">
        <v>55</v>
      </c>
      <c r="D971" t="s">
        <v>56</v>
      </c>
      <c r="E971" t="s">
        <v>42</v>
      </c>
      <c r="F971" t="s">
        <v>68</v>
      </c>
      <c r="G971" t="s">
        <v>92</v>
      </c>
      <c r="H971" t="s">
        <v>109</v>
      </c>
      <c r="I971" t="s">
        <v>112</v>
      </c>
      <c r="J971">
        <v>7</v>
      </c>
      <c r="K971">
        <v>66446</v>
      </c>
      <c r="L971">
        <v>0.22</v>
      </c>
      <c r="M971">
        <v>51827.88</v>
      </c>
      <c r="N971">
        <v>362795.16</v>
      </c>
      <c r="O971">
        <v>0.15</v>
      </c>
      <c r="P971">
        <v>54419.27</v>
      </c>
      <c r="Q971" t="s">
        <v>37</v>
      </c>
      <c r="R971" t="s">
        <v>48</v>
      </c>
      <c r="S971">
        <v>2</v>
      </c>
      <c r="T971">
        <f>YEAR(Sales_Data_1[[#This Row],[Order_Date]])</f>
        <v>2023</v>
      </c>
      <c r="U971" t="str">
        <f>TEXT(Sales_Data_1[[#This Row],[Order_Date]], "mmm")</f>
        <v>Jan</v>
      </c>
      <c r="V971">
        <f>MONTH(Sales_Data_1[[#This Row],[Order_Date]])</f>
        <v>1</v>
      </c>
      <c r="W971" t="str">
        <f>TEXT(Sales_Data_1[[#This Row],[Order_Date]], "yyyy-mm")</f>
        <v>2023-01</v>
      </c>
      <c r="X971">
        <f>Sales_Data_1[[#This Row],[Sales]]-Sales_Data_1[[#This Row],[Profit_Amount]]</f>
        <v>308375.88999999996</v>
      </c>
      <c r="Y971" t="str" cm="1">
        <f t="array" ref="Y971">_xlfn.IFS(Sales_Data_1[[#This Row],[Delivery_Days]]&lt;=3, "Fast", Sales_Data_1[[#This Row],[Delivery_Days]]&lt;= 7, "Standard", TRUE, "Delayed")</f>
        <v>Fast</v>
      </c>
      <c r="Z971" t="str" cm="1">
        <f t="array" ref="Z971">_xlfn.IFS(Sales_Data_1[[#This Row],[Profit_Amount]]&gt; 0, "Profitable", Sales_Data_1[[#This Row],[Profit_Amount]] = 0, "Break-Even", TRUE, "Loss")</f>
        <v>Profitable</v>
      </c>
      <c r="AA971" t="str" cm="1">
        <f t="array" ref="AA971">_xlfn.IFS(Sales_Data_1[[#This Row],[Sales]]&gt;= 1000, "High Value", Sales_Data_1[[#This Row],[Sales]]&gt;= 300, "Mid Value", TRUE, "Low Value")</f>
        <v>High Value</v>
      </c>
    </row>
    <row r="972" spans="1:27" x14ac:dyDescent="0.3">
      <c r="A972" t="s">
        <v>2745</v>
      </c>
      <c r="B972" s="1">
        <v>45631</v>
      </c>
      <c r="C972" t="s">
        <v>40</v>
      </c>
      <c r="D972" t="s">
        <v>21</v>
      </c>
      <c r="E972" t="s">
        <v>42</v>
      </c>
      <c r="F972" t="s">
        <v>33</v>
      </c>
      <c r="G972" t="s">
        <v>92</v>
      </c>
      <c r="H972" t="s">
        <v>93</v>
      </c>
      <c r="I972" t="s">
        <v>1466</v>
      </c>
      <c r="J972">
        <v>6</v>
      </c>
      <c r="K972">
        <v>67941</v>
      </c>
      <c r="L972">
        <v>0.11</v>
      </c>
      <c r="M972">
        <v>60467.49</v>
      </c>
      <c r="N972">
        <v>362804.94</v>
      </c>
      <c r="O972">
        <v>0.15</v>
      </c>
      <c r="P972">
        <v>54420.74</v>
      </c>
      <c r="Q972" t="s">
        <v>27</v>
      </c>
      <c r="R972" t="s">
        <v>48</v>
      </c>
      <c r="S972">
        <v>9</v>
      </c>
      <c r="T972">
        <f>YEAR(Sales_Data_1[[#This Row],[Order_Date]])</f>
        <v>2024</v>
      </c>
      <c r="U972" t="str">
        <f>TEXT(Sales_Data_1[[#This Row],[Order_Date]], "mmm")</f>
        <v>Dec</v>
      </c>
      <c r="V972">
        <f>MONTH(Sales_Data_1[[#This Row],[Order_Date]])</f>
        <v>12</v>
      </c>
      <c r="W972" t="str">
        <f>TEXT(Sales_Data_1[[#This Row],[Order_Date]], "yyyy-mm")</f>
        <v>2024-12</v>
      </c>
      <c r="X972">
        <f>Sales_Data_1[[#This Row],[Sales]]-Sales_Data_1[[#This Row],[Profit_Amount]]</f>
        <v>308384.2</v>
      </c>
      <c r="Y972" t="str" cm="1">
        <f t="array" ref="Y972">_xlfn.IFS(Sales_Data_1[[#This Row],[Delivery_Days]]&lt;=3, "Fast", Sales_Data_1[[#This Row],[Delivery_Days]]&lt;= 7, "Standard", TRUE, "Delayed")</f>
        <v>Delayed</v>
      </c>
      <c r="Z972" t="str" cm="1">
        <f t="array" ref="Z972">_xlfn.IFS(Sales_Data_1[[#This Row],[Profit_Amount]]&gt; 0, "Profitable", Sales_Data_1[[#This Row],[Profit_Amount]] = 0, "Break-Even", TRUE, "Loss")</f>
        <v>Profitable</v>
      </c>
      <c r="AA972" t="str" cm="1">
        <f t="array" ref="AA972">_xlfn.IFS(Sales_Data_1[[#This Row],[Sales]]&gt;= 1000, "High Value", Sales_Data_1[[#This Row],[Sales]]&gt;= 300, "Mid Value", TRUE, "Low Value")</f>
        <v>High Value</v>
      </c>
    </row>
    <row r="973" spans="1:27" x14ac:dyDescent="0.3">
      <c r="A973" t="s">
        <v>2978</v>
      </c>
      <c r="B973" s="1">
        <v>45864</v>
      </c>
      <c r="C973" t="s">
        <v>40</v>
      </c>
      <c r="D973" t="s">
        <v>31</v>
      </c>
      <c r="E973" t="s">
        <v>2042</v>
      </c>
      <c r="F973" t="s">
        <v>43</v>
      </c>
      <c r="G973" t="s">
        <v>92</v>
      </c>
      <c r="H973" t="s">
        <v>93</v>
      </c>
      <c r="I973" t="s">
        <v>1919</v>
      </c>
      <c r="J973">
        <v>6</v>
      </c>
      <c r="K973">
        <v>79184</v>
      </c>
      <c r="L973">
        <v>0.23</v>
      </c>
      <c r="M973">
        <v>60971.68</v>
      </c>
      <c r="N973">
        <v>365830.08</v>
      </c>
      <c r="O973">
        <v>0.15</v>
      </c>
      <c r="P973">
        <v>54874.51</v>
      </c>
      <c r="Q973" t="s">
        <v>27</v>
      </c>
      <c r="R973" t="s">
        <v>48</v>
      </c>
      <c r="S973">
        <v>1</v>
      </c>
      <c r="T973">
        <f>YEAR(Sales_Data_1[[#This Row],[Order_Date]])</f>
        <v>2025</v>
      </c>
      <c r="U973" t="str">
        <f>TEXT(Sales_Data_1[[#This Row],[Order_Date]], "mmm")</f>
        <v>Jul</v>
      </c>
      <c r="V973">
        <f>MONTH(Sales_Data_1[[#This Row],[Order_Date]])</f>
        <v>7</v>
      </c>
      <c r="W973" t="str">
        <f>TEXT(Sales_Data_1[[#This Row],[Order_Date]], "yyyy-mm")</f>
        <v>2025-07</v>
      </c>
      <c r="X973">
        <f>Sales_Data_1[[#This Row],[Sales]]-Sales_Data_1[[#This Row],[Profit_Amount]]</f>
        <v>310955.57</v>
      </c>
      <c r="Y973" t="str" cm="1">
        <f t="array" ref="Y973">_xlfn.IFS(Sales_Data_1[[#This Row],[Delivery_Days]]&lt;=3, "Fast", Sales_Data_1[[#This Row],[Delivery_Days]]&lt;= 7, "Standard", TRUE, "Delayed")</f>
        <v>Fast</v>
      </c>
      <c r="Z973" t="str" cm="1">
        <f t="array" ref="Z973">_xlfn.IFS(Sales_Data_1[[#This Row],[Profit_Amount]]&gt; 0, "Profitable", Sales_Data_1[[#This Row],[Profit_Amount]] = 0, "Break-Even", TRUE, "Loss")</f>
        <v>Profitable</v>
      </c>
      <c r="AA973" t="str" cm="1">
        <f t="array" ref="AA973">_xlfn.IFS(Sales_Data_1[[#This Row],[Sales]]&gt;= 1000, "High Value", Sales_Data_1[[#This Row],[Sales]]&gt;= 300, "Mid Value", TRUE, "Low Value")</f>
        <v>High Value</v>
      </c>
    </row>
    <row r="974" spans="1:27" x14ac:dyDescent="0.3">
      <c r="A974" t="s">
        <v>2347</v>
      </c>
      <c r="B974" s="1">
        <v>45233</v>
      </c>
      <c r="C974" t="s">
        <v>63</v>
      </c>
      <c r="D974" t="s">
        <v>41</v>
      </c>
      <c r="E974" t="s">
        <v>2040</v>
      </c>
      <c r="F974" t="s">
        <v>33</v>
      </c>
      <c r="G974" t="s">
        <v>92</v>
      </c>
      <c r="H974" t="s">
        <v>178</v>
      </c>
      <c r="I974" t="s">
        <v>682</v>
      </c>
      <c r="J974">
        <v>7</v>
      </c>
      <c r="K974">
        <v>54139</v>
      </c>
      <c r="L974">
        <v>0</v>
      </c>
      <c r="M974">
        <v>54139</v>
      </c>
      <c r="N974">
        <v>378973</v>
      </c>
      <c r="O974">
        <v>0.15</v>
      </c>
      <c r="P974">
        <v>56845.95</v>
      </c>
      <c r="Q974" t="s">
        <v>37</v>
      </c>
      <c r="R974" t="s">
        <v>48</v>
      </c>
      <c r="S974">
        <v>3</v>
      </c>
      <c r="T974">
        <f>YEAR(Sales_Data_1[[#This Row],[Order_Date]])</f>
        <v>2023</v>
      </c>
      <c r="U974" t="str">
        <f>TEXT(Sales_Data_1[[#This Row],[Order_Date]], "mmm")</f>
        <v>Nov</v>
      </c>
      <c r="V974">
        <f>MONTH(Sales_Data_1[[#This Row],[Order_Date]])</f>
        <v>11</v>
      </c>
      <c r="W974" t="str">
        <f>TEXT(Sales_Data_1[[#This Row],[Order_Date]], "yyyy-mm")</f>
        <v>2023-11</v>
      </c>
      <c r="X974">
        <f>Sales_Data_1[[#This Row],[Sales]]-Sales_Data_1[[#This Row],[Profit_Amount]]</f>
        <v>322127.05</v>
      </c>
      <c r="Y974" t="str" cm="1">
        <f t="array" ref="Y974">_xlfn.IFS(Sales_Data_1[[#This Row],[Delivery_Days]]&lt;=3, "Fast", Sales_Data_1[[#This Row],[Delivery_Days]]&lt;= 7, "Standard", TRUE, "Delayed")</f>
        <v>Fast</v>
      </c>
      <c r="Z974" t="str" cm="1">
        <f t="array" ref="Z974">_xlfn.IFS(Sales_Data_1[[#This Row],[Profit_Amount]]&gt; 0, "Profitable", Sales_Data_1[[#This Row],[Profit_Amount]] = 0, "Break-Even", TRUE, "Loss")</f>
        <v>Profitable</v>
      </c>
      <c r="AA974" t="str" cm="1">
        <f t="array" ref="AA974">_xlfn.IFS(Sales_Data_1[[#This Row],[Sales]]&gt;= 1000, "High Value", Sales_Data_1[[#This Row],[Sales]]&gt;= 300, "Mid Value", TRUE, "Low Value")</f>
        <v>High Value</v>
      </c>
    </row>
    <row r="975" spans="1:27" x14ac:dyDescent="0.3">
      <c r="A975" t="s">
        <v>2125</v>
      </c>
      <c r="B975" s="1">
        <v>45011</v>
      </c>
      <c r="C975" t="s">
        <v>20</v>
      </c>
      <c r="D975" t="s">
        <v>41</v>
      </c>
      <c r="E975" t="s">
        <v>67</v>
      </c>
      <c r="F975" t="s">
        <v>103</v>
      </c>
      <c r="G975" t="s">
        <v>92</v>
      </c>
      <c r="H975" t="s">
        <v>109</v>
      </c>
      <c r="I975" t="s">
        <v>239</v>
      </c>
      <c r="J975">
        <v>7</v>
      </c>
      <c r="K975">
        <v>58364</v>
      </c>
      <c r="L975">
        <v>7.0000000000000007E-2</v>
      </c>
      <c r="M975">
        <v>54278.52</v>
      </c>
      <c r="N975">
        <v>379949.64</v>
      </c>
      <c r="O975">
        <v>0.15</v>
      </c>
      <c r="P975">
        <v>56992.45</v>
      </c>
      <c r="Q975" t="s">
        <v>37</v>
      </c>
      <c r="R975" t="s">
        <v>48</v>
      </c>
      <c r="S975">
        <v>9</v>
      </c>
      <c r="T975">
        <f>YEAR(Sales_Data_1[[#This Row],[Order_Date]])</f>
        <v>2023</v>
      </c>
      <c r="U975" t="str">
        <f>TEXT(Sales_Data_1[[#This Row],[Order_Date]], "mmm")</f>
        <v>Mar</v>
      </c>
      <c r="V975">
        <f>MONTH(Sales_Data_1[[#This Row],[Order_Date]])</f>
        <v>3</v>
      </c>
      <c r="W975" t="str">
        <f>TEXT(Sales_Data_1[[#This Row],[Order_Date]], "yyyy-mm")</f>
        <v>2023-03</v>
      </c>
      <c r="X975">
        <f>Sales_Data_1[[#This Row],[Sales]]-Sales_Data_1[[#This Row],[Profit_Amount]]</f>
        <v>322957.19</v>
      </c>
      <c r="Y975" t="str" cm="1">
        <f t="array" ref="Y975">_xlfn.IFS(Sales_Data_1[[#This Row],[Delivery_Days]]&lt;=3, "Fast", Sales_Data_1[[#This Row],[Delivery_Days]]&lt;= 7, "Standard", TRUE, "Delayed")</f>
        <v>Delayed</v>
      </c>
      <c r="Z975" t="str" cm="1">
        <f t="array" ref="Z975">_xlfn.IFS(Sales_Data_1[[#This Row],[Profit_Amount]]&gt; 0, "Profitable", Sales_Data_1[[#This Row],[Profit_Amount]] = 0, "Break-Even", TRUE, "Loss")</f>
        <v>Profitable</v>
      </c>
      <c r="AA975" t="str" cm="1">
        <f t="array" ref="AA975">_xlfn.IFS(Sales_Data_1[[#This Row],[Sales]]&gt;= 1000, "High Value", Sales_Data_1[[#This Row],[Sales]]&gt;= 300, "Mid Value", TRUE, "Low Value")</f>
        <v>High Value</v>
      </c>
    </row>
    <row r="976" spans="1:27" x14ac:dyDescent="0.3">
      <c r="A976" t="s">
        <v>2581</v>
      </c>
      <c r="B976" s="1">
        <v>45467</v>
      </c>
      <c r="C976" t="s">
        <v>40</v>
      </c>
      <c r="D976" t="s">
        <v>56</v>
      </c>
      <c r="E976" t="s">
        <v>2042</v>
      </c>
      <c r="F976" t="s">
        <v>33</v>
      </c>
      <c r="G976" t="s">
        <v>92</v>
      </c>
      <c r="H976" t="s">
        <v>243</v>
      </c>
      <c r="I976" t="s">
        <v>1144</v>
      </c>
      <c r="J976">
        <v>7</v>
      </c>
      <c r="K976">
        <v>64823</v>
      </c>
      <c r="L976">
        <v>0.16</v>
      </c>
      <c r="M976">
        <v>54451.32</v>
      </c>
      <c r="N976">
        <v>381159.24</v>
      </c>
      <c r="O976">
        <v>0.15</v>
      </c>
      <c r="P976">
        <v>57173.89</v>
      </c>
      <c r="Q976" t="s">
        <v>37</v>
      </c>
      <c r="R976" t="s">
        <v>48</v>
      </c>
      <c r="S976">
        <v>5</v>
      </c>
      <c r="T976">
        <f>YEAR(Sales_Data_1[[#This Row],[Order_Date]])</f>
        <v>2024</v>
      </c>
      <c r="U976" t="str">
        <f>TEXT(Sales_Data_1[[#This Row],[Order_Date]], "mmm")</f>
        <v>Jun</v>
      </c>
      <c r="V976">
        <f>MONTH(Sales_Data_1[[#This Row],[Order_Date]])</f>
        <v>6</v>
      </c>
      <c r="W976" t="str">
        <f>TEXT(Sales_Data_1[[#This Row],[Order_Date]], "yyyy-mm")</f>
        <v>2024-06</v>
      </c>
      <c r="X976">
        <f>Sales_Data_1[[#This Row],[Sales]]-Sales_Data_1[[#This Row],[Profit_Amount]]</f>
        <v>323985.34999999998</v>
      </c>
      <c r="Y976" t="str" cm="1">
        <f t="array" ref="Y976">_xlfn.IFS(Sales_Data_1[[#This Row],[Delivery_Days]]&lt;=3, "Fast", Sales_Data_1[[#This Row],[Delivery_Days]]&lt;= 7, "Standard", TRUE, "Delayed")</f>
        <v>Standard</v>
      </c>
      <c r="Z976" t="str" cm="1">
        <f t="array" ref="Z976">_xlfn.IFS(Sales_Data_1[[#This Row],[Profit_Amount]]&gt; 0, "Profitable", Sales_Data_1[[#This Row],[Profit_Amount]] = 0, "Break-Even", TRUE, "Loss")</f>
        <v>Profitable</v>
      </c>
      <c r="AA976" t="str" cm="1">
        <f t="array" ref="AA976">_xlfn.IFS(Sales_Data_1[[#This Row],[Sales]]&gt;= 1000, "High Value", Sales_Data_1[[#This Row],[Sales]]&gt;= 300, "Mid Value", TRUE, "Low Value")</f>
        <v>High Value</v>
      </c>
    </row>
    <row r="977" spans="1:27" x14ac:dyDescent="0.3">
      <c r="A977" t="s">
        <v>2193</v>
      </c>
      <c r="B977" s="1">
        <v>45079</v>
      </c>
      <c r="C977" t="s">
        <v>20</v>
      </c>
      <c r="D977" t="s">
        <v>41</v>
      </c>
      <c r="E977" t="s">
        <v>2042</v>
      </c>
      <c r="F977" t="s">
        <v>103</v>
      </c>
      <c r="G977" t="s">
        <v>92</v>
      </c>
      <c r="H977" t="s">
        <v>243</v>
      </c>
      <c r="I977" t="s">
        <v>376</v>
      </c>
      <c r="J977">
        <v>8</v>
      </c>
      <c r="K977">
        <v>49030</v>
      </c>
      <c r="L977">
        <v>0</v>
      </c>
      <c r="M977">
        <v>49030</v>
      </c>
      <c r="N977">
        <v>392240</v>
      </c>
      <c r="O977">
        <v>0.15</v>
      </c>
      <c r="P977">
        <v>58836</v>
      </c>
      <c r="Q977" t="s">
        <v>37</v>
      </c>
      <c r="R977" t="s">
        <v>48</v>
      </c>
      <c r="S977">
        <v>1</v>
      </c>
      <c r="T977">
        <f>YEAR(Sales_Data_1[[#This Row],[Order_Date]])</f>
        <v>2023</v>
      </c>
      <c r="U977" t="str">
        <f>TEXT(Sales_Data_1[[#This Row],[Order_Date]], "mmm")</f>
        <v>Jun</v>
      </c>
      <c r="V977">
        <f>MONTH(Sales_Data_1[[#This Row],[Order_Date]])</f>
        <v>6</v>
      </c>
      <c r="W977" t="str">
        <f>TEXT(Sales_Data_1[[#This Row],[Order_Date]], "yyyy-mm")</f>
        <v>2023-06</v>
      </c>
      <c r="X977">
        <f>Sales_Data_1[[#This Row],[Sales]]-Sales_Data_1[[#This Row],[Profit_Amount]]</f>
        <v>333404</v>
      </c>
      <c r="Y977" t="str" cm="1">
        <f t="array" ref="Y977">_xlfn.IFS(Sales_Data_1[[#This Row],[Delivery_Days]]&lt;=3, "Fast", Sales_Data_1[[#This Row],[Delivery_Days]]&lt;= 7, "Standard", TRUE, "Delayed")</f>
        <v>Fast</v>
      </c>
      <c r="Z977" t="str" cm="1">
        <f t="array" ref="Z977">_xlfn.IFS(Sales_Data_1[[#This Row],[Profit_Amount]]&gt; 0, "Profitable", Sales_Data_1[[#This Row],[Profit_Amount]] = 0, "Break-Even", TRUE, "Loss")</f>
        <v>Profitable</v>
      </c>
      <c r="AA977" t="str" cm="1">
        <f t="array" ref="AA977">_xlfn.IFS(Sales_Data_1[[#This Row],[Sales]]&gt;= 1000, "High Value", Sales_Data_1[[#This Row],[Sales]]&gt;= 300, "Mid Value", TRUE, "Low Value")</f>
        <v>High Value</v>
      </c>
    </row>
    <row r="978" spans="1:27" x14ac:dyDescent="0.3">
      <c r="A978" t="s">
        <v>2145</v>
      </c>
      <c r="B978" s="1">
        <v>45031</v>
      </c>
      <c r="C978" t="s">
        <v>20</v>
      </c>
      <c r="D978" t="s">
        <v>56</v>
      </c>
      <c r="E978" t="s">
        <v>2040</v>
      </c>
      <c r="F978" t="s">
        <v>97</v>
      </c>
      <c r="G978" t="s">
        <v>92</v>
      </c>
      <c r="H978" t="s">
        <v>93</v>
      </c>
      <c r="I978" t="s">
        <v>280</v>
      </c>
      <c r="J978">
        <v>6</v>
      </c>
      <c r="K978">
        <v>79350</v>
      </c>
      <c r="L978">
        <v>0.17</v>
      </c>
      <c r="M978">
        <v>65860.5</v>
      </c>
      <c r="N978">
        <v>395163</v>
      </c>
      <c r="O978">
        <v>0.15</v>
      </c>
      <c r="P978">
        <v>59274.45</v>
      </c>
      <c r="Q978" t="s">
        <v>27</v>
      </c>
      <c r="R978" t="s">
        <v>48</v>
      </c>
      <c r="S978">
        <v>8</v>
      </c>
      <c r="T978">
        <f>YEAR(Sales_Data_1[[#This Row],[Order_Date]])</f>
        <v>2023</v>
      </c>
      <c r="U978" t="str">
        <f>TEXT(Sales_Data_1[[#This Row],[Order_Date]], "mmm")</f>
        <v>Apr</v>
      </c>
      <c r="V978">
        <f>MONTH(Sales_Data_1[[#This Row],[Order_Date]])</f>
        <v>4</v>
      </c>
      <c r="W978" t="str">
        <f>TEXT(Sales_Data_1[[#This Row],[Order_Date]], "yyyy-mm")</f>
        <v>2023-04</v>
      </c>
      <c r="X978">
        <f>Sales_Data_1[[#This Row],[Sales]]-Sales_Data_1[[#This Row],[Profit_Amount]]</f>
        <v>335888.55</v>
      </c>
      <c r="Y978" t="str" cm="1">
        <f t="array" ref="Y978">_xlfn.IFS(Sales_Data_1[[#This Row],[Delivery_Days]]&lt;=3, "Fast", Sales_Data_1[[#This Row],[Delivery_Days]]&lt;= 7, "Standard", TRUE, "Delayed")</f>
        <v>Delayed</v>
      </c>
      <c r="Z978" t="str" cm="1">
        <f t="array" ref="Z978">_xlfn.IFS(Sales_Data_1[[#This Row],[Profit_Amount]]&gt; 0, "Profitable", Sales_Data_1[[#This Row],[Profit_Amount]] = 0, "Break-Even", TRUE, "Loss")</f>
        <v>Profitable</v>
      </c>
      <c r="AA978" t="str" cm="1">
        <f t="array" ref="AA978">_xlfn.IFS(Sales_Data_1[[#This Row],[Sales]]&gt;= 1000, "High Value", Sales_Data_1[[#This Row],[Sales]]&gt;= 300, "Mid Value", TRUE, "Low Value")</f>
        <v>High Value</v>
      </c>
    </row>
    <row r="979" spans="1:27" x14ac:dyDescent="0.3">
      <c r="A979" t="s">
        <v>2990</v>
      </c>
      <c r="B979" s="1">
        <v>45876</v>
      </c>
      <c r="C979" t="s">
        <v>63</v>
      </c>
      <c r="D979" t="s">
        <v>21</v>
      </c>
      <c r="E979" t="s">
        <v>2042</v>
      </c>
      <c r="F979" t="s">
        <v>97</v>
      </c>
      <c r="G979" t="s">
        <v>92</v>
      </c>
      <c r="H979" t="s">
        <v>93</v>
      </c>
      <c r="I979" t="s">
        <v>1473</v>
      </c>
      <c r="J979">
        <v>9</v>
      </c>
      <c r="K979">
        <v>58777</v>
      </c>
      <c r="L979">
        <v>0.24</v>
      </c>
      <c r="M979">
        <v>44670.52</v>
      </c>
      <c r="N979">
        <v>402034.68</v>
      </c>
      <c r="O979">
        <v>0.15</v>
      </c>
      <c r="P979">
        <v>60305.2</v>
      </c>
      <c r="Q979" t="s">
        <v>37</v>
      </c>
      <c r="R979" t="s">
        <v>48</v>
      </c>
      <c r="S979">
        <v>1</v>
      </c>
      <c r="T979">
        <f>YEAR(Sales_Data_1[[#This Row],[Order_Date]])</f>
        <v>2025</v>
      </c>
      <c r="U979" t="str">
        <f>TEXT(Sales_Data_1[[#This Row],[Order_Date]], "mmm")</f>
        <v>Aug</v>
      </c>
      <c r="V979">
        <f>MONTH(Sales_Data_1[[#This Row],[Order_Date]])</f>
        <v>8</v>
      </c>
      <c r="W979" t="str">
        <f>TEXT(Sales_Data_1[[#This Row],[Order_Date]], "yyyy-mm")</f>
        <v>2025-08</v>
      </c>
      <c r="X979">
        <f>Sales_Data_1[[#This Row],[Sales]]-Sales_Data_1[[#This Row],[Profit_Amount]]</f>
        <v>341729.48</v>
      </c>
      <c r="Y979" t="str" cm="1">
        <f t="array" ref="Y979">_xlfn.IFS(Sales_Data_1[[#This Row],[Delivery_Days]]&lt;=3, "Fast", Sales_Data_1[[#This Row],[Delivery_Days]]&lt;= 7, "Standard", TRUE, "Delayed")</f>
        <v>Fast</v>
      </c>
      <c r="Z979" t="str" cm="1">
        <f t="array" ref="Z979">_xlfn.IFS(Sales_Data_1[[#This Row],[Profit_Amount]]&gt; 0, "Profitable", Sales_Data_1[[#This Row],[Profit_Amount]] = 0, "Break-Even", TRUE, "Loss")</f>
        <v>Profitable</v>
      </c>
      <c r="AA979" t="str" cm="1">
        <f t="array" ref="AA979">_xlfn.IFS(Sales_Data_1[[#This Row],[Sales]]&gt;= 1000, "High Value", Sales_Data_1[[#This Row],[Sales]]&gt;= 300, "Mid Value", TRUE, "Low Value")</f>
        <v>High Value</v>
      </c>
    </row>
    <row r="980" spans="1:27" x14ac:dyDescent="0.3">
      <c r="A980" t="s">
        <v>2729</v>
      </c>
      <c r="B980" s="1">
        <v>45615</v>
      </c>
      <c r="C980" t="s">
        <v>96</v>
      </c>
      <c r="D980" t="s">
        <v>21</v>
      </c>
      <c r="E980" t="s">
        <v>42</v>
      </c>
      <c r="F980" t="s">
        <v>68</v>
      </c>
      <c r="G980" t="s">
        <v>92</v>
      </c>
      <c r="H980" t="s">
        <v>243</v>
      </c>
      <c r="I980" t="s">
        <v>1434</v>
      </c>
      <c r="J980">
        <v>6</v>
      </c>
      <c r="K980">
        <v>71332</v>
      </c>
      <c r="L980">
        <v>0.04</v>
      </c>
      <c r="M980">
        <v>68478.720000000001</v>
      </c>
      <c r="N980">
        <v>410872.32000000001</v>
      </c>
      <c r="O980">
        <v>0.15</v>
      </c>
      <c r="P980">
        <v>61630.85</v>
      </c>
      <c r="Q980" t="s">
        <v>37</v>
      </c>
      <c r="R980" t="s">
        <v>48</v>
      </c>
      <c r="S980">
        <v>7</v>
      </c>
      <c r="T980">
        <f>YEAR(Sales_Data_1[[#This Row],[Order_Date]])</f>
        <v>2024</v>
      </c>
      <c r="U980" t="str">
        <f>TEXT(Sales_Data_1[[#This Row],[Order_Date]], "mmm")</f>
        <v>Nov</v>
      </c>
      <c r="V980">
        <f>MONTH(Sales_Data_1[[#This Row],[Order_Date]])</f>
        <v>11</v>
      </c>
      <c r="W980" t="str">
        <f>TEXT(Sales_Data_1[[#This Row],[Order_Date]], "yyyy-mm")</f>
        <v>2024-11</v>
      </c>
      <c r="X980">
        <f>Sales_Data_1[[#This Row],[Sales]]-Sales_Data_1[[#This Row],[Profit_Amount]]</f>
        <v>349241.47000000003</v>
      </c>
      <c r="Y980" t="str" cm="1">
        <f t="array" ref="Y980">_xlfn.IFS(Sales_Data_1[[#This Row],[Delivery_Days]]&lt;=3, "Fast", Sales_Data_1[[#This Row],[Delivery_Days]]&lt;= 7, "Standard", TRUE, "Delayed")</f>
        <v>Standard</v>
      </c>
      <c r="Z980" t="str" cm="1">
        <f t="array" ref="Z980">_xlfn.IFS(Sales_Data_1[[#This Row],[Profit_Amount]]&gt; 0, "Profitable", Sales_Data_1[[#This Row],[Profit_Amount]] = 0, "Break-Even", TRUE, "Loss")</f>
        <v>Profitable</v>
      </c>
      <c r="AA980" t="str" cm="1">
        <f t="array" ref="AA980">_xlfn.IFS(Sales_Data_1[[#This Row],[Sales]]&gt;= 1000, "High Value", Sales_Data_1[[#This Row],[Sales]]&gt;= 300, "Mid Value", TRUE, "Low Value")</f>
        <v>High Value</v>
      </c>
    </row>
    <row r="981" spans="1:27" x14ac:dyDescent="0.3">
      <c r="A981" t="s">
        <v>2672</v>
      </c>
      <c r="B981" s="1">
        <v>45558</v>
      </c>
      <c r="C981" t="s">
        <v>30</v>
      </c>
      <c r="D981" t="s">
        <v>21</v>
      </c>
      <c r="E981" t="s">
        <v>67</v>
      </c>
      <c r="F981" t="s">
        <v>43</v>
      </c>
      <c r="G981" t="s">
        <v>92</v>
      </c>
      <c r="H981" t="s">
        <v>93</v>
      </c>
      <c r="I981" t="s">
        <v>1324</v>
      </c>
      <c r="J981">
        <v>6</v>
      </c>
      <c r="K981">
        <v>73530</v>
      </c>
      <c r="L981">
        <v>0.06</v>
      </c>
      <c r="M981">
        <v>69118.2</v>
      </c>
      <c r="N981">
        <v>414709.2</v>
      </c>
      <c r="O981">
        <v>0.15</v>
      </c>
      <c r="P981">
        <v>62206.38</v>
      </c>
      <c r="Q981" t="s">
        <v>27</v>
      </c>
      <c r="R981" t="s">
        <v>48</v>
      </c>
      <c r="S981">
        <v>9</v>
      </c>
      <c r="T981">
        <f>YEAR(Sales_Data_1[[#This Row],[Order_Date]])</f>
        <v>2024</v>
      </c>
      <c r="U981" t="str">
        <f>TEXT(Sales_Data_1[[#This Row],[Order_Date]], "mmm")</f>
        <v>Sep</v>
      </c>
      <c r="V981">
        <f>MONTH(Sales_Data_1[[#This Row],[Order_Date]])</f>
        <v>9</v>
      </c>
      <c r="W981" t="str">
        <f>TEXT(Sales_Data_1[[#This Row],[Order_Date]], "yyyy-mm")</f>
        <v>2024-09</v>
      </c>
      <c r="X981">
        <f>Sales_Data_1[[#This Row],[Sales]]-Sales_Data_1[[#This Row],[Profit_Amount]]</f>
        <v>352502.82</v>
      </c>
      <c r="Y981" t="str" cm="1">
        <f t="array" ref="Y981">_xlfn.IFS(Sales_Data_1[[#This Row],[Delivery_Days]]&lt;=3, "Fast", Sales_Data_1[[#This Row],[Delivery_Days]]&lt;= 7, "Standard", TRUE, "Delayed")</f>
        <v>Delayed</v>
      </c>
      <c r="Z981" t="str" cm="1">
        <f t="array" ref="Z981">_xlfn.IFS(Sales_Data_1[[#This Row],[Profit_Amount]]&gt; 0, "Profitable", Sales_Data_1[[#This Row],[Profit_Amount]] = 0, "Break-Even", TRUE, "Loss")</f>
        <v>Profitable</v>
      </c>
      <c r="AA981" t="str" cm="1">
        <f t="array" ref="AA981">_xlfn.IFS(Sales_Data_1[[#This Row],[Sales]]&gt;= 1000, "High Value", Sales_Data_1[[#This Row],[Sales]]&gt;= 300, "Mid Value", TRUE, "Low Value")</f>
        <v>High Value</v>
      </c>
    </row>
    <row r="982" spans="1:27" x14ac:dyDescent="0.3">
      <c r="A982" t="s">
        <v>2325</v>
      </c>
      <c r="B982" s="1">
        <v>45211</v>
      </c>
      <c r="C982" t="s">
        <v>30</v>
      </c>
      <c r="D982" t="s">
        <v>41</v>
      </c>
      <c r="E982" t="s">
        <v>42</v>
      </c>
      <c r="F982" t="s">
        <v>43</v>
      </c>
      <c r="G982" t="s">
        <v>92</v>
      </c>
      <c r="H982" t="s">
        <v>93</v>
      </c>
      <c r="I982" t="s">
        <v>640</v>
      </c>
      <c r="J982">
        <v>9</v>
      </c>
      <c r="K982">
        <v>55379</v>
      </c>
      <c r="L982">
        <v>0.16</v>
      </c>
      <c r="M982">
        <v>46518.36</v>
      </c>
      <c r="N982">
        <v>418665.24</v>
      </c>
      <c r="O982">
        <v>0.15</v>
      </c>
      <c r="P982">
        <v>62799.79</v>
      </c>
      <c r="Q982" t="s">
        <v>51</v>
      </c>
      <c r="R982" t="s">
        <v>48</v>
      </c>
      <c r="S982">
        <v>2</v>
      </c>
      <c r="T982">
        <f>YEAR(Sales_Data_1[[#This Row],[Order_Date]])</f>
        <v>2023</v>
      </c>
      <c r="U982" t="str">
        <f>TEXT(Sales_Data_1[[#This Row],[Order_Date]], "mmm")</f>
        <v>Oct</v>
      </c>
      <c r="V982">
        <f>MONTH(Sales_Data_1[[#This Row],[Order_Date]])</f>
        <v>10</v>
      </c>
      <c r="W982" t="str">
        <f>TEXT(Sales_Data_1[[#This Row],[Order_Date]], "yyyy-mm")</f>
        <v>2023-10</v>
      </c>
      <c r="X982">
        <f>Sales_Data_1[[#This Row],[Sales]]-Sales_Data_1[[#This Row],[Profit_Amount]]</f>
        <v>355865.45</v>
      </c>
      <c r="Y982" t="str" cm="1">
        <f t="array" ref="Y982">_xlfn.IFS(Sales_Data_1[[#This Row],[Delivery_Days]]&lt;=3, "Fast", Sales_Data_1[[#This Row],[Delivery_Days]]&lt;= 7, "Standard", TRUE, "Delayed")</f>
        <v>Fast</v>
      </c>
      <c r="Z982" t="str" cm="1">
        <f t="array" ref="Z982">_xlfn.IFS(Sales_Data_1[[#This Row],[Profit_Amount]]&gt; 0, "Profitable", Sales_Data_1[[#This Row],[Profit_Amount]] = 0, "Break-Even", TRUE, "Loss")</f>
        <v>Profitable</v>
      </c>
      <c r="AA982" t="str" cm="1">
        <f t="array" ref="AA982">_xlfn.IFS(Sales_Data_1[[#This Row],[Sales]]&gt;= 1000, "High Value", Sales_Data_1[[#This Row],[Sales]]&gt;= 300, "Mid Value", TRUE, "Low Value")</f>
        <v>High Value</v>
      </c>
    </row>
    <row r="983" spans="1:27" x14ac:dyDescent="0.3">
      <c r="A983" t="s">
        <v>2159</v>
      </c>
      <c r="B983" s="1">
        <v>45045</v>
      </c>
      <c r="C983" t="s">
        <v>40</v>
      </c>
      <c r="D983" t="s">
        <v>21</v>
      </c>
      <c r="E983" t="s">
        <v>67</v>
      </c>
      <c r="F983" t="s">
        <v>68</v>
      </c>
      <c r="G983" t="s">
        <v>92</v>
      </c>
      <c r="H983" t="s">
        <v>93</v>
      </c>
      <c r="I983" t="s">
        <v>308</v>
      </c>
      <c r="J983">
        <v>8</v>
      </c>
      <c r="K983">
        <v>62233</v>
      </c>
      <c r="L983">
        <v>0.15</v>
      </c>
      <c r="M983">
        <v>52898.05</v>
      </c>
      <c r="N983">
        <v>423184.4</v>
      </c>
      <c r="O983">
        <v>0.15</v>
      </c>
      <c r="P983">
        <v>63477.66</v>
      </c>
      <c r="Q983" t="s">
        <v>27</v>
      </c>
      <c r="R983" t="s">
        <v>48</v>
      </c>
      <c r="S983">
        <v>3</v>
      </c>
      <c r="T983">
        <f>YEAR(Sales_Data_1[[#This Row],[Order_Date]])</f>
        <v>2023</v>
      </c>
      <c r="U983" t="str">
        <f>TEXT(Sales_Data_1[[#This Row],[Order_Date]], "mmm")</f>
        <v>Apr</v>
      </c>
      <c r="V983">
        <f>MONTH(Sales_Data_1[[#This Row],[Order_Date]])</f>
        <v>4</v>
      </c>
      <c r="W983" t="str">
        <f>TEXT(Sales_Data_1[[#This Row],[Order_Date]], "yyyy-mm")</f>
        <v>2023-04</v>
      </c>
      <c r="X983">
        <f>Sales_Data_1[[#This Row],[Sales]]-Sales_Data_1[[#This Row],[Profit_Amount]]</f>
        <v>359706.74</v>
      </c>
      <c r="Y983" t="str" cm="1">
        <f t="array" ref="Y983">_xlfn.IFS(Sales_Data_1[[#This Row],[Delivery_Days]]&lt;=3, "Fast", Sales_Data_1[[#This Row],[Delivery_Days]]&lt;= 7, "Standard", TRUE, "Delayed")</f>
        <v>Fast</v>
      </c>
      <c r="Z983" t="str" cm="1">
        <f t="array" ref="Z983">_xlfn.IFS(Sales_Data_1[[#This Row],[Profit_Amount]]&gt; 0, "Profitable", Sales_Data_1[[#This Row],[Profit_Amount]] = 0, "Break-Even", TRUE, "Loss")</f>
        <v>Profitable</v>
      </c>
      <c r="AA983" t="str" cm="1">
        <f t="array" ref="AA983">_xlfn.IFS(Sales_Data_1[[#This Row],[Sales]]&gt;= 1000, "High Value", Sales_Data_1[[#This Row],[Sales]]&gt;= 300, "Mid Value", TRUE, "Low Value")</f>
        <v>High Value</v>
      </c>
    </row>
    <row r="984" spans="1:27" x14ac:dyDescent="0.3">
      <c r="A984" t="s">
        <v>2434</v>
      </c>
      <c r="B984" s="1">
        <v>45320</v>
      </c>
      <c r="C984" t="s">
        <v>96</v>
      </c>
      <c r="D984" t="s">
        <v>21</v>
      </c>
      <c r="E984" t="s">
        <v>67</v>
      </c>
      <c r="F984" t="s">
        <v>103</v>
      </c>
      <c r="G984" t="s">
        <v>92</v>
      </c>
      <c r="H984" t="s">
        <v>243</v>
      </c>
      <c r="I984" t="s">
        <v>854</v>
      </c>
      <c r="J984">
        <v>7</v>
      </c>
      <c r="K984">
        <v>78011</v>
      </c>
      <c r="L984">
        <v>0.21</v>
      </c>
      <c r="M984">
        <v>61628.69</v>
      </c>
      <c r="N984">
        <v>431400.83</v>
      </c>
      <c r="O984">
        <v>0.15</v>
      </c>
      <c r="P984">
        <v>64710.12</v>
      </c>
      <c r="Q984" t="s">
        <v>27</v>
      </c>
      <c r="R984" t="s">
        <v>48</v>
      </c>
      <c r="S984">
        <v>1</v>
      </c>
      <c r="T984">
        <f>YEAR(Sales_Data_1[[#This Row],[Order_Date]])</f>
        <v>2024</v>
      </c>
      <c r="U984" t="str">
        <f>TEXT(Sales_Data_1[[#This Row],[Order_Date]], "mmm")</f>
        <v>Jan</v>
      </c>
      <c r="V984">
        <f>MONTH(Sales_Data_1[[#This Row],[Order_Date]])</f>
        <v>1</v>
      </c>
      <c r="W984" t="str">
        <f>TEXT(Sales_Data_1[[#This Row],[Order_Date]], "yyyy-mm")</f>
        <v>2024-01</v>
      </c>
      <c r="X984">
        <f>Sales_Data_1[[#This Row],[Sales]]-Sales_Data_1[[#This Row],[Profit_Amount]]</f>
        <v>366690.71</v>
      </c>
      <c r="Y984" t="str" cm="1">
        <f t="array" ref="Y984">_xlfn.IFS(Sales_Data_1[[#This Row],[Delivery_Days]]&lt;=3, "Fast", Sales_Data_1[[#This Row],[Delivery_Days]]&lt;= 7, "Standard", TRUE, "Delayed")</f>
        <v>Fast</v>
      </c>
      <c r="Z984" t="str" cm="1">
        <f t="array" ref="Z984">_xlfn.IFS(Sales_Data_1[[#This Row],[Profit_Amount]]&gt; 0, "Profitable", Sales_Data_1[[#This Row],[Profit_Amount]] = 0, "Break-Even", TRUE, "Loss")</f>
        <v>Profitable</v>
      </c>
      <c r="AA984" t="str" cm="1">
        <f t="array" ref="AA984">_xlfn.IFS(Sales_Data_1[[#This Row],[Sales]]&gt;= 1000, "High Value", Sales_Data_1[[#This Row],[Sales]]&gt;= 300, "Mid Value", TRUE, "Low Value")</f>
        <v>High Value</v>
      </c>
    </row>
    <row r="985" spans="1:27" x14ac:dyDescent="0.3">
      <c r="A985" t="s">
        <v>2304</v>
      </c>
      <c r="B985" s="1">
        <v>45190</v>
      </c>
      <c r="C985" t="s">
        <v>96</v>
      </c>
      <c r="D985" t="s">
        <v>21</v>
      </c>
      <c r="E985" t="s">
        <v>42</v>
      </c>
      <c r="F985" t="s">
        <v>33</v>
      </c>
      <c r="G985" t="s">
        <v>92</v>
      </c>
      <c r="H985" t="s">
        <v>243</v>
      </c>
      <c r="I985" t="s">
        <v>598</v>
      </c>
      <c r="J985">
        <v>7</v>
      </c>
      <c r="K985">
        <v>63551</v>
      </c>
      <c r="L985">
        <v>0.03</v>
      </c>
      <c r="M985">
        <v>61644.47</v>
      </c>
      <c r="N985">
        <v>431511.29</v>
      </c>
      <c r="O985">
        <v>0.15</v>
      </c>
      <c r="P985">
        <v>64726.69</v>
      </c>
      <c r="Q985" t="s">
        <v>37</v>
      </c>
      <c r="R985" t="s">
        <v>48</v>
      </c>
      <c r="S985">
        <v>5</v>
      </c>
      <c r="T985">
        <f>YEAR(Sales_Data_1[[#This Row],[Order_Date]])</f>
        <v>2023</v>
      </c>
      <c r="U985" t="str">
        <f>TEXT(Sales_Data_1[[#This Row],[Order_Date]], "mmm")</f>
        <v>Sep</v>
      </c>
      <c r="V985">
        <f>MONTH(Sales_Data_1[[#This Row],[Order_Date]])</f>
        <v>9</v>
      </c>
      <c r="W985" t="str">
        <f>TEXT(Sales_Data_1[[#This Row],[Order_Date]], "yyyy-mm")</f>
        <v>2023-09</v>
      </c>
      <c r="X985">
        <f>Sales_Data_1[[#This Row],[Sales]]-Sales_Data_1[[#This Row],[Profit_Amount]]</f>
        <v>366784.6</v>
      </c>
      <c r="Y985" t="str" cm="1">
        <f t="array" ref="Y985">_xlfn.IFS(Sales_Data_1[[#This Row],[Delivery_Days]]&lt;=3, "Fast", Sales_Data_1[[#This Row],[Delivery_Days]]&lt;= 7, "Standard", TRUE, "Delayed")</f>
        <v>Standard</v>
      </c>
      <c r="Z985" t="str" cm="1">
        <f t="array" ref="Z985">_xlfn.IFS(Sales_Data_1[[#This Row],[Profit_Amount]]&gt; 0, "Profitable", Sales_Data_1[[#This Row],[Profit_Amount]] = 0, "Break-Even", TRUE, "Loss")</f>
        <v>Profitable</v>
      </c>
      <c r="AA985" t="str" cm="1">
        <f t="array" ref="AA985">_xlfn.IFS(Sales_Data_1[[#This Row],[Sales]]&gt;= 1000, "High Value", Sales_Data_1[[#This Row],[Sales]]&gt;= 300, "Mid Value", TRUE, "Low Value")</f>
        <v>High Value</v>
      </c>
    </row>
    <row r="986" spans="1:27" x14ac:dyDescent="0.3">
      <c r="A986" t="s">
        <v>2972</v>
      </c>
      <c r="B986" s="1">
        <v>45858</v>
      </c>
      <c r="C986" t="s">
        <v>96</v>
      </c>
      <c r="D986" t="s">
        <v>21</v>
      </c>
      <c r="E986" t="s">
        <v>2040</v>
      </c>
      <c r="F986" t="s">
        <v>97</v>
      </c>
      <c r="G986" t="s">
        <v>92</v>
      </c>
      <c r="H986" t="s">
        <v>178</v>
      </c>
      <c r="I986" t="s">
        <v>1907</v>
      </c>
      <c r="J986">
        <v>7</v>
      </c>
      <c r="K986">
        <v>65718</v>
      </c>
      <c r="L986">
        <v>0.04</v>
      </c>
      <c r="M986">
        <v>63089.279999999999</v>
      </c>
      <c r="N986">
        <v>441624.96</v>
      </c>
      <c r="O986">
        <v>0.15</v>
      </c>
      <c r="P986">
        <v>66243.740000000005</v>
      </c>
      <c r="Q986" t="s">
        <v>47</v>
      </c>
      <c r="R986" t="s">
        <v>48</v>
      </c>
      <c r="S986">
        <v>6</v>
      </c>
      <c r="T986">
        <f>YEAR(Sales_Data_1[[#This Row],[Order_Date]])</f>
        <v>2025</v>
      </c>
      <c r="U986" t="str">
        <f>TEXT(Sales_Data_1[[#This Row],[Order_Date]], "mmm")</f>
        <v>Jul</v>
      </c>
      <c r="V986">
        <f>MONTH(Sales_Data_1[[#This Row],[Order_Date]])</f>
        <v>7</v>
      </c>
      <c r="W986" t="str">
        <f>TEXT(Sales_Data_1[[#This Row],[Order_Date]], "yyyy-mm")</f>
        <v>2025-07</v>
      </c>
      <c r="X986">
        <f>Sales_Data_1[[#This Row],[Sales]]-Sales_Data_1[[#This Row],[Profit_Amount]]</f>
        <v>375381.22000000003</v>
      </c>
      <c r="Y986" t="str" cm="1">
        <f t="array" ref="Y986">_xlfn.IFS(Sales_Data_1[[#This Row],[Delivery_Days]]&lt;=3, "Fast", Sales_Data_1[[#This Row],[Delivery_Days]]&lt;= 7, "Standard", TRUE, "Delayed")</f>
        <v>Standard</v>
      </c>
      <c r="Z986" t="str" cm="1">
        <f t="array" ref="Z986">_xlfn.IFS(Sales_Data_1[[#This Row],[Profit_Amount]]&gt; 0, "Profitable", Sales_Data_1[[#This Row],[Profit_Amount]] = 0, "Break-Even", TRUE, "Loss")</f>
        <v>Profitable</v>
      </c>
      <c r="AA986" t="str" cm="1">
        <f t="array" ref="AA986">_xlfn.IFS(Sales_Data_1[[#This Row],[Sales]]&gt;= 1000, "High Value", Sales_Data_1[[#This Row],[Sales]]&gt;= 300, "Mid Value", TRUE, "Low Value")</f>
        <v>High Value</v>
      </c>
    </row>
    <row r="987" spans="1:27" x14ac:dyDescent="0.3">
      <c r="A987" t="s">
        <v>2652</v>
      </c>
      <c r="B987" s="1">
        <v>45538</v>
      </c>
      <c r="C987" t="s">
        <v>30</v>
      </c>
      <c r="D987" t="s">
        <v>41</v>
      </c>
      <c r="E987" t="s">
        <v>2040</v>
      </c>
      <c r="F987" t="s">
        <v>43</v>
      </c>
      <c r="G987" t="s">
        <v>92</v>
      </c>
      <c r="H987" t="s">
        <v>109</v>
      </c>
      <c r="I987" t="s">
        <v>1284</v>
      </c>
      <c r="J987">
        <v>9</v>
      </c>
      <c r="K987">
        <v>52080</v>
      </c>
      <c r="L987">
        <v>0.05</v>
      </c>
      <c r="M987">
        <v>49476</v>
      </c>
      <c r="N987">
        <v>445284</v>
      </c>
      <c r="O987">
        <v>0.15</v>
      </c>
      <c r="P987">
        <v>66792.600000000006</v>
      </c>
      <c r="Q987" t="s">
        <v>47</v>
      </c>
      <c r="R987" t="s">
        <v>48</v>
      </c>
      <c r="S987">
        <v>6</v>
      </c>
      <c r="T987">
        <f>YEAR(Sales_Data_1[[#This Row],[Order_Date]])</f>
        <v>2024</v>
      </c>
      <c r="U987" t="str">
        <f>TEXT(Sales_Data_1[[#This Row],[Order_Date]], "mmm")</f>
        <v>Sep</v>
      </c>
      <c r="V987">
        <f>MONTH(Sales_Data_1[[#This Row],[Order_Date]])</f>
        <v>9</v>
      </c>
      <c r="W987" t="str">
        <f>TEXT(Sales_Data_1[[#This Row],[Order_Date]], "yyyy-mm")</f>
        <v>2024-09</v>
      </c>
      <c r="X987">
        <f>Sales_Data_1[[#This Row],[Sales]]-Sales_Data_1[[#This Row],[Profit_Amount]]</f>
        <v>378491.4</v>
      </c>
      <c r="Y987" t="str" cm="1">
        <f t="array" ref="Y987">_xlfn.IFS(Sales_Data_1[[#This Row],[Delivery_Days]]&lt;=3, "Fast", Sales_Data_1[[#This Row],[Delivery_Days]]&lt;= 7, "Standard", TRUE, "Delayed")</f>
        <v>Standard</v>
      </c>
      <c r="Z987" t="str" cm="1">
        <f t="array" ref="Z987">_xlfn.IFS(Sales_Data_1[[#This Row],[Profit_Amount]]&gt; 0, "Profitable", Sales_Data_1[[#This Row],[Profit_Amount]] = 0, "Break-Even", TRUE, "Loss")</f>
        <v>Profitable</v>
      </c>
      <c r="AA987" t="str" cm="1">
        <f t="array" ref="AA987">_xlfn.IFS(Sales_Data_1[[#This Row],[Sales]]&gt;= 1000, "High Value", Sales_Data_1[[#This Row],[Sales]]&gt;= 300, "Mid Value", TRUE, "Low Value")</f>
        <v>High Value</v>
      </c>
    </row>
    <row r="988" spans="1:27" x14ac:dyDescent="0.3">
      <c r="A988" t="s">
        <v>2126</v>
      </c>
      <c r="B988" s="1">
        <v>45012</v>
      </c>
      <c r="C988" t="s">
        <v>96</v>
      </c>
      <c r="D988" t="s">
        <v>21</v>
      </c>
      <c r="E988" t="s">
        <v>42</v>
      </c>
      <c r="F988" t="s">
        <v>97</v>
      </c>
      <c r="G988" t="s">
        <v>92</v>
      </c>
      <c r="H988" t="s">
        <v>109</v>
      </c>
      <c r="I988" t="s">
        <v>241</v>
      </c>
      <c r="J988">
        <v>7</v>
      </c>
      <c r="K988">
        <v>67056</v>
      </c>
      <c r="L988">
        <v>0.05</v>
      </c>
      <c r="M988">
        <v>63703.199999999997</v>
      </c>
      <c r="N988">
        <v>445922.4</v>
      </c>
      <c r="O988">
        <v>0.15</v>
      </c>
      <c r="P988">
        <v>66888.36</v>
      </c>
      <c r="Q988" t="s">
        <v>47</v>
      </c>
      <c r="R988" t="s">
        <v>48</v>
      </c>
      <c r="S988">
        <v>8</v>
      </c>
      <c r="T988">
        <f>YEAR(Sales_Data_1[[#This Row],[Order_Date]])</f>
        <v>2023</v>
      </c>
      <c r="U988" t="str">
        <f>TEXT(Sales_Data_1[[#This Row],[Order_Date]], "mmm")</f>
        <v>Mar</v>
      </c>
      <c r="V988">
        <f>MONTH(Sales_Data_1[[#This Row],[Order_Date]])</f>
        <v>3</v>
      </c>
      <c r="W988" t="str">
        <f>TEXT(Sales_Data_1[[#This Row],[Order_Date]], "yyyy-mm")</f>
        <v>2023-03</v>
      </c>
      <c r="X988">
        <f>Sales_Data_1[[#This Row],[Sales]]-Sales_Data_1[[#This Row],[Profit_Amount]]</f>
        <v>379034.04000000004</v>
      </c>
      <c r="Y988" t="str" cm="1">
        <f t="array" ref="Y988">_xlfn.IFS(Sales_Data_1[[#This Row],[Delivery_Days]]&lt;=3, "Fast", Sales_Data_1[[#This Row],[Delivery_Days]]&lt;= 7, "Standard", TRUE, "Delayed")</f>
        <v>Delayed</v>
      </c>
      <c r="Z988" t="str" cm="1">
        <f t="array" ref="Z988">_xlfn.IFS(Sales_Data_1[[#This Row],[Profit_Amount]]&gt; 0, "Profitable", Sales_Data_1[[#This Row],[Profit_Amount]] = 0, "Break-Even", TRUE, "Loss")</f>
        <v>Profitable</v>
      </c>
      <c r="AA988" t="str" cm="1">
        <f t="array" ref="AA988">_xlfn.IFS(Sales_Data_1[[#This Row],[Sales]]&gt;= 1000, "High Value", Sales_Data_1[[#This Row],[Sales]]&gt;= 300, "Mid Value", TRUE, "Low Value")</f>
        <v>High Value</v>
      </c>
    </row>
    <row r="989" spans="1:27" x14ac:dyDescent="0.3">
      <c r="A989" t="s">
        <v>2140</v>
      </c>
      <c r="B989" s="1">
        <v>45026</v>
      </c>
      <c r="C989" t="s">
        <v>40</v>
      </c>
      <c r="D989" t="s">
        <v>41</v>
      </c>
      <c r="E989" t="s">
        <v>42</v>
      </c>
      <c r="F989" t="s">
        <v>97</v>
      </c>
      <c r="G989" t="s">
        <v>92</v>
      </c>
      <c r="H989" t="s">
        <v>243</v>
      </c>
      <c r="I989" t="s">
        <v>270</v>
      </c>
      <c r="J989">
        <v>9</v>
      </c>
      <c r="K989">
        <v>60677</v>
      </c>
      <c r="L989">
        <v>0.16</v>
      </c>
      <c r="M989">
        <v>50968.68</v>
      </c>
      <c r="N989">
        <v>458718.12</v>
      </c>
      <c r="O989">
        <v>0.15</v>
      </c>
      <c r="P989">
        <v>68807.72</v>
      </c>
      <c r="Q989" t="s">
        <v>47</v>
      </c>
      <c r="R989" t="s">
        <v>28</v>
      </c>
      <c r="S989">
        <v>1</v>
      </c>
      <c r="T989">
        <f>YEAR(Sales_Data_1[[#This Row],[Order_Date]])</f>
        <v>2023</v>
      </c>
      <c r="U989" t="str">
        <f>TEXT(Sales_Data_1[[#This Row],[Order_Date]], "mmm")</f>
        <v>Apr</v>
      </c>
      <c r="V989">
        <f>MONTH(Sales_Data_1[[#This Row],[Order_Date]])</f>
        <v>4</v>
      </c>
      <c r="W989" t="str">
        <f>TEXT(Sales_Data_1[[#This Row],[Order_Date]], "yyyy-mm")</f>
        <v>2023-04</v>
      </c>
      <c r="X989">
        <f>Sales_Data_1[[#This Row],[Sales]]-Sales_Data_1[[#This Row],[Profit_Amount]]</f>
        <v>389910.4</v>
      </c>
      <c r="Y989" t="str" cm="1">
        <f t="array" ref="Y989">_xlfn.IFS(Sales_Data_1[[#This Row],[Delivery_Days]]&lt;=3, "Fast", Sales_Data_1[[#This Row],[Delivery_Days]]&lt;= 7, "Standard", TRUE, "Delayed")</f>
        <v>Fast</v>
      </c>
      <c r="Z989" t="str" cm="1">
        <f t="array" ref="Z989">_xlfn.IFS(Sales_Data_1[[#This Row],[Profit_Amount]]&gt; 0, "Profitable", Sales_Data_1[[#This Row],[Profit_Amount]] = 0, "Break-Even", TRUE, "Loss")</f>
        <v>Profitable</v>
      </c>
      <c r="AA989" t="str" cm="1">
        <f t="array" ref="AA989">_xlfn.IFS(Sales_Data_1[[#This Row],[Sales]]&gt;= 1000, "High Value", Sales_Data_1[[#This Row],[Sales]]&gt;= 300, "Mid Value", TRUE, "Low Value")</f>
        <v>High Value</v>
      </c>
    </row>
    <row r="990" spans="1:27" x14ac:dyDescent="0.3">
      <c r="A990" t="s">
        <v>2697</v>
      </c>
      <c r="B990" s="1">
        <v>45583</v>
      </c>
      <c r="C990" t="s">
        <v>40</v>
      </c>
      <c r="D990" t="s">
        <v>56</v>
      </c>
      <c r="E990" t="s">
        <v>2042</v>
      </c>
      <c r="F990" t="s">
        <v>33</v>
      </c>
      <c r="G990" t="s">
        <v>92</v>
      </c>
      <c r="H990" t="s">
        <v>178</v>
      </c>
      <c r="I990" t="s">
        <v>1372</v>
      </c>
      <c r="J990">
        <v>8</v>
      </c>
      <c r="K990">
        <v>62161</v>
      </c>
      <c r="L990">
        <v>0.06</v>
      </c>
      <c r="M990">
        <v>58431.34</v>
      </c>
      <c r="N990">
        <v>467450.72</v>
      </c>
      <c r="O990">
        <v>0.15</v>
      </c>
      <c r="P990">
        <v>70117.61</v>
      </c>
      <c r="Q990" t="s">
        <v>47</v>
      </c>
      <c r="R990" t="s">
        <v>48</v>
      </c>
      <c r="S990">
        <v>5</v>
      </c>
      <c r="T990">
        <f>YEAR(Sales_Data_1[[#This Row],[Order_Date]])</f>
        <v>2024</v>
      </c>
      <c r="U990" t="str">
        <f>TEXT(Sales_Data_1[[#This Row],[Order_Date]], "mmm")</f>
        <v>Oct</v>
      </c>
      <c r="V990">
        <f>MONTH(Sales_Data_1[[#This Row],[Order_Date]])</f>
        <v>10</v>
      </c>
      <c r="W990" t="str">
        <f>TEXT(Sales_Data_1[[#This Row],[Order_Date]], "yyyy-mm")</f>
        <v>2024-10</v>
      </c>
      <c r="X990">
        <f>Sales_Data_1[[#This Row],[Sales]]-Sales_Data_1[[#This Row],[Profit_Amount]]</f>
        <v>397333.11</v>
      </c>
      <c r="Y990" t="str" cm="1">
        <f t="array" ref="Y990">_xlfn.IFS(Sales_Data_1[[#This Row],[Delivery_Days]]&lt;=3, "Fast", Sales_Data_1[[#This Row],[Delivery_Days]]&lt;= 7, "Standard", TRUE, "Delayed")</f>
        <v>Standard</v>
      </c>
      <c r="Z990" t="str" cm="1">
        <f t="array" ref="Z990">_xlfn.IFS(Sales_Data_1[[#This Row],[Profit_Amount]]&gt; 0, "Profitable", Sales_Data_1[[#This Row],[Profit_Amount]] = 0, "Break-Even", TRUE, "Loss")</f>
        <v>Profitable</v>
      </c>
      <c r="AA990" t="str" cm="1">
        <f t="array" ref="AA990">_xlfn.IFS(Sales_Data_1[[#This Row],[Sales]]&gt;= 1000, "High Value", Sales_Data_1[[#This Row],[Sales]]&gt;= 300, "Mid Value", TRUE, "Low Value")</f>
        <v>High Value</v>
      </c>
    </row>
    <row r="991" spans="1:27" x14ac:dyDescent="0.3">
      <c r="A991" t="s">
        <v>2291</v>
      </c>
      <c r="B991" s="1">
        <v>45177</v>
      </c>
      <c r="C991" t="s">
        <v>55</v>
      </c>
      <c r="D991" t="s">
        <v>41</v>
      </c>
      <c r="E991" t="s">
        <v>67</v>
      </c>
      <c r="F991" t="s">
        <v>43</v>
      </c>
      <c r="G991" t="s">
        <v>92</v>
      </c>
      <c r="H991" t="s">
        <v>178</v>
      </c>
      <c r="I991" t="s">
        <v>572</v>
      </c>
      <c r="J991">
        <v>7</v>
      </c>
      <c r="K991">
        <v>70233</v>
      </c>
      <c r="L991">
        <v>0.03</v>
      </c>
      <c r="M991">
        <v>68126.009999999995</v>
      </c>
      <c r="N991">
        <v>476882.07</v>
      </c>
      <c r="O991">
        <v>0.15</v>
      </c>
      <c r="P991">
        <v>71532.31</v>
      </c>
      <c r="Q991" t="s">
        <v>37</v>
      </c>
      <c r="R991" t="s">
        <v>48</v>
      </c>
      <c r="S991">
        <v>1</v>
      </c>
      <c r="T991">
        <f>YEAR(Sales_Data_1[[#This Row],[Order_Date]])</f>
        <v>2023</v>
      </c>
      <c r="U991" t="str">
        <f>TEXT(Sales_Data_1[[#This Row],[Order_Date]], "mmm")</f>
        <v>Sep</v>
      </c>
      <c r="V991">
        <f>MONTH(Sales_Data_1[[#This Row],[Order_Date]])</f>
        <v>9</v>
      </c>
      <c r="W991" t="str">
        <f>TEXT(Sales_Data_1[[#This Row],[Order_Date]], "yyyy-mm")</f>
        <v>2023-09</v>
      </c>
      <c r="X991">
        <f>Sales_Data_1[[#This Row],[Sales]]-Sales_Data_1[[#This Row],[Profit_Amount]]</f>
        <v>405349.76</v>
      </c>
      <c r="Y991" t="str" cm="1">
        <f t="array" ref="Y991">_xlfn.IFS(Sales_Data_1[[#This Row],[Delivery_Days]]&lt;=3, "Fast", Sales_Data_1[[#This Row],[Delivery_Days]]&lt;= 7, "Standard", TRUE, "Delayed")</f>
        <v>Fast</v>
      </c>
      <c r="Z991" t="str" cm="1">
        <f t="array" ref="Z991">_xlfn.IFS(Sales_Data_1[[#This Row],[Profit_Amount]]&gt; 0, "Profitable", Sales_Data_1[[#This Row],[Profit_Amount]] = 0, "Break-Even", TRUE, "Loss")</f>
        <v>Profitable</v>
      </c>
      <c r="AA991" t="str" cm="1">
        <f t="array" ref="AA991">_xlfn.IFS(Sales_Data_1[[#This Row],[Sales]]&gt;= 1000, "High Value", Sales_Data_1[[#This Row],[Sales]]&gt;= 300, "Mid Value", TRUE, "Low Value")</f>
        <v>High Value</v>
      </c>
    </row>
    <row r="992" spans="1:27" x14ac:dyDescent="0.3">
      <c r="A992" t="s">
        <v>2480</v>
      </c>
      <c r="B992" s="1">
        <v>45366</v>
      </c>
      <c r="C992" t="s">
        <v>20</v>
      </c>
      <c r="D992" t="s">
        <v>21</v>
      </c>
      <c r="E992" t="s">
        <v>67</v>
      </c>
      <c r="F992" t="s">
        <v>103</v>
      </c>
      <c r="G992" t="s">
        <v>92</v>
      </c>
      <c r="H992" t="s">
        <v>93</v>
      </c>
      <c r="I992" t="s">
        <v>945</v>
      </c>
      <c r="J992">
        <v>9</v>
      </c>
      <c r="K992">
        <v>66273</v>
      </c>
      <c r="L992">
        <v>0.19</v>
      </c>
      <c r="M992">
        <v>53681.13</v>
      </c>
      <c r="N992">
        <v>483130.17</v>
      </c>
      <c r="O992">
        <v>0.15</v>
      </c>
      <c r="P992">
        <v>72469.53</v>
      </c>
      <c r="Q992" t="s">
        <v>37</v>
      </c>
      <c r="R992" t="s">
        <v>48</v>
      </c>
      <c r="S992">
        <v>9</v>
      </c>
      <c r="T992">
        <f>YEAR(Sales_Data_1[[#This Row],[Order_Date]])</f>
        <v>2024</v>
      </c>
      <c r="U992" t="str">
        <f>TEXT(Sales_Data_1[[#This Row],[Order_Date]], "mmm")</f>
        <v>Mar</v>
      </c>
      <c r="V992">
        <f>MONTH(Sales_Data_1[[#This Row],[Order_Date]])</f>
        <v>3</v>
      </c>
      <c r="W992" t="str">
        <f>TEXT(Sales_Data_1[[#This Row],[Order_Date]], "yyyy-mm")</f>
        <v>2024-03</v>
      </c>
      <c r="X992">
        <f>Sales_Data_1[[#This Row],[Sales]]-Sales_Data_1[[#This Row],[Profit_Amount]]</f>
        <v>410660.64</v>
      </c>
      <c r="Y992" t="str" cm="1">
        <f t="array" ref="Y992">_xlfn.IFS(Sales_Data_1[[#This Row],[Delivery_Days]]&lt;=3, "Fast", Sales_Data_1[[#This Row],[Delivery_Days]]&lt;= 7, "Standard", TRUE, "Delayed")</f>
        <v>Delayed</v>
      </c>
      <c r="Z992" t="str" cm="1">
        <f t="array" ref="Z992">_xlfn.IFS(Sales_Data_1[[#This Row],[Profit_Amount]]&gt; 0, "Profitable", Sales_Data_1[[#This Row],[Profit_Amount]] = 0, "Break-Even", TRUE, "Loss")</f>
        <v>Profitable</v>
      </c>
      <c r="AA992" t="str" cm="1">
        <f t="array" ref="AA992">_xlfn.IFS(Sales_Data_1[[#This Row],[Sales]]&gt;= 1000, "High Value", Sales_Data_1[[#This Row],[Sales]]&gt;= 300, "Mid Value", TRUE, "Low Value")</f>
        <v>High Value</v>
      </c>
    </row>
    <row r="993" spans="1:27" x14ac:dyDescent="0.3">
      <c r="A993" t="s">
        <v>2527</v>
      </c>
      <c r="B993" s="1">
        <v>45413</v>
      </c>
      <c r="C993" t="s">
        <v>96</v>
      </c>
      <c r="D993" t="s">
        <v>21</v>
      </c>
      <c r="E993" t="s">
        <v>42</v>
      </c>
      <c r="F993" t="s">
        <v>68</v>
      </c>
      <c r="G993" t="s">
        <v>92</v>
      </c>
      <c r="H993" t="s">
        <v>109</v>
      </c>
      <c r="I993" t="s">
        <v>1038</v>
      </c>
      <c r="J993">
        <v>8</v>
      </c>
      <c r="K993">
        <v>73740</v>
      </c>
      <c r="L993">
        <v>0.17</v>
      </c>
      <c r="M993">
        <v>61204.2</v>
      </c>
      <c r="N993">
        <v>489633.6</v>
      </c>
      <c r="O993">
        <v>0.15</v>
      </c>
      <c r="P993">
        <v>73445.039999999994</v>
      </c>
      <c r="Q993" t="s">
        <v>51</v>
      </c>
      <c r="R993" t="s">
        <v>48</v>
      </c>
      <c r="S993">
        <v>2</v>
      </c>
      <c r="T993">
        <f>YEAR(Sales_Data_1[[#This Row],[Order_Date]])</f>
        <v>2024</v>
      </c>
      <c r="U993" t="str">
        <f>TEXT(Sales_Data_1[[#This Row],[Order_Date]], "mmm")</f>
        <v>May</v>
      </c>
      <c r="V993">
        <f>MONTH(Sales_Data_1[[#This Row],[Order_Date]])</f>
        <v>5</v>
      </c>
      <c r="W993" t="str">
        <f>TEXT(Sales_Data_1[[#This Row],[Order_Date]], "yyyy-mm")</f>
        <v>2024-05</v>
      </c>
      <c r="X993">
        <f>Sales_Data_1[[#This Row],[Sales]]-Sales_Data_1[[#This Row],[Profit_Amount]]</f>
        <v>416188.56</v>
      </c>
      <c r="Y993" t="str" cm="1">
        <f t="array" ref="Y993">_xlfn.IFS(Sales_Data_1[[#This Row],[Delivery_Days]]&lt;=3, "Fast", Sales_Data_1[[#This Row],[Delivery_Days]]&lt;= 7, "Standard", TRUE, "Delayed")</f>
        <v>Fast</v>
      </c>
      <c r="Z993" t="str" cm="1">
        <f t="array" ref="Z993">_xlfn.IFS(Sales_Data_1[[#This Row],[Profit_Amount]]&gt; 0, "Profitable", Sales_Data_1[[#This Row],[Profit_Amount]] = 0, "Break-Even", TRUE, "Loss")</f>
        <v>Profitable</v>
      </c>
      <c r="AA993" t="str" cm="1">
        <f t="array" ref="AA993">_xlfn.IFS(Sales_Data_1[[#This Row],[Sales]]&gt;= 1000, "High Value", Sales_Data_1[[#This Row],[Sales]]&gt;= 300, "Mid Value", TRUE, "Low Value")</f>
        <v>High Value</v>
      </c>
    </row>
    <row r="994" spans="1:27" x14ac:dyDescent="0.3">
      <c r="A994" t="s">
        <v>2540</v>
      </c>
      <c r="B994" s="1">
        <v>45426</v>
      </c>
      <c r="C994" t="s">
        <v>30</v>
      </c>
      <c r="D994" t="s">
        <v>31</v>
      </c>
      <c r="E994" t="s">
        <v>67</v>
      </c>
      <c r="F994" t="s">
        <v>23</v>
      </c>
      <c r="G994" t="s">
        <v>92</v>
      </c>
      <c r="H994" t="s">
        <v>178</v>
      </c>
      <c r="I994" t="s">
        <v>1063</v>
      </c>
      <c r="J994">
        <v>9</v>
      </c>
      <c r="K994">
        <v>58244</v>
      </c>
      <c r="L994">
        <v>0.04</v>
      </c>
      <c r="M994">
        <v>55914.239999999998</v>
      </c>
      <c r="N994">
        <v>503228.15999999997</v>
      </c>
      <c r="O994">
        <v>0.15</v>
      </c>
      <c r="P994">
        <v>75484.22</v>
      </c>
      <c r="Q994" t="s">
        <v>27</v>
      </c>
      <c r="R994" t="s">
        <v>48</v>
      </c>
      <c r="S994">
        <v>1</v>
      </c>
      <c r="T994">
        <f>YEAR(Sales_Data_1[[#This Row],[Order_Date]])</f>
        <v>2024</v>
      </c>
      <c r="U994" t="str">
        <f>TEXT(Sales_Data_1[[#This Row],[Order_Date]], "mmm")</f>
        <v>May</v>
      </c>
      <c r="V994">
        <f>MONTH(Sales_Data_1[[#This Row],[Order_Date]])</f>
        <v>5</v>
      </c>
      <c r="W994" t="str">
        <f>TEXT(Sales_Data_1[[#This Row],[Order_Date]], "yyyy-mm")</f>
        <v>2024-05</v>
      </c>
      <c r="X994">
        <f>Sales_Data_1[[#This Row],[Sales]]-Sales_Data_1[[#This Row],[Profit_Amount]]</f>
        <v>427743.93999999994</v>
      </c>
      <c r="Y994" t="str" cm="1">
        <f t="array" ref="Y994">_xlfn.IFS(Sales_Data_1[[#This Row],[Delivery_Days]]&lt;=3, "Fast", Sales_Data_1[[#This Row],[Delivery_Days]]&lt;= 7, "Standard", TRUE, "Delayed")</f>
        <v>Fast</v>
      </c>
      <c r="Z994" t="str" cm="1">
        <f t="array" ref="Z994">_xlfn.IFS(Sales_Data_1[[#This Row],[Profit_Amount]]&gt; 0, "Profitable", Sales_Data_1[[#This Row],[Profit_Amount]] = 0, "Break-Even", TRUE, "Loss")</f>
        <v>Profitable</v>
      </c>
      <c r="AA994" t="str" cm="1">
        <f t="array" ref="AA994">_xlfn.IFS(Sales_Data_1[[#This Row],[Sales]]&gt;= 1000, "High Value", Sales_Data_1[[#This Row],[Sales]]&gt;= 300, "Mid Value", TRUE, "Low Value")</f>
        <v>High Value</v>
      </c>
    </row>
    <row r="995" spans="1:27" x14ac:dyDescent="0.3">
      <c r="A995" t="s">
        <v>2822</v>
      </c>
      <c r="B995" s="1">
        <v>45708</v>
      </c>
      <c r="C995" t="s">
        <v>20</v>
      </c>
      <c r="D995" t="s">
        <v>41</v>
      </c>
      <c r="E995" t="s">
        <v>67</v>
      </c>
      <c r="F995" t="s">
        <v>23</v>
      </c>
      <c r="G995" t="s">
        <v>92</v>
      </c>
      <c r="H995" t="s">
        <v>178</v>
      </c>
      <c r="I995" t="s">
        <v>1615</v>
      </c>
      <c r="J995">
        <v>8</v>
      </c>
      <c r="K995">
        <v>78099</v>
      </c>
      <c r="L995">
        <v>0.17</v>
      </c>
      <c r="M995">
        <v>64822.17</v>
      </c>
      <c r="N995">
        <v>518577.36</v>
      </c>
      <c r="O995">
        <v>0.15</v>
      </c>
      <c r="P995">
        <v>77786.600000000006</v>
      </c>
      <c r="Q995" t="s">
        <v>27</v>
      </c>
      <c r="R995" t="s">
        <v>28</v>
      </c>
      <c r="S995">
        <v>6</v>
      </c>
      <c r="T995">
        <f>YEAR(Sales_Data_1[[#This Row],[Order_Date]])</f>
        <v>2025</v>
      </c>
      <c r="U995" t="str">
        <f>TEXT(Sales_Data_1[[#This Row],[Order_Date]], "mmm")</f>
        <v>Feb</v>
      </c>
      <c r="V995">
        <f>MONTH(Sales_Data_1[[#This Row],[Order_Date]])</f>
        <v>2</v>
      </c>
      <c r="W995" t="str">
        <f>TEXT(Sales_Data_1[[#This Row],[Order_Date]], "yyyy-mm")</f>
        <v>2025-02</v>
      </c>
      <c r="X995">
        <f>Sales_Data_1[[#This Row],[Sales]]-Sales_Data_1[[#This Row],[Profit_Amount]]</f>
        <v>440790.76</v>
      </c>
      <c r="Y995" t="str" cm="1">
        <f t="array" ref="Y995">_xlfn.IFS(Sales_Data_1[[#This Row],[Delivery_Days]]&lt;=3, "Fast", Sales_Data_1[[#This Row],[Delivery_Days]]&lt;= 7, "Standard", TRUE, "Delayed")</f>
        <v>Standard</v>
      </c>
      <c r="Z995" t="str" cm="1">
        <f t="array" ref="Z995">_xlfn.IFS(Sales_Data_1[[#This Row],[Profit_Amount]]&gt; 0, "Profitable", Sales_Data_1[[#This Row],[Profit_Amount]] = 0, "Break-Even", TRUE, "Loss")</f>
        <v>Profitable</v>
      </c>
      <c r="AA995" t="str" cm="1">
        <f t="array" ref="AA995">_xlfn.IFS(Sales_Data_1[[#This Row],[Sales]]&gt;= 1000, "High Value", Sales_Data_1[[#This Row],[Sales]]&gt;= 300, "Mid Value", TRUE, "Low Value")</f>
        <v>High Value</v>
      </c>
    </row>
    <row r="996" spans="1:27" x14ac:dyDescent="0.3">
      <c r="A996" t="s">
        <v>2954</v>
      </c>
      <c r="B996" s="1">
        <v>45840</v>
      </c>
      <c r="C996" t="s">
        <v>55</v>
      </c>
      <c r="D996" t="s">
        <v>21</v>
      </c>
      <c r="E996" t="s">
        <v>2040</v>
      </c>
      <c r="F996" t="s">
        <v>43</v>
      </c>
      <c r="G996" t="s">
        <v>92</v>
      </c>
      <c r="H996" t="s">
        <v>109</v>
      </c>
      <c r="I996" t="s">
        <v>1875</v>
      </c>
      <c r="J996">
        <v>9</v>
      </c>
      <c r="K996">
        <v>67714</v>
      </c>
      <c r="L996">
        <v>0.14000000000000001</v>
      </c>
      <c r="M996">
        <v>58234.04</v>
      </c>
      <c r="N996">
        <v>524106.36</v>
      </c>
      <c r="O996">
        <v>0.15</v>
      </c>
      <c r="P996">
        <v>78615.95</v>
      </c>
      <c r="Q996" t="s">
        <v>27</v>
      </c>
      <c r="R996" t="s">
        <v>48</v>
      </c>
      <c r="S996">
        <v>9</v>
      </c>
      <c r="T996">
        <f>YEAR(Sales_Data_1[[#This Row],[Order_Date]])</f>
        <v>2025</v>
      </c>
      <c r="U996" t="str">
        <f>TEXT(Sales_Data_1[[#This Row],[Order_Date]], "mmm")</f>
        <v>Jul</v>
      </c>
      <c r="V996">
        <f>MONTH(Sales_Data_1[[#This Row],[Order_Date]])</f>
        <v>7</v>
      </c>
      <c r="W996" t="str">
        <f>TEXT(Sales_Data_1[[#This Row],[Order_Date]], "yyyy-mm")</f>
        <v>2025-07</v>
      </c>
      <c r="X996">
        <f>Sales_Data_1[[#This Row],[Sales]]-Sales_Data_1[[#This Row],[Profit_Amount]]</f>
        <v>445490.41</v>
      </c>
      <c r="Y996" t="str" cm="1">
        <f t="array" ref="Y996">_xlfn.IFS(Sales_Data_1[[#This Row],[Delivery_Days]]&lt;=3, "Fast", Sales_Data_1[[#This Row],[Delivery_Days]]&lt;= 7, "Standard", TRUE, "Delayed")</f>
        <v>Delayed</v>
      </c>
      <c r="Z996" t="str" cm="1">
        <f t="array" ref="Z996">_xlfn.IFS(Sales_Data_1[[#This Row],[Profit_Amount]]&gt; 0, "Profitable", Sales_Data_1[[#This Row],[Profit_Amount]] = 0, "Break-Even", TRUE, "Loss")</f>
        <v>Profitable</v>
      </c>
      <c r="AA996" t="str" cm="1">
        <f t="array" ref="AA996">_xlfn.IFS(Sales_Data_1[[#This Row],[Sales]]&gt;= 1000, "High Value", Sales_Data_1[[#This Row],[Sales]]&gt;= 300, "Mid Value", TRUE, "Low Value")</f>
        <v>High Value</v>
      </c>
    </row>
    <row r="997" spans="1:27" x14ac:dyDescent="0.3">
      <c r="A997" t="s">
        <v>2211</v>
      </c>
      <c r="B997" s="1">
        <v>45097</v>
      </c>
      <c r="C997" t="s">
        <v>20</v>
      </c>
      <c r="D997" t="s">
        <v>21</v>
      </c>
      <c r="E997" t="s">
        <v>67</v>
      </c>
      <c r="F997" t="s">
        <v>23</v>
      </c>
      <c r="G997" t="s">
        <v>92</v>
      </c>
      <c r="H997" t="s">
        <v>109</v>
      </c>
      <c r="I997" t="s">
        <v>412</v>
      </c>
      <c r="J997">
        <v>9</v>
      </c>
      <c r="K997">
        <v>71212</v>
      </c>
      <c r="L997">
        <v>0.15</v>
      </c>
      <c r="M997">
        <v>60530.2</v>
      </c>
      <c r="N997">
        <v>544771.80000000005</v>
      </c>
      <c r="O997">
        <v>0.15</v>
      </c>
      <c r="P997">
        <v>81715.77</v>
      </c>
      <c r="Q997" t="s">
        <v>51</v>
      </c>
      <c r="R997" t="s">
        <v>48</v>
      </c>
      <c r="S997">
        <v>5</v>
      </c>
      <c r="T997">
        <f>YEAR(Sales_Data_1[[#This Row],[Order_Date]])</f>
        <v>2023</v>
      </c>
      <c r="U997" t="str">
        <f>TEXT(Sales_Data_1[[#This Row],[Order_Date]], "mmm")</f>
        <v>Jun</v>
      </c>
      <c r="V997">
        <f>MONTH(Sales_Data_1[[#This Row],[Order_Date]])</f>
        <v>6</v>
      </c>
      <c r="W997" t="str">
        <f>TEXT(Sales_Data_1[[#This Row],[Order_Date]], "yyyy-mm")</f>
        <v>2023-06</v>
      </c>
      <c r="X997">
        <f>Sales_Data_1[[#This Row],[Sales]]-Sales_Data_1[[#This Row],[Profit_Amount]]</f>
        <v>463056.03</v>
      </c>
      <c r="Y997" t="str" cm="1">
        <f t="array" ref="Y997">_xlfn.IFS(Sales_Data_1[[#This Row],[Delivery_Days]]&lt;=3, "Fast", Sales_Data_1[[#This Row],[Delivery_Days]]&lt;= 7, "Standard", TRUE, "Delayed")</f>
        <v>Standard</v>
      </c>
      <c r="Z997" t="str" cm="1">
        <f t="array" ref="Z997">_xlfn.IFS(Sales_Data_1[[#This Row],[Profit_Amount]]&gt; 0, "Profitable", Sales_Data_1[[#This Row],[Profit_Amount]] = 0, "Break-Even", TRUE, "Loss")</f>
        <v>Profitable</v>
      </c>
      <c r="AA997" t="str" cm="1">
        <f t="array" ref="AA997">_xlfn.IFS(Sales_Data_1[[#This Row],[Sales]]&gt;= 1000, "High Value", Sales_Data_1[[#This Row],[Sales]]&gt;= 300, "Mid Value", TRUE, "Low Value")</f>
        <v>High Value</v>
      </c>
    </row>
    <row r="998" spans="1:27" x14ac:dyDescent="0.3">
      <c r="A998" t="s">
        <v>2775</v>
      </c>
      <c r="B998" s="1">
        <v>45661</v>
      </c>
      <c r="C998" t="s">
        <v>20</v>
      </c>
      <c r="D998" t="s">
        <v>41</v>
      </c>
      <c r="E998" t="s">
        <v>42</v>
      </c>
      <c r="F998" t="s">
        <v>43</v>
      </c>
      <c r="G998" t="s">
        <v>92</v>
      </c>
      <c r="H998" t="s">
        <v>243</v>
      </c>
      <c r="I998" t="s">
        <v>1524</v>
      </c>
      <c r="J998">
        <v>8</v>
      </c>
      <c r="K998">
        <v>75095</v>
      </c>
      <c r="L998">
        <v>7.0000000000000007E-2</v>
      </c>
      <c r="M998">
        <v>69838.350000000006</v>
      </c>
      <c r="N998">
        <v>558706.80000000005</v>
      </c>
      <c r="O998">
        <v>0.15</v>
      </c>
      <c r="P998">
        <v>83806.02</v>
      </c>
      <c r="Q998" t="s">
        <v>51</v>
      </c>
      <c r="R998" t="s">
        <v>38</v>
      </c>
      <c r="S998">
        <v>2</v>
      </c>
      <c r="T998">
        <f>YEAR(Sales_Data_1[[#This Row],[Order_Date]])</f>
        <v>2025</v>
      </c>
      <c r="U998" t="str">
        <f>TEXT(Sales_Data_1[[#This Row],[Order_Date]], "mmm")</f>
        <v>Jan</v>
      </c>
      <c r="V998">
        <f>MONTH(Sales_Data_1[[#This Row],[Order_Date]])</f>
        <v>1</v>
      </c>
      <c r="W998" t="str">
        <f>TEXT(Sales_Data_1[[#This Row],[Order_Date]], "yyyy-mm")</f>
        <v>2025-01</v>
      </c>
      <c r="X998">
        <f>Sales_Data_1[[#This Row],[Sales]]-Sales_Data_1[[#This Row],[Profit_Amount]]</f>
        <v>474900.78</v>
      </c>
      <c r="Y998" t="str" cm="1">
        <f t="array" ref="Y998">_xlfn.IFS(Sales_Data_1[[#This Row],[Delivery_Days]]&lt;=3, "Fast", Sales_Data_1[[#This Row],[Delivery_Days]]&lt;= 7, "Standard", TRUE, "Delayed")</f>
        <v>Fast</v>
      </c>
      <c r="Z998" t="str" cm="1">
        <f t="array" ref="Z998">_xlfn.IFS(Sales_Data_1[[#This Row],[Profit_Amount]]&gt; 0, "Profitable", Sales_Data_1[[#This Row],[Profit_Amount]] = 0, "Break-Even", TRUE, "Loss")</f>
        <v>Profitable</v>
      </c>
      <c r="AA998" t="str" cm="1">
        <f t="array" ref="AA998">_xlfn.IFS(Sales_Data_1[[#This Row],[Sales]]&gt;= 1000, "High Value", Sales_Data_1[[#This Row],[Sales]]&gt;= 300, "Mid Value", TRUE, "Low Value")</f>
        <v>High Value</v>
      </c>
    </row>
    <row r="999" spans="1:27" x14ac:dyDescent="0.3">
      <c r="A999" t="s">
        <v>2883</v>
      </c>
      <c r="B999" s="1">
        <v>45769</v>
      </c>
      <c r="C999" t="s">
        <v>30</v>
      </c>
      <c r="D999" t="s">
        <v>31</v>
      </c>
      <c r="E999" t="s">
        <v>2042</v>
      </c>
      <c r="F999" t="s">
        <v>68</v>
      </c>
      <c r="G999" t="s">
        <v>92</v>
      </c>
      <c r="H999" t="s">
        <v>243</v>
      </c>
      <c r="I999" t="s">
        <v>1736</v>
      </c>
      <c r="J999">
        <v>9</v>
      </c>
      <c r="K999">
        <v>71330</v>
      </c>
      <c r="L999">
        <v>0.09</v>
      </c>
      <c r="M999">
        <v>64910.3</v>
      </c>
      <c r="N999">
        <v>584192.69999999995</v>
      </c>
      <c r="O999">
        <v>0.15</v>
      </c>
      <c r="P999">
        <v>87628.9</v>
      </c>
      <c r="Q999" t="s">
        <v>37</v>
      </c>
      <c r="R999" t="s">
        <v>48</v>
      </c>
      <c r="S999">
        <v>7</v>
      </c>
      <c r="T999">
        <f>YEAR(Sales_Data_1[[#This Row],[Order_Date]])</f>
        <v>2025</v>
      </c>
      <c r="U999" t="str">
        <f>TEXT(Sales_Data_1[[#This Row],[Order_Date]], "mmm")</f>
        <v>Apr</v>
      </c>
      <c r="V999">
        <f>MONTH(Sales_Data_1[[#This Row],[Order_Date]])</f>
        <v>4</v>
      </c>
      <c r="W999" t="str">
        <f>TEXT(Sales_Data_1[[#This Row],[Order_Date]], "yyyy-mm")</f>
        <v>2025-04</v>
      </c>
      <c r="X999">
        <f>Sales_Data_1[[#This Row],[Sales]]-Sales_Data_1[[#This Row],[Profit_Amount]]</f>
        <v>496563.79999999993</v>
      </c>
      <c r="Y999" t="str" cm="1">
        <f t="array" ref="Y999">_xlfn.IFS(Sales_Data_1[[#This Row],[Delivery_Days]]&lt;=3, "Fast", Sales_Data_1[[#This Row],[Delivery_Days]]&lt;= 7, "Standard", TRUE, "Delayed")</f>
        <v>Standard</v>
      </c>
      <c r="Z999" t="str" cm="1">
        <f t="array" ref="Z999">_xlfn.IFS(Sales_Data_1[[#This Row],[Profit_Amount]]&gt; 0, "Profitable", Sales_Data_1[[#This Row],[Profit_Amount]] = 0, "Break-Even", TRUE, "Loss")</f>
        <v>Profitable</v>
      </c>
      <c r="AA999" t="str" cm="1">
        <f t="array" ref="AA999">_xlfn.IFS(Sales_Data_1[[#This Row],[Sales]]&gt;= 1000, "High Value", Sales_Data_1[[#This Row],[Sales]]&gt;= 300, "Mid Value", TRUE, "Low Value")</f>
        <v>High Value</v>
      </c>
    </row>
    <row r="1000" spans="1:27" x14ac:dyDescent="0.3">
      <c r="A1000" t="s">
        <v>2861</v>
      </c>
      <c r="B1000" s="1">
        <v>45747</v>
      </c>
      <c r="C1000" t="s">
        <v>30</v>
      </c>
      <c r="D1000" t="s">
        <v>21</v>
      </c>
      <c r="E1000" t="s">
        <v>2042</v>
      </c>
      <c r="F1000" t="s">
        <v>97</v>
      </c>
      <c r="G1000" t="s">
        <v>92</v>
      </c>
      <c r="H1000" t="s">
        <v>243</v>
      </c>
      <c r="I1000" t="s">
        <v>1693</v>
      </c>
      <c r="J1000">
        <v>9</v>
      </c>
      <c r="K1000">
        <v>69792</v>
      </c>
      <c r="L1000">
        <v>0.03</v>
      </c>
      <c r="M1000">
        <v>67698.240000000005</v>
      </c>
      <c r="N1000">
        <v>609284.16</v>
      </c>
      <c r="O1000">
        <v>0.15</v>
      </c>
      <c r="P1000">
        <v>91392.62</v>
      </c>
      <c r="Q1000" t="s">
        <v>27</v>
      </c>
      <c r="R1000" t="s">
        <v>48</v>
      </c>
      <c r="S1000">
        <v>2</v>
      </c>
      <c r="T1000">
        <f>YEAR(Sales_Data_1[[#This Row],[Order_Date]])</f>
        <v>2025</v>
      </c>
      <c r="U1000" t="str">
        <f>TEXT(Sales_Data_1[[#This Row],[Order_Date]], "mmm")</f>
        <v>Mar</v>
      </c>
      <c r="V1000">
        <f>MONTH(Sales_Data_1[[#This Row],[Order_Date]])</f>
        <v>3</v>
      </c>
      <c r="W1000" t="str">
        <f>TEXT(Sales_Data_1[[#This Row],[Order_Date]], "yyyy-mm")</f>
        <v>2025-03</v>
      </c>
      <c r="X1000">
        <f>Sales_Data_1[[#This Row],[Sales]]-Sales_Data_1[[#This Row],[Profit_Amount]]</f>
        <v>517891.54000000004</v>
      </c>
      <c r="Y1000" t="str" cm="1">
        <f t="array" ref="Y1000">_xlfn.IFS(Sales_Data_1[[#This Row],[Delivery_Days]]&lt;=3, "Fast", Sales_Data_1[[#This Row],[Delivery_Days]]&lt;= 7, "Standard", TRUE, "Delayed")</f>
        <v>Fast</v>
      </c>
      <c r="Z1000" t="str" cm="1">
        <f t="array" ref="Z1000">_xlfn.IFS(Sales_Data_1[[#This Row],[Profit_Amount]]&gt; 0, "Profitable", Sales_Data_1[[#This Row],[Profit_Amount]] = 0, "Break-Even", TRUE, "Loss")</f>
        <v>Profitable</v>
      </c>
      <c r="AA1000" t="str" cm="1">
        <f t="array" ref="AA1000">_xlfn.IFS(Sales_Data_1[[#This Row],[Sales]]&gt;= 1000, "High Value", Sales_Data_1[[#This Row],[Sales]]&gt;= 300, "Mid Value", TRUE, "Low Value")</f>
        <v>High Value</v>
      </c>
    </row>
    <row r="1001" spans="1:27" x14ac:dyDescent="0.3">
      <c r="A1001" t="s">
        <v>2429</v>
      </c>
      <c r="B1001" s="1">
        <v>45315</v>
      </c>
      <c r="C1001" t="s">
        <v>20</v>
      </c>
      <c r="D1001" t="s">
        <v>41</v>
      </c>
      <c r="E1001" t="s">
        <v>67</v>
      </c>
      <c r="F1001" t="s">
        <v>23</v>
      </c>
      <c r="G1001" t="s">
        <v>92</v>
      </c>
      <c r="H1001" t="s">
        <v>93</v>
      </c>
      <c r="I1001" t="s">
        <v>844</v>
      </c>
      <c r="J1001">
        <v>9</v>
      </c>
      <c r="K1001">
        <v>78008</v>
      </c>
      <c r="L1001">
        <v>0.13</v>
      </c>
      <c r="M1001">
        <v>67866.960000000006</v>
      </c>
      <c r="N1001">
        <v>610802.64</v>
      </c>
      <c r="O1001">
        <v>0.15</v>
      </c>
      <c r="P1001">
        <v>91620.4</v>
      </c>
      <c r="Q1001" t="s">
        <v>37</v>
      </c>
      <c r="R1001" t="s">
        <v>48</v>
      </c>
      <c r="S1001">
        <v>5</v>
      </c>
      <c r="T1001">
        <f>YEAR(Sales_Data_1[[#This Row],[Order_Date]])</f>
        <v>2024</v>
      </c>
      <c r="U1001" t="str">
        <f>TEXT(Sales_Data_1[[#This Row],[Order_Date]], "mmm")</f>
        <v>Jan</v>
      </c>
      <c r="V1001">
        <f>MONTH(Sales_Data_1[[#This Row],[Order_Date]])</f>
        <v>1</v>
      </c>
      <c r="W1001" t="str">
        <f>TEXT(Sales_Data_1[[#This Row],[Order_Date]], "yyyy-mm")</f>
        <v>2024-01</v>
      </c>
      <c r="X1001">
        <f>Sales_Data_1[[#This Row],[Sales]]-Sales_Data_1[[#This Row],[Profit_Amount]]</f>
        <v>519182.24</v>
      </c>
      <c r="Y1001" t="str" cm="1">
        <f t="array" ref="Y1001">_xlfn.IFS(Sales_Data_1[[#This Row],[Delivery_Days]]&lt;=3, "Fast", Sales_Data_1[[#This Row],[Delivery_Days]]&lt;= 7, "Standard", TRUE, "Delayed")</f>
        <v>Standard</v>
      </c>
      <c r="Z1001" t="str" cm="1">
        <f t="array" ref="Z1001">_xlfn.IFS(Sales_Data_1[[#This Row],[Profit_Amount]]&gt; 0, "Profitable", Sales_Data_1[[#This Row],[Profit_Amount]] = 0, "Break-Even", TRUE, "Loss")</f>
        <v>Profitable</v>
      </c>
      <c r="AA1001" t="str" cm="1">
        <f t="array" ref="AA1001">_xlfn.IFS(Sales_Data_1[[#This Row],[Sales]]&gt;= 1000, "High Value", Sales_Data_1[[#This Row],[Sales]]&gt;= 300, "Mid Value", TRUE, "Low Value")</f>
        <v>High Value</v>
      </c>
    </row>
  </sheetData>
  <dataValidations count="3">
    <dataValidation type="list" allowBlank="1" showInputMessage="1" showErrorMessage="1" sqref="D2:D1048576" xr:uid="{706DB05E-5460-4037-8737-AE2A4128851F}">
      <formula1>$D$2:$D$1001</formula1>
    </dataValidation>
    <dataValidation type="list" allowBlank="1" showInputMessage="1" showErrorMessage="1" sqref="R2:R1048576" xr:uid="{B8263DFC-D8C0-404E-B5FA-0ED1C6194313}">
      <formula1>$R$2:$R$1001</formula1>
    </dataValidation>
    <dataValidation type="list" allowBlank="1" showInputMessage="1" showErrorMessage="1" sqref="Q2:Q1048576" xr:uid="{78E26D00-9D8B-4807-9A9C-0B6BB7439DF6}">
      <formula1>$Q$2:$Q$1001</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F111-DEBF-4195-9B7D-F5926C27D219}">
  <dimension ref="A1:AA605"/>
  <sheetViews>
    <sheetView workbookViewId="0">
      <selection sqref="A1:AA605"/>
    </sheetView>
  </sheetViews>
  <sheetFormatPr defaultRowHeight="14.4" x14ac:dyDescent="0.3"/>
  <cols>
    <col min="1" max="1" width="9.44140625" customWidth="1"/>
    <col min="2" max="2" width="12.33203125" customWidth="1"/>
    <col min="3" max="3" width="16.77734375" customWidth="1"/>
    <col min="5" max="5" width="9.33203125" customWidth="1"/>
    <col min="7" max="7" width="17.5546875" customWidth="1"/>
    <col min="8" max="8" width="14.21875" customWidth="1"/>
    <col min="9" max="9" width="15.21875" customWidth="1"/>
    <col min="10" max="10" width="10" customWidth="1"/>
    <col min="11" max="11" width="11.44140625" customWidth="1"/>
    <col min="12" max="12" width="10.21875" customWidth="1"/>
    <col min="13" max="13" width="17.44140625" customWidth="1"/>
    <col min="15" max="15" width="13.77734375" customWidth="1"/>
    <col min="16" max="16" width="14.6640625" customWidth="1"/>
    <col min="17" max="17" width="15.5546875" customWidth="1"/>
    <col min="18" max="18" width="15.77734375" customWidth="1"/>
    <col min="19" max="19" width="14.44140625" customWidth="1"/>
    <col min="20" max="20" width="12.109375" customWidth="1"/>
    <col min="21" max="21" width="19.33203125" customWidth="1"/>
    <col min="22" max="22" width="21.109375" customWidth="1"/>
    <col min="23" max="23" width="18" customWidth="1"/>
    <col min="24" max="24" width="11.5546875" customWidth="1"/>
    <col min="25" max="25" width="21.109375" customWidth="1"/>
    <col min="26" max="26" width="18.88671875" customWidth="1"/>
    <col min="27" max="27" width="15.88671875"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3041</v>
      </c>
      <c r="U1" t="s">
        <v>3042</v>
      </c>
      <c r="V1" t="s">
        <v>3043</v>
      </c>
      <c r="W1" t="s">
        <v>3044</v>
      </c>
      <c r="X1" t="s">
        <v>3045</v>
      </c>
      <c r="Y1" t="s">
        <v>3046</v>
      </c>
      <c r="Z1" t="s">
        <v>3047</v>
      </c>
      <c r="AA1" t="s">
        <v>3048</v>
      </c>
    </row>
    <row r="2" spans="1:27" x14ac:dyDescent="0.3">
      <c r="A2" t="s">
        <v>2350</v>
      </c>
      <c r="B2" s="7">
        <v>45236</v>
      </c>
      <c r="C2" t="s">
        <v>20</v>
      </c>
      <c r="D2" t="s">
        <v>56</v>
      </c>
      <c r="E2" t="s">
        <v>2042</v>
      </c>
      <c r="F2" t="s">
        <v>97</v>
      </c>
      <c r="G2" t="s">
        <v>34</v>
      </c>
      <c r="H2" t="s">
        <v>104</v>
      </c>
      <c r="I2" t="s">
        <v>688</v>
      </c>
      <c r="J2">
        <v>1</v>
      </c>
      <c r="K2">
        <v>358</v>
      </c>
      <c r="L2">
        <v>0.21</v>
      </c>
      <c r="M2">
        <v>282.82</v>
      </c>
      <c r="N2">
        <v>282.82</v>
      </c>
      <c r="O2">
        <v>0.4</v>
      </c>
      <c r="P2">
        <v>113.13</v>
      </c>
      <c r="Q2" t="s">
        <v>51</v>
      </c>
      <c r="R2" t="s">
        <v>48</v>
      </c>
      <c r="S2">
        <v>4</v>
      </c>
      <c r="T2">
        <v>2023</v>
      </c>
      <c r="U2" t="s">
        <v>3060</v>
      </c>
      <c r="V2">
        <v>11</v>
      </c>
      <c r="W2" t="s">
        <v>3061</v>
      </c>
      <c r="X2">
        <v>169.69</v>
      </c>
      <c r="Y2" t="s">
        <v>3062</v>
      </c>
      <c r="Z2" t="s">
        <v>3063</v>
      </c>
      <c r="AA2" t="s">
        <v>3064</v>
      </c>
    </row>
    <row r="3" spans="1:27" x14ac:dyDescent="0.3">
      <c r="A3" t="s">
        <v>2707</v>
      </c>
      <c r="B3" s="7">
        <v>45593</v>
      </c>
      <c r="C3" t="s">
        <v>96</v>
      </c>
      <c r="D3" t="s">
        <v>56</v>
      </c>
      <c r="E3" t="s">
        <v>2042</v>
      </c>
      <c r="F3" t="s">
        <v>33</v>
      </c>
      <c r="G3" t="s">
        <v>34</v>
      </c>
      <c r="H3" t="s">
        <v>35</v>
      </c>
      <c r="I3" t="s">
        <v>1390</v>
      </c>
      <c r="J3">
        <v>1</v>
      </c>
      <c r="K3">
        <v>348</v>
      </c>
      <c r="L3">
        <v>0.04</v>
      </c>
      <c r="M3">
        <v>334.08</v>
      </c>
      <c r="N3">
        <v>334.08</v>
      </c>
      <c r="O3">
        <v>0.4</v>
      </c>
      <c r="P3">
        <v>133.63</v>
      </c>
      <c r="Q3" t="s">
        <v>47</v>
      </c>
      <c r="R3" t="s">
        <v>38</v>
      </c>
      <c r="S3">
        <v>1</v>
      </c>
      <c r="T3">
        <v>2024</v>
      </c>
      <c r="U3" t="s">
        <v>3065</v>
      </c>
      <c r="V3">
        <v>10</v>
      </c>
      <c r="W3" t="s">
        <v>3066</v>
      </c>
      <c r="X3">
        <v>200.45</v>
      </c>
      <c r="Y3" t="s">
        <v>3067</v>
      </c>
      <c r="Z3" t="s">
        <v>3063</v>
      </c>
      <c r="AA3" t="s">
        <v>3068</v>
      </c>
    </row>
    <row r="4" spans="1:27" x14ac:dyDescent="0.3">
      <c r="A4" t="s">
        <v>2844</v>
      </c>
      <c r="B4" s="7">
        <v>45730</v>
      </c>
      <c r="C4" t="s">
        <v>55</v>
      </c>
      <c r="D4" t="s">
        <v>41</v>
      </c>
      <c r="E4" t="s">
        <v>42</v>
      </c>
      <c r="F4" t="s">
        <v>103</v>
      </c>
      <c r="G4" t="s">
        <v>34</v>
      </c>
      <c r="H4" t="s">
        <v>35</v>
      </c>
      <c r="I4" t="s">
        <v>1659</v>
      </c>
      <c r="J4">
        <v>2</v>
      </c>
      <c r="K4">
        <v>218</v>
      </c>
      <c r="L4">
        <v>0.04</v>
      </c>
      <c r="M4">
        <v>209.28</v>
      </c>
      <c r="N4">
        <v>418.56</v>
      </c>
      <c r="O4">
        <v>0.4</v>
      </c>
      <c r="P4">
        <v>167.42</v>
      </c>
      <c r="Q4" t="s">
        <v>47</v>
      </c>
      <c r="R4" t="s">
        <v>48</v>
      </c>
      <c r="S4">
        <v>6</v>
      </c>
      <c r="T4">
        <v>2025</v>
      </c>
      <c r="U4" t="s">
        <v>3069</v>
      </c>
      <c r="V4">
        <v>3</v>
      </c>
      <c r="W4" t="s">
        <v>3070</v>
      </c>
      <c r="X4">
        <v>251.14000000000001</v>
      </c>
      <c r="Y4" t="s">
        <v>3062</v>
      </c>
      <c r="Z4" t="s">
        <v>3063</v>
      </c>
      <c r="AA4" t="s">
        <v>3068</v>
      </c>
    </row>
    <row r="5" spans="1:27" x14ac:dyDescent="0.3">
      <c r="A5" t="s">
        <v>2784</v>
      </c>
      <c r="B5" s="7">
        <v>45670</v>
      </c>
      <c r="C5" t="s">
        <v>96</v>
      </c>
      <c r="D5" t="s">
        <v>41</v>
      </c>
      <c r="E5" t="s">
        <v>67</v>
      </c>
      <c r="F5" t="s">
        <v>43</v>
      </c>
      <c r="G5" t="s">
        <v>34</v>
      </c>
      <c r="H5" t="s">
        <v>35</v>
      </c>
      <c r="I5" t="s">
        <v>830</v>
      </c>
      <c r="J5">
        <v>1</v>
      </c>
      <c r="K5">
        <v>501</v>
      </c>
      <c r="L5">
        <v>7.0000000000000007E-2</v>
      </c>
      <c r="M5">
        <v>465.93</v>
      </c>
      <c r="N5">
        <v>465.93</v>
      </c>
      <c r="O5">
        <v>0.4</v>
      </c>
      <c r="P5">
        <v>186.37</v>
      </c>
      <c r="Q5" t="s">
        <v>51</v>
      </c>
      <c r="R5" t="s">
        <v>48</v>
      </c>
      <c r="S5">
        <v>6</v>
      </c>
      <c r="T5">
        <v>2025</v>
      </c>
      <c r="U5" t="s">
        <v>3071</v>
      </c>
      <c r="V5">
        <v>1</v>
      </c>
      <c r="W5" t="s">
        <v>3072</v>
      </c>
      <c r="X5">
        <v>279.56</v>
      </c>
      <c r="Y5" t="s">
        <v>3062</v>
      </c>
      <c r="Z5" t="s">
        <v>3063</v>
      </c>
      <c r="AA5" t="s">
        <v>3068</v>
      </c>
    </row>
    <row r="6" spans="1:27" x14ac:dyDescent="0.3">
      <c r="A6" t="s">
        <v>2570</v>
      </c>
      <c r="B6" s="7">
        <v>45456</v>
      </c>
      <c r="C6" t="s">
        <v>96</v>
      </c>
      <c r="D6" t="s">
        <v>31</v>
      </c>
      <c r="E6" t="s">
        <v>42</v>
      </c>
      <c r="F6" t="s">
        <v>23</v>
      </c>
      <c r="G6" t="s">
        <v>34</v>
      </c>
      <c r="H6" t="s">
        <v>35</v>
      </c>
      <c r="I6" t="s">
        <v>1123</v>
      </c>
      <c r="J6">
        <v>2</v>
      </c>
      <c r="K6">
        <v>282</v>
      </c>
      <c r="L6">
        <v>0.16</v>
      </c>
      <c r="M6">
        <v>236.88</v>
      </c>
      <c r="N6">
        <v>473.76</v>
      </c>
      <c r="O6">
        <v>0.4</v>
      </c>
      <c r="P6">
        <v>189.5</v>
      </c>
      <c r="Q6" t="s">
        <v>51</v>
      </c>
      <c r="R6" t="s">
        <v>38</v>
      </c>
      <c r="S6">
        <v>4</v>
      </c>
      <c r="T6">
        <v>2024</v>
      </c>
      <c r="U6" t="s">
        <v>3073</v>
      </c>
      <c r="V6">
        <v>6</v>
      </c>
      <c r="W6" t="s">
        <v>3074</v>
      </c>
      <c r="X6">
        <v>284.26</v>
      </c>
      <c r="Y6" t="s">
        <v>3062</v>
      </c>
      <c r="Z6" t="s">
        <v>3063</v>
      </c>
      <c r="AA6" t="s">
        <v>3068</v>
      </c>
    </row>
    <row r="7" spans="1:27" x14ac:dyDescent="0.3">
      <c r="A7" t="s">
        <v>3004</v>
      </c>
      <c r="B7" s="7">
        <v>45890</v>
      </c>
      <c r="C7" t="s">
        <v>30</v>
      </c>
      <c r="D7" t="s">
        <v>56</v>
      </c>
      <c r="E7" t="s">
        <v>2040</v>
      </c>
      <c r="F7" t="s">
        <v>33</v>
      </c>
      <c r="G7" t="s">
        <v>34</v>
      </c>
      <c r="H7" t="s">
        <v>141</v>
      </c>
      <c r="I7" t="s">
        <v>1968</v>
      </c>
      <c r="J7">
        <v>1</v>
      </c>
      <c r="K7">
        <v>575</v>
      </c>
      <c r="L7">
        <v>0.17</v>
      </c>
      <c r="M7">
        <v>477.25</v>
      </c>
      <c r="N7">
        <v>477.25</v>
      </c>
      <c r="O7">
        <v>0.4</v>
      </c>
      <c r="P7">
        <v>190.9</v>
      </c>
      <c r="Q7" t="s">
        <v>37</v>
      </c>
      <c r="R7" t="s">
        <v>48</v>
      </c>
      <c r="S7">
        <v>8</v>
      </c>
      <c r="T7">
        <v>2025</v>
      </c>
      <c r="U7" t="s">
        <v>3075</v>
      </c>
      <c r="V7">
        <v>8</v>
      </c>
      <c r="W7" t="s">
        <v>3076</v>
      </c>
      <c r="X7">
        <v>286.35000000000002</v>
      </c>
      <c r="Y7" t="s">
        <v>3077</v>
      </c>
      <c r="Z7" t="s">
        <v>3063</v>
      </c>
      <c r="AA7" t="s">
        <v>3068</v>
      </c>
    </row>
    <row r="8" spans="1:27" x14ac:dyDescent="0.3">
      <c r="A8" t="s">
        <v>2422</v>
      </c>
      <c r="B8" s="7">
        <v>45308</v>
      </c>
      <c r="C8" t="s">
        <v>63</v>
      </c>
      <c r="D8" t="s">
        <v>21</v>
      </c>
      <c r="E8" t="s">
        <v>2042</v>
      </c>
      <c r="F8" t="s">
        <v>43</v>
      </c>
      <c r="G8" t="s">
        <v>34</v>
      </c>
      <c r="H8" t="s">
        <v>35</v>
      </c>
      <c r="I8" t="s">
        <v>830</v>
      </c>
      <c r="J8">
        <v>1</v>
      </c>
      <c r="K8">
        <v>552</v>
      </c>
      <c r="L8">
        <v>7.0000000000000007E-2</v>
      </c>
      <c r="M8">
        <v>513.36</v>
      </c>
      <c r="N8">
        <v>513.36</v>
      </c>
      <c r="O8">
        <v>0.4</v>
      </c>
      <c r="P8">
        <v>205.34</v>
      </c>
      <c r="Q8" t="s">
        <v>37</v>
      </c>
      <c r="R8" t="s">
        <v>48</v>
      </c>
      <c r="S8">
        <v>6</v>
      </c>
      <c r="T8">
        <v>2024</v>
      </c>
      <c r="U8" t="s">
        <v>3071</v>
      </c>
      <c r="V8">
        <v>1</v>
      </c>
      <c r="W8" t="s">
        <v>3078</v>
      </c>
      <c r="X8">
        <v>308.02</v>
      </c>
      <c r="Y8" t="s">
        <v>3062</v>
      </c>
      <c r="Z8" t="s">
        <v>3063</v>
      </c>
      <c r="AA8" t="s">
        <v>3068</v>
      </c>
    </row>
    <row r="9" spans="1:27" x14ac:dyDescent="0.3">
      <c r="A9" t="s">
        <v>2429</v>
      </c>
      <c r="B9" s="7">
        <v>45315</v>
      </c>
      <c r="C9" t="s">
        <v>20</v>
      </c>
      <c r="D9" t="s">
        <v>41</v>
      </c>
      <c r="E9" t="s">
        <v>67</v>
      </c>
      <c r="F9" t="s">
        <v>23</v>
      </c>
      <c r="G9" t="s">
        <v>92</v>
      </c>
      <c r="H9" t="s">
        <v>93</v>
      </c>
      <c r="I9" t="s">
        <v>844</v>
      </c>
      <c r="J9">
        <v>9</v>
      </c>
      <c r="K9">
        <v>78008</v>
      </c>
      <c r="L9">
        <v>0.13</v>
      </c>
      <c r="M9">
        <v>67866.960000000006</v>
      </c>
      <c r="N9">
        <v>610802.64</v>
      </c>
      <c r="O9">
        <v>0.15</v>
      </c>
      <c r="P9">
        <v>91620.4</v>
      </c>
      <c r="Q9" t="s">
        <v>37</v>
      </c>
      <c r="R9" t="s">
        <v>48</v>
      </c>
      <c r="S9">
        <v>5</v>
      </c>
      <c r="T9">
        <v>2024</v>
      </c>
      <c r="U9" t="s">
        <v>3071</v>
      </c>
      <c r="V9">
        <v>1</v>
      </c>
      <c r="W9" t="s">
        <v>3078</v>
      </c>
      <c r="X9">
        <v>519182.24</v>
      </c>
      <c r="Y9" t="s">
        <v>3062</v>
      </c>
      <c r="Z9" t="s">
        <v>3063</v>
      </c>
      <c r="AA9" t="s">
        <v>3079</v>
      </c>
    </row>
    <row r="10" spans="1:27" x14ac:dyDescent="0.3">
      <c r="A10" t="s">
        <v>2156</v>
      </c>
      <c r="B10" s="7">
        <v>45042</v>
      </c>
      <c r="C10" t="s">
        <v>30</v>
      </c>
      <c r="D10" t="s">
        <v>56</v>
      </c>
      <c r="E10" t="s">
        <v>2040</v>
      </c>
      <c r="F10" t="s">
        <v>68</v>
      </c>
      <c r="G10" t="s">
        <v>34</v>
      </c>
      <c r="H10" t="s">
        <v>141</v>
      </c>
      <c r="I10" t="s">
        <v>302</v>
      </c>
      <c r="J10">
        <v>1</v>
      </c>
      <c r="K10">
        <v>659</v>
      </c>
      <c r="L10">
        <v>0.18</v>
      </c>
      <c r="M10">
        <v>540.38</v>
      </c>
      <c r="N10">
        <v>540.38</v>
      </c>
      <c r="O10">
        <v>0.4</v>
      </c>
      <c r="P10">
        <v>216.15</v>
      </c>
      <c r="Q10" t="s">
        <v>51</v>
      </c>
      <c r="R10" t="s">
        <v>48</v>
      </c>
      <c r="S10">
        <v>5</v>
      </c>
      <c r="T10">
        <v>2023</v>
      </c>
      <c r="U10" t="s">
        <v>3080</v>
      </c>
      <c r="V10">
        <v>4</v>
      </c>
      <c r="W10" t="s">
        <v>3081</v>
      </c>
      <c r="X10">
        <v>324.23</v>
      </c>
      <c r="Y10" t="s">
        <v>3062</v>
      </c>
      <c r="Z10" t="s">
        <v>3063</v>
      </c>
      <c r="AA10" t="s">
        <v>3068</v>
      </c>
    </row>
    <row r="11" spans="1:27" x14ac:dyDescent="0.3">
      <c r="A11" t="s">
        <v>2112</v>
      </c>
      <c r="B11" s="7">
        <v>44998</v>
      </c>
      <c r="C11" t="s">
        <v>55</v>
      </c>
      <c r="D11" t="s">
        <v>41</v>
      </c>
      <c r="E11" t="s">
        <v>67</v>
      </c>
      <c r="F11" t="s">
        <v>43</v>
      </c>
      <c r="G11" t="s">
        <v>34</v>
      </c>
      <c r="H11" t="s">
        <v>71</v>
      </c>
      <c r="I11" t="s">
        <v>213</v>
      </c>
      <c r="J11">
        <v>1</v>
      </c>
      <c r="K11">
        <v>619</v>
      </c>
      <c r="L11">
        <v>0.11</v>
      </c>
      <c r="M11">
        <v>550.91</v>
      </c>
      <c r="N11">
        <v>550.91</v>
      </c>
      <c r="O11">
        <v>0.4</v>
      </c>
      <c r="P11">
        <v>220.36</v>
      </c>
      <c r="Q11" t="s">
        <v>51</v>
      </c>
      <c r="R11" t="s">
        <v>48</v>
      </c>
      <c r="S11">
        <v>9</v>
      </c>
      <c r="T11">
        <v>2023</v>
      </c>
      <c r="U11" t="s">
        <v>3069</v>
      </c>
      <c r="V11">
        <v>3</v>
      </c>
      <c r="W11" t="s">
        <v>3082</v>
      </c>
      <c r="X11">
        <v>330.54999999999995</v>
      </c>
      <c r="Y11" t="s">
        <v>3077</v>
      </c>
      <c r="Z11" t="s">
        <v>3063</v>
      </c>
      <c r="AA11" t="s">
        <v>3068</v>
      </c>
    </row>
    <row r="12" spans="1:27" x14ac:dyDescent="0.3">
      <c r="A12" t="s">
        <v>2943</v>
      </c>
      <c r="B12" s="7">
        <v>45829</v>
      </c>
      <c r="C12" t="s">
        <v>96</v>
      </c>
      <c r="D12" t="s">
        <v>31</v>
      </c>
      <c r="E12" t="s">
        <v>2040</v>
      </c>
      <c r="F12" t="s">
        <v>43</v>
      </c>
      <c r="G12" t="s">
        <v>34</v>
      </c>
      <c r="H12" t="s">
        <v>104</v>
      </c>
      <c r="I12" t="s">
        <v>1854</v>
      </c>
      <c r="J12">
        <v>1</v>
      </c>
      <c r="K12">
        <v>691</v>
      </c>
      <c r="L12">
        <v>0.17</v>
      </c>
      <c r="M12">
        <v>573.53</v>
      </c>
      <c r="N12">
        <v>573.53</v>
      </c>
      <c r="O12">
        <v>0.4</v>
      </c>
      <c r="P12">
        <v>229.41</v>
      </c>
      <c r="Q12" t="s">
        <v>51</v>
      </c>
      <c r="R12" t="s">
        <v>48</v>
      </c>
      <c r="S12">
        <v>9</v>
      </c>
      <c r="T12">
        <v>2025</v>
      </c>
      <c r="U12" t="s">
        <v>3073</v>
      </c>
      <c r="V12">
        <v>6</v>
      </c>
      <c r="W12" t="s">
        <v>3083</v>
      </c>
      <c r="X12">
        <v>344.12</v>
      </c>
      <c r="Y12" t="s">
        <v>3077</v>
      </c>
      <c r="Z12" t="s">
        <v>3063</v>
      </c>
      <c r="AA12" t="s">
        <v>3068</v>
      </c>
    </row>
    <row r="13" spans="1:27" x14ac:dyDescent="0.3">
      <c r="A13" t="s">
        <v>2453</v>
      </c>
      <c r="B13" s="7">
        <v>45339</v>
      </c>
      <c r="C13" t="s">
        <v>20</v>
      </c>
      <c r="D13" t="s">
        <v>56</v>
      </c>
      <c r="E13" t="s">
        <v>67</v>
      </c>
      <c r="F13" t="s">
        <v>103</v>
      </c>
      <c r="G13" t="s">
        <v>34</v>
      </c>
      <c r="H13" t="s">
        <v>35</v>
      </c>
      <c r="I13" t="s">
        <v>892</v>
      </c>
      <c r="J13">
        <v>2</v>
      </c>
      <c r="K13">
        <v>315</v>
      </c>
      <c r="L13">
        <v>0.05</v>
      </c>
      <c r="M13">
        <v>299.25</v>
      </c>
      <c r="N13">
        <v>598.5</v>
      </c>
      <c r="O13">
        <v>0.4</v>
      </c>
      <c r="P13">
        <v>239.4</v>
      </c>
      <c r="Q13" t="s">
        <v>37</v>
      </c>
      <c r="R13" t="s">
        <v>48</v>
      </c>
      <c r="S13">
        <v>9</v>
      </c>
      <c r="T13">
        <v>2024</v>
      </c>
      <c r="U13" t="s">
        <v>3084</v>
      </c>
      <c r="V13">
        <v>2</v>
      </c>
      <c r="W13" t="s">
        <v>3085</v>
      </c>
      <c r="X13">
        <v>359.1</v>
      </c>
      <c r="Y13" t="s">
        <v>3077</v>
      </c>
      <c r="Z13" t="s">
        <v>3063</v>
      </c>
      <c r="AA13" t="s">
        <v>3068</v>
      </c>
    </row>
    <row r="14" spans="1:27" x14ac:dyDescent="0.3">
      <c r="A14" t="s">
        <v>2771</v>
      </c>
      <c r="B14" s="7">
        <v>45657</v>
      </c>
      <c r="C14" t="s">
        <v>40</v>
      </c>
      <c r="D14" t="s">
        <v>21</v>
      </c>
      <c r="E14" t="s">
        <v>2042</v>
      </c>
      <c r="F14" t="s">
        <v>33</v>
      </c>
      <c r="G14" t="s">
        <v>34</v>
      </c>
      <c r="H14" t="s">
        <v>141</v>
      </c>
      <c r="I14" t="s">
        <v>1516</v>
      </c>
      <c r="J14">
        <v>2</v>
      </c>
      <c r="K14">
        <v>307</v>
      </c>
      <c r="L14">
        <v>0.01</v>
      </c>
      <c r="M14">
        <v>303.93</v>
      </c>
      <c r="N14">
        <v>607.86</v>
      </c>
      <c r="O14">
        <v>0.4</v>
      </c>
      <c r="P14">
        <v>243.14</v>
      </c>
      <c r="Q14" t="s">
        <v>47</v>
      </c>
      <c r="R14" t="s">
        <v>28</v>
      </c>
      <c r="S14">
        <v>8</v>
      </c>
      <c r="T14">
        <v>2024</v>
      </c>
      <c r="U14" t="s">
        <v>3086</v>
      </c>
      <c r="V14">
        <v>12</v>
      </c>
      <c r="W14" t="s">
        <v>3087</v>
      </c>
      <c r="X14">
        <v>364.72</v>
      </c>
      <c r="Y14" t="s">
        <v>3077</v>
      </c>
      <c r="Z14" t="s">
        <v>3063</v>
      </c>
      <c r="AA14" t="s">
        <v>3068</v>
      </c>
    </row>
    <row r="15" spans="1:27" x14ac:dyDescent="0.3">
      <c r="A15" t="s">
        <v>2861</v>
      </c>
      <c r="B15" s="7">
        <v>45747</v>
      </c>
      <c r="C15" t="s">
        <v>30</v>
      </c>
      <c r="D15" t="s">
        <v>21</v>
      </c>
      <c r="E15" t="s">
        <v>2042</v>
      </c>
      <c r="F15" t="s">
        <v>97</v>
      </c>
      <c r="G15" t="s">
        <v>92</v>
      </c>
      <c r="H15" t="s">
        <v>243</v>
      </c>
      <c r="I15" t="s">
        <v>1693</v>
      </c>
      <c r="J15">
        <v>9</v>
      </c>
      <c r="K15">
        <v>69792</v>
      </c>
      <c r="L15">
        <v>0.03</v>
      </c>
      <c r="M15">
        <v>67698.240000000005</v>
      </c>
      <c r="N15">
        <v>609284.16</v>
      </c>
      <c r="O15">
        <v>0.15</v>
      </c>
      <c r="P15">
        <v>91392.62</v>
      </c>
      <c r="Q15" t="s">
        <v>27</v>
      </c>
      <c r="R15" t="s">
        <v>48</v>
      </c>
      <c r="S15">
        <v>2</v>
      </c>
      <c r="T15">
        <v>2025</v>
      </c>
      <c r="U15" t="s">
        <v>3069</v>
      </c>
      <c r="V15">
        <v>3</v>
      </c>
      <c r="W15" t="s">
        <v>3070</v>
      </c>
      <c r="X15">
        <v>517891.54000000004</v>
      </c>
      <c r="Y15" t="s">
        <v>3067</v>
      </c>
      <c r="Z15" t="s">
        <v>3063</v>
      </c>
      <c r="AA15" t="s">
        <v>3079</v>
      </c>
    </row>
    <row r="16" spans="1:27" x14ac:dyDescent="0.3">
      <c r="A16" t="s">
        <v>3014</v>
      </c>
      <c r="B16" s="7">
        <v>45900</v>
      </c>
      <c r="C16" t="s">
        <v>63</v>
      </c>
      <c r="D16" t="s">
        <v>21</v>
      </c>
      <c r="E16" t="s">
        <v>67</v>
      </c>
      <c r="F16" t="s">
        <v>103</v>
      </c>
      <c r="G16" t="s">
        <v>34</v>
      </c>
      <c r="H16" t="s">
        <v>35</v>
      </c>
      <c r="I16" t="s">
        <v>1987</v>
      </c>
      <c r="J16">
        <v>1</v>
      </c>
      <c r="K16">
        <v>646</v>
      </c>
      <c r="L16">
        <v>0.04</v>
      </c>
      <c r="M16">
        <v>620.16</v>
      </c>
      <c r="N16">
        <v>620.16</v>
      </c>
      <c r="O16">
        <v>0.4</v>
      </c>
      <c r="P16">
        <v>248.06</v>
      </c>
      <c r="Q16" t="s">
        <v>27</v>
      </c>
      <c r="R16" t="s">
        <v>48</v>
      </c>
      <c r="S16">
        <v>5</v>
      </c>
      <c r="T16">
        <v>2025</v>
      </c>
      <c r="U16" t="s">
        <v>3075</v>
      </c>
      <c r="V16">
        <v>8</v>
      </c>
      <c r="W16" t="s">
        <v>3076</v>
      </c>
      <c r="X16">
        <v>372.09999999999997</v>
      </c>
      <c r="Y16" t="s">
        <v>3062</v>
      </c>
      <c r="Z16" t="s">
        <v>3063</v>
      </c>
      <c r="AA16" t="s">
        <v>3068</v>
      </c>
    </row>
    <row r="17" spans="1:27" x14ac:dyDescent="0.3">
      <c r="A17" t="s">
        <v>2595</v>
      </c>
      <c r="B17" s="7">
        <v>45481</v>
      </c>
      <c r="C17" t="s">
        <v>63</v>
      </c>
      <c r="D17" t="s">
        <v>41</v>
      </c>
      <c r="E17" t="s">
        <v>42</v>
      </c>
      <c r="F17" t="s">
        <v>103</v>
      </c>
      <c r="G17" t="s">
        <v>34</v>
      </c>
      <c r="H17" t="s">
        <v>104</v>
      </c>
      <c r="I17" t="s">
        <v>1172</v>
      </c>
      <c r="J17">
        <v>1</v>
      </c>
      <c r="K17">
        <v>682</v>
      </c>
      <c r="L17">
        <v>0.05</v>
      </c>
      <c r="M17">
        <v>647.9</v>
      </c>
      <c r="N17">
        <v>647.9</v>
      </c>
      <c r="O17">
        <v>0.4</v>
      </c>
      <c r="P17">
        <v>259.16000000000003</v>
      </c>
      <c r="Q17" t="s">
        <v>27</v>
      </c>
      <c r="R17" t="s">
        <v>38</v>
      </c>
      <c r="S17">
        <v>8</v>
      </c>
      <c r="T17">
        <v>2024</v>
      </c>
      <c r="U17" t="s">
        <v>3088</v>
      </c>
      <c r="V17">
        <v>7</v>
      </c>
      <c r="W17" t="s">
        <v>3089</v>
      </c>
      <c r="X17">
        <v>388.73999999999995</v>
      </c>
      <c r="Y17" t="s">
        <v>3077</v>
      </c>
      <c r="Z17" t="s">
        <v>3063</v>
      </c>
      <c r="AA17" t="s">
        <v>3068</v>
      </c>
    </row>
    <row r="18" spans="1:27" x14ac:dyDescent="0.3">
      <c r="A18" t="s">
        <v>2803</v>
      </c>
      <c r="B18" s="7">
        <v>45689</v>
      </c>
      <c r="C18" t="s">
        <v>55</v>
      </c>
      <c r="D18" t="s">
        <v>56</v>
      </c>
      <c r="E18" t="s">
        <v>2042</v>
      </c>
      <c r="F18" t="s">
        <v>23</v>
      </c>
      <c r="G18" t="s">
        <v>34</v>
      </c>
      <c r="H18" t="s">
        <v>141</v>
      </c>
      <c r="I18" t="s">
        <v>1579</v>
      </c>
      <c r="J18">
        <v>2</v>
      </c>
      <c r="K18">
        <v>331</v>
      </c>
      <c r="L18">
        <v>0.02</v>
      </c>
      <c r="M18">
        <v>324.38</v>
      </c>
      <c r="N18">
        <v>648.76</v>
      </c>
      <c r="O18">
        <v>0.4</v>
      </c>
      <c r="P18">
        <v>259.5</v>
      </c>
      <c r="Q18" t="s">
        <v>27</v>
      </c>
      <c r="R18" t="s">
        <v>48</v>
      </c>
      <c r="S18">
        <v>1</v>
      </c>
      <c r="T18">
        <v>2025</v>
      </c>
      <c r="U18" t="s">
        <v>3084</v>
      </c>
      <c r="V18">
        <v>2</v>
      </c>
      <c r="W18" t="s">
        <v>3090</v>
      </c>
      <c r="X18">
        <v>389.26</v>
      </c>
      <c r="Y18" t="s">
        <v>3067</v>
      </c>
      <c r="Z18" t="s">
        <v>3063</v>
      </c>
      <c r="AA18" t="s">
        <v>3068</v>
      </c>
    </row>
    <row r="19" spans="1:27" x14ac:dyDescent="0.3">
      <c r="A19" t="s">
        <v>2374</v>
      </c>
      <c r="B19" s="7">
        <v>45260</v>
      </c>
      <c r="C19" t="s">
        <v>20</v>
      </c>
      <c r="D19" t="s">
        <v>31</v>
      </c>
      <c r="E19" t="s">
        <v>42</v>
      </c>
      <c r="F19" t="s">
        <v>33</v>
      </c>
      <c r="G19" t="s">
        <v>34</v>
      </c>
      <c r="H19" t="s">
        <v>104</v>
      </c>
      <c r="I19" t="s">
        <v>736</v>
      </c>
      <c r="J19">
        <v>1</v>
      </c>
      <c r="K19">
        <v>783</v>
      </c>
      <c r="L19">
        <v>0.09</v>
      </c>
      <c r="M19">
        <v>712.53</v>
      </c>
      <c r="N19">
        <v>712.53</v>
      </c>
      <c r="O19">
        <v>0.4</v>
      </c>
      <c r="P19">
        <v>285.01</v>
      </c>
      <c r="Q19" t="s">
        <v>27</v>
      </c>
      <c r="R19" t="s">
        <v>38</v>
      </c>
      <c r="S19">
        <v>3</v>
      </c>
      <c r="T19">
        <v>2023</v>
      </c>
      <c r="U19" t="s">
        <v>3060</v>
      </c>
      <c r="V19">
        <v>11</v>
      </c>
      <c r="W19" t="s">
        <v>3061</v>
      </c>
      <c r="X19">
        <v>427.52</v>
      </c>
      <c r="Y19" t="s">
        <v>3067</v>
      </c>
      <c r="Z19" t="s">
        <v>3063</v>
      </c>
      <c r="AA19" t="s">
        <v>3068</v>
      </c>
    </row>
    <row r="20" spans="1:27" x14ac:dyDescent="0.3">
      <c r="A20" t="s">
        <v>2410</v>
      </c>
      <c r="B20" s="7">
        <v>45296</v>
      </c>
      <c r="C20" t="s">
        <v>30</v>
      </c>
      <c r="D20" t="s">
        <v>31</v>
      </c>
      <c r="E20" t="s">
        <v>2040</v>
      </c>
      <c r="F20" t="s">
        <v>103</v>
      </c>
      <c r="G20" t="s">
        <v>34</v>
      </c>
      <c r="H20" t="s">
        <v>104</v>
      </c>
      <c r="I20" t="s">
        <v>806</v>
      </c>
      <c r="J20">
        <v>2</v>
      </c>
      <c r="K20">
        <v>462</v>
      </c>
      <c r="L20">
        <v>0.22</v>
      </c>
      <c r="M20">
        <v>360.36</v>
      </c>
      <c r="N20">
        <v>720.72</v>
      </c>
      <c r="O20">
        <v>0.4</v>
      </c>
      <c r="P20">
        <v>288.29000000000002</v>
      </c>
      <c r="Q20" t="s">
        <v>51</v>
      </c>
      <c r="R20" t="s">
        <v>48</v>
      </c>
      <c r="S20">
        <v>1</v>
      </c>
      <c r="T20">
        <v>2024</v>
      </c>
      <c r="U20" t="s">
        <v>3071</v>
      </c>
      <c r="V20">
        <v>1</v>
      </c>
      <c r="W20" t="s">
        <v>3078</v>
      </c>
      <c r="X20">
        <v>432.43</v>
      </c>
      <c r="Y20" t="s">
        <v>3067</v>
      </c>
      <c r="Z20" t="s">
        <v>3063</v>
      </c>
      <c r="AA20" t="s">
        <v>3068</v>
      </c>
    </row>
    <row r="21" spans="1:27" x14ac:dyDescent="0.3">
      <c r="A21" t="s">
        <v>2167</v>
      </c>
      <c r="B21" s="7">
        <v>45053</v>
      </c>
      <c r="C21" t="s">
        <v>30</v>
      </c>
      <c r="D21" t="s">
        <v>21</v>
      </c>
      <c r="E21" t="s">
        <v>2040</v>
      </c>
      <c r="F21" t="s">
        <v>68</v>
      </c>
      <c r="G21" t="s">
        <v>34</v>
      </c>
      <c r="H21" t="s">
        <v>141</v>
      </c>
      <c r="I21" t="s">
        <v>324</v>
      </c>
      <c r="J21">
        <v>3</v>
      </c>
      <c r="K21">
        <v>332</v>
      </c>
      <c r="L21">
        <v>0.24</v>
      </c>
      <c r="M21">
        <v>252.32</v>
      </c>
      <c r="N21">
        <v>756.96</v>
      </c>
      <c r="O21">
        <v>0.4</v>
      </c>
      <c r="P21">
        <v>302.77999999999997</v>
      </c>
      <c r="Q21" t="s">
        <v>27</v>
      </c>
      <c r="R21" t="s">
        <v>48</v>
      </c>
      <c r="S21">
        <v>1</v>
      </c>
      <c r="T21">
        <v>2023</v>
      </c>
      <c r="U21" t="s">
        <v>3091</v>
      </c>
      <c r="V21">
        <v>5</v>
      </c>
      <c r="W21" t="s">
        <v>3092</v>
      </c>
      <c r="X21">
        <v>454.18000000000006</v>
      </c>
      <c r="Y21" t="s">
        <v>3067</v>
      </c>
      <c r="Z21" t="s">
        <v>3063</v>
      </c>
      <c r="AA21" t="s">
        <v>3068</v>
      </c>
    </row>
    <row r="22" spans="1:27" x14ac:dyDescent="0.3">
      <c r="A22" t="s">
        <v>2643</v>
      </c>
      <c r="B22" s="7">
        <v>45529</v>
      </c>
      <c r="C22" t="s">
        <v>40</v>
      </c>
      <c r="D22" t="s">
        <v>31</v>
      </c>
      <c r="E22" t="s">
        <v>2042</v>
      </c>
      <c r="F22" t="s">
        <v>103</v>
      </c>
      <c r="G22" t="s">
        <v>34</v>
      </c>
      <c r="H22" t="s">
        <v>104</v>
      </c>
      <c r="I22" t="s">
        <v>1267</v>
      </c>
      <c r="J22">
        <v>3</v>
      </c>
      <c r="K22">
        <v>304</v>
      </c>
      <c r="L22">
        <v>0.17</v>
      </c>
      <c r="M22">
        <v>252.32</v>
      </c>
      <c r="N22">
        <v>756.96</v>
      </c>
      <c r="O22">
        <v>0.4</v>
      </c>
      <c r="P22">
        <v>302.77999999999997</v>
      </c>
      <c r="Q22" t="s">
        <v>27</v>
      </c>
      <c r="R22" t="s">
        <v>48</v>
      </c>
      <c r="S22">
        <v>8</v>
      </c>
      <c r="T22">
        <v>2024</v>
      </c>
      <c r="U22" t="s">
        <v>3075</v>
      </c>
      <c r="V22">
        <v>8</v>
      </c>
      <c r="W22" t="s">
        <v>3093</v>
      </c>
      <c r="X22">
        <v>454.18000000000006</v>
      </c>
      <c r="Y22" t="s">
        <v>3077</v>
      </c>
      <c r="Z22" t="s">
        <v>3063</v>
      </c>
      <c r="AA22" t="s">
        <v>3068</v>
      </c>
    </row>
    <row r="23" spans="1:27" x14ac:dyDescent="0.3">
      <c r="A23" t="s">
        <v>2123</v>
      </c>
      <c r="B23" s="7">
        <v>45009</v>
      </c>
      <c r="C23" t="s">
        <v>20</v>
      </c>
      <c r="D23" t="s">
        <v>31</v>
      </c>
      <c r="E23" t="s">
        <v>67</v>
      </c>
      <c r="F23" t="s">
        <v>23</v>
      </c>
      <c r="G23" t="s">
        <v>34</v>
      </c>
      <c r="H23" t="s">
        <v>104</v>
      </c>
      <c r="I23" t="s">
        <v>235</v>
      </c>
      <c r="J23">
        <v>1</v>
      </c>
      <c r="K23">
        <v>836</v>
      </c>
      <c r="L23">
        <v>0.09</v>
      </c>
      <c r="M23">
        <v>760.76</v>
      </c>
      <c r="N23">
        <v>760.76</v>
      </c>
      <c r="O23">
        <v>0.4</v>
      </c>
      <c r="P23">
        <v>304.3</v>
      </c>
      <c r="Q23" t="s">
        <v>47</v>
      </c>
      <c r="R23" t="s">
        <v>48</v>
      </c>
      <c r="S23">
        <v>5</v>
      </c>
      <c r="T23">
        <v>2023</v>
      </c>
      <c r="U23" t="s">
        <v>3069</v>
      </c>
      <c r="V23">
        <v>3</v>
      </c>
      <c r="W23" t="s">
        <v>3082</v>
      </c>
      <c r="X23">
        <v>456.46</v>
      </c>
      <c r="Y23" t="s">
        <v>3062</v>
      </c>
      <c r="Z23" t="s">
        <v>3063</v>
      </c>
      <c r="AA23" t="s">
        <v>3068</v>
      </c>
    </row>
    <row r="24" spans="1:27" x14ac:dyDescent="0.3">
      <c r="A24" t="s">
        <v>2982</v>
      </c>
      <c r="B24" s="7">
        <v>45868</v>
      </c>
      <c r="C24" t="s">
        <v>20</v>
      </c>
      <c r="D24" t="s">
        <v>56</v>
      </c>
      <c r="E24" t="s">
        <v>67</v>
      </c>
      <c r="F24" t="s">
        <v>97</v>
      </c>
      <c r="G24" t="s">
        <v>34</v>
      </c>
      <c r="H24" t="s">
        <v>141</v>
      </c>
      <c r="I24" t="s">
        <v>1927</v>
      </c>
      <c r="J24">
        <v>4</v>
      </c>
      <c r="K24">
        <v>221</v>
      </c>
      <c r="L24">
        <v>0.13</v>
      </c>
      <c r="M24">
        <v>192.27</v>
      </c>
      <c r="N24">
        <v>769.08</v>
      </c>
      <c r="O24">
        <v>0.4</v>
      </c>
      <c r="P24">
        <v>307.63</v>
      </c>
      <c r="Q24" t="s">
        <v>51</v>
      </c>
      <c r="R24" t="s">
        <v>48</v>
      </c>
      <c r="S24">
        <v>8</v>
      </c>
      <c r="T24">
        <v>2025</v>
      </c>
      <c r="U24" t="s">
        <v>3088</v>
      </c>
      <c r="V24">
        <v>7</v>
      </c>
      <c r="W24" t="s">
        <v>3094</v>
      </c>
      <c r="X24">
        <v>461.45000000000005</v>
      </c>
      <c r="Y24" t="s">
        <v>3077</v>
      </c>
      <c r="Z24" t="s">
        <v>3063</v>
      </c>
      <c r="AA24" t="s">
        <v>3068</v>
      </c>
    </row>
    <row r="25" spans="1:27" x14ac:dyDescent="0.3">
      <c r="A25" t="s">
        <v>2514</v>
      </c>
      <c r="B25" s="7">
        <v>45400</v>
      </c>
      <c r="C25" t="s">
        <v>96</v>
      </c>
      <c r="D25" t="s">
        <v>21</v>
      </c>
      <c r="E25" t="s">
        <v>2040</v>
      </c>
      <c r="F25" t="s">
        <v>33</v>
      </c>
      <c r="G25" t="s">
        <v>34</v>
      </c>
      <c r="H25" t="s">
        <v>35</v>
      </c>
      <c r="I25" t="s">
        <v>1012</v>
      </c>
      <c r="J25">
        <v>3</v>
      </c>
      <c r="K25">
        <v>333</v>
      </c>
      <c r="L25">
        <v>0.23</v>
      </c>
      <c r="M25">
        <v>256.41000000000003</v>
      </c>
      <c r="N25">
        <v>769.23</v>
      </c>
      <c r="O25">
        <v>0.4</v>
      </c>
      <c r="P25">
        <v>307.69</v>
      </c>
      <c r="Q25" t="s">
        <v>51</v>
      </c>
      <c r="R25" t="s">
        <v>48</v>
      </c>
      <c r="S25">
        <v>1</v>
      </c>
      <c r="T25">
        <v>2024</v>
      </c>
      <c r="U25" t="s">
        <v>3080</v>
      </c>
      <c r="V25">
        <v>4</v>
      </c>
      <c r="W25" t="s">
        <v>3095</v>
      </c>
      <c r="X25">
        <v>461.54</v>
      </c>
      <c r="Y25" t="s">
        <v>3067</v>
      </c>
      <c r="Z25" t="s">
        <v>3063</v>
      </c>
      <c r="AA25" t="s">
        <v>3068</v>
      </c>
    </row>
    <row r="26" spans="1:27" x14ac:dyDescent="0.3">
      <c r="A26" t="s">
        <v>2640</v>
      </c>
      <c r="B26" s="7">
        <v>45526</v>
      </c>
      <c r="C26" t="s">
        <v>30</v>
      </c>
      <c r="D26" t="s">
        <v>21</v>
      </c>
      <c r="E26" t="s">
        <v>2042</v>
      </c>
      <c r="F26" t="s">
        <v>103</v>
      </c>
      <c r="G26" t="s">
        <v>34</v>
      </c>
      <c r="H26" t="s">
        <v>104</v>
      </c>
      <c r="I26" t="s">
        <v>1261</v>
      </c>
      <c r="J26">
        <v>4</v>
      </c>
      <c r="K26">
        <v>220</v>
      </c>
      <c r="L26">
        <v>0.11</v>
      </c>
      <c r="M26">
        <v>195.8</v>
      </c>
      <c r="N26">
        <v>783.2</v>
      </c>
      <c r="O26">
        <v>0.4</v>
      </c>
      <c r="P26">
        <v>313.27999999999997</v>
      </c>
      <c r="Q26" t="s">
        <v>27</v>
      </c>
      <c r="R26" t="s">
        <v>48</v>
      </c>
      <c r="S26">
        <v>8</v>
      </c>
      <c r="T26">
        <v>2024</v>
      </c>
      <c r="U26" t="s">
        <v>3075</v>
      </c>
      <c r="V26">
        <v>8</v>
      </c>
      <c r="W26" t="s">
        <v>3093</v>
      </c>
      <c r="X26">
        <v>469.92000000000007</v>
      </c>
      <c r="Y26" t="s">
        <v>3077</v>
      </c>
      <c r="Z26" t="s">
        <v>3063</v>
      </c>
      <c r="AA26" t="s">
        <v>3068</v>
      </c>
    </row>
    <row r="27" spans="1:27" x14ac:dyDescent="0.3">
      <c r="A27" t="s">
        <v>2615</v>
      </c>
      <c r="B27" s="7">
        <v>45501</v>
      </c>
      <c r="C27" t="s">
        <v>40</v>
      </c>
      <c r="D27" t="s">
        <v>56</v>
      </c>
      <c r="E27" t="s">
        <v>42</v>
      </c>
      <c r="F27" t="s">
        <v>68</v>
      </c>
      <c r="G27" t="s">
        <v>34</v>
      </c>
      <c r="H27" t="s">
        <v>35</v>
      </c>
      <c r="I27" t="s">
        <v>1212</v>
      </c>
      <c r="J27">
        <v>2</v>
      </c>
      <c r="K27">
        <v>412</v>
      </c>
      <c r="L27">
        <v>0.02</v>
      </c>
      <c r="M27">
        <v>403.76</v>
      </c>
      <c r="N27">
        <v>807.52</v>
      </c>
      <c r="O27">
        <v>0.4</v>
      </c>
      <c r="P27">
        <v>323.01</v>
      </c>
      <c r="Q27" t="s">
        <v>37</v>
      </c>
      <c r="R27" t="s">
        <v>38</v>
      </c>
      <c r="S27">
        <v>8</v>
      </c>
      <c r="T27">
        <v>2024</v>
      </c>
      <c r="U27" t="s">
        <v>3088</v>
      </c>
      <c r="V27">
        <v>7</v>
      </c>
      <c r="W27" t="s">
        <v>3089</v>
      </c>
      <c r="X27">
        <v>484.51</v>
      </c>
      <c r="Y27" t="s">
        <v>3077</v>
      </c>
      <c r="Z27" t="s">
        <v>3063</v>
      </c>
      <c r="AA27" t="s">
        <v>3068</v>
      </c>
    </row>
    <row r="28" spans="1:27" x14ac:dyDescent="0.3">
      <c r="A28" t="s">
        <v>2825</v>
      </c>
      <c r="B28" s="7">
        <v>45711</v>
      </c>
      <c r="C28" t="s">
        <v>30</v>
      </c>
      <c r="D28" t="s">
        <v>21</v>
      </c>
      <c r="E28" t="s">
        <v>2040</v>
      </c>
      <c r="F28" t="s">
        <v>103</v>
      </c>
      <c r="G28" t="s">
        <v>34</v>
      </c>
      <c r="H28" t="s">
        <v>71</v>
      </c>
      <c r="I28" t="s">
        <v>1621</v>
      </c>
      <c r="J28">
        <v>2</v>
      </c>
      <c r="K28">
        <v>535</v>
      </c>
      <c r="L28">
        <v>0.22</v>
      </c>
      <c r="M28">
        <v>417.3</v>
      </c>
      <c r="N28">
        <v>834.6</v>
      </c>
      <c r="O28">
        <v>0.4</v>
      </c>
      <c r="P28">
        <v>333.84</v>
      </c>
      <c r="Q28" t="s">
        <v>47</v>
      </c>
      <c r="R28" t="s">
        <v>48</v>
      </c>
      <c r="S28">
        <v>7</v>
      </c>
      <c r="T28">
        <v>2025</v>
      </c>
      <c r="U28" t="s">
        <v>3084</v>
      </c>
      <c r="V28">
        <v>2</v>
      </c>
      <c r="W28" t="s">
        <v>3090</v>
      </c>
      <c r="X28">
        <v>500.76000000000005</v>
      </c>
      <c r="Y28" t="s">
        <v>3062</v>
      </c>
      <c r="Z28" t="s">
        <v>3063</v>
      </c>
      <c r="AA28" t="s">
        <v>3068</v>
      </c>
    </row>
    <row r="29" spans="1:27" x14ac:dyDescent="0.3">
      <c r="A29" t="s">
        <v>2436</v>
      </c>
      <c r="B29" s="7">
        <v>45322</v>
      </c>
      <c r="C29" t="s">
        <v>40</v>
      </c>
      <c r="D29" t="s">
        <v>56</v>
      </c>
      <c r="E29" t="s">
        <v>67</v>
      </c>
      <c r="F29" t="s">
        <v>68</v>
      </c>
      <c r="G29" t="s">
        <v>34</v>
      </c>
      <c r="H29" t="s">
        <v>35</v>
      </c>
      <c r="I29" t="s">
        <v>858</v>
      </c>
      <c r="J29">
        <v>3</v>
      </c>
      <c r="K29">
        <v>348</v>
      </c>
      <c r="L29">
        <v>0.2</v>
      </c>
      <c r="M29">
        <v>278.39999999999998</v>
      </c>
      <c r="N29">
        <v>835.2</v>
      </c>
      <c r="O29">
        <v>0.4</v>
      </c>
      <c r="P29">
        <v>334.08</v>
      </c>
      <c r="Q29" t="s">
        <v>51</v>
      </c>
      <c r="R29" t="s">
        <v>48</v>
      </c>
      <c r="S29">
        <v>9</v>
      </c>
      <c r="T29">
        <v>2024</v>
      </c>
      <c r="U29" t="s">
        <v>3071</v>
      </c>
      <c r="V29">
        <v>1</v>
      </c>
      <c r="W29" t="s">
        <v>3078</v>
      </c>
      <c r="X29">
        <v>501.12000000000006</v>
      </c>
      <c r="Y29" t="s">
        <v>3077</v>
      </c>
      <c r="Z29" t="s">
        <v>3063</v>
      </c>
      <c r="AA29" t="s">
        <v>3068</v>
      </c>
    </row>
    <row r="30" spans="1:27" x14ac:dyDescent="0.3">
      <c r="A30" t="s">
        <v>2882</v>
      </c>
      <c r="B30" s="7">
        <v>45768</v>
      </c>
      <c r="C30" t="s">
        <v>63</v>
      </c>
      <c r="D30" t="s">
        <v>31</v>
      </c>
      <c r="E30" t="s">
        <v>67</v>
      </c>
      <c r="F30" t="s">
        <v>23</v>
      </c>
      <c r="G30" t="s">
        <v>34</v>
      </c>
      <c r="H30" t="s">
        <v>71</v>
      </c>
      <c r="I30" t="s">
        <v>1734</v>
      </c>
      <c r="J30">
        <v>1</v>
      </c>
      <c r="K30">
        <v>956</v>
      </c>
      <c r="L30">
        <v>0.11</v>
      </c>
      <c r="M30">
        <v>850.84</v>
      </c>
      <c r="N30">
        <v>850.84</v>
      </c>
      <c r="O30">
        <v>0.4</v>
      </c>
      <c r="P30">
        <v>340.34</v>
      </c>
      <c r="Q30" t="s">
        <v>51</v>
      </c>
      <c r="R30" t="s">
        <v>48</v>
      </c>
      <c r="S30">
        <v>8</v>
      </c>
      <c r="T30">
        <v>2025</v>
      </c>
      <c r="U30" t="s">
        <v>3080</v>
      </c>
      <c r="V30">
        <v>4</v>
      </c>
      <c r="W30" t="s">
        <v>3096</v>
      </c>
      <c r="X30">
        <v>510.50000000000006</v>
      </c>
      <c r="Y30" t="s">
        <v>3077</v>
      </c>
      <c r="Z30" t="s">
        <v>3063</v>
      </c>
      <c r="AA30" t="s">
        <v>3068</v>
      </c>
    </row>
    <row r="31" spans="1:27" x14ac:dyDescent="0.3">
      <c r="A31" t="s">
        <v>2875</v>
      </c>
      <c r="B31" s="7">
        <v>45761</v>
      </c>
      <c r="C31" t="s">
        <v>63</v>
      </c>
      <c r="D31" t="s">
        <v>41</v>
      </c>
      <c r="E31" t="s">
        <v>42</v>
      </c>
      <c r="F31" t="s">
        <v>97</v>
      </c>
      <c r="G31" t="s">
        <v>34</v>
      </c>
      <c r="H31" t="s">
        <v>71</v>
      </c>
      <c r="I31" t="s">
        <v>1720</v>
      </c>
      <c r="J31">
        <v>4</v>
      </c>
      <c r="K31">
        <v>249</v>
      </c>
      <c r="L31">
        <v>0.14000000000000001</v>
      </c>
      <c r="M31">
        <v>214.14</v>
      </c>
      <c r="N31">
        <v>856.56</v>
      </c>
      <c r="O31">
        <v>0.4</v>
      </c>
      <c r="P31">
        <v>342.62</v>
      </c>
      <c r="Q31" t="s">
        <v>27</v>
      </c>
      <c r="R31" t="s">
        <v>38</v>
      </c>
      <c r="S31">
        <v>8</v>
      </c>
      <c r="T31">
        <v>2025</v>
      </c>
      <c r="U31" t="s">
        <v>3080</v>
      </c>
      <c r="V31">
        <v>4</v>
      </c>
      <c r="W31" t="s">
        <v>3096</v>
      </c>
      <c r="X31">
        <v>513.93999999999994</v>
      </c>
      <c r="Y31" t="s">
        <v>3077</v>
      </c>
      <c r="Z31" t="s">
        <v>3063</v>
      </c>
      <c r="AA31" t="s">
        <v>3068</v>
      </c>
    </row>
    <row r="32" spans="1:27" x14ac:dyDescent="0.3">
      <c r="A32" t="s">
        <v>2661</v>
      </c>
      <c r="B32" s="7">
        <v>45547</v>
      </c>
      <c r="C32" t="s">
        <v>30</v>
      </c>
      <c r="D32" t="s">
        <v>41</v>
      </c>
      <c r="E32" t="s">
        <v>2042</v>
      </c>
      <c r="F32" t="s">
        <v>68</v>
      </c>
      <c r="G32" t="s">
        <v>34</v>
      </c>
      <c r="H32" t="s">
        <v>141</v>
      </c>
      <c r="I32" t="s">
        <v>1302</v>
      </c>
      <c r="J32">
        <v>1</v>
      </c>
      <c r="K32">
        <v>975</v>
      </c>
      <c r="L32">
        <v>0.08</v>
      </c>
      <c r="M32">
        <v>897</v>
      </c>
      <c r="N32">
        <v>897</v>
      </c>
      <c r="O32">
        <v>0.4</v>
      </c>
      <c r="P32">
        <v>358.8</v>
      </c>
      <c r="Q32" t="s">
        <v>37</v>
      </c>
      <c r="R32" t="s">
        <v>38</v>
      </c>
      <c r="S32">
        <v>6</v>
      </c>
      <c r="T32">
        <v>2024</v>
      </c>
      <c r="U32" t="s">
        <v>3097</v>
      </c>
      <c r="V32">
        <v>9</v>
      </c>
      <c r="W32" t="s">
        <v>3098</v>
      </c>
      <c r="X32">
        <v>538.20000000000005</v>
      </c>
      <c r="Y32" t="s">
        <v>3062</v>
      </c>
      <c r="Z32" t="s">
        <v>3063</v>
      </c>
      <c r="AA32" t="s">
        <v>3068</v>
      </c>
    </row>
    <row r="33" spans="1:27" x14ac:dyDescent="0.3">
      <c r="A33" t="s">
        <v>2435</v>
      </c>
      <c r="B33" s="7">
        <v>45321</v>
      </c>
      <c r="C33" t="s">
        <v>20</v>
      </c>
      <c r="D33" t="s">
        <v>56</v>
      </c>
      <c r="E33" t="s">
        <v>2042</v>
      </c>
      <c r="F33" t="s">
        <v>68</v>
      </c>
      <c r="G33" t="s">
        <v>34</v>
      </c>
      <c r="H33" t="s">
        <v>141</v>
      </c>
      <c r="I33" t="s">
        <v>856</v>
      </c>
      <c r="J33">
        <v>3</v>
      </c>
      <c r="K33">
        <v>359</v>
      </c>
      <c r="L33">
        <v>0.16</v>
      </c>
      <c r="M33">
        <v>301.56</v>
      </c>
      <c r="N33">
        <v>904.68</v>
      </c>
      <c r="O33">
        <v>0.4</v>
      </c>
      <c r="P33">
        <v>361.87</v>
      </c>
      <c r="Q33" t="s">
        <v>27</v>
      </c>
      <c r="R33" t="s">
        <v>48</v>
      </c>
      <c r="S33">
        <v>5</v>
      </c>
      <c r="T33">
        <v>2024</v>
      </c>
      <c r="U33" t="s">
        <v>3071</v>
      </c>
      <c r="V33">
        <v>1</v>
      </c>
      <c r="W33" t="s">
        <v>3078</v>
      </c>
      <c r="X33">
        <v>542.80999999999995</v>
      </c>
      <c r="Y33" t="s">
        <v>3062</v>
      </c>
      <c r="Z33" t="s">
        <v>3063</v>
      </c>
      <c r="AA33" t="s">
        <v>3068</v>
      </c>
    </row>
    <row r="34" spans="1:27" x14ac:dyDescent="0.3">
      <c r="A34" t="s">
        <v>2385</v>
      </c>
      <c r="B34" s="7">
        <v>45271</v>
      </c>
      <c r="C34" t="s">
        <v>55</v>
      </c>
      <c r="D34" t="s">
        <v>56</v>
      </c>
      <c r="E34" t="s">
        <v>67</v>
      </c>
      <c r="F34" t="s">
        <v>103</v>
      </c>
      <c r="G34" t="s">
        <v>57</v>
      </c>
      <c r="H34" t="s">
        <v>81</v>
      </c>
      <c r="I34" t="s">
        <v>758</v>
      </c>
      <c r="J34">
        <v>1</v>
      </c>
      <c r="K34">
        <v>2145</v>
      </c>
      <c r="L34">
        <v>0.12</v>
      </c>
      <c r="M34">
        <v>1887.6</v>
      </c>
      <c r="N34">
        <v>1887.6</v>
      </c>
      <c r="O34">
        <v>0.2</v>
      </c>
      <c r="P34">
        <v>377.52</v>
      </c>
      <c r="Q34" t="s">
        <v>51</v>
      </c>
      <c r="R34" t="s">
        <v>28</v>
      </c>
      <c r="S34">
        <v>3</v>
      </c>
      <c r="T34">
        <v>2023</v>
      </c>
      <c r="U34" t="s">
        <v>3086</v>
      </c>
      <c r="V34">
        <v>12</v>
      </c>
      <c r="W34" t="s">
        <v>3099</v>
      </c>
      <c r="X34">
        <v>1510.08</v>
      </c>
      <c r="Y34" t="s">
        <v>3067</v>
      </c>
      <c r="Z34" t="s">
        <v>3063</v>
      </c>
      <c r="AA34" t="s">
        <v>3079</v>
      </c>
    </row>
    <row r="35" spans="1:27" x14ac:dyDescent="0.3">
      <c r="A35" t="s">
        <v>2883</v>
      </c>
      <c r="B35" s="7">
        <v>45769</v>
      </c>
      <c r="C35" t="s">
        <v>30</v>
      </c>
      <c r="D35" t="s">
        <v>31</v>
      </c>
      <c r="E35" t="s">
        <v>2042</v>
      </c>
      <c r="F35" t="s">
        <v>68</v>
      </c>
      <c r="G35" t="s">
        <v>92</v>
      </c>
      <c r="H35" t="s">
        <v>243</v>
      </c>
      <c r="I35" t="s">
        <v>1736</v>
      </c>
      <c r="J35">
        <v>9</v>
      </c>
      <c r="K35">
        <v>71330</v>
      </c>
      <c r="L35">
        <v>0.09</v>
      </c>
      <c r="M35">
        <v>64910.3</v>
      </c>
      <c r="N35">
        <v>584192.69999999995</v>
      </c>
      <c r="O35">
        <v>0.15</v>
      </c>
      <c r="P35">
        <v>87628.9</v>
      </c>
      <c r="Q35" t="s">
        <v>37</v>
      </c>
      <c r="R35" t="s">
        <v>48</v>
      </c>
      <c r="S35">
        <v>7</v>
      </c>
      <c r="T35">
        <v>2025</v>
      </c>
      <c r="U35" t="s">
        <v>3080</v>
      </c>
      <c r="V35">
        <v>4</v>
      </c>
      <c r="W35" t="s">
        <v>3096</v>
      </c>
      <c r="X35">
        <v>496563.79999999993</v>
      </c>
      <c r="Y35" t="s">
        <v>3062</v>
      </c>
      <c r="Z35" t="s">
        <v>3063</v>
      </c>
      <c r="AA35" t="s">
        <v>3079</v>
      </c>
    </row>
    <row r="36" spans="1:27" x14ac:dyDescent="0.3">
      <c r="A36" t="s">
        <v>2722</v>
      </c>
      <c r="B36" s="7">
        <v>45608</v>
      </c>
      <c r="C36" t="s">
        <v>96</v>
      </c>
      <c r="D36" t="s">
        <v>21</v>
      </c>
      <c r="E36" t="s">
        <v>67</v>
      </c>
      <c r="F36" t="s">
        <v>33</v>
      </c>
      <c r="G36" t="s">
        <v>34</v>
      </c>
      <c r="H36" t="s">
        <v>141</v>
      </c>
      <c r="I36" t="s">
        <v>1420</v>
      </c>
      <c r="J36">
        <v>1</v>
      </c>
      <c r="K36">
        <v>1135</v>
      </c>
      <c r="L36">
        <v>0.12</v>
      </c>
      <c r="M36">
        <v>998.8</v>
      </c>
      <c r="N36">
        <v>998.8</v>
      </c>
      <c r="O36">
        <v>0.4</v>
      </c>
      <c r="P36">
        <v>399.52</v>
      </c>
      <c r="Q36" t="s">
        <v>51</v>
      </c>
      <c r="R36" t="s">
        <v>38</v>
      </c>
      <c r="S36">
        <v>2</v>
      </c>
      <c r="T36">
        <v>2024</v>
      </c>
      <c r="U36" t="s">
        <v>3060</v>
      </c>
      <c r="V36">
        <v>11</v>
      </c>
      <c r="W36" t="s">
        <v>3100</v>
      </c>
      <c r="X36">
        <v>599.28</v>
      </c>
      <c r="Y36" t="s">
        <v>3067</v>
      </c>
      <c r="Z36" t="s">
        <v>3063</v>
      </c>
      <c r="AA36" t="s">
        <v>3068</v>
      </c>
    </row>
    <row r="37" spans="1:27" x14ac:dyDescent="0.3">
      <c r="A37" t="s">
        <v>2468</v>
      </c>
      <c r="B37" s="7">
        <v>45354</v>
      </c>
      <c r="C37" t="s">
        <v>96</v>
      </c>
      <c r="D37" t="s">
        <v>41</v>
      </c>
      <c r="E37" t="s">
        <v>2042</v>
      </c>
      <c r="F37" t="s">
        <v>23</v>
      </c>
      <c r="G37" t="s">
        <v>34</v>
      </c>
      <c r="H37" t="s">
        <v>35</v>
      </c>
      <c r="I37" t="s">
        <v>922</v>
      </c>
      <c r="J37">
        <v>3</v>
      </c>
      <c r="K37">
        <v>436</v>
      </c>
      <c r="L37">
        <v>0.22</v>
      </c>
      <c r="M37">
        <v>340.08</v>
      </c>
      <c r="N37">
        <v>1020.24</v>
      </c>
      <c r="O37">
        <v>0.4</v>
      </c>
      <c r="P37">
        <v>408.1</v>
      </c>
      <c r="Q37" t="s">
        <v>27</v>
      </c>
      <c r="R37" t="s">
        <v>48</v>
      </c>
      <c r="S37">
        <v>3</v>
      </c>
      <c r="T37">
        <v>2024</v>
      </c>
      <c r="U37" t="s">
        <v>3069</v>
      </c>
      <c r="V37">
        <v>3</v>
      </c>
      <c r="W37" t="s">
        <v>3101</v>
      </c>
      <c r="X37">
        <v>612.14</v>
      </c>
      <c r="Y37" t="s">
        <v>3067</v>
      </c>
      <c r="Z37" t="s">
        <v>3063</v>
      </c>
      <c r="AA37" t="s">
        <v>3079</v>
      </c>
    </row>
    <row r="38" spans="1:27" x14ac:dyDescent="0.3">
      <c r="A38" t="s">
        <v>2775</v>
      </c>
      <c r="B38" s="7">
        <v>45661</v>
      </c>
      <c r="C38" t="s">
        <v>20</v>
      </c>
      <c r="D38" t="s">
        <v>41</v>
      </c>
      <c r="E38" t="s">
        <v>42</v>
      </c>
      <c r="F38" t="s">
        <v>43</v>
      </c>
      <c r="G38" t="s">
        <v>92</v>
      </c>
      <c r="H38" t="s">
        <v>243</v>
      </c>
      <c r="I38" t="s">
        <v>1524</v>
      </c>
      <c r="J38">
        <v>8</v>
      </c>
      <c r="K38">
        <v>75095</v>
      </c>
      <c r="L38">
        <v>7.0000000000000007E-2</v>
      </c>
      <c r="M38">
        <v>69838.350000000006</v>
      </c>
      <c r="N38">
        <v>558706.80000000005</v>
      </c>
      <c r="O38">
        <v>0.15</v>
      </c>
      <c r="P38">
        <v>83806.02</v>
      </c>
      <c r="Q38" t="s">
        <v>51</v>
      </c>
      <c r="R38" t="s">
        <v>38</v>
      </c>
      <c r="S38">
        <v>2</v>
      </c>
      <c r="T38">
        <v>2025</v>
      </c>
      <c r="U38" t="s">
        <v>3071</v>
      </c>
      <c r="V38">
        <v>1</v>
      </c>
      <c r="W38" t="s">
        <v>3072</v>
      </c>
      <c r="X38">
        <v>474900.78</v>
      </c>
      <c r="Y38" t="s">
        <v>3067</v>
      </c>
      <c r="Z38" t="s">
        <v>3063</v>
      </c>
      <c r="AA38" t="s">
        <v>3079</v>
      </c>
    </row>
    <row r="39" spans="1:27" x14ac:dyDescent="0.3">
      <c r="A39" t="s">
        <v>2701</v>
      </c>
      <c r="B39" s="7">
        <v>45587</v>
      </c>
      <c r="C39" t="s">
        <v>20</v>
      </c>
      <c r="D39" t="s">
        <v>21</v>
      </c>
      <c r="E39" t="s">
        <v>67</v>
      </c>
      <c r="F39" t="s">
        <v>68</v>
      </c>
      <c r="G39" t="s">
        <v>34</v>
      </c>
      <c r="H39" t="s">
        <v>71</v>
      </c>
      <c r="I39" t="s">
        <v>1380</v>
      </c>
      <c r="J39">
        <v>3</v>
      </c>
      <c r="K39">
        <v>368</v>
      </c>
      <c r="L39">
        <v>7.0000000000000007E-2</v>
      </c>
      <c r="M39">
        <v>342.24</v>
      </c>
      <c r="N39">
        <v>1026.72</v>
      </c>
      <c r="O39">
        <v>0.4</v>
      </c>
      <c r="P39">
        <v>410.69</v>
      </c>
      <c r="Q39" t="s">
        <v>27</v>
      </c>
      <c r="R39" t="s">
        <v>48</v>
      </c>
      <c r="S39">
        <v>5</v>
      </c>
      <c r="T39">
        <v>2024</v>
      </c>
      <c r="U39" t="s">
        <v>3065</v>
      </c>
      <c r="V39">
        <v>10</v>
      </c>
      <c r="W39" t="s">
        <v>3066</v>
      </c>
      <c r="X39">
        <v>616.03</v>
      </c>
      <c r="Y39" t="s">
        <v>3062</v>
      </c>
      <c r="Z39" t="s">
        <v>3063</v>
      </c>
      <c r="AA39" t="s">
        <v>3079</v>
      </c>
    </row>
    <row r="40" spans="1:27" x14ac:dyDescent="0.3">
      <c r="A40" t="s">
        <v>2041</v>
      </c>
      <c r="B40" s="7">
        <v>44928</v>
      </c>
      <c r="C40" t="s">
        <v>30</v>
      </c>
      <c r="D40" t="s">
        <v>31</v>
      </c>
      <c r="E40" t="s">
        <v>2042</v>
      </c>
      <c r="F40" t="s">
        <v>33</v>
      </c>
      <c r="G40" t="s">
        <v>34</v>
      </c>
      <c r="H40" t="s">
        <v>35</v>
      </c>
      <c r="I40" t="s">
        <v>36</v>
      </c>
      <c r="J40">
        <v>2</v>
      </c>
      <c r="K40">
        <v>627</v>
      </c>
      <c r="L40">
        <v>0.18</v>
      </c>
      <c r="M40">
        <v>514.14</v>
      </c>
      <c r="N40">
        <v>1028.28</v>
      </c>
      <c r="O40">
        <v>0.4</v>
      </c>
      <c r="P40">
        <v>411.31</v>
      </c>
      <c r="Q40" t="s">
        <v>37</v>
      </c>
      <c r="R40" t="s">
        <v>38</v>
      </c>
      <c r="S40">
        <v>5</v>
      </c>
      <c r="T40">
        <v>2023</v>
      </c>
      <c r="U40" t="s">
        <v>3071</v>
      </c>
      <c r="V40">
        <v>1</v>
      </c>
      <c r="W40" t="s">
        <v>3102</v>
      </c>
      <c r="X40">
        <v>616.97</v>
      </c>
      <c r="Y40" t="s">
        <v>3062</v>
      </c>
      <c r="Z40" t="s">
        <v>3063</v>
      </c>
      <c r="AA40" t="s">
        <v>3079</v>
      </c>
    </row>
    <row r="41" spans="1:27" x14ac:dyDescent="0.3">
      <c r="A41" t="s">
        <v>2211</v>
      </c>
      <c r="B41" s="7">
        <v>45097</v>
      </c>
      <c r="C41" t="s">
        <v>20</v>
      </c>
      <c r="D41" t="s">
        <v>21</v>
      </c>
      <c r="E41" t="s">
        <v>67</v>
      </c>
      <c r="F41" t="s">
        <v>23</v>
      </c>
      <c r="G41" t="s">
        <v>92</v>
      </c>
      <c r="H41" t="s">
        <v>109</v>
      </c>
      <c r="I41" t="s">
        <v>412</v>
      </c>
      <c r="J41">
        <v>9</v>
      </c>
      <c r="K41">
        <v>71212</v>
      </c>
      <c r="L41">
        <v>0.15</v>
      </c>
      <c r="M41">
        <v>60530.2</v>
      </c>
      <c r="N41">
        <v>544771.80000000005</v>
      </c>
      <c r="O41">
        <v>0.15</v>
      </c>
      <c r="P41">
        <v>81715.77</v>
      </c>
      <c r="Q41" t="s">
        <v>51</v>
      </c>
      <c r="R41" t="s">
        <v>48</v>
      </c>
      <c r="S41">
        <v>5</v>
      </c>
      <c r="T41">
        <v>2023</v>
      </c>
      <c r="U41" t="s">
        <v>3073</v>
      </c>
      <c r="V41">
        <v>6</v>
      </c>
      <c r="W41" t="s">
        <v>3103</v>
      </c>
      <c r="X41">
        <v>463056.03</v>
      </c>
      <c r="Y41" t="s">
        <v>3062</v>
      </c>
      <c r="Z41" t="s">
        <v>3063</v>
      </c>
      <c r="AA41" t="s">
        <v>3079</v>
      </c>
    </row>
    <row r="42" spans="1:27" x14ac:dyDescent="0.3">
      <c r="A42" t="s">
        <v>2482</v>
      </c>
      <c r="B42" s="7">
        <v>45368</v>
      </c>
      <c r="C42" t="s">
        <v>30</v>
      </c>
      <c r="D42" t="s">
        <v>31</v>
      </c>
      <c r="E42" t="s">
        <v>2040</v>
      </c>
      <c r="F42" t="s">
        <v>97</v>
      </c>
      <c r="G42" t="s">
        <v>34</v>
      </c>
      <c r="H42" t="s">
        <v>141</v>
      </c>
      <c r="I42" t="s">
        <v>949</v>
      </c>
      <c r="J42">
        <v>1</v>
      </c>
      <c r="K42">
        <v>1384</v>
      </c>
      <c r="L42">
        <v>0.21</v>
      </c>
      <c r="M42">
        <v>1093.3599999999999</v>
      </c>
      <c r="N42">
        <v>1093.3599999999999</v>
      </c>
      <c r="O42">
        <v>0.4</v>
      </c>
      <c r="P42">
        <v>437.34</v>
      </c>
      <c r="Q42" t="s">
        <v>27</v>
      </c>
      <c r="R42" t="s">
        <v>48</v>
      </c>
      <c r="S42">
        <v>7</v>
      </c>
      <c r="T42">
        <v>2024</v>
      </c>
      <c r="U42" t="s">
        <v>3069</v>
      </c>
      <c r="V42">
        <v>3</v>
      </c>
      <c r="W42" t="s">
        <v>3101</v>
      </c>
      <c r="X42">
        <v>656.02</v>
      </c>
      <c r="Y42" t="s">
        <v>3062</v>
      </c>
      <c r="Z42" t="s">
        <v>3063</v>
      </c>
      <c r="AA42" t="s">
        <v>3079</v>
      </c>
    </row>
    <row r="43" spans="1:27" x14ac:dyDescent="0.3">
      <c r="A43" t="s">
        <v>2885</v>
      </c>
      <c r="B43" s="7">
        <v>45771</v>
      </c>
      <c r="C43" t="s">
        <v>96</v>
      </c>
      <c r="D43" t="s">
        <v>56</v>
      </c>
      <c r="E43" t="s">
        <v>2040</v>
      </c>
      <c r="F43" t="s">
        <v>43</v>
      </c>
      <c r="G43" t="s">
        <v>34</v>
      </c>
      <c r="H43" t="s">
        <v>141</v>
      </c>
      <c r="I43" t="s">
        <v>1740</v>
      </c>
      <c r="J43">
        <v>1</v>
      </c>
      <c r="K43">
        <v>1121</v>
      </c>
      <c r="L43">
        <v>0.01</v>
      </c>
      <c r="M43">
        <v>1109.79</v>
      </c>
      <c r="N43">
        <v>1109.79</v>
      </c>
      <c r="O43">
        <v>0.4</v>
      </c>
      <c r="P43">
        <v>443.92</v>
      </c>
      <c r="Q43" t="s">
        <v>51</v>
      </c>
      <c r="R43" t="s">
        <v>48</v>
      </c>
      <c r="S43">
        <v>1</v>
      </c>
      <c r="T43">
        <v>2025</v>
      </c>
      <c r="U43" t="s">
        <v>3080</v>
      </c>
      <c r="V43">
        <v>4</v>
      </c>
      <c r="W43" t="s">
        <v>3096</v>
      </c>
      <c r="X43">
        <v>665.86999999999989</v>
      </c>
      <c r="Y43" t="s">
        <v>3067</v>
      </c>
      <c r="Z43" t="s">
        <v>3063</v>
      </c>
      <c r="AA43" t="s">
        <v>3079</v>
      </c>
    </row>
    <row r="44" spans="1:27" x14ac:dyDescent="0.3">
      <c r="A44" t="s">
        <v>2328</v>
      </c>
      <c r="B44" s="7">
        <v>45214</v>
      </c>
      <c r="C44" t="s">
        <v>55</v>
      </c>
      <c r="D44" t="s">
        <v>31</v>
      </c>
      <c r="E44" t="s">
        <v>42</v>
      </c>
      <c r="F44" t="s">
        <v>103</v>
      </c>
      <c r="G44" t="s">
        <v>34</v>
      </c>
      <c r="H44" t="s">
        <v>104</v>
      </c>
      <c r="I44" t="s">
        <v>646</v>
      </c>
      <c r="J44">
        <v>2</v>
      </c>
      <c r="K44">
        <v>669</v>
      </c>
      <c r="L44">
        <v>0.15</v>
      </c>
      <c r="M44">
        <v>568.65</v>
      </c>
      <c r="N44">
        <v>1137.3</v>
      </c>
      <c r="O44">
        <v>0.4</v>
      </c>
      <c r="P44">
        <v>454.92</v>
      </c>
      <c r="Q44" t="s">
        <v>51</v>
      </c>
      <c r="R44" t="s">
        <v>48</v>
      </c>
      <c r="S44">
        <v>6</v>
      </c>
      <c r="T44">
        <v>2023</v>
      </c>
      <c r="U44" t="s">
        <v>3065</v>
      </c>
      <c r="V44">
        <v>10</v>
      </c>
      <c r="W44" t="s">
        <v>3104</v>
      </c>
      <c r="X44">
        <v>682.37999999999988</v>
      </c>
      <c r="Y44" t="s">
        <v>3062</v>
      </c>
      <c r="Z44" t="s">
        <v>3063</v>
      </c>
      <c r="AA44" t="s">
        <v>3079</v>
      </c>
    </row>
    <row r="45" spans="1:27" x14ac:dyDescent="0.3">
      <c r="A45" t="s">
        <v>2379</v>
      </c>
      <c r="B45" s="7">
        <v>45265</v>
      </c>
      <c r="C45" t="s">
        <v>30</v>
      </c>
      <c r="D45" t="s">
        <v>41</v>
      </c>
      <c r="E45" t="s">
        <v>42</v>
      </c>
      <c r="F45" t="s">
        <v>33</v>
      </c>
      <c r="G45" t="s">
        <v>34</v>
      </c>
      <c r="H45" t="s">
        <v>35</v>
      </c>
      <c r="I45" t="s">
        <v>746</v>
      </c>
      <c r="J45">
        <v>5</v>
      </c>
      <c r="K45">
        <v>249</v>
      </c>
      <c r="L45">
        <v>0.08</v>
      </c>
      <c r="M45">
        <v>229.08</v>
      </c>
      <c r="N45">
        <v>1145.4000000000001</v>
      </c>
      <c r="O45">
        <v>0.4</v>
      </c>
      <c r="P45">
        <v>458.16</v>
      </c>
      <c r="Q45" t="s">
        <v>51</v>
      </c>
      <c r="R45" t="s">
        <v>38</v>
      </c>
      <c r="S45">
        <v>7</v>
      </c>
      <c r="T45">
        <v>2023</v>
      </c>
      <c r="U45" t="s">
        <v>3086</v>
      </c>
      <c r="V45">
        <v>12</v>
      </c>
      <c r="W45" t="s">
        <v>3099</v>
      </c>
      <c r="X45">
        <v>687.24</v>
      </c>
      <c r="Y45" t="s">
        <v>3062</v>
      </c>
      <c r="Z45" t="s">
        <v>3063</v>
      </c>
      <c r="AA45" t="s">
        <v>3079</v>
      </c>
    </row>
    <row r="46" spans="1:27" x14ac:dyDescent="0.3">
      <c r="A46" t="s">
        <v>2954</v>
      </c>
      <c r="B46" s="7">
        <v>45840</v>
      </c>
      <c r="C46" t="s">
        <v>55</v>
      </c>
      <c r="D46" t="s">
        <v>21</v>
      </c>
      <c r="E46" t="s">
        <v>2040</v>
      </c>
      <c r="F46" t="s">
        <v>43</v>
      </c>
      <c r="G46" t="s">
        <v>92</v>
      </c>
      <c r="H46" t="s">
        <v>109</v>
      </c>
      <c r="I46" t="s">
        <v>1875</v>
      </c>
      <c r="J46">
        <v>9</v>
      </c>
      <c r="K46">
        <v>67714</v>
      </c>
      <c r="L46">
        <v>0.14000000000000001</v>
      </c>
      <c r="M46">
        <v>58234.04</v>
      </c>
      <c r="N46">
        <v>524106.36</v>
      </c>
      <c r="O46">
        <v>0.15</v>
      </c>
      <c r="P46">
        <v>78615.95</v>
      </c>
      <c r="Q46" t="s">
        <v>27</v>
      </c>
      <c r="R46" t="s">
        <v>48</v>
      </c>
      <c r="S46">
        <v>9</v>
      </c>
      <c r="T46">
        <v>2025</v>
      </c>
      <c r="U46" t="s">
        <v>3088</v>
      </c>
      <c r="V46">
        <v>7</v>
      </c>
      <c r="W46" t="s">
        <v>3094</v>
      </c>
      <c r="X46">
        <v>445490.41</v>
      </c>
      <c r="Y46" t="s">
        <v>3077</v>
      </c>
      <c r="Z46" t="s">
        <v>3063</v>
      </c>
      <c r="AA46" t="s">
        <v>3079</v>
      </c>
    </row>
    <row r="47" spans="1:27" x14ac:dyDescent="0.3">
      <c r="A47" t="s">
        <v>2671</v>
      </c>
      <c r="B47" s="7">
        <v>45557</v>
      </c>
      <c r="C47" t="s">
        <v>20</v>
      </c>
      <c r="D47" t="s">
        <v>41</v>
      </c>
      <c r="E47" t="s">
        <v>42</v>
      </c>
      <c r="F47" t="s">
        <v>23</v>
      </c>
      <c r="G47" t="s">
        <v>34</v>
      </c>
      <c r="H47" t="s">
        <v>141</v>
      </c>
      <c r="I47" t="s">
        <v>1322</v>
      </c>
      <c r="J47">
        <v>5</v>
      </c>
      <c r="K47">
        <v>286</v>
      </c>
      <c r="L47">
        <v>0.16</v>
      </c>
      <c r="M47">
        <v>240.24</v>
      </c>
      <c r="N47">
        <v>1201.2</v>
      </c>
      <c r="O47">
        <v>0.4</v>
      </c>
      <c r="P47">
        <v>480.48</v>
      </c>
      <c r="Q47" t="s">
        <v>37</v>
      </c>
      <c r="R47" t="s">
        <v>48</v>
      </c>
      <c r="S47">
        <v>4</v>
      </c>
      <c r="T47">
        <v>2024</v>
      </c>
      <c r="U47" t="s">
        <v>3097</v>
      </c>
      <c r="V47">
        <v>9</v>
      </c>
      <c r="W47" t="s">
        <v>3098</v>
      </c>
      <c r="X47">
        <v>720.72</v>
      </c>
      <c r="Y47" t="s">
        <v>3062</v>
      </c>
      <c r="Z47" t="s">
        <v>3063</v>
      </c>
      <c r="AA47" t="s">
        <v>3079</v>
      </c>
    </row>
    <row r="48" spans="1:27" x14ac:dyDescent="0.3">
      <c r="A48" t="s">
        <v>2822</v>
      </c>
      <c r="B48" s="7">
        <v>45708</v>
      </c>
      <c r="C48" t="s">
        <v>20</v>
      </c>
      <c r="D48" t="s">
        <v>41</v>
      </c>
      <c r="E48" t="s">
        <v>67</v>
      </c>
      <c r="F48" t="s">
        <v>23</v>
      </c>
      <c r="G48" t="s">
        <v>92</v>
      </c>
      <c r="H48" t="s">
        <v>178</v>
      </c>
      <c r="I48" t="s">
        <v>1615</v>
      </c>
      <c r="J48">
        <v>8</v>
      </c>
      <c r="K48">
        <v>78099</v>
      </c>
      <c r="L48">
        <v>0.17</v>
      </c>
      <c r="M48">
        <v>64822.17</v>
      </c>
      <c r="N48">
        <v>518577.36</v>
      </c>
      <c r="O48">
        <v>0.15</v>
      </c>
      <c r="P48">
        <v>77786.600000000006</v>
      </c>
      <c r="Q48" t="s">
        <v>27</v>
      </c>
      <c r="R48" t="s">
        <v>28</v>
      </c>
      <c r="S48">
        <v>6</v>
      </c>
      <c r="T48">
        <v>2025</v>
      </c>
      <c r="U48" t="s">
        <v>3084</v>
      </c>
      <c r="V48">
        <v>2</v>
      </c>
      <c r="W48" t="s">
        <v>3090</v>
      </c>
      <c r="X48">
        <v>440790.76</v>
      </c>
      <c r="Y48" t="s">
        <v>3062</v>
      </c>
      <c r="Z48" t="s">
        <v>3063</v>
      </c>
      <c r="AA48" t="s">
        <v>3079</v>
      </c>
    </row>
    <row r="49" spans="1:27" x14ac:dyDescent="0.3">
      <c r="A49" t="s">
        <v>2519</v>
      </c>
      <c r="B49" s="7">
        <v>45405</v>
      </c>
      <c r="C49" t="s">
        <v>40</v>
      </c>
      <c r="D49" t="s">
        <v>21</v>
      </c>
      <c r="E49" t="s">
        <v>67</v>
      </c>
      <c r="F49" t="s">
        <v>23</v>
      </c>
      <c r="G49" t="s">
        <v>34</v>
      </c>
      <c r="H49" t="s">
        <v>104</v>
      </c>
      <c r="I49" t="s">
        <v>1022</v>
      </c>
      <c r="J49">
        <v>6</v>
      </c>
      <c r="K49">
        <v>272</v>
      </c>
      <c r="L49">
        <v>0.25</v>
      </c>
      <c r="M49">
        <v>204</v>
      </c>
      <c r="N49">
        <v>1224</v>
      </c>
      <c r="O49">
        <v>0.4</v>
      </c>
      <c r="P49">
        <v>489.6</v>
      </c>
      <c r="Q49" t="s">
        <v>27</v>
      </c>
      <c r="R49" t="s">
        <v>48</v>
      </c>
      <c r="S49">
        <v>2</v>
      </c>
      <c r="T49">
        <v>2024</v>
      </c>
      <c r="U49" t="s">
        <v>3080</v>
      </c>
      <c r="V49">
        <v>4</v>
      </c>
      <c r="W49" t="s">
        <v>3095</v>
      </c>
      <c r="X49">
        <v>734.4</v>
      </c>
      <c r="Y49" t="s">
        <v>3067</v>
      </c>
      <c r="Z49" t="s">
        <v>3063</v>
      </c>
      <c r="AA49" t="s">
        <v>3079</v>
      </c>
    </row>
    <row r="50" spans="1:27" x14ac:dyDescent="0.3">
      <c r="A50" t="s">
        <v>2540</v>
      </c>
      <c r="B50" s="7">
        <v>45426</v>
      </c>
      <c r="C50" t="s">
        <v>30</v>
      </c>
      <c r="D50" t="s">
        <v>31</v>
      </c>
      <c r="E50" t="s">
        <v>67</v>
      </c>
      <c r="F50" t="s">
        <v>23</v>
      </c>
      <c r="G50" t="s">
        <v>92</v>
      </c>
      <c r="H50" t="s">
        <v>178</v>
      </c>
      <c r="I50" t="s">
        <v>1063</v>
      </c>
      <c r="J50">
        <v>9</v>
      </c>
      <c r="K50">
        <v>58244</v>
      </c>
      <c r="L50">
        <v>0.04</v>
      </c>
      <c r="M50">
        <v>55914.239999999998</v>
      </c>
      <c r="N50">
        <v>503228.15999999997</v>
      </c>
      <c r="O50">
        <v>0.15</v>
      </c>
      <c r="P50">
        <v>75484.22</v>
      </c>
      <c r="Q50" t="s">
        <v>27</v>
      </c>
      <c r="R50" t="s">
        <v>48</v>
      </c>
      <c r="S50">
        <v>1</v>
      </c>
      <c r="T50">
        <v>2024</v>
      </c>
      <c r="U50" t="s">
        <v>3091</v>
      </c>
      <c r="V50">
        <v>5</v>
      </c>
      <c r="W50" t="s">
        <v>3105</v>
      </c>
      <c r="X50">
        <v>427743.93999999994</v>
      </c>
      <c r="Y50" t="s">
        <v>3067</v>
      </c>
      <c r="Z50" t="s">
        <v>3063</v>
      </c>
      <c r="AA50" t="s">
        <v>3079</v>
      </c>
    </row>
    <row r="51" spans="1:27" x14ac:dyDescent="0.3">
      <c r="A51" t="s">
        <v>2527</v>
      </c>
      <c r="B51" s="7">
        <v>45413</v>
      </c>
      <c r="C51" t="s">
        <v>96</v>
      </c>
      <c r="D51" t="s">
        <v>21</v>
      </c>
      <c r="E51" t="s">
        <v>42</v>
      </c>
      <c r="F51" t="s">
        <v>68</v>
      </c>
      <c r="G51" t="s">
        <v>92</v>
      </c>
      <c r="H51" t="s">
        <v>109</v>
      </c>
      <c r="I51" t="s">
        <v>1038</v>
      </c>
      <c r="J51">
        <v>8</v>
      </c>
      <c r="K51">
        <v>73740</v>
      </c>
      <c r="L51">
        <v>0.17</v>
      </c>
      <c r="M51">
        <v>61204.2</v>
      </c>
      <c r="N51">
        <v>489633.6</v>
      </c>
      <c r="O51">
        <v>0.15</v>
      </c>
      <c r="P51">
        <v>73445.039999999994</v>
      </c>
      <c r="Q51" t="s">
        <v>51</v>
      </c>
      <c r="R51" t="s">
        <v>48</v>
      </c>
      <c r="S51">
        <v>2</v>
      </c>
      <c r="T51">
        <v>2024</v>
      </c>
      <c r="U51" t="s">
        <v>3091</v>
      </c>
      <c r="V51">
        <v>5</v>
      </c>
      <c r="W51" t="s">
        <v>3105</v>
      </c>
      <c r="X51">
        <v>416188.56</v>
      </c>
      <c r="Y51" t="s">
        <v>3067</v>
      </c>
      <c r="Z51" t="s">
        <v>3063</v>
      </c>
      <c r="AA51" t="s">
        <v>3079</v>
      </c>
    </row>
    <row r="52" spans="1:27" x14ac:dyDescent="0.3">
      <c r="A52" t="s">
        <v>2480</v>
      </c>
      <c r="B52" s="7">
        <v>45366</v>
      </c>
      <c r="C52" t="s">
        <v>20</v>
      </c>
      <c r="D52" t="s">
        <v>21</v>
      </c>
      <c r="E52" t="s">
        <v>67</v>
      </c>
      <c r="F52" t="s">
        <v>103</v>
      </c>
      <c r="G52" t="s">
        <v>92</v>
      </c>
      <c r="H52" t="s">
        <v>93</v>
      </c>
      <c r="I52" t="s">
        <v>945</v>
      </c>
      <c r="J52">
        <v>9</v>
      </c>
      <c r="K52">
        <v>66273</v>
      </c>
      <c r="L52">
        <v>0.19</v>
      </c>
      <c r="M52">
        <v>53681.13</v>
      </c>
      <c r="N52">
        <v>483130.17</v>
      </c>
      <c r="O52">
        <v>0.15</v>
      </c>
      <c r="P52">
        <v>72469.53</v>
      </c>
      <c r="Q52" t="s">
        <v>37</v>
      </c>
      <c r="R52" t="s">
        <v>48</v>
      </c>
      <c r="S52">
        <v>9</v>
      </c>
      <c r="T52">
        <v>2024</v>
      </c>
      <c r="U52" t="s">
        <v>3069</v>
      </c>
      <c r="V52">
        <v>3</v>
      </c>
      <c r="W52" t="s">
        <v>3101</v>
      </c>
      <c r="X52">
        <v>410660.64</v>
      </c>
      <c r="Y52" t="s">
        <v>3077</v>
      </c>
      <c r="Z52" t="s">
        <v>3063</v>
      </c>
      <c r="AA52" t="s">
        <v>3079</v>
      </c>
    </row>
    <row r="53" spans="1:27" x14ac:dyDescent="0.3">
      <c r="A53" t="s">
        <v>2390</v>
      </c>
      <c r="B53" s="7">
        <v>45276</v>
      </c>
      <c r="C53" t="s">
        <v>20</v>
      </c>
      <c r="D53" t="s">
        <v>21</v>
      </c>
      <c r="E53" t="s">
        <v>42</v>
      </c>
      <c r="F53" t="s">
        <v>68</v>
      </c>
      <c r="G53" t="s">
        <v>34</v>
      </c>
      <c r="H53" t="s">
        <v>35</v>
      </c>
      <c r="I53" t="s">
        <v>686</v>
      </c>
      <c r="J53">
        <v>1</v>
      </c>
      <c r="K53">
        <v>1331</v>
      </c>
      <c r="L53">
        <v>0.05</v>
      </c>
      <c r="M53">
        <v>1264.45</v>
      </c>
      <c r="N53">
        <v>1264.45</v>
      </c>
      <c r="O53">
        <v>0.4</v>
      </c>
      <c r="P53">
        <v>505.78</v>
      </c>
      <c r="Q53" t="s">
        <v>51</v>
      </c>
      <c r="R53" t="s">
        <v>48</v>
      </c>
      <c r="S53">
        <v>3</v>
      </c>
      <c r="T53">
        <v>2023</v>
      </c>
      <c r="U53" t="s">
        <v>3086</v>
      </c>
      <c r="V53">
        <v>12</v>
      </c>
      <c r="W53" t="s">
        <v>3099</v>
      </c>
      <c r="X53">
        <v>758.67000000000007</v>
      </c>
      <c r="Y53" t="s">
        <v>3067</v>
      </c>
      <c r="Z53" t="s">
        <v>3063</v>
      </c>
      <c r="AA53" t="s">
        <v>3079</v>
      </c>
    </row>
    <row r="54" spans="1:27" x14ac:dyDescent="0.3">
      <c r="A54" t="s">
        <v>2497</v>
      </c>
      <c r="B54" s="7">
        <v>45383</v>
      </c>
      <c r="C54" t="s">
        <v>40</v>
      </c>
      <c r="D54" t="s">
        <v>41</v>
      </c>
      <c r="E54" t="s">
        <v>42</v>
      </c>
      <c r="F54" t="s">
        <v>97</v>
      </c>
      <c r="G54" t="s">
        <v>34</v>
      </c>
      <c r="H54" t="s">
        <v>71</v>
      </c>
      <c r="I54" t="s">
        <v>979</v>
      </c>
      <c r="J54">
        <v>3</v>
      </c>
      <c r="K54">
        <v>510</v>
      </c>
      <c r="L54">
        <v>0.16</v>
      </c>
      <c r="M54">
        <v>428.4</v>
      </c>
      <c r="N54">
        <v>1285.2</v>
      </c>
      <c r="O54">
        <v>0.4</v>
      </c>
      <c r="P54">
        <v>514.08000000000004</v>
      </c>
      <c r="Q54" t="s">
        <v>37</v>
      </c>
      <c r="R54" t="s">
        <v>48</v>
      </c>
      <c r="S54">
        <v>7</v>
      </c>
      <c r="T54">
        <v>2024</v>
      </c>
      <c r="U54" t="s">
        <v>3080</v>
      </c>
      <c r="V54">
        <v>4</v>
      </c>
      <c r="W54" t="s">
        <v>3095</v>
      </c>
      <c r="X54">
        <v>771.12</v>
      </c>
      <c r="Y54" t="s">
        <v>3062</v>
      </c>
      <c r="Z54" t="s">
        <v>3063</v>
      </c>
      <c r="AA54" t="s">
        <v>3079</v>
      </c>
    </row>
    <row r="55" spans="1:27" x14ac:dyDescent="0.3">
      <c r="A55" t="s">
        <v>2053</v>
      </c>
      <c r="B55" s="7">
        <v>44939</v>
      </c>
      <c r="C55" t="s">
        <v>30</v>
      </c>
      <c r="D55" t="s">
        <v>31</v>
      </c>
      <c r="E55" t="s">
        <v>2040</v>
      </c>
      <c r="F55" t="s">
        <v>33</v>
      </c>
      <c r="G55" t="s">
        <v>34</v>
      </c>
      <c r="H55" t="s">
        <v>35</v>
      </c>
      <c r="I55" t="s">
        <v>79</v>
      </c>
      <c r="J55">
        <v>1</v>
      </c>
      <c r="K55">
        <v>1307</v>
      </c>
      <c r="L55">
        <v>0</v>
      </c>
      <c r="M55">
        <v>1307</v>
      </c>
      <c r="N55">
        <v>1307</v>
      </c>
      <c r="O55">
        <v>0.4</v>
      </c>
      <c r="P55">
        <v>522.79999999999995</v>
      </c>
      <c r="Q55" t="s">
        <v>27</v>
      </c>
      <c r="R55" t="s">
        <v>48</v>
      </c>
      <c r="S55">
        <v>2</v>
      </c>
      <c r="T55">
        <v>2023</v>
      </c>
      <c r="U55" t="s">
        <v>3071</v>
      </c>
      <c r="V55">
        <v>1</v>
      </c>
      <c r="W55" t="s">
        <v>3102</v>
      </c>
      <c r="X55">
        <v>784.2</v>
      </c>
      <c r="Y55" t="s">
        <v>3067</v>
      </c>
      <c r="Z55" t="s">
        <v>3063</v>
      </c>
      <c r="AA55" t="s">
        <v>3079</v>
      </c>
    </row>
    <row r="56" spans="1:27" x14ac:dyDescent="0.3">
      <c r="A56" t="s">
        <v>2153</v>
      </c>
      <c r="B56" s="7">
        <v>45039</v>
      </c>
      <c r="C56" t="s">
        <v>30</v>
      </c>
      <c r="D56" t="s">
        <v>21</v>
      </c>
      <c r="E56" t="s">
        <v>2040</v>
      </c>
      <c r="F56" t="s">
        <v>43</v>
      </c>
      <c r="G56" t="s">
        <v>34</v>
      </c>
      <c r="H56" t="s">
        <v>71</v>
      </c>
      <c r="I56" t="s">
        <v>296</v>
      </c>
      <c r="J56">
        <v>3</v>
      </c>
      <c r="K56">
        <v>460</v>
      </c>
      <c r="L56">
        <v>0.03</v>
      </c>
      <c r="M56">
        <v>446.2</v>
      </c>
      <c r="N56">
        <v>1338.6</v>
      </c>
      <c r="O56">
        <v>0.4</v>
      </c>
      <c r="P56">
        <v>535.44000000000005</v>
      </c>
      <c r="Q56" t="s">
        <v>27</v>
      </c>
      <c r="R56" t="s">
        <v>48</v>
      </c>
      <c r="S56">
        <v>1</v>
      </c>
      <c r="T56">
        <v>2023</v>
      </c>
      <c r="U56" t="s">
        <v>3080</v>
      </c>
      <c r="V56">
        <v>4</v>
      </c>
      <c r="W56" t="s">
        <v>3081</v>
      </c>
      <c r="X56">
        <v>803.15999999999985</v>
      </c>
      <c r="Y56" t="s">
        <v>3067</v>
      </c>
      <c r="Z56" t="s">
        <v>3063</v>
      </c>
      <c r="AA56" t="s">
        <v>3079</v>
      </c>
    </row>
    <row r="57" spans="1:27" x14ac:dyDescent="0.3">
      <c r="A57" t="s">
        <v>2520</v>
      </c>
      <c r="B57" s="7">
        <v>45406</v>
      </c>
      <c r="C57" t="s">
        <v>20</v>
      </c>
      <c r="D57" t="s">
        <v>31</v>
      </c>
      <c r="E57" t="s">
        <v>67</v>
      </c>
      <c r="F57" t="s">
        <v>97</v>
      </c>
      <c r="G57" t="s">
        <v>34</v>
      </c>
      <c r="H57" t="s">
        <v>71</v>
      </c>
      <c r="I57" t="s">
        <v>1024</v>
      </c>
      <c r="J57">
        <v>3</v>
      </c>
      <c r="K57">
        <v>598</v>
      </c>
      <c r="L57">
        <v>0.25</v>
      </c>
      <c r="M57">
        <v>448.5</v>
      </c>
      <c r="N57">
        <v>1345.5</v>
      </c>
      <c r="O57">
        <v>0.4</v>
      </c>
      <c r="P57">
        <v>538.20000000000005</v>
      </c>
      <c r="Q57" t="s">
        <v>51</v>
      </c>
      <c r="R57" t="s">
        <v>48</v>
      </c>
      <c r="S57">
        <v>4</v>
      </c>
      <c r="T57">
        <v>2024</v>
      </c>
      <c r="U57" t="s">
        <v>3080</v>
      </c>
      <c r="V57">
        <v>4</v>
      </c>
      <c r="W57" t="s">
        <v>3095</v>
      </c>
      <c r="X57">
        <v>807.3</v>
      </c>
      <c r="Y57" t="s">
        <v>3062</v>
      </c>
      <c r="Z57" t="s">
        <v>3063</v>
      </c>
      <c r="AA57" t="s">
        <v>3079</v>
      </c>
    </row>
    <row r="58" spans="1:27" x14ac:dyDescent="0.3">
      <c r="A58" t="s">
        <v>2892</v>
      </c>
      <c r="B58" s="7">
        <v>45778</v>
      </c>
      <c r="C58" t="s">
        <v>30</v>
      </c>
      <c r="D58" t="s">
        <v>21</v>
      </c>
      <c r="E58" t="s">
        <v>2042</v>
      </c>
      <c r="F58" t="s">
        <v>97</v>
      </c>
      <c r="G58" t="s">
        <v>34</v>
      </c>
      <c r="H58" t="s">
        <v>35</v>
      </c>
      <c r="I58" t="s">
        <v>1754</v>
      </c>
      <c r="J58">
        <v>1</v>
      </c>
      <c r="K58">
        <v>1483</v>
      </c>
      <c r="L58">
        <v>0.09</v>
      </c>
      <c r="M58">
        <v>1349.53</v>
      </c>
      <c r="N58">
        <v>1349.53</v>
      </c>
      <c r="O58">
        <v>0.4</v>
      </c>
      <c r="P58">
        <v>539.80999999999995</v>
      </c>
      <c r="Q58" t="s">
        <v>51</v>
      </c>
      <c r="R58" t="s">
        <v>48</v>
      </c>
      <c r="S58">
        <v>7</v>
      </c>
      <c r="T58">
        <v>2025</v>
      </c>
      <c r="U58" t="s">
        <v>3091</v>
      </c>
      <c r="V58">
        <v>5</v>
      </c>
      <c r="W58" t="s">
        <v>3106</v>
      </c>
      <c r="X58">
        <v>809.72</v>
      </c>
      <c r="Y58" t="s">
        <v>3062</v>
      </c>
      <c r="Z58" t="s">
        <v>3063</v>
      </c>
      <c r="AA58" t="s">
        <v>3079</v>
      </c>
    </row>
    <row r="59" spans="1:27" x14ac:dyDescent="0.3">
      <c r="A59" t="s">
        <v>2115</v>
      </c>
      <c r="B59" s="7">
        <v>45001</v>
      </c>
      <c r="C59" t="s">
        <v>20</v>
      </c>
      <c r="D59" t="s">
        <v>41</v>
      </c>
      <c r="E59" t="s">
        <v>42</v>
      </c>
      <c r="F59" t="s">
        <v>68</v>
      </c>
      <c r="G59" t="s">
        <v>34</v>
      </c>
      <c r="H59" t="s">
        <v>35</v>
      </c>
      <c r="I59" t="s">
        <v>219</v>
      </c>
      <c r="J59">
        <v>2</v>
      </c>
      <c r="K59">
        <v>777</v>
      </c>
      <c r="L59">
        <v>0.13</v>
      </c>
      <c r="M59">
        <v>675.99</v>
      </c>
      <c r="N59">
        <v>1351.98</v>
      </c>
      <c r="O59">
        <v>0.4</v>
      </c>
      <c r="P59">
        <v>540.79</v>
      </c>
      <c r="Q59" t="s">
        <v>27</v>
      </c>
      <c r="R59" t="s">
        <v>48</v>
      </c>
      <c r="S59">
        <v>4</v>
      </c>
      <c r="T59">
        <v>2023</v>
      </c>
      <c r="U59" t="s">
        <v>3069</v>
      </c>
      <c r="V59">
        <v>3</v>
      </c>
      <c r="W59" t="s">
        <v>3082</v>
      </c>
      <c r="X59">
        <v>811.19</v>
      </c>
      <c r="Y59" t="s">
        <v>3062</v>
      </c>
      <c r="Z59" t="s">
        <v>3063</v>
      </c>
      <c r="AA59" t="s">
        <v>3079</v>
      </c>
    </row>
    <row r="60" spans="1:27" x14ac:dyDescent="0.3">
      <c r="A60" t="s">
        <v>2503</v>
      </c>
      <c r="B60" s="7">
        <v>45389</v>
      </c>
      <c r="C60" t="s">
        <v>40</v>
      </c>
      <c r="D60" t="s">
        <v>41</v>
      </c>
      <c r="E60" t="s">
        <v>2042</v>
      </c>
      <c r="F60" t="s">
        <v>97</v>
      </c>
      <c r="G60" t="s">
        <v>34</v>
      </c>
      <c r="H60" t="s">
        <v>71</v>
      </c>
      <c r="I60" t="s">
        <v>991</v>
      </c>
      <c r="J60">
        <v>3</v>
      </c>
      <c r="K60">
        <v>541</v>
      </c>
      <c r="L60">
        <v>0.16</v>
      </c>
      <c r="M60">
        <v>454.44</v>
      </c>
      <c r="N60">
        <v>1363.32</v>
      </c>
      <c r="O60">
        <v>0.4</v>
      </c>
      <c r="P60">
        <v>545.33000000000004</v>
      </c>
      <c r="Q60" t="s">
        <v>27</v>
      </c>
      <c r="R60" t="s">
        <v>38</v>
      </c>
      <c r="S60">
        <v>4</v>
      </c>
      <c r="T60">
        <v>2024</v>
      </c>
      <c r="U60" t="s">
        <v>3080</v>
      </c>
      <c r="V60">
        <v>4</v>
      </c>
      <c r="W60" t="s">
        <v>3095</v>
      </c>
      <c r="X60">
        <v>817.9899999999999</v>
      </c>
      <c r="Y60" t="s">
        <v>3062</v>
      </c>
      <c r="Z60" t="s">
        <v>3063</v>
      </c>
      <c r="AA60" t="s">
        <v>3079</v>
      </c>
    </row>
    <row r="61" spans="1:27" x14ac:dyDescent="0.3">
      <c r="A61" t="s">
        <v>2947</v>
      </c>
      <c r="B61" s="7">
        <v>45833</v>
      </c>
      <c r="C61" t="s">
        <v>63</v>
      </c>
      <c r="D61" t="s">
        <v>41</v>
      </c>
      <c r="E61" t="s">
        <v>42</v>
      </c>
      <c r="F61" t="s">
        <v>33</v>
      </c>
      <c r="G61" t="s">
        <v>34</v>
      </c>
      <c r="H61" t="s">
        <v>71</v>
      </c>
      <c r="I61" t="s">
        <v>1862</v>
      </c>
      <c r="J61">
        <v>4</v>
      </c>
      <c r="K61">
        <v>364</v>
      </c>
      <c r="L61">
        <v>0.05</v>
      </c>
      <c r="M61">
        <v>345.8</v>
      </c>
      <c r="N61">
        <v>1383.2</v>
      </c>
      <c r="O61">
        <v>0.4</v>
      </c>
      <c r="P61">
        <v>553.28</v>
      </c>
      <c r="Q61" t="s">
        <v>47</v>
      </c>
      <c r="R61" t="s">
        <v>48</v>
      </c>
      <c r="S61">
        <v>2</v>
      </c>
      <c r="T61">
        <v>2025</v>
      </c>
      <c r="U61" t="s">
        <v>3073</v>
      </c>
      <c r="V61">
        <v>6</v>
      </c>
      <c r="W61" t="s">
        <v>3083</v>
      </c>
      <c r="X61">
        <v>829.92000000000007</v>
      </c>
      <c r="Y61" t="s">
        <v>3067</v>
      </c>
      <c r="Z61" t="s">
        <v>3063</v>
      </c>
      <c r="AA61" t="s">
        <v>3079</v>
      </c>
    </row>
    <row r="62" spans="1:27" x14ac:dyDescent="0.3">
      <c r="A62" t="s">
        <v>2342</v>
      </c>
      <c r="B62" s="7">
        <v>45228</v>
      </c>
      <c r="C62" t="s">
        <v>20</v>
      </c>
      <c r="D62" t="s">
        <v>21</v>
      </c>
      <c r="E62" t="s">
        <v>67</v>
      </c>
      <c r="F62" t="s">
        <v>103</v>
      </c>
      <c r="G62" t="s">
        <v>34</v>
      </c>
      <c r="H62" t="s">
        <v>71</v>
      </c>
      <c r="I62" t="s">
        <v>673</v>
      </c>
      <c r="J62">
        <v>2</v>
      </c>
      <c r="K62">
        <v>788</v>
      </c>
      <c r="L62">
        <v>0.12</v>
      </c>
      <c r="M62">
        <v>693.44</v>
      </c>
      <c r="N62">
        <v>1386.88</v>
      </c>
      <c r="O62">
        <v>0.4</v>
      </c>
      <c r="P62">
        <v>554.75</v>
      </c>
      <c r="Q62" t="s">
        <v>27</v>
      </c>
      <c r="R62" t="s">
        <v>48</v>
      </c>
      <c r="S62">
        <v>6</v>
      </c>
      <c r="T62">
        <v>2023</v>
      </c>
      <c r="U62" t="s">
        <v>3065</v>
      </c>
      <c r="V62">
        <v>10</v>
      </c>
      <c r="W62" t="s">
        <v>3104</v>
      </c>
      <c r="X62">
        <v>832.13000000000011</v>
      </c>
      <c r="Y62" t="s">
        <v>3062</v>
      </c>
      <c r="Z62" t="s">
        <v>3063</v>
      </c>
      <c r="AA62" t="s">
        <v>3079</v>
      </c>
    </row>
    <row r="63" spans="1:27" x14ac:dyDescent="0.3">
      <c r="A63" t="s">
        <v>2291</v>
      </c>
      <c r="B63" s="7">
        <v>45177</v>
      </c>
      <c r="C63" t="s">
        <v>55</v>
      </c>
      <c r="D63" t="s">
        <v>41</v>
      </c>
      <c r="E63" t="s">
        <v>67</v>
      </c>
      <c r="F63" t="s">
        <v>43</v>
      </c>
      <c r="G63" t="s">
        <v>92</v>
      </c>
      <c r="H63" t="s">
        <v>178</v>
      </c>
      <c r="I63" t="s">
        <v>572</v>
      </c>
      <c r="J63">
        <v>7</v>
      </c>
      <c r="K63">
        <v>70233</v>
      </c>
      <c r="L63">
        <v>0.03</v>
      </c>
      <c r="M63">
        <v>68126.009999999995</v>
      </c>
      <c r="N63">
        <v>476882.07</v>
      </c>
      <c r="O63">
        <v>0.15</v>
      </c>
      <c r="P63">
        <v>71532.31</v>
      </c>
      <c r="Q63" t="s">
        <v>37</v>
      </c>
      <c r="R63" t="s">
        <v>48</v>
      </c>
      <c r="S63">
        <v>1</v>
      </c>
      <c r="T63">
        <v>2023</v>
      </c>
      <c r="U63" t="s">
        <v>3097</v>
      </c>
      <c r="V63">
        <v>9</v>
      </c>
      <c r="W63" t="s">
        <v>3107</v>
      </c>
      <c r="X63">
        <v>405349.76</v>
      </c>
      <c r="Y63" t="s">
        <v>3067</v>
      </c>
      <c r="Z63" t="s">
        <v>3063</v>
      </c>
      <c r="AA63" t="s">
        <v>3079</v>
      </c>
    </row>
    <row r="64" spans="1:27" x14ac:dyDescent="0.3">
      <c r="A64" t="s">
        <v>2697</v>
      </c>
      <c r="B64" s="7">
        <v>45583</v>
      </c>
      <c r="C64" t="s">
        <v>40</v>
      </c>
      <c r="D64" t="s">
        <v>56</v>
      </c>
      <c r="E64" t="s">
        <v>2042</v>
      </c>
      <c r="F64" t="s">
        <v>33</v>
      </c>
      <c r="G64" t="s">
        <v>92</v>
      </c>
      <c r="H64" t="s">
        <v>178</v>
      </c>
      <c r="I64" t="s">
        <v>1372</v>
      </c>
      <c r="J64">
        <v>8</v>
      </c>
      <c r="K64">
        <v>62161</v>
      </c>
      <c r="L64">
        <v>0.06</v>
      </c>
      <c r="M64">
        <v>58431.34</v>
      </c>
      <c r="N64">
        <v>467450.72</v>
      </c>
      <c r="O64">
        <v>0.15</v>
      </c>
      <c r="P64">
        <v>70117.61</v>
      </c>
      <c r="Q64" t="s">
        <v>47</v>
      </c>
      <c r="R64" t="s">
        <v>48</v>
      </c>
      <c r="S64">
        <v>5</v>
      </c>
      <c r="T64">
        <v>2024</v>
      </c>
      <c r="U64" t="s">
        <v>3065</v>
      </c>
      <c r="V64">
        <v>10</v>
      </c>
      <c r="W64" t="s">
        <v>3066</v>
      </c>
      <c r="X64">
        <v>397333.11</v>
      </c>
      <c r="Y64" t="s">
        <v>3062</v>
      </c>
      <c r="Z64" t="s">
        <v>3063</v>
      </c>
      <c r="AA64" t="s">
        <v>3079</v>
      </c>
    </row>
    <row r="65" spans="1:27" x14ac:dyDescent="0.3">
      <c r="A65" t="s">
        <v>2045</v>
      </c>
      <c r="B65" s="7">
        <v>44931</v>
      </c>
      <c r="C65" t="s">
        <v>20</v>
      </c>
      <c r="D65" t="s">
        <v>21</v>
      </c>
      <c r="E65" t="s">
        <v>2042</v>
      </c>
      <c r="F65" t="s">
        <v>23</v>
      </c>
      <c r="G65" t="s">
        <v>34</v>
      </c>
      <c r="H65" t="s">
        <v>35</v>
      </c>
      <c r="I65" t="s">
        <v>53</v>
      </c>
      <c r="J65">
        <v>2</v>
      </c>
      <c r="K65">
        <v>834</v>
      </c>
      <c r="L65">
        <v>0.12</v>
      </c>
      <c r="M65">
        <v>733.92</v>
      </c>
      <c r="N65">
        <v>1467.84</v>
      </c>
      <c r="O65">
        <v>0.4</v>
      </c>
      <c r="P65">
        <v>587.14</v>
      </c>
      <c r="Q65" t="s">
        <v>37</v>
      </c>
      <c r="R65" t="s">
        <v>48</v>
      </c>
      <c r="S65">
        <v>9</v>
      </c>
      <c r="T65">
        <v>2023</v>
      </c>
      <c r="U65" t="s">
        <v>3071</v>
      </c>
      <c r="V65">
        <v>1</v>
      </c>
      <c r="W65" t="s">
        <v>3102</v>
      </c>
      <c r="X65">
        <v>880.69999999999993</v>
      </c>
      <c r="Y65" t="s">
        <v>3077</v>
      </c>
      <c r="Z65" t="s">
        <v>3063</v>
      </c>
      <c r="AA65" t="s">
        <v>3079</v>
      </c>
    </row>
    <row r="66" spans="1:27" x14ac:dyDescent="0.3">
      <c r="A66" t="s">
        <v>2970</v>
      </c>
      <c r="B66" s="7">
        <v>45856</v>
      </c>
      <c r="C66" t="s">
        <v>30</v>
      </c>
      <c r="D66" t="s">
        <v>56</v>
      </c>
      <c r="E66" t="s">
        <v>67</v>
      </c>
      <c r="F66" t="s">
        <v>103</v>
      </c>
      <c r="G66" t="s">
        <v>34</v>
      </c>
      <c r="H66" t="s">
        <v>141</v>
      </c>
      <c r="I66" t="s">
        <v>1903</v>
      </c>
      <c r="J66">
        <v>8</v>
      </c>
      <c r="K66">
        <v>227</v>
      </c>
      <c r="L66">
        <v>0.18</v>
      </c>
      <c r="M66">
        <v>186.14</v>
      </c>
      <c r="N66">
        <v>1489.12</v>
      </c>
      <c r="O66">
        <v>0.4</v>
      </c>
      <c r="P66">
        <v>595.65</v>
      </c>
      <c r="Q66" t="s">
        <v>37</v>
      </c>
      <c r="R66" t="s">
        <v>38</v>
      </c>
      <c r="S66">
        <v>2</v>
      </c>
      <c r="T66">
        <v>2025</v>
      </c>
      <c r="U66" t="s">
        <v>3088</v>
      </c>
      <c r="V66">
        <v>7</v>
      </c>
      <c r="W66" t="s">
        <v>3094</v>
      </c>
      <c r="X66">
        <v>893.46999999999991</v>
      </c>
      <c r="Y66" t="s">
        <v>3067</v>
      </c>
      <c r="Z66" t="s">
        <v>3063</v>
      </c>
      <c r="AA66" t="s">
        <v>3079</v>
      </c>
    </row>
    <row r="67" spans="1:27" x14ac:dyDescent="0.3">
      <c r="A67" t="s">
        <v>2140</v>
      </c>
      <c r="B67" s="7">
        <v>45026</v>
      </c>
      <c r="C67" t="s">
        <v>40</v>
      </c>
      <c r="D67" t="s">
        <v>41</v>
      </c>
      <c r="E67" t="s">
        <v>42</v>
      </c>
      <c r="F67" t="s">
        <v>97</v>
      </c>
      <c r="G67" t="s">
        <v>92</v>
      </c>
      <c r="H67" t="s">
        <v>243</v>
      </c>
      <c r="I67" t="s">
        <v>270</v>
      </c>
      <c r="J67">
        <v>9</v>
      </c>
      <c r="K67">
        <v>60677</v>
      </c>
      <c r="L67">
        <v>0.16</v>
      </c>
      <c r="M67">
        <v>50968.68</v>
      </c>
      <c r="N67">
        <v>458718.12</v>
      </c>
      <c r="O67">
        <v>0.15</v>
      </c>
      <c r="P67">
        <v>68807.72</v>
      </c>
      <c r="Q67" t="s">
        <v>47</v>
      </c>
      <c r="R67" t="s">
        <v>28</v>
      </c>
      <c r="S67">
        <v>1</v>
      </c>
      <c r="T67">
        <v>2023</v>
      </c>
      <c r="U67" t="s">
        <v>3080</v>
      </c>
      <c r="V67">
        <v>4</v>
      </c>
      <c r="W67" t="s">
        <v>3081</v>
      </c>
      <c r="X67">
        <v>389910.4</v>
      </c>
      <c r="Y67" t="s">
        <v>3067</v>
      </c>
      <c r="Z67" t="s">
        <v>3063</v>
      </c>
      <c r="AA67" t="s">
        <v>3079</v>
      </c>
    </row>
    <row r="68" spans="1:27" x14ac:dyDescent="0.3">
      <c r="A68" t="s">
        <v>2126</v>
      </c>
      <c r="B68" s="7">
        <v>45012</v>
      </c>
      <c r="C68" t="s">
        <v>96</v>
      </c>
      <c r="D68" t="s">
        <v>21</v>
      </c>
      <c r="E68" t="s">
        <v>42</v>
      </c>
      <c r="F68" t="s">
        <v>97</v>
      </c>
      <c r="G68" t="s">
        <v>92</v>
      </c>
      <c r="H68" t="s">
        <v>109</v>
      </c>
      <c r="I68" t="s">
        <v>241</v>
      </c>
      <c r="J68">
        <v>7</v>
      </c>
      <c r="K68">
        <v>67056</v>
      </c>
      <c r="L68">
        <v>0.05</v>
      </c>
      <c r="M68">
        <v>63703.199999999997</v>
      </c>
      <c r="N68">
        <v>445922.4</v>
      </c>
      <c r="O68">
        <v>0.15</v>
      </c>
      <c r="P68">
        <v>66888.36</v>
      </c>
      <c r="Q68" t="s">
        <v>47</v>
      </c>
      <c r="R68" t="s">
        <v>48</v>
      </c>
      <c r="S68">
        <v>8</v>
      </c>
      <c r="T68">
        <v>2023</v>
      </c>
      <c r="U68" t="s">
        <v>3069</v>
      </c>
      <c r="V68">
        <v>3</v>
      </c>
      <c r="W68" t="s">
        <v>3082</v>
      </c>
      <c r="X68">
        <v>379034.04000000004</v>
      </c>
      <c r="Y68" t="s">
        <v>3077</v>
      </c>
      <c r="Z68" t="s">
        <v>3063</v>
      </c>
      <c r="AA68" t="s">
        <v>3079</v>
      </c>
    </row>
    <row r="69" spans="1:27" x14ac:dyDescent="0.3">
      <c r="A69" t="s">
        <v>2341</v>
      </c>
      <c r="B69" s="7">
        <v>45227</v>
      </c>
      <c r="C69" t="s">
        <v>20</v>
      </c>
      <c r="D69" t="s">
        <v>41</v>
      </c>
      <c r="E69" t="s">
        <v>2040</v>
      </c>
      <c r="F69" t="s">
        <v>43</v>
      </c>
      <c r="G69" t="s">
        <v>34</v>
      </c>
      <c r="H69" t="s">
        <v>104</v>
      </c>
      <c r="I69" t="s">
        <v>671</v>
      </c>
      <c r="J69">
        <v>8</v>
      </c>
      <c r="K69">
        <v>201</v>
      </c>
      <c r="L69">
        <v>0.02</v>
      </c>
      <c r="M69">
        <v>196.98</v>
      </c>
      <c r="N69">
        <v>1575.84</v>
      </c>
      <c r="O69">
        <v>0.4</v>
      </c>
      <c r="P69">
        <v>630.34</v>
      </c>
      <c r="Q69" t="s">
        <v>27</v>
      </c>
      <c r="R69" t="s">
        <v>48</v>
      </c>
      <c r="S69">
        <v>6</v>
      </c>
      <c r="T69">
        <v>2023</v>
      </c>
      <c r="U69" t="s">
        <v>3065</v>
      </c>
      <c r="V69">
        <v>10</v>
      </c>
      <c r="W69" t="s">
        <v>3104</v>
      </c>
      <c r="X69">
        <v>945.49999999999989</v>
      </c>
      <c r="Y69" t="s">
        <v>3062</v>
      </c>
      <c r="Z69" t="s">
        <v>3063</v>
      </c>
      <c r="AA69" t="s">
        <v>3079</v>
      </c>
    </row>
    <row r="70" spans="1:27" x14ac:dyDescent="0.3">
      <c r="A70" t="s">
        <v>2720</v>
      </c>
      <c r="B70" s="7">
        <v>45606</v>
      </c>
      <c r="C70" t="s">
        <v>30</v>
      </c>
      <c r="D70" t="s">
        <v>56</v>
      </c>
      <c r="E70" t="s">
        <v>42</v>
      </c>
      <c r="F70" t="s">
        <v>23</v>
      </c>
      <c r="G70" t="s">
        <v>34</v>
      </c>
      <c r="H70" t="s">
        <v>104</v>
      </c>
      <c r="I70" t="s">
        <v>1416</v>
      </c>
      <c r="J70">
        <v>2</v>
      </c>
      <c r="K70">
        <v>982</v>
      </c>
      <c r="L70">
        <v>0.19</v>
      </c>
      <c r="M70">
        <v>795.42</v>
      </c>
      <c r="N70">
        <v>1590.84</v>
      </c>
      <c r="O70">
        <v>0.4</v>
      </c>
      <c r="P70">
        <v>636.34</v>
      </c>
      <c r="Q70" t="s">
        <v>37</v>
      </c>
      <c r="R70" t="s">
        <v>48</v>
      </c>
      <c r="S70">
        <v>8</v>
      </c>
      <c r="T70">
        <v>2024</v>
      </c>
      <c r="U70" t="s">
        <v>3060</v>
      </c>
      <c r="V70">
        <v>11</v>
      </c>
      <c r="W70" t="s">
        <v>3100</v>
      </c>
      <c r="X70">
        <v>954.49999999999989</v>
      </c>
      <c r="Y70" t="s">
        <v>3077</v>
      </c>
      <c r="Z70" t="s">
        <v>3063</v>
      </c>
      <c r="AA70" t="s">
        <v>3079</v>
      </c>
    </row>
    <row r="71" spans="1:27" x14ac:dyDescent="0.3">
      <c r="A71" t="s">
        <v>2932</v>
      </c>
      <c r="B71" s="7">
        <v>45818</v>
      </c>
      <c r="C71" t="s">
        <v>55</v>
      </c>
      <c r="D71" t="s">
        <v>56</v>
      </c>
      <c r="E71" t="s">
        <v>42</v>
      </c>
      <c r="F71" t="s">
        <v>23</v>
      </c>
      <c r="G71" t="s">
        <v>34</v>
      </c>
      <c r="H71" t="s">
        <v>35</v>
      </c>
      <c r="I71" t="s">
        <v>1833</v>
      </c>
      <c r="J71">
        <v>4</v>
      </c>
      <c r="K71">
        <v>449</v>
      </c>
      <c r="L71">
        <v>0.09</v>
      </c>
      <c r="M71">
        <v>408.59</v>
      </c>
      <c r="N71">
        <v>1634.36</v>
      </c>
      <c r="O71">
        <v>0.4</v>
      </c>
      <c r="P71">
        <v>653.74</v>
      </c>
      <c r="Q71" t="s">
        <v>47</v>
      </c>
      <c r="R71" t="s">
        <v>48</v>
      </c>
      <c r="S71">
        <v>8</v>
      </c>
      <c r="T71">
        <v>2025</v>
      </c>
      <c r="U71" t="s">
        <v>3073</v>
      </c>
      <c r="V71">
        <v>6</v>
      </c>
      <c r="W71" t="s">
        <v>3083</v>
      </c>
      <c r="X71">
        <v>980.61999999999989</v>
      </c>
      <c r="Y71" t="s">
        <v>3077</v>
      </c>
      <c r="Z71" t="s">
        <v>3063</v>
      </c>
      <c r="AA71" t="s">
        <v>3079</v>
      </c>
    </row>
    <row r="72" spans="1:27" x14ac:dyDescent="0.3">
      <c r="A72" t="s">
        <v>2652</v>
      </c>
      <c r="B72" s="7">
        <v>45538</v>
      </c>
      <c r="C72" t="s">
        <v>30</v>
      </c>
      <c r="D72" t="s">
        <v>41</v>
      </c>
      <c r="E72" t="s">
        <v>2040</v>
      </c>
      <c r="F72" t="s">
        <v>43</v>
      </c>
      <c r="G72" t="s">
        <v>92</v>
      </c>
      <c r="H72" t="s">
        <v>109</v>
      </c>
      <c r="I72" t="s">
        <v>1284</v>
      </c>
      <c r="J72">
        <v>9</v>
      </c>
      <c r="K72">
        <v>52080</v>
      </c>
      <c r="L72">
        <v>0.05</v>
      </c>
      <c r="M72">
        <v>49476</v>
      </c>
      <c r="N72">
        <v>445284</v>
      </c>
      <c r="O72">
        <v>0.15</v>
      </c>
      <c r="P72">
        <v>66792.600000000006</v>
      </c>
      <c r="Q72" t="s">
        <v>47</v>
      </c>
      <c r="R72" t="s">
        <v>48</v>
      </c>
      <c r="S72">
        <v>6</v>
      </c>
      <c r="T72">
        <v>2024</v>
      </c>
      <c r="U72" t="s">
        <v>3097</v>
      </c>
      <c r="V72">
        <v>9</v>
      </c>
      <c r="W72" t="s">
        <v>3098</v>
      </c>
      <c r="X72">
        <v>378491.4</v>
      </c>
      <c r="Y72" t="s">
        <v>3062</v>
      </c>
      <c r="Z72" t="s">
        <v>3063</v>
      </c>
      <c r="AA72" t="s">
        <v>3079</v>
      </c>
    </row>
    <row r="73" spans="1:27" x14ac:dyDescent="0.3">
      <c r="A73" t="s">
        <v>2972</v>
      </c>
      <c r="B73" s="7">
        <v>45858</v>
      </c>
      <c r="C73" t="s">
        <v>96</v>
      </c>
      <c r="D73" t="s">
        <v>21</v>
      </c>
      <c r="E73" t="s">
        <v>2040</v>
      </c>
      <c r="F73" t="s">
        <v>97</v>
      </c>
      <c r="G73" t="s">
        <v>92</v>
      </c>
      <c r="H73" t="s">
        <v>178</v>
      </c>
      <c r="I73" t="s">
        <v>1907</v>
      </c>
      <c r="J73">
        <v>7</v>
      </c>
      <c r="K73">
        <v>65718</v>
      </c>
      <c r="L73">
        <v>0.04</v>
      </c>
      <c r="M73">
        <v>63089.279999999999</v>
      </c>
      <c r="N73">
        <v>441624.96</v>
      </c>
      <c r="O73">
        <v>0.15</v>
      </c>
      <c r="P73">
        <v>66243.740000000005</v>
      </c>
      <c r="Q73" t="s">
        <v>47</v>
      </c>
      <c r="R73" t="s">
        <v>48</v>
      </c>
      <c r="S73">
        <v>6</v>
      </c>
      <c r="T73">
        <v>2025</v>
      </c>
      <c r="U73" t="s">
        <v>3088</v>
      </c>
      <c r="V73">
        <v>7</v>
      </c>
      <c r="W73" t="s">
        <v>3094</v>
      </c>
      <c r="X73">
        <v>375381.22000000003</v>
      </c>
      <c r="Y73" t="s">
        <v>3062</v>
      </c>
      <c r="Z73" t="s">
        <v>3063</v>
      </c>
      <c r="AA73" t="s">
        <v>3079</v>
      </c>
    </row>
    <row r="74" spans="1:27" x14ac:dyDescent="0.3">
      <c r="A74" t="s">
        <v>2420</v>
      </c>
      <c r="B74" s="7">
        <v>45306</v>
      </c>
      <c r="C74" t="s">
        <v>63</v>
      </c>
      <c r="D74" t="s">
        <v>31</v>
      </c>
      <c r="E74" t="s">
        <v>67</v>
      </c>
      <c r="F74" t="s">
        <v>33</v>
      </c>
      <c r="G74" t="s">
        <v>34</v>
      </c>
      <c r="H74" t="s">
        <v>104</v>
      </c>
      <c r="I74" t="s">
        <v>826</v>
      </c>
      <c r="J74">
        <v>2</v>
      </c>
      <c r="K74">
        <v>943</v>
      </c>
      <c r="L74">
        <v>0.12</v>
      </c>
      <c r="M74">
        <v>829.84</v>
      </c>
      <c r="N74">
        <v>1659.68</v>
      </c>
      <c r="O74">
        <v>0.4</v>
      </c>
      <c r="P74">
        <v>663.87</v>
      </c>
      <c r="Q74" t="s">
        <v>27</v>
      </c>
      <c r="R74" t="s">
        <v>48</v>
      </c>
      <c r="S74">
        <v>9</v>
      </c>
      <c r="T74">
        <v>2024</v>
      </c>
      <c r="U74" t="s">
        <v>3071</v>
      </c>
      <c r="V74">
        <v>1</v>
      </c>
      <c r="W74" t="s">
        <v>3078</v>
      </c>
      <c r="X74">
        <v>995.81000000000006</v>
      </c>
      <c r="Y74" t="s">
        <v>3077</v>
      </c>
      <c r="Z74" t="s">
        <v>3063</v>
      </c>
      <c r="AA74" t="s">
        <v>3079</v>
      </c>
    </row>
    <row r="75" spans="1:27" x14ac:dyDescent="0.3">
      <c r="A75" t="s">
        <v>2304</v>
      </c>
      <c r="B75" s="7">
        <v>45190</v>
      </c>
      <c r="C75" t="s">
        <v>96</v>
      </c>
      <c r="D75" t="s">
        <v>21</v>
      </c>
      <c r="E75" t="s">
        <v>42</v>
      </c>
      <c r="F75" t="s">
        <v>33</v>
      </c>
      <c r="G75" t="s">
        <v>92</v>
      </c>
      <c r="H75" t="s">
        <v>243</v>
      </c>
      <c r="I75" t="s">
        <v>598</v>
      </c>
      <c r="J75">
        <v>7</v>
      </c>
      <c r="K75">
        <v>63551</v>
      </c>
      <c r="L75">
        <v>0.03</v>
      </c>
      <c r="M75">
        <v>61644.47</v>
      </c>
      <c r="N75">
        <v>431511.29</v>
      </c>
      <c r="O75">
        <v>0.15</v>
      </c>
      <c r="P75">
        <v>64726.69</v>
      </c>
      <c r="Q75" t="s">
        <v>37</v>
      </c>
      <c r="R75" t="s">
        <v>48</v>
      </c>
      <c r="S75">
        <v>5</v>
      </c>
      <c r="T75">
        <v>2023</v>
      </c>
      <c r="U75" t="s">
        <v>3097</v>
      </c>
      <c r="V75">
        <v>9</v>
      </c>
      <c r="W75" t="s">
        <v>3107</v>
      </c>
      <c r="X75">
        <v>366784.6</v>
      </c>
      <c r="Y75" t="s">
        <v>3062</v>
      </c>
      <c r="Z75" t="s">
        <v>3063</v>
      </c>
      <c r="AA75" t="s">
        <v>3079</v>
      </c>
    </row>
    <row r="76" spans="1:27" x14ac:dyDescent="0.3">
      <c r="A76" t="s">
        <v>2076</v>
      </c>
      <c r="B76" s="7">
        <v>44962</v>
      </c>
      <c r="C76" t="s">
        <v>55</v>
      </c>
      <c r="D76" t="s">
        <v>41</v>
      </c>
      <c r="E76" t="s">
        <v>67</v>
      </c>
      <c r="F76" t="s">
        <v>103</v>
      </c>
      <c r="G76" t="s">
        <v>34</v>
      </c>
      <c r="H76" t="s">
        <v>104</v>
      </c>
      <c r="I76" t="s">
        <v>136</v>
      </c>
      <c r="J76">
        <v>4</v>
      </c>
      <c r="K76">
        <v>508</v>
      </c>
      <c r="L76">
        <v>0.17</v>
      </c>
      <c r="M76">
        <v>421.64</v>
      </c>
      <c r="N76">
        <v>1686.56</v>
      </c>
      <c r="O76">
        <v>0.4</v>
      </c>
      <c r="P76">
        <v>674.62</v>
      </c>
      <c r="Q76" t="s">
        <v>47</v>
      </c>
      <c r="R76" t="s">
        <v>48</v>
      </c>
      <c r="S76">
        <v>1</v>
      </c>
      <c r="T76">
        <v>2023</v>
      </c>
      <c r="U76" t="s">
        <v>3084</v>
      </c>
      <c r="V76">
        <v>2</v>
      </c>
      <c r="W76" t="s">
        <v>3108</v>
      </c>
      <c r="X76">
        <v>1011.9399999999999</v>
      </c>
      <c r="Y76" t="s">
        <v>3067</v>
      </c>
      <c r="Z76" t="s">
        <v>3063</v>
      </c>
      <c r="AA76" t="s">
        <v>3079</v>
      </c>
    </row>
    <row r="77" spans="1:27" x14ac:dyDescent="0.3">
      <c r="A77" t="s">
        <v>2622</v>
      </c>
      <c r="B77" s="7">
        <v>45508</v>
      </c>
      <c r="C77" t="s">
        <v>30</v>
      </c>
      <c r="D77" t="s">
        <v>31</v>
      </c>
      <c r="E77" t="s">
        <v>42</v>
      </c>
      <c r="F77" t="s">
        <v>68</v>
      </c>
      <c r="G77" t="s">
        <v>34</v>
      </c>
      <c r="H77" t="s">
        <v>141</v>
      </c>
      <c r="I77" t="s">
        <v>1226</v>
      </c>
      <c r="J77">
        <v>2</v>
      </c>
      <c r="K77">
        <v>871</v>
      </c>
      <c r="L77">
        <v>0.02</v>
      </c>
      <c r="M77">
        <v>853.58</v>
      </c>
      <c r="N77">
        <v>1707.16</v>
      </c>
      <c r="O77">
        <v>0.4</v>
      </c>
      <c r="P77">
        <v>682.86</v>
      </c>
      <c r="Q77" t="s">
        <v>37</v>
      </c>
      <c r="R77" t="s">
        <v>48</v>
      </c>
      <c r="S77">
        <v>9</v>
      </c>
      <c r="T77">
        <v>2024</v>
      </c>
      <c r="U77" t="s">
        <v>3075</v>
      </c>
      <c r="V77">
        <v>8</v>
      </c>
      <c r="W77" t="s">
        <v>3093</v>
      </c>
      <c r="X77">
        <v>1024.3000000000002</v>
      </c>
      <c r="Y77" t="s">
        <v>3077</v>
      </c>
      <c r="Z77" t="s">
        <v>3063</v>
      </c>
      <c r="AA77" t="s">
        <v>3079</v>
      </c>
    </row>
    <row r="78" spans="1:27" x14ac:dyDescent="0.3">
      <c r="A78" t="s">
        <v>2832</v>
      </c>
      <c r="B78" s="7">
        <v>45718</v>
      </c>
      <c r="C78" t="s">
        <v>96</v>
      </c>
      <c r="D78" t="s">
        <v>21</v>
      </c>
      <c r="E78" t="s">
        <v>2040</v>
      </c>
      <c r="F78" t="s">
        <v>68</v>
      </c>
      <c r="G78" t="s">
        <v>34</v>
      </c>
      <c r="H78" t="s">
        <v>141</v>
      </c>
      <c r="I78" t="s">
        <v>1635</v>
      </c>
      <c r="J78">
        <v>5</v>
      </c>
      <c r="K78">
        <v>361</v>
      </c>
      <c r="L78">
        <v>0.05</v>
      </c>
      <c r="M78">
        <v>342.95</v>
      </c>
      <c r="N78">
        <v>1714.75</v>
      </c>
      <c r="O78">
        <v>0.4</v>
      </c>
      <c r="P78">
        <v>685.9</v>
      </c>
      <c r="Q78" t="s">
        <v>27</v>
      </c>
      <c r="R78" t="s">
        <v>38</v>
      </c>
      <c r="S78">
        <v>2</v>
      </c>
      <c r="T78">
        <v>2025</v>
      </c>
      <c r="U78" t="s">
        <v>3069</v>
      </c>
      <c r="V78">
        <v>3</v>
      </c>
      <c r="W78" t="s">
        <v>3070</v>
      </c>
      <c r="X78">
        <v>1028.8499999999999</v>
      </c>
      <c r="Y78" t="s">
        <v>3067</v>
      </c>
      <c r="Z78" t="s">
        <v>3063</v>
      </c>
      <c r="AA78" t="s">
        <v>3079</v>
      </c>
    </row>
    <row r="79" spans="1:27" x14ac:dyDescent="0.3">
      <c r="A79" t="s">
        <v>2326</v>
      </c>
      <c r="B79" s="7">
        <v>45212</v>
      </c>
      <c r="C79" t="s">
        <v>20</v>
      </c>
      <c r="D79" t="s">
        <v>21</v>
      </c>
      <c r="E79" t="s">
        <v>2042</v>
      </c>
      <c r="F79" t="s">
        <v>97</v>
      </c>
      <c r="G79" t="s">
        <v>34</v>
      </c>
      <c r="H79" t="s">
        <v>141</v>
      </c>
      <c r="I79" t="s">
        <v>642</v>
      </c>
      <c r="J79">
        <v>2</v>
      </c>
      <c r="K79">
        <v>988</v>
      </c>
      <c r="L79">
        <v>0.13</v>
      </c>
      <c r="M79">
        <v>859.56</v>
      </c>
      <c r="N79">
        <v>1719.12</v>
      </c>
      <c r="O79">
        <v>0.4</v>
      </c>
      <c r="P79">
        <v>687.65</v>
      </c>
      <c r="Q79" t="s">
        <v>27</v>
      </c>
      <c r="R79" t="s">
        <v>48</v>
      </c>
      <c r="S79">
        <v>3</v>
      </c>
      <c r="T79">
        <v>2023</v>
      </c>
      <c r="U79" t="s">
        <v>3065</v>
      </c>
      <c r="V79">
        <v>10</v>
      </c>
      <c r="W79" t="s">
        <v>3104</v>
      </c>
      <c r="X79">
        <v>1031.4699999999998</v>
      </c>
      <c r="Y79" t="s">
        <v>3067</v>
      </c>
      <c r="Z79" t="s">
        <v>3063</v>
      </c>
      <c r="AA79" t="s">
        <v>3079</v>
      </c>
    </row>
    <row r="80" spans="1:27" x14ac:dyDescent="0.3">
      <c r="A80" t="s">
        <v>2881</v>
      </c>
      <c r="B80" s="7">
        <v>45767</v>
      </c>
      <c r="C80" t="s">
        <v>20</v>
      </c>
      <c r="D80" t="s">
        <v>31</v>
      </c>
      <c r="E80" t="s">
        <v>2040</v>
      </c>
      <c r="F80" t="s">
        <v>103</v>
      </c>
      <c r="G80" t="s">
        <v>34</v>
      </c>
      <c r="H80" t="s">
        <v>141</v>
      </c>
      <c r="I80" t="s">
        <v>1732</v>
      </c>
      <c r="J80">
        <v>3</v>
      </c>
      <c r="K80">
        <v>762</v>
      </c>
      <c r="L80">
        <v>0.24</v>
      </c>
      <c r="M80">
        <v>579.12</v>
      </c>
      <c r="N80">
        <v>1737.36</v>
      </c>
      <c r="O80">
        <v>0.4</v>
      </c>
      <c r="P80">
        <v>694.94</v>
      </c>
      <c r="Q80" t="s">
        <v>47</v>
      </c>
      <c r="R80" t="s">
        <v>48</v>
      </c>
      <c r="S80">
        <v>6</v>
      </c>
      <c r="T80">
        <v>2025</v>
      </c>
      <c r="U80" t="s">
        <v>3080</v>
      </c>
      <c r="V80">
        <v>4</v>
      </c>
      <c r="W80" t="s">
        <v>3096</v>
      </c>
      <c r="X80">
        <v>1042.4199999999998</v>
      </c>
      <c r="Y80" t="s">
        <v>3062</v>
      </c>
      <c r="Z80" t="s">
        <v>3063</v>
      </c>
      <c r="AA80" t="s">
        <v>3079</v>
      </c>
    </row>
    <row r="81" spans="1:27" x14ac:dyDescent="0.3">
      <c r="A81" t="s">
        <v>2434</v>
      </c>
      <c r="B81" s="7">
        <v>45320</v>
      </c>
      <c r="C81" t="s">
        <v>96</v>
      </c>
      <c r="D81" t="s">
        <v>21</v>
      </c>
      <c r="E81" t="s">
        <v>67</v>
      </c>
      <c r="F81" t="s">
        <v>103</v>
      </c>
      <c r="G81" t="s">
        <v>92</v>
      </c>
      <c r="H81" t="s">
        <v>243</v>
      </c>
      <c r="I81" t="s">
        <v>854</v>
      </c>
      <c r="J81">
        <v>7</v>
      </c>
      <c r="K81">
        <v>78011</v>
      </c>
      <c r="L81">
        <v>0.21</v>
      </c>
      <c r="M81">
        <v>61628.69</v>
      </c>
      <c r="N81">
        <v>431400.83</v>
      </c>
      <c r="O81">
        <v>0.15</v>
      </c>
      <c r="P81">
        <v>64710.12</v>
      </c>
      <c r="Q81" t="s">
        <v>27</v>
      </c>
      <c r="R81" t="s">
        <v>48</v>
      </c>
      <c r="S81">
        <v>1</v>
      </c>
      <c r="T81">
        <v>2024</v>
      </c>
      <c r="U81" t="s">
        <v>3071</v>
      </c>
      <c r="V81">
        <v>1</v>
      </c>
      <c r="W81" t="s">
        <v>3078</v>
      </c>
      <c r="X81">
        <v>366690.71</v>
      </c>
      <c r="Y81" t="s">
        <v>3067</v>
      </c>
      <c r="Z81" t="s">
        <v>3063</v>
      </c>
      <c r="AA81" t="s">
        <v>3079</v>
      </c>
    </row>
    <row r="82" spans="1:27" x14ac:dyDescent="0.3">
      <c r="A82" t="s">
        <v>2989</v>
      </c>
      <c r="B82" s="7">
        <v>45875</v>
      </c>
      <c r="C82" t="s">
        <v>30</v>
      </c>
      <c r="D82" t="s">
        <v>56</v>
      </c>
      <c r="E82" t="s">
        <v>67</v>
      </c>
      <c r="F82" t="s">
        <v>23</v>
      </c>
      <c r="G82" t="s">
        <v>34</v>
      </c>
      <c r="H82" t="s">
        <v>104</v>
      </c>
      <c r="I82" t="s">
        <v>1940</v>
      </c>
      <c r="J82">
        <v>3</v>
      </c>
      <c r="K82">
        <v>770</v>
      </c>
      <c r="L82">
        <v>0.24</v>
      </c>
      <c r="M82">
        <v>585.20000000000005</v>
      </c>
      <c r="N82">
        <v>1755.6</v>
      </c>
      <c r="O82">
        <v>0.4</v>
      </c>
      <c r="P82">
        <v>702.24</v>
      </c>
      <c r="Q82" t="s">
        <v>37</v>
      </c>
      <c r="R82" t="s">
        <v>48</v>
      </c>
      <c r="S82">
        <v>4</v>
      </c>
      <c r="T82">
        <v>2025</v>
      </c>
      <c r="U82" t="s">
        <v>3075</v>
      </c>
      <c r="V82">
        <v>8</v>
      </c>
      <c r="W82" t="s">
        <v>3076</v>
      </c>
      <c r="X82">
        <v>1053.3599999999999</v>
      </c>
      <c r="Y82" t="s">
        <v>3062</v>
      </c>
      <c r="Z82" t="s">
        <v>3063</v>
      </c>
      <c r="AA82" t="s">
        <v>3079</v>
      </c>
    </row>
    <row r="83" spans="1:27" x14ac:dyDescent="0.3">
      <c r="A83" t="s">
        <v>2406</v>
      </c>
      <c r="B83" s="7">
        <v>45292</v>
      </c>
      <c r="C83" t="s">
        <v>30</v>
      </c>
      <c r="D83" t="s">
        <v>31</v>
      </c>
      <c r="E83" t="s">
        <v>2040</v>
      </c>
      <c r="F83" t="s">
        <v>97</v>
      </c>
      <c r="G83" t="s">
        <v>34</v>
      </c>
      <c r="H83" t="s">
        <v>71</v>
      </c>
      <c r="I83" t="s">
        <v>798</v>
      </c>
      <c r="J83">
        <v>3</v>
      </c>
      <c r="K83">
        <v>708</v>
      </c>
      <c r="L83">
        <v>0.16</v>
      </c>
      <c r="M83">
        <v>594.72</v>
      </c>
      <c r="N83">
        <v>1784.16</v>
      </c>
      <c r="O83">
        <v>0.4</v>
      </c>
      <c r="P83">
        <v>713.66</v>
      </c>
      <c r="Q83" t="s">
        <v>27</v>
      </c>
      <c r="R83" t="s">
        <v>38</v>
      </c>
      <c r="S83">
        <v>8</v>
      </c>
      <c r="T83">
        <v>2024</v>
      </c>
      <c r="U83" t="s">
        <v>3071</v>
      </c>
      <c r="V83">
        <v>1</v>
      </c>
      <c r="W83" t="s">
        <v>3078</v>
      </c>
      <c r="X83">
        <v>1070.5</v>
      </c>
      <c r="Y83" t="s">
        <v>3077</v>
      </c>
      <c r="Z83" t="s">
        <v>3063</v>
      </c>
      <c r="AA83" t="s">
        <v>3079</v>
      </c>
    </row>
    <row r="84" spans="1:27" x14ac:dyDescent="0.3">
      <c r="A84" t="s">
        <v>2159</v>
      </c>
      <c r="B84" s="7">
        <v>45045</v>
      </c>
      <c r="C84" t="s">
        <v>40</v>
      </c>
      <c r="D84" t="s">
        <v>21</v>
      </c>
      <c r="E84" t="s">
        <v>67</v>
      </c>
      <c r="F84" t="s">
        <v>68</v>
      </c>
      <c r="G84" t="s">
        <v>92</v>
      </c>
      <c r="H84" t="s">
        <v>93</v>
      </c>
      <c r="I84" t="s">
        <v>308</v>
      </c>
      <c r="J84">
        <v>8</v>
      </c>
      <c r="K84">
        <v>62233</v>
      </c>
      <c r="L84">
        <v>0.15</v>
      </c>
      <c r="M84">
        <v>52898.05</v>
      </c>
      <c r="N84">
        <v>423184.4</v>
      </c>
      <c r="O84">
        <v>0.15</v>
      </c>
      <c r="P84">
        <v>63477.66</v>
      </c>
      <c r="Q84" t="s">
        <v>27</v>
      </c>
      <c r="R84" t="s">
        <v>48</v>
      </c>
      <c r="S84">
        <v>3</v>
      </c>
      <c r="T84">
        <v>2023</v>
      </c>
      <c r="U84" t="s">
        <v>3080</v>
      </c>
      <c r="V84">
        <v>4</v>
      </c>
      <c r="W84" t="s">
        <v>3081</v>
      </c>
      <c r="X84">
        <v>359706.74</v>
      </c>
      <c r="Y84" t="s">
        <v>3067</v>
      </c>
      <c r="Z84" t="s">
        <v>3063</v>
      </c>
      <c r="AA84" t="s">
        <v>3079</v>
      </c>
    </row>
    <row r="85" spans="1:27" x14ac:dyDescent="0.3">
      <c r="A85" t="s">
        <v>2811</v>
      </c>
      <c r="B85" s="7">
        <v>45697</v>
      </c>
      <c r="C85" t="s">
        <v>30</v>
      </c>
      <c r="D85" t="s">
        <v>56</v>
      </c>
      <c r="E85" t="s">
        <v>2040</v>
      </c>
      <c r="F85" t="s">
        <v>43</v>
      </c>
      <c r="G85" t="s">
        <v>34</v>
      </c>
      <c r="H85" t="s">
        <v>71</v>
      </c>
      <c r="I85" t="s">
        <v>1594</v>
      </c>
      <c r="J85">
        <v>2</v>
      </c>
      <c r="K85">
        <v>1021</v>
      </c>
      <c r="L85">
        <v>0.12</v>
      </c>
      <c r="M85">
        <v>898.48</v>
      </c>
      <c r="N85">
        <v>1796.96</v>
      </c>
      <c r="O85">
        <v>0.4</v>
      </c>
      <c r="P85">
        <v>718.78</v>
      </c>
      <c r="Q85" t="s">
        <v>37</v>
      </c>
      <c r="R85" t="s">
        <v>48</v>
      </c>
      <c r="S85">
        <v>5</v>
      </c>
      <c r="T85">
        <v>2025</v>
      </c>
      <c r="U85" t="s">
        <v>3084</v>
      </c>
      <c r="V85">
        <v>2</v>
      </c>
      <c r="W85" t="s">
        <v>3090</v>
      </c>
      <c r="X85">
        <v>1078.18</v>
      </c>
      <c r="Y85" t="s">
        <v>3062</v>
      </c>
      <c r="Z85" t="s">
        <v>3063</v>
      </c>
      <c r="AA85" t="s">
        <v>3079</v>
      </c>
    </row>
    <row r="86" spans="1:27" x14ac:dyDescent="0.3">
      <c r="A86" t="s">
        <v>2437</v>
      </c>
      <c r="B86" s="7">
        <v>45323</v>
      </c>
      <c r="C86" t="s">
        <v>63</v>
      </c>
      <c r="D86" t="s">
        <v>56</v>
      </c>
      <c r="E86" t="s">
        <v>2040</v>
      </c>
      <c r="F86" t="s">
        <v>33</v>
      </c>
      <c r="G86" t="s">
        <v>34</v>
      </c>
      <c r="H86" t="s">
        <v>71</v>
      </c>
      <c r="I86" t="s">
        <v>860</v>
      </c>
      <c r="J86">
        <v>2</v>
      </c>
      <c r="K86">
        <v>975</v>
      </c>
      <c r="L86">
        <v>7.0000000000000007E-2</v>
      </c>
      <c r="M86">
        <v>906.75</v>
      </c>
      <c r="N86">
        <v>1813.5</v>
      </c>
      <c r="O86">
        <v>0.4</v>
      </c>
      <c r="P86">
        <v>725.4</v>
      </c>
      <c r="Q86" t="s">
        <v>47</v>
      </c>
      <c r="R86" t="s">
        <v>48</v>
      </c>
      <c r="S86">
        <v>4</v>
      </c>
      <c r="T86">
        <v>2024</v>
      </c>
      <c r="U86" t="s">
        <v>3084</v>
      </c>
      <c r="V86">
        <v>2</v>
      </c>
      <c r="W86" t="s">
        <v>3085</v>
      </c>
      <c r="X86">
        <v>1088.0999999999999</v>
      </c>
      <c r="Y86" t="s">
        <v>3062</v>
      </c>
      <c r="Z86" t="s">
        <v>3063</v>
      </c>
      <c r="AA86" t="s">
        <v>3079</v>
      </c>
    </row>
    <row r="87" spans="1:27" x14ac:dyDescent="0.3">
      <c r="A87" t="s">
        <v>2325</v>
      </c>
      <c r="B87" s="7">
        <v>45211</v>
      </c>
      <c r="C87" t="s">
        <v>30</v>
      </c>
      <c r="D87" t="s">
        <v>41</v>
      </c>
      <c r="E87" t="s">
        <v>42</v>
      </c>
      <c r="F87" t="s">
        <v>43</v>
      </c>
      <c r="G87" t="s">
        <v>92</v>
      </c>
      <c r="H87" t="s">
        <v>93</v>
      </c>
      <c r="I87" t="s">
        <v>640</v>
      </c>
      <c r="J87">
        <v>9</v>
      </c>
      <c r="K87">
        <v>55379</v>
      </c>
      <c r="L87">
        <v>0.16</v>
      </c>
      <c r="M87">
        <v>46518.36</v>
      </c>
      <c r="N87">
        <v>418665.24</v>
      </c>
      <c r="O87">
        <v>0.15</v>
      </c>
      <c r="P87">
        <v>62799.79</v>
      </c>
      <c r="Q87" t="s">
        <v>51</v>
      </c>
      <c r="R87" t="s">
        <v>48</v>
      </c>
      <c r="S87">
        <v>2</v>
      </c>
      <c r="T87">
        <v>2023</v>
      </c>
      <c r="U87" t="s">
        <v>3065</v>
      </c>
      <c r="V87">
        <v>10</v>
      </c>
      <c r="W87" t="s">
        <v>3104</v>
      </c>
      <c r="X87">
        <v>355865.45</v>
      </c>
      <c r="Y87" t="s">
        <v>3067</v>
      </c>
      <c r="Z87" t="s">
        <v>3063</v>
      </c>
      <c r="AA87" t="s">
        <v>3079</v>
      </c>
    </row>
    <row r="88" spans="1:27" x14ac:dyDescent="0.3">
      <c r="A88" t="s">
        <v>2078</v>
      </c>
      <c r="B88" s="7">
        <v>44964</v>
      </c>
      <c r="C88" t="s">
        <v>20</v>
      </c>
      <c r="D88" t="s">
        <v>56</v>
      </c>
      <c r="E88" t="s">
        <v>2040</v>
      </c>
      <c r="F88" t="s">
        <v>103</v>
      </c>
      <c r="G88" t="s">
        <v>34</v>
      </c>
      <c r="H88" t="s">
        <v>141</v>
      </c>
      <c r="I88" t="s">
        <v>142</v>
      </c>
      <c r="J88">
        <v>4</v>
      </c>
      <c r="K88">
        <v>506</v>
      </c>
      <c r="L88">
        <v>0.06</v>
      </c>
      <c r="M88">
        <v>475.64</v>
      </c>
      <c r="N88">
        <v>1902.56</v>
      </c>
      <c r="O88">
        <v>0.4</v>
      </c>
      <c r="P88">
        <v>761.02</v>
      </c>
      <c r="Q88" t="s">
        <v>27</v>
      </c>
      <c r="R88" t="s">
        <v>48</v>
      </c>
      <c r="S88">
        <v>9</v>
      </c>
      <c r="T88">
        <v>2023</v>
      </c>
      <c r="U88" t="s">
        <v>3084</v>
      </c>
      <c r="V88">
        <v>2</v>
      </c>
      <c r="W88" t="s">
        <v>3108</v>
      </c>
      <c r="X88">
        <v>1141.54</v>
      </c>
      <c r="Y88" t="s">
        <v>3077</v>
      </c>
      <c r="Z88" t="s">
        <v>3063</v>
      </c>
      <c r="AA88" t="s">
        <v>3079</v>
      </c>
    </row>
    <row r="89" spans="1:27" x14ac:dyDescent="0.3">
      <c r="A89" t="s">
        <v>2886</v>
      </c>
      <c r="B89" s="7">
        <v>45772</v>
      </c>
      <c r="C89" t="s">
        <v>40</v>
      </c>
      <c r="D89" t="s">
        <v>21</v>
      </c>
      <c r="E89" t="s">
        <v>67</v>
      </c>
      <c r="F89" t="s">
        <v>33</v>
      </c>
      <c r="G89" t="s">
        <v>34</v>
      </c>
      <c r="H89" t="s">
        <v>71</v>
      </c>
      <c r="I89" t="s">
        <v>1742</v>
      </c>
      <c r="J89">
        <v>3</v>
      </c>
      <c r="K89">
        <v>780</v>
      </c>
      <c r="L89">
        <v>0.17</v>
      </c>
      <c r="M89">
        <v>647.4</v>
      </c>
      <c r="N89">
        <v>1942.2</v>
      </c>
      <c r="O89">
        <v>0.4</v>
      </c>
      <c r="P89">
        <v>776.88</v>
      </c>
      <c r="Q89" t="s">
        <v>51</v>
      </c>
      <c r="R89" t="s">
        <v>48</v>
      </c>
      <c r="S89">
        <v>1</v>
      </c>
      <c r="T89">
        <v>2025</v>
      </c>
      <c r="U89" t="s">
        <v>3080</v>
      </c>
      <c r="V89">
        <v>4</v>
      </c>
      <c r="W89" t="s">
        <v>3096</v>
      </c>
      <c r="X89">
        <v>1165.3200000000002</v>
      </c>
      <c r="Y89" t="s">
        <v>3067</v>
      </c>
      <c r="Z89" t="s">
        <v>3063</v>
      </c>
      <c r="AA89" t="s">
        <v>3079</v>
      </c>
    </row>
    <row r="90" spans="1:27" x14ac:dyDescent="0.3">
      <c r="A90" t="s">
        <v>2309</v>
      </c>
      <c r="B90" s="7">
        <v>45195</v>
      </c>
      <c r="C90" t="s">
        <v>55</v>
      </c>
      <c r="D90" t="s">
        <v>21</v>
      </c>
      <c r="E90" t="s">
        <v>67</v>
      </c>
      <c r="F90" t="s">
        <v>23</v>
      </c>
      <c r="G90" t="s">
        <v>34</v>
      </c>
      <c r="H90" t="s">
        <v>141</v>
      </c>
      <c r="I90" t="s">
        <v>608</v>
      </c>
      <c r="J90">
        <v>2</v>
      </c>
      <c r="K90">
        <v>982</v>
      </c>
      <c r="L90">
        <v>0.01</v>
      </c>
      <c r="M90">
        <v>972.18</v>
      </c>
      <c r="N90">
        <v>1944.36</v>
      </c>
      <c r="O90">
        <v>0.4</v>
      </c>
      <c r="P90">
        <v>777.74</v>
      </c>
      <c r="Q90" t="s">
        <v>37</v>
      </c>
      <c r="R90" t="s">
        <v>48</v>
      </c>
      <c r="S90">
        <v>1</v>
      </c>
      <c r="T90">
        <v>2023</v>
      </c>
      <c r="U90" t="s">
        <v>3097</v>
      </c>
      <c r="V90">
        <v>9</v>
      </c>
      <c r="W90" t="s">
        <v>3107</v>
      </c>
      <c r="X90">
        <v>1166.6199999999999</v>
      </c>
      <c r="Y90" t="s">
        <v>3067</v>
      </c>
      <c r="Z90" t="s">
        <v>3063</v>
      </c>
      <c r="AA90" t="s">
        <v>3079</v>
      </c>
    </row>
    <row r="91" spans="1:27" x14ac:dyDescent="0.3">
      <c r="A91" t="s">
        <v>2062</v>
      </c>
      <c r="B91" s="7">
        <v>44948</v>
      </c>
      <c r="C91" t="s">
        <v>96</v>
      </c>
      <c r="D91" t="s">
        <v>21</v>
      </c>
      <c r="E91" t="s">
        <v>2042</v>
      </c>
      <c r="F91" t="s">
        <v>103</v>
      </c>
      <c r="G91" t="s">
        <v>34</v>
      </c>
      <c r="H91" t="s">
        <v>104</v>
      </c>
      <c r="I91" t="s">
        <v>105</v>
      </c>
      <c r="J91">
        <v>9</v>
      </c>
      <c r="K91">
        <v>221</v>
      </c>
      <c r="L91">
        <v>0.01</v>
      </c>
      <c r="M91">
        <v>218.79</v>
      </c>
      <c r="N91">
        <v>1969.11</v>
      </c>
      <c r="O91">
        <v>0.4</v>
      </c>
      <c r="P91">
        <v>787.64</v>
      </c>
      <c r="Q91" t="s">
        <v>51</v>
      </c>
      <c r="R91" t="s">
        <v>48</v>
      </c>
      <c r="S91">
        <v>9</v>
      </c>
      <c r="T91">
        <v>2023</v>
      </c>
      <c r="U91" t="s">
        <v>3071</v>
      </c>
      <c r="V91">
        <v>1</v>
      </c>
      <c r="W91" t="s">
        <v>3102</v>
      </c>
      <c r="X91">
        <v>1181.4699999999998</v>
      </c>
      <c r="Y91" t="s">
        <v>3077</v>
      </c>
      <c r="Z91" t="s">
        <v>3063</v>
      </c>
      <c r="AA91" t="s">
        <v>3079</v>
      </c>
    </row>
    <row r="92" spans="1:27" x14ac:dyDescent="0.3">
      <c r="A92" t="s">
        <v>2772</v>
      </c>
      <c r="B92" s="7">
        <v>45658</v>
      </c>
      <c r="C92" t="s">
        <v>20</v>
      </c>
      <c r="D92" t="s">
        <v>21</v>
      </c>
      <c r="E92" t="s">
        <v>2040</v>
      </c>
      <c r="F92" t="s">
        <v>97</v>
      </c>
      <c r="G92" t="s">
        <v>34</v>
      </c>
      <c r="H92" t="s">
        <v>35</v>
      </c>
      <c r="I92" t="s">
        <v>1518</v>
      </c>
      <c r="J92">
        <v>2</v>
      </c>
      <c r="K92">
        <v>1351</v>
      </c>
      <c r="L92">
        <v>0.24</v>
      </c>
      <c r="M92">
        <v>1026.76</v>
      </c>
      <c r="N92">
        <v>2053.52</v>
      </c>
      <c r="O92">
        <v>0.4</v>
      </c>
      <c r="P92">
        <v>821.41</v>
      </c>
      <c r="Q92" t="s">
        <v>51</v>
      </c>
      <c r="R92" t="s">
        <v>48</v>
      </c>
      <c r="S92">
        <v>6</v>
      </c>
      <c r="T92">
        <v>2025</v>
      </c>
      <c r="U92" t="s">
        <v>3071</v>
      </c>
      <c r="V92">
        <v>1</v>
      </c>
      <c r="W92" t="s">
        <v>3072</v>
      </c>
      <c r="X92">
        <v>1232.1100000000001</v>
      </c>
      <c r="Y92" t="s">
        <v>3062</v>
      </c>
      <c r="Z92" t="s">
        <v>3063</v>
      </c>
      <c r="AA92" t="s">
        <v>3079</v>
      </c>
    </row>
    <row r="93" spans="1:27" x14ac:dyDescent="0.3">
      <c r="A93" t="s">
        <v>2672</v>
      </c>
      <c r="B93" s="7">
        <v>45558</v>
      </c>
      <c r="C93" t="s">
        <v>30</v>
      </c>
      <c r="D93" t="s">
        <v>21</v>
      </c>
      <c r="E93" t="s">
        <v>67</v>
      </c>
      <c r="F93" t="s">
        <v>43</v>
      </c>
      <c r="G93" t="s">
        <v>92</v>
      </c>
      <c r="H93" t="s">
        <v>93</v>
      </c>
      <c r="I93" t="s">
        <v>1324</v>
      </c>
      <c r="J93">
        <v>6</v>
      </c>
      <c r="K93">
        <v>73530</v>
      </c>
      <c r="L93">
        <v>0.06</v>
      </c>
      <c r="M93">
        <v>69118.2</v>
      </c>
      <c r="N93">
        <v>414709.2</v>
      </c>
      <c r="O93">
        <v>0.15</v>
      </c>
      <c r="P93">
        <v>62206.38</v>
      </c>
      <c r="Q93" t="s">
        <v>27</v>
      </c>
      <c r="R93" t="s">
        <v>48</v>
      </c>
      <c r="S93">
        <v>9</v>
      </c>
      <c r="T93">
        <v>2024</v>
      </c>
      <c r="U93" t="s">
        <v>3097</v>
      </c>
      <c r="V93">
        <v>9</v>
      </c>
      <c r="W93" t="s">
        <v>3098</v>
      </c>
      <c r="X93">
        <v>352502.82</v>
      </c>
      <c r="Y93" t="s">
        <v>3077</v>
      </c>
      <c r="Z93" t="s">
        <v>3063</v>
      </c>
      <c r="AA93" t="s">
        <v>3079</v>
      </c>
    </row>
    <row r="94" spans="1:27" x14ac:dyDescent="0.3">
      <c r="A94" t="s">
        <v>2729</v>
      </c>
      <c r="B94" s="7">
        <v>45615</v>
      </c>
      <c r="C94" t="s">
        <v>96</v>
      </c>
      <c r="D94" t="s">
        <v>21</v>
      </c>
      <c r="E94" t="s">
        <v>42</v>
      </c>
      <c r="F94" t="s">
        <v>68</v>
      </c>
      <c r="G94" t="s">
        <v>92</v>
      </c>
      <c r="H94" t="s">
        <v>243</v>
      </c>
      <c r="I94" t="s">
        <v>1434</v>
      </c>
      <c r="J94">
        <v>6</v>
      </c>
      <c r="K94">
        <v>71332</v>
      </c>
      <c r="L94">
        <v>0.04</v>
      </c>
      <c r="M94">
        <v>68478.720000000001</v>
      </c>
      <c r="N94">
        <v>410872.32000000001</v>
      </c>
      <c r="O94">
        <v>0.15</v>
      </c>
      <c r="P94">
        <v>61630.85</v>
      </c>
      <c r="Q94" t="s">
        <v>37</v>
      </c>
      <c r="R94" t="s">
        <v>48</v>
      </c>
      <c r="S94">
        <v>7</v>
      </c>
      <c r="T94">
        <v>2024</v>
      </c>
      <c r="U94" t="s">
        <v>3060</v>
      </c>
      <c r="V94">
        <v>11</v>
      </c>
      <c r="W94" t="s">
        <v>3100</v>
      </c>
      <c r="X94">
        <v>349241.47000000003</v>
      </c>
      <c r="Y94" t="s">
        <v>3062</v>
      </c>
      <c r="Z94" t="s">
        <v>3063</v>
      </c>
      <c r="AA94" t="s">
        <v>3079</v>
      </c>
    </row>
    <row r="95" spans="1:27" x14ac:dyDescent="0.3">
      <c r="A95" t="s">
        <v>2738</v>
      </c>
      <c r="B95" s="7">
        <v>45624</v>
      </c>
      <c r="C95" t="s">
        <v>55</v>
      </c>
      <c r="D95" t="s">
        <v>21</v>
      </c>
      <c r="E95" t="s">
        <v>2042</v>
      </c>
      <c r="F95" t="s">
        <v>43</v>
      </c>
      <c r="G95" t="s">
        <v>57</v>
      </c>
      <c r="H95" t="s">
        <v>58</v>
      </c>
      <c r="I95" t="s">
        <v>1452</v>
      </c>
      <c r="J95">
        <v>1</v>
      </c>
      <c r="K95">
        <v>4196</v>
      </c>
      <c r="L95">
        <v>0.01</v>
      </c>
      <c r="M95">
        <v>4154.04</v>
      </c>
      <c r="N95">
        <v>4154.04</v>
      </c>
      <c r="O95">
        <v>0.2</v>
      </c>
      <c r="P95">
        <v>830.81</v>
      </c>
      <c r="Q95" t="s">
        <v>27</v>
      </c>
      <c r="R95" t="s">
        <v>48</v>
      </c>
      <c r="S95">
        <v>9</v>
      </c>
      <c r="T95">
        <v>2024</v>
      </c>
      <c r="U95" t="s">
        <v>3060</v>
      </c>
      <c r="V95">
        <v>11</v>
      </c>
      <c r="W95" t="s">
        <v>3100</v>
      </c>
      <c r="X95">
        <v>3323.23</v>
      </c>
      <c r="Y95" t="s">
        <v>3077</v>
      </c>
      <c r="Z95" t="s">
        <v>3063</v>
      </c>
      <c r="AA95" t="s">
        <v>3079</v>
      </c>
    </row>
    <row r="96" spans="1:27" x14ac:dyDescent="0.3">
      <c r="A96" t="s">
        <v>2268</v>
      </c>
      <c r="B96" s="7">
        <v>45154</v>
      </c>
      <c r="C96" t="s">
        <v>20</v>
      </c>
      <c r="D96" t="s">
        <v>21</v>
      </c>
      <c r="E96" t="s">
        <v>2040</v>
      </c>
      <c r="F96" t="s">
        <v>68</v>
      </c>
      <c r="G96" t="s">
        <v>57</v>
      </c>
      <c r="H96" t="s">
        <v>81</v>
      </c>
      <c r="I96" t="s">
        <v>526</v>
      </c>
      <c r="J96">
        <v>1</v>
      </c>
      <c r="K96">
        <v>5553</v>
      </c>
      <c r="L96">
        <v>0.24</v>
      </c>
      <c r="M96">
        <v>4220.28</v>
      </c>
      <c r="N96">
        <v>4220.28</v>
      </c>
      <c r="O96">
        <v>0.2</v>
      </c>
      <c r="P96">
        <v>844.06</v>
      </c>
      <c r="Q96" t="s">
        <v>27</v>
      </c>
      <c r="R96" t="s">
        <v>48</v>
      </c>
      <c r="S96">
        <v>4</v>
      </c>
      <c r="T96">
        <v>2023</v>
      </c>
      <c r="U96" t="s">
        <v>3075</v>
      </c>
      <c r="V96">
        <v>8</v>
      </c>
      <c r="W96" t="s">
        <v>3109</v>
      </c>
      <c r="X96">
        <v>3376.22</v>
      </c>
      <c r="Y96" t="s">
        <v>3062</v>
      </c>
      <c r="Z96" t="s">
        <v>3063</v>
      </c>
      <c r="AA96" t="s">
        <v>3079</v>
      </c>
    </row>
    <row r="97" spans="1:27" x14ac:dyDescent="0.3">
      <c r="A97" t="s">
        <v>3010</v>
      </c>
      <c r="B97" s="7">
        <v>45896</v>
      </c>
      <c r="C97" t="s">
        <v>63</v>
      </c>
      <c r="D97" t="s">
        <v>21</v>
      </c>
      <c r="E97" t="s">
        <v>67</v>
      </c>
      <c r="F97" t="s">
        <v>97</v>
      </c>
      <c r="G97" t="s">
        <v>34</v>
      </c>
      <c r="H97" t="s">
        <v>35</v>
      </c>
      <c r="I97" t="s">
        <v>1979</v>
      </c>
      <c r="J97">
        <v>9</v>
      </c>
      <c r="K97">
        <v>257</v>
      </c>
      <c r="L97">
        <v>0.08</v>
      </c>
      <c r="M97">
        <v>236.44</v>
      </c>
      <c r="N97">
        <v>2127.96</v>
      </c>
      <c r="O97">
        <v>0.4</v>
      </c>
      <c r="P97">
        <v>851.18</v>
      </c>
      <c r="Q97" t="s">
        <v>37</v>
      </c>
      <c r="R97" t="s">
        <v>38</v>
      </c>
      <c r="S97">
        <v>3</v>
      </c>
      <c r="T97">
        <v>2025</v>
      </c>
      <c r="U97" t="s">
        <v>3075</v>
      </c>
      <c r="V97">
        <v>8</v>
      </c>
      <c r="W97" t="s">
        <v>3076</v>
      </c>
      <c r="X97">
        <v>1276.7800000000002</v>
      </c>
      <c r="Y97" t="s">
        <v>3067</v>
      </c>
      <c r="Z97" t="s">
        <v>3063</v>
      </c>
      <c r="AA97" t="s">
        <v>3079</v>
      </c>
    </row>
    <row r="98" spans="1:27" x14ac:dyDescent="0.3">
      <c r="A98" t="s">
        <v>2496</v>
      </c>
      <c r="B98" s="7">
        <v>45382</v>
      </c>
      <c r="C98" t="s">
        <v>20</v>
      </c>
      <c r="D98" t="s">
        <v>41</v>
      </c>
      <c r="E98" t="s">
        <v>2040</v>
      </c>
      <c r="F98" t="s">
        <v>97</v>
      </c>
      <c r="G98" t="s">
        <v>57</v>
      </c>
      <c r="H98" t="s">
        <v>81</v>
      </c>
      <c r="I98" t="s">
        <v>977</v>
      </c>
      <c r="J98">
        <v>1</v>
      </c>
      <c r="K98">
        <v>5267</v>
      </c>
      <c r="L98">
        <v>0.19</v>
      </c>
      <c r="M98">
        <v>4266.2700000000004</v>
      </c>
      <c r="N98">
        <v>4266.2700000000004</v>
      </c>
      <c r="O98">
        <v>0.2</v>
      </c>
      <c r="P98">
        <v>853.25</v>
      </c>
      <c r="Q98" t="s">
        <v>47</v>
      </c>
      <c r="R98" t="s">
        <v>48</v>
      </c>
      <c r="S98">
        <v>6</v>
      </c>
      <c r="T98">
        <v>2024</v>
      </c>
      <c r="U98" t="s">
        <v>3069</v>
      </c>
      <c r="V98">
        <v>3</v>
      </c>
      <c r="W98" t="s">
        <v>3101</v>
      </c>
      <c r="X98">
        <v>3413.0200000000004</v>
      </c>
      <c r="Y98" t="s">
        <v>3062</v>
      </c>
      <c r="Z98" t="s">
        <v>3063</v>
      </c>
      <c r="AA98" t="s">
        <v>3079</v>
      </c>
    </row>
    <row r="99" spans="1:27" x14ac:dyDescent="0.3">
      <c r="A99" t="s">
        <v>3030</v>
      </c>
      <c r="B99" s="7">
        <v>45916</v>
      </c>
      <c r="C99" t="s">
        <v>40</v>
      </c>
      <c r="D99" t="s">
        <v>21</v>
      </c>
      <c r="E99" t="s">
        <v>2040</v>
      </c>
      <c r="F99" t="s">
        <v>97</v>
      </c>
      <c r="G99" t="s">
        <v>57</v>
      </c>
      <c r="H99" t="s">
        <v>81</v>
      </c>
      <c r="I99" t="s">
        <v>2019</v>
      </c>
      <c r="J99">
        <v>1</v>
      </c>
      <c r="K99">
        <v>4551</v>
      </c>
      <c r="L99">
        <v>0.06</v>
      </c>
      <c r="M99">
        <v>4277.9399999999996</v>
      </c>
      <c r="N99">
        <v>4277.9399999999996</v>
      </c>
      <c r="O99">
        <v>0.2</v>
      </c>
      <c r="P99">
        <v>855.59</v>
      </c>
      <c r="Q99" t="s">
        <v>47</v>
      </c>
      <c r="R99" t="s">
        <v>48</v>
      </c>
      <c r="S99">
        <v>1</v>
      </c>
      <c r="T99">
        <v>2025</v>
      </c>
      <c r="U99" t="s">
        <v>3097</v>
      </c>
      <c r="V99">
        <v>9</v>
      </c>
      <c r="W99" t="s">
        <v>3110</v>
      </c>
      <c r="X99">
        <v>3422.3499999999995</v>
      </c>
      <c r="Y99" t="s">
        <v>3067</v>
      </c>
      <c r="Z99" t="s">
        <v>3063</v>
      </c>
      <c r="AA99" t="s">
        <v>3079</v>
      </c>
    </row>
    <row r="100" spans="1:27" x14ac:dyDescent="0.3">
      <c r="A100" t="s">
        <v>2747</v>
      </c>
      <c r="B100" s="7">
        <v>45633</v>
      </c>
      <c r="C100" t="s">
        <v>40</v>
      </c>
      <c r="D100" t="s">
        <v>31</v>
      </c>
      <c r="E100" t="s">
        <v>42</v>
      </c>
      <c r="F100" t="s">
        <v>43</v>
      </c>
      <c r="G100" t="s">
        <v>34</v>
      </c>
      <c r="H100" t="s">
        <v>71</v>
      </c>
      <c r="I100" t="s">
        <v>1469</v>
      </c>
      <c r="J100">
        <v>5</v>
      </c>
      <c r="K100">
        <v>434</v>
      </c>
      <c r="L100">
        <v>0.01</v>
      </c>
      <c r="M100">
        <v>429.66</v>
      </c>
      <c r="N100">
        <v>2148.3000000000002</v>
      </c>
      <c r="O100">
        <v>0.4</v>
      </c>
      <c r="P100">
        <v>859.32</v>
      </c>
      <c r="Q100" t="s">
        <v>47</v>
      </c>
      <c r="R100" t="s">
        <v>38</v>
      </c>
      <c r="S100">
        <v>7</v>
      </c>
      <c r="T100">
        <v>2024</v>
      </c>
      <c r="U100" t="s">
        <v>3086</v>
      </c>
      <c r="V100">
        <v>12</v>
      </c>
      <c r="W100" t="s">
        <v>3087</v>
      </c>
      <c r="X100">
        <v>1288.98</v>
      </c>
      <c r="Y100" t="s">
        <v>3062</v>
      </c>
      <c r="Z100" t="s">
        <v>3063</v>
      </c>
      <c r="AA100" t="s">
        <v>3079</v>
      </c>
    </row>
    <row r="101" spans="1:27" x14ac:dyDescent="0.3">
      <c r="A101" t="s">
        <v>3035</v>
      </c>
      <c r="B101" s="7">
        <v>45921</v>
      </c>
      <c r="C101" t="s">
        <v>96</v>
      </c>
      <c r="D101" t="s">
        <v>56</v>
      </c>
      <c r="E101" t="s">
        <v>42</v>
      </c>
      <c r="F101" t="s">
        <v>68</v>
      </c>
      <c r="G101" t="s">
        <v>34</v>
      </c>
      <c r="H101" t="s">
        <v>141</v>
      </c>
      <c r="I101" t="s">
        <v>2028</v>
      </c>
      <c r="J101">
        <v>6</v>
      </c>
      <c r="K101">
        <v>363</v>
      </c>
      <c r="L101">
        <v>0.01</v>
      </c>
      <c r="M101">
        <v>359.37</v>
      </c>
      <c r="N101">
        <v>2156.2199999999998</v>
      </c>
      <c r="O101">
        <v>0.4</v>
      </c>
      <c r="P101">
        <v>862.49</v>
      </c>
      <c r="Q101" t="s">
        <v>37</v>
      </c>
      <c r="R101" t="s">
        <v>38</v>
      </c>
      <c r="S101">
        <v>8</v>
      </c>
      <c r="T101">
        <v>2025</v>
      </c>
      <c r="U101" t="s">
        <v>3097</v>
      </c>
      <c r="V101">
        <v>9</v>
      </c>
      <c r="W101" t="s">
        <v>3110</v>
      </c>
      <c r="X101">
        <v>1293.7299999999998</v>
      </c>
      <c r="Y101" t="s">
        <v>3077</v>
      </c>
      <c r="Z101" t="s">
        <v>3063</v>
      </c>
      <c r="AA101" t="s">
        <v>3079</v>
      </c>
    </row>
    <row r="102" spans="1:27" x14ac:dyDescent="0.3">
      <c r="A102" t="s">
        <v>2058</v>
      </c>
      <c r="B102" s="7">
        <v>44944</v>
      </c>
      <c r="C102" t="s">
        <v>63</v>
      </c>
      <c r="D102" t="s">
        <v>41</v>
      </c>
      <c r="E102" t="s">
        <v>2040</v>
      </c>
      <c r="F102" t="s">
        <v>68</v>
      </c>
      <c r="G102" t="s">
        <v>34</v>
      </c>
      <c r="H102" t="s">
        <v>71</v>
      </c>
      <c r="I102" t="s">
        <v>90</v>
      </c>
      <c r="J102">
        <v>4</v>
      </c>
      <c r="K102">
        <v>658</v>
      </c>
      <c r="L102">
        <v>0.18</v>
      </c>
      <c r="M102">
        <v>539.55999999999995</v>
      </c>
      <c r="N102">
        <v>2158.2399999999998</v>
      </c>
      <c r="O102">
        <v>0.4</v>
      </c>
      <c r="P102">
        <v>863.3</v>
      </c>
      <c r="Q102" t="s">
        <v>37</v>
      </c>
      <c r="R102" t="s">
        <v>48</v>
      </c>
      <c r="S102">
        <v>6</v>
      </c>
      <c r="T102">
        <v>2023</v>
      </c>
      <c r="U102" t="s">
        <v>3071</v>
      </c>
      <c r="V102">
        <v>1</v>
      </c>
      <c r="W102" t="s">
        <v>3102</v>
      </c>
      <c r="X102">
        <v>1294.9399999999998</v>
      </c>
      <c r="Y102" t="s">
        <v>3062</v>
      </c>
      <c r="Z102" t="s">
        <v>3063</v>
      </c>
      <c r="AA102" t="s">
        <v>3079</v>
      </c>
    </row>
    <row r="103" spans="1:27" x14ac:dyDescent="0.3">
      <c r="A103" t="s">
        <v>2344</v>
      </c>
      <c r="B103" s="7">
        <v>45230</v>
      </c>
      <c r="C103" t="s">
        <v>63</v>
      </c>
      <c r="D103" t="s">
        <v>56</v>
      </c>
      <c r="E103" t="s">
        <v>2042</v>
      </c>
      <c r="F103" t="s">
        <v>68</v>
      </c>
      <c r="G103" t="s">
        <v>34</v>
      </c>
      <c r="H103" t="s">
        <v>71</v>
      </c>
      <c r="I103" t="s">
        <v>677</v>
      </c>
      <c r="J103">
        <v>9</v>
      </c>
      <c r="K103">
        <v>289</v>
      </c>
      <c r="L103">
        <v>0.16</v>
      </c>
      <c r="M103">
        <v>242.76</v>
      </c>
      <c r="N103">
        <v>2184.84</v>
      </c>
      <c r="O103">
        <v>0.4</v>
      </c>
      <c r="P103">
        <v>873.94</v>
      </c>
      <c r="Q103" t="s">
        <v>27</v>
      </c>
      <c r="R103" t="s">
        <v>48</v>
      </c>
      <c r="S103">
        <v>6</v>
      </c>
      <c r="T103">
        <v>2023</v>
      </c>
      <c r="U103" t="s">
        <v>3065</v>
      </c>
      <c r="V103">
        <v>10</v>
      </c>
      <c r="W103" t="s">
        <v>3104</v>
      </c>
      <c r="X103">
        <v>1310.9</v>
      </c>
      <c r="Y103" t="s">
        <v>3062</v>
      </c>
      <c r="Z103" t="s">
        <v>3063</v>
      </c>
      <c r="AA103" t="s">
        <v>3079</v>
      </c>
    </row>
    <row r="104" spans="1:27" x14ac:dyDescent="0.3">
      <c r="A104" t="s">
        <v>2990</v>
      </c>
      <c r="B104" s="7">
        <v>45876</v>
      </c>
      <c r="C104" t="s">
        <v>63</v>
      </c>
      <c r="D104" t="s">
        <v>21</v>
      </c>
      <c r="E104" t="s">
        <v>2042</v>
      </c>
      <c r="F104" t="s">
        <v>97</v>
      </c>
      <c r="G104" t="s">
        <v>92</v>
      </c>
      <c r="H104" t="s">
        <v>93</v>
      </c>
      <c r="I104" t="s">
        <v>1473</v>
      </c>
      <c r="J104">
        <v>9</v>
      </c>
      <c r="K104">
        <v>58777</v>
      </c>
      <c r="L104">
        <v>0.24</v>
      </c>
      <c r="M104">
        <v>44670.52</v>
      </c>
      <c r="N104">
        <v>402034.68</v>
      </c>
      <c r="O104">
        <v>0.15</v>
      </c>
      <c r="P104">
        <v>60305.2</v>
      </c>
      <c r="Q104" t="s">
        <v>37</v>
      </c>
      <c r="R104" t="s">
        <v>48</v>
      </c>
      <c r="S104">
        <v>1</v>
      </c>
      <c r="T104">
        <v>2025</v>
      </c>
      <c r="U104" t="s">
        <v>3075</v>
      </c>
      <c r="V104">
        <v>8</v>
      </c>
      <c r="W104" t="s">
        <v>3076</v>
      </c>
      <c r="X104">
        <v>341729.48</v>
      </c>
      <c r="Y104" t="s">
        <v>3067</v>
      </c>
      <c r="Z104" t="s">
        <v>3063</v>
      </c>
      <c r="AA104" t="s">
        <v>3079</v>
      </c>
    </row>
    <row r="105" spans="1:27" x14ac:dyDescent="0.3">
      <c r="A105" t="s">
        <v>2636</v>
      </c>
      <c r="B105" s="7">
        <v>45522</v>
      </c>
      <c r="C105" t="s">
        <v>30</v>
      </c>
      <c r="D105" t="s">
        <v>21</v>
      </c>
      <c r="E105" t="s">
        <v>67</v>
      </c>
      <c r="F105" t="s">
        <v>43</v>
      </c>
      <c r="G105" t="s">
        <v>34</v>
      </c>
      <c r="H105" t="s">
        <v>141</v>
      </c>
      <c r="I105" t="s">
        <v>1253</v>
      </c>
      <c r="J105">
        <v>3</v>
      </c>
      <c r="K105">
        <v>793</v>
      </c>
      <c r="L105">
        <v>0.08</v>
      </c>
      <c r="M105">
        <v>729.56</v>
      </c>
      <c r="N105">
        <v>2188.6799999999998</v>
      </c>
      <c r="O105">
        <v>0.4</v>
      </c>
      <c r="P105">
        <v>875.47</v>
      </c>
      <c r="Q105" t="s">
        <v>47</v>
      </c>
      <c r="R105" t="s">
        <v>48</v>
      </c>
      <c r="S105">
        <v>6</v>
      </c>
      <c r="T105">
        <v>2024</v>
      </c>
      <c r="U105" t="s">
        <v>3075</v>
      </c>
      <c r="V105">
        <v>8</v>
      </c>
      <c r="W105" t="s">
        <v>3093</v>
      </c>
      <c r="X105">
        <v>1313.2099999999998</v>
      </c>
      <c r="Y105" t="s">
        <v>3062</v>
      </c>
      <c r="Z105" t="s">
        <v>3063</v>
      </c>
      <c r="AA105" t="s">
        <v>3079</v>
      </c>
    </row>
    <row r="106" spans="1:27" x14ac:dyDescent="0.3">
      <c r="A106" t="s">
        <v>2809</v>
      </c>
      <c r="B106" s="7">
        <v>45695</v>
      </c>
      <c r="C106" t="s">
        <v>63</v>
      </c>
      <c r="D106" t="s">
        <v>56</v>
      </c>
      <c r="E106" t="s">
        <v>2040</v>
      </c>
      <c r="F106" t="s">
        <v>43</v>
      </c>
      <c r="G106" t="s">
        <v>34</v>
      </c>
      <c r="H106" t="s">
        <v>35</v>
      </c>
      <c r="I106" t="s">
        <v>1590</v>
      </c>
      <c r="J106">
        <v>6</v>
      </c>
      <c r="K106">
        <v>426</v>
      </c>
      <c r="L106">
        <v>0.13</v>
      </c>
      <c r="M106">
        <v>370.62</v>
      </c>
      <c r="N106">
        <v>2223.7199999999998</v>
      </c>
      <c r="O106">
        <v>0.4</v>
      </c>
      <c r="P106">
        <v>889.49</v>
      </c>
      <c r="Q106" t="s">
        <v>37</v>
      </c>
      <c r="R106" t="s">
        <v>48</v>
      </c>
      <c r="S106">
        <v>3</v>
      </c>
      <c r="T106">
        <v>2025</v>
      </c>
      <c r="U106" t="s">
        <v>3084</v>
      </c>
      <c r="V106">
        <v>2</v>
      </c>
      <c r="W106" t="s">
        <v>3090</v>
      </c>
      <c r="X106">
        <v>1334.2299999999998</v>
      </c>
      <c r="Y106" t="s">
        <v>3067</v>
      </c>
      <c r="Z106" t="s">
        <v>3063</v>
      </c>
      <c r="AA106" t="s">
        <v>3079</v>
      </c>
    </row>
    <row r="107" spans="1:27" x14ac:dyDescent="0.3">
      <c r="A107" t="s">
        <v>2145</v>
      </c>
      <c r="B107" s="7">
        <v>45031</v>
      </c>
      <c r="C107" t="s">
        <v>20</v>
      </c>
      <c r="D107" t="s">
        <v>56</v>
      </c>
      <c r="E107" t="s">
        <v>2040</v>
      </c>
      <c r="F107" t="s">
        <v>97</v>
      </c>
      <c r="G107" t="s">
        <v>92</v>
      </c>
      <c r="H107" t="s">
        <v>93</v>
      </c>
      <c r="I107" t="s">
        <v>280</v>
      </c>
      <c r="J107">
        <v>6</v>
      </c>
      <c r="K107">
        <v>79350</v>
      </c>
      <c r="L107">
        <v>0.17</v>
      </c>
      <c r="M107">
        <v>65860.5</v>
      </c>
      <c r="N107">
        <v>395163</v>
      </c>
      <c r="O107">
        <v>0.15</v>
      </c>
      <c r="P107">
        <v>59274.45</v>
      </c>
      <c r="Q107" t="s">
        <v>27</v>
      </c>
      <c r="R107" t="s">
        <v>48</v>
      </c>
      <c r="S107">
        <v>8</v>
      </c>
      <c r="T107">
        <v>2023</v>
      </c>
      <c r="U107" t="s">
        <v>3080</v>
      </c>
      <c r="V107">
        <v>4</v>
      </c>
      <c r="W107" t="s">
        <v>3081</v>
      </c>
      <c r="X107">
        <v>335888.55</v>
      </c>
      <c r="Y107" t="s">
        <v>3077</v>
      </c>
      <c r="Z107" t="s">
        <v>3063</v>
      </c>
      <c r="AA107" t="s">
        <v>3079</v>
      </c>
    </row>
    <row r="108" spans="1:27" x14ac:dyDescent="0.3">
      <c r="A108" t="s">
        <v>2193</v>
      </c>
      <c r="B108" s="7">
        <v>45079</v>
      </c>
      <c r="C108" t="s">
        <v>20</v>
      </c>
      <c r="D108" t="s">
        <v>41</v>
      </c>
      <c r="E108" t="s">
        <v>2042</v>
      </c>
      <c r="F108" t="s">
        <v>103</v>
      </c>
      <c r="G108" t="s">
        <v>92</v>
      </c>
      <c r="H108" t="s">
        <v>243</v>
      </c>
      <c r="I108" t="s">
        <v>376</v>
      </c>
      <c r="J108">
        <v>8</v>
      </c>
      <c r="K108">
        <v>49030</v>
      </c>
      <c r="L108">
        <v>0</v>
      </c>
      <c r="M108">
        <v>49030</v>
      </c>
      <c r="N108">
        <v>392240</v>
      </c>
      <c r="O108">
        <v>0.15</v>
      </c>
      <c r="P108">
        <v>58836</v>
      </c>
      <c r="Q108" t="s">
        <v>37</v>
      </c>
      <c r="R108" t="s">
        <v>48</v>
      </c>
      <c r="S108">
        <v>1</v>
      </c>
      <c r="T108">
        <v>2023</v>
      </c>
      <c r="U108" t="s">
        <v>3073</v>
      </c>
      <c r="V108">
        <v>6</v>
      </c>
      <c r="W108" t="s">
        <v>3103</v>
      </c>
      <c r="X108">
        <v>333404</v>
      </c>
      <c r="Y108" t="s">
        <v>3067</v>
      </c>
      <c r="Z108" t="s">
        <v>3063</v>
      </c>
      <c r="AA108" t="s">
        <v>3079</v>
      </c>
    </row>
    <row r="109" spans="1:27" x14ac:dyDescent="0.3">
      <c r="A109" t="s">
        <v>2581</v>
      </c>
      <c r="B109" s="7">
        <v>45467</v>
      </c>
      <c r="C109" t="s">
        <v>40</v>
      </c>
      <c r="D109" t="s">
        <v>56</v>
      </c>
      <c r="E109" t="s">
        <v>2042</v>
      </c>
      <c r="F109" t="s">
        <v>33</v>
      </c>
      <c r="G109" t="s">
        <v>92</v>
      </c>
      <c r="H109" t="s">
        <v>243</v>
      </c>
      <c r="I109" t="s">
        <v>1144</v>
      </c>
      <c r="J109">
        <v>7</v>
      </c>
      <c r="K109">
        <v>64823</v>
      </c>
      <c r="L109">
        <v>0.16</v>
      </c>
      <c r="M109">
        <v>54451.32</v>
      </c>
      <c r="N109">
        <v>381159.24</v>
      </c>
      <c r="O109">
        <v>0.15</v>
      </c>
      <c r="P109">
        <v>57173.89</v>
      </c>
      <c r="Q109" t="s">
        <v>37</v>
      </c>
      <c r="R109" t="s">
        <v>48</v>
      </c>
      <c r="S109">
        <v>5</v>
      </c>
      <c r="T109">
        <v>2024</v>
      </c>
      <c r="U109" t="s">
        <v>3073</v>
      </c>
      <c r="V109">
        <v>6</v>
      </c>
      <c r="W109" t="s">
        <v>3074</v>
      </c>
      <c r="X109">
        <v>323985.34999999998</v>
      </c>
      <c r="Y109" t="s">
        <v>3062</v>
      </c>
      <c r="Z109" t="s">
        <v>3063</v>
      </c>
      <c r="AA109" t="s">
        <v>3079</v>
      </c>
    </row>
    <row r="110" spans="1:27" x14ac:dyDescent="0.3">
      <c r="A110" t="s">
        <v>2280</v>
      </c>
      <c r="B110" s="7">
        <v>45166</v>
      </c>
      <c r="C110" t="s">
        <v>55</v>
      </c>
      <c r="D110" t="s">
        <v>56</v>
      </c>
      <c r="E110" t="s">
        <v>2040</v>
      </c>
      <c r="F110" t="s">
        <v>103</v>
      </c>
      <c r="G110" t="s">
        <v>34</v>
      </c>
      <c r="H110" t="s">
        <v>104</v>
      </c>
      <c r="I110" t="s">
        <v>550</v>
      </c>
      <c r="J110">
        <v>8</v>
      </c>
      <c r="K110">
        <v>342</v>
      </c>
      <c r="L110">
        <v>0.17</v>
      </c>
      <c r="M110">
        <v>283.86</v>
      </c>
      <c r="N110">
        <v>2270.88</v>
      </c>
      <c r="O110">
        <v>0.4</v>
      </c>
      <c r="P110">
        <v>908.35</v>
      </c>
      <c r="Q110" t="s">
        <v>51</v>
      </c>
      <c r="R110" t="s">
        <v>28</v>
      </c>
      <c r="S110">
        <v>5</v>
      </c>
      <c r="T110">
        <v>2023</v>
      </c>
      <c r="U110" t="s">
        <v>3075</v>
      </c>
      <c r="V110">
        <v>8</v>
      </c>
      <c r="W110" t="s">
        <v>3109</v>
      </c>
      <c r="X110">
        <v>1362.5300000000002</v>
      </c>
      <c r="Y110" t="s">
        <v>3062</v>
      </c>
      <c r="Z110" t="s">
        <v>3063</v>
      </c>
      <c r="AA110" t="s">
        <v>3079</v>
      </c>
    </row>
    <row r="111" spans="1:27" x14ac:dyDescent="0.3">
      <c r="A111" t="s">
        <v>2603</v>
      </c>
      <c r="B111" s="7">
        <v>45489</v>
      </c>
      <c r="C111" t="s">
        <v>40</v>
      </c>
      <c r="D111" t="s">
        <v>56</v>
      </c>
      <c r="E111" t="s">
        <v>42</v>
      </c>
      <c r="F111" t="s">
        <v>33</v>
      </c>
      <c r="G111" t="s">
        <v>34</v>
      </c>
      <c r="H111" t="s">
        <v>35</v>
      </c>
      <c r="I111" t="s">
        <v>1188</v>
      </c>
      <c r="J111">
        <v>2</v>
      </c>
      <c r="K111">
        <v>1406</v>
      </c>
      <c r="L111">
        <v>0.19</v>
      </c>
      <c r="M111">
        <v>1138.8599999999999</v>
      </c>
      <c r="N111">
        <v>2277.7199999999998</v>
      </c>
      <c r="O111">
        <v>0.4</v>
      </c>
      <c r="P111">
        <v>911.09</v>
      </c>
      <c r="Q111" t="s">
        <v>51</v>
      </c>
      <c r="R111" t="s">
        <v>48</v>
      </c>
      <c r="S111">
        <v>2</v>
      </c>
      <c r="T111">
        <v>2024</v>
      </c>
      <c r="U111" t="s">
        <v>3088</v>
      </c>
      <c r="V111">
        <v>7</v>
      </c>
      <c r="W111" t="s">
        <v>3089</v>
      </c>
      <c r="X111">
        <v>1366.6299999999997</v>
      </c>
      <c r="Y111" t="s">
        <v>3067</v>
      </c>
      <c r="Z111" t="s">
        <v>3063</v>
      </c>
      <c r="AA111" t="s">
        <v>3079</v>
      </c>
    </row>
    <row r="112" spans="1:27" x14ac:dyDescent="0.3">
      <c r="A112" t="s">
        <v>2459</v>
      </c>
      <c r="B112" s="7">
        <v>45345</v>
      </c>
      <c r="C112" t="s">
        <v>40</v>
      </c>
      <c r="D112" t="s">
        <v>41</v>
      </c>
      <c r="E112" t="s">
        <v>2040</v>
      </c>
      <c r="F112" t="s">
        <v>103</v>
      </c>
      <c r="G112" t="s">
        <v>34</v>
      </c>
      <c r="H112" t="s">
        <v>71</v>
      </c>
      <c r="I112" t="s">
        <v>904</v>
      </c>
      <c r="J112">
        <v>5</v>
      </c>
      <c r="K112">
        <v>486</v>
      </c>
      <c r="L112">
        <v>0.06</v>
      </c>
      <c r="M112">
        <v>456.84</v>
      </c>
      <c r="N112">
        <v>2284.1999999999998</v>
      </c>
      <c r="O112">
        <v>0.4</v>
      </c>
      <c r="P112">
        <v>913.68</v>
      </c>
      <c r="Q112" t="s">
        <v>27</v>
      </c>
      <c r="R112" t="s">
        <v>48</v>
      </c>
      <c r="S112">
        <v>3</v>
      </c>
      <c r="T112">
        <v>2024</v>
      </c>
      <c r="U112" t="s">
        <v>3084</v>
      </c>
      <c r="V112">
        <v>2</v>
      </c>
      <c r="W112" t="s">
        <v>3085</v>
      </c>
      <c r="X112">
        <v>1370.52</v>
      </c>
      <c r="Y112" t="s">
        <v>3067</v>
      </c>
      <c r="Z112" t="s">
        <v>3063</v>
      </c>
      <c r="AA112" t="s">
        <v>3079</v>
      </c>
    </row>
    <row r="113" spans="1:27" x14ac:dyDescent="0.3">
      <c r="A113" t="s">
        <v>2125</v>
      </c>
      <c r="B113" s="7">
        <v>45011</v>
      </c>
      <c r="C113" t="s">
        <v>20</v>
      </c>
      <c r="D113" t="s">
        <v>41</v>
      </c>
      <c r="E113" t="s">
        <v>67</v>
      </c>
      <c r="F113" t="s">
        <v>103</v>
      </c>
      <c r="G113" t="s">
        <v>92</v>
      </c>
      <c r="H113" t="s">
        <v>109</v>
      </c>
      <c r="I113" t="s">
        <v>239</v>
      </c>
      <c r="J113">
        <v>7</v>
      </c>
      <c r="K113">
        <v>58364</v>
      </c>
      <c r="L113">
        <v>7.0000000000000007E-2</v>
      </c>
      <c r="M113">
        <v>54278.52</v>
      </c>
      <c r="N113">
        <v>379949.64</v>
      </c>
      <c r="O113">
        <v>0.15</v>
      </c>
      <c r="P113">
        <v>56992.45</v>
      </c>
      <c r="Q113" t="s">
        <v>37</v>
      </c>
      <c r="R113" t="s">
        <v>48</v>
      </c>
      <c r="S113">
        <v>9</v>
      </c>
      <c r="T113">
        <v>2023</v>
      </c>
      <c r="U113" t="s">
        <v>3069</v>
      </c>
      <c r="V113">
        <v>3</v>
      </c>
      <c r="W113" t="s">
        <v>3082</v>
      </c>
      <c r="X113">
        <v>322957.19</v>
      </c>
      <c r="Y113" t="s">
        <v>3077</v>
      </c>
      <c r="Z113" t="s">
        <v>3063</v>
      </c>
      <c r="AA113" t="s">
        <v>3079</v>
      </c>
    </row>
    <row r="114" spans="1:27" x14ac:dyDescent="0.3">
      <c r="A114" t="s">
        <v>2975</v>
      </c>
      <c r="B114" s="7">
        <v>45861</v>
      </c>
      <c r="C114" t="s">
        <v>20</v>
      </c>
      <c r="D114" t="s">
        <v>56</v>
      </c>
      <c r="E114" t="s">
        <v>67</v>
      </c>
      <c r="F114" t="s">
        <v>23</v>
      </c>
      <c r="G114" t="s">
        <v>34</v>
      </c>
      <c r="H114" t="s">
        <v>104</v>
      </c>
      <c r="I114" t="s">
        <v>1913</v>
      </c>
      <c r="J114">
        <v>4</v>
      </c>
      <c r="K114">
        <v>728</v>
      </c>
      <c r="L114">
        <v>0.21</v>
      </c>
      <c r="M114">
        <v>575.12</v>
      </c>
      <c r="N114">
        <v>2300.48</v>
      </c>
      <c r="O114">
        <v>0.4</v>
      </c>
      <c r="P114">
        <v>920.19</v>
      </c>
      <c r="Q114" t="s">
        <v>51</v>
      </c>
      <c r="R114" t="s">
        <v>28</v>
      </c>
      <c r="S114">
        <v>6</v>
      </c>
      <c r="T114">
        <v>2025</v>
      </c>
      <c r="U114" t="s">
        <v>3088</v>
      </c>
      <c r="V114">
        <v>7</v>
      </c>
      <c r="W114" t="s">
        <v>3094</v>
      </c>
      <c r="X114">
        <v>1380.29</v>
      </c>
      <c r="Y114" t="s">
        <v>3062</v>
      </c>
      <c r="Z114" t="s">
        <v>3063</v>
      </c>
      <c r="AA114" t="s">
        <v>3079</v>
      </c>
    </row>
    <row r="115" spans="1:27" x14ac:dyDescent="0.3">
      <c r="A115" t="s">
        <v>2694</v>
      </c>
      <c r="B115" s="7">
        <v>45580</v>
      </c>
      <c r="C115" t="s">
        <v>63</v>
      </c>
      <c r="D115" t="s">
        <v>31</v>
      </c>
      <c r="E115" t="s">
        <v>2040</v>
      </c>
      <c r="F115" t="s">
        <v>23</v>
      </c>
      <c r="G115" t="s">
        <v>34</v>
      </c>
      <c r="H115" t="s">
        <v>141</v>
      </c>
      <c r="I115" t="s">
        <v>1366</v>
      </c>
      <c r="J115">
        <v>2</v>
      </c>
      <c r="K115">
        <v>1446</v>
      </c>
      <c r="L115">
        <v>0.2</v>
      </c>
      <c r="M115">
        <v>1156.8</v>
      </c>
      <c r="N115">
        <v>2313.6</v>
      </c>
      <c r="O115">
        <v>0.4</v>
      </c>
      <c r="P115">
        <v>925.44</v>
      </c>
      <c r="Q115" t="s">
        <v>27</v>
      </c>
      <c r="R115" t="s">
        <v>48</v>
      </c>
      <c r="S115">
        <v>7</v>
      </c>
      <c r="T115">
        <v>2024</v>
      </c>
      <c r="U115" t="s">
        <v>3065</v>
      </c>
      <c r="V115">
        <v>10</v>
      </c>
      <c r="W115" t="s">
        <v>3066</v>
      </c>
      <c r="X115">
        <v>1388.1599999999999</v>
      </c>
      <c r="Y115" t="s">
        <v>3062</v>
      </c>
      <c r="Z115" t="s">
        <v>3063</v>
      </c>
      <c r="AA115" t="s">
        <v>3079</v>
      </c>
    </row>
    <row r="116" spans="1:27" x14ac:dyDescent="0.3">
      <c r="A116" t="s">
        <v>2347</v>
      </c>
      <c r="B116" s="7">
        <v>45233</v>
      </c>
      <c r="C116" t="s">
        <v>63</v>
      </c>
      <c r="D116" t="s">
        <v>41</v>
      </c>
      <c r="E116" t="s">
        <v>2040</v>
      </c>
      <c r="F116" t="s">
        <v>33</v>
      </c>
      <c r="G116" t="s">
        <v>92</v>
      </c>
      <c r="H116" t="s">
        <v>178</v>
      </c>
      <c r="I116" t="s">
        <v>682</v>
      </c>
      <c r="J116">
        <v>7</v>
      </c>
      <c r="K116">
        <v>54139</v>
      </c>
      <c r="L116">
        <v>0</v>
      </c>
      <c r="M116">
        <v>54139</v>
      </c>
      <c r="N116">
        <v>378973</v>
      </c>
      <c r="O116">
        <v>0.15</v>
      </c>
      <c r="P116">
        <v>56845.95</v>
      </c>
      <c r="Q116" t="s">
        <v>37</v>
      </c>
      <c r="R116" t="s">
        <v>48</v>
      </c>
      <c r="S116">
        <v>3</v>
      </c>
      <c r="T116">
        <v>2023</v>
      </c>
      <c r="U116" t="s">
        <v>3060</v>
      </c>
      <c r="V116">
        <v>11</v>
      </c>
      <c r="W116" t="s">
        <v>3061</v>
      </c>
      <c r="X116">
        <v>322127.05</v>
      </c>
      <c r="Y116" t="s">
        <v>3067</v>
      </c>
      <c r="Z116" t="s">
        <v>3063</v>
      </c>
      <c r="AA116" t="s">
        <v>3079</v>
      </c>
    </row>
    <row r="117" spans="1:27" x14ac:dyDescent="0.3">
      <c r="A117" t="s">
        <v>2044</v>
      </c>
      <c r="B117" s="7">
        <v>44930</v>
      </c>
      <c r="C117" t="s">
        <v>20</v>
      </c>
      <c r="D117" t="s">
        <v>41</v>
      </c>
      <c r="E117" t="s">
        <v>2040</v>
      </c>
      <c r="F117" t="s">
        <v>43</v>
      </c>
      <c r="G117" t="s">
        <v>34</v>
      </c>
      <c r="H117" t="s">
        <v>35</v>
      </c>
      <c r="I117" t="s">
        <v>50</v>
      </c>
      <c r="J117">
        <v>6</v>
      </c>
      <c r="K117">
        <v>516</v>
      </c>
      <c r="L117">
        <v>0.24</v>
      </c>
      <c r="M117">
        <v>392.16</v>
      </c>
      <c r="N117">
        <v>2352.96</v>
      </c>
      <c r="O117">
        <v>0.4</v>
      </c>
      <c r="P117">
        <v>941.18</v>
      </c>
      <c r="Q117" t="s">
        <v>51</v>
      </c>
      <c r="R117" t="s">
        <v>38</v>
      </c>
      <c r="S117">
        <v>9</v>
      </c>
      <c r="T117">
        <v>2023</v>
      </c>
      <c r="U117" t="s">
        <v>3071</v>
      </c>
      <c r="V117">
        <v>1</v>
      </c>
      <c r="W117" t="s">
        <v>3102</v>
      </c>
      <c r="X117">
        <v>1411.7800000000002</v>
      </c>
      <c r="Y117" t="s">
        <v>3077</v>
      </c>
      <c r="Z117" t="s">
        <v>3063</v>
      </c>
      <c r="AA117" t="s">
        <v>3079</v>
      </c>
    </row>
    <row r="118" spans="1:27" x14ac:dyDescent="0.3">
      <c r="A118" t="s">
        <v>2837</v>
      </c>
      <c r="B118" s="7">
        <v>45723</v>
      </c>
      <c r="C118" t="s">
        <v>40</v>
      </c>
      <c r="D118" t="s">
        <v>56</v>
      </c>
      <c r="E118" t="s">
        <v>2042</v>
      </c>
      <c r="F118" t="s">
        <v>97</v>
      </c>
      <c r="G118" t="s">
        <v>34</v>
      </c>
      <c r="H118" t="s">
        <v>71</v>
      </c>
      <c r="I118" t="s">
        <v>1645</v>
      </c>
      <c r="J118">
        <v>7</v>
      </c>
      <c r="K118">
        <v>410</v>
      </c>
      <c r="L118">
        <v>0.18</v>
      </c>
      <c r="M118">
        <v>336.2</v>
      </c>
      <c r="N118">
        <v>2353.4</v>
      </c>
      <c r="O118">
        <v>0.4</v>
      </c>
      <c r="P118">
        <v>941.36</v>
      </c>
      <c r="Q118" t="s">
        <v>47</v>
      </c>
      <c r="R118" t="s">
        <v>48</v>
      </c>
      <c r="S118">
        <v>6</v>
      </c>
      <c r="T118">
        <v>2025</v>
      </c>
      <c r="U118" t="s">
        <v>3069</v>
      </c>
      <c r="V118">
        <v>3</v>
      </c>
      <c r="W118" t="s">
        <v>3070</v>
      </c>
      <c r="X118">
        <v>1412.04</v>
      </c>
      <c r="Y118" t="s">
        <v>3062</v>
      </c>
      <c r="Z118" t="s">
        <v>3063</v>
      </c>
      <c r="AA118" t="s">
        <v>3079</v>
      </c>
    </row>
    <row r="119" spans="1:27" x14ac:dyDescent="0.3">
      <c r="A119" t="s">
        <v>2558</v>
      </c>
      <c r="B119" s="7">
        <v>45444</v>
      </c>
      <c r="C119" t="s">
        <v>63</v>
      </c>
      <c r="D119" t="s">
        <v>21</v>
      </c>
      <c r="E119" t="s">
        <v>2042</v>
      </c>
      <c r="F119" t="s">
        <v>23</v>
      </c>
      <c r="G119" t="s">
        <v>34</v>
      </c>
      <c r="H119" t="s">
        <v>141</v>
      </c>
      <c r="I119" t="s">
        <v>1099</v>
      </c>
      <c r="J119">
        <v>3</v>
      </c>
      <c r="K119">
        <v>862</v>
      </c>
      <c r="L119">
        <v>7.0000000000000007E-2</v>
      </c>
      <c r="M119">
        <v>801.66</v>
      </c>
      <c r="N119">
        <v>2404.98</v>
      </c>
      <c r="O119">
        <v>0.4</v>
      </c>
      <c r="P119">
        <v>961.99</v>
      </c>
      <c r="Q119" t="s">
        <v>51</v>
      </c>
      <c r="R119" t="s">
        <v>38</v>
      </c>
      <c r="S119">
        <v>5</v>
      </c>
      <c r="T119">
        <v>2024</v>
      </c>
      <c r="U119" t="s">
        <v>3073</v>
      </c>
      <c r="V119">
        <v>6</v>
      </c>
      <c r="W119" t="s">
        <v>3074</v>
      </c>
      <c r="X119">
        <v>1442.99</v>
      </c>
      <c r="Y119" t="s">
        <v>3062</v>
      </c>
      <c r="Z119" t="s">
        <v>3063</v>
      </c>
      <c r="AA119" t="s">
        <v>3079</v>
      </c>
    </row>
    <row r="120" spans="1:27" x14ac:dyDescent="0.3">
      <c r="A120" t="s">
        <v>2254</v>
      </c>
      <c r="B120" s="7">
        <v>45140</v>
      </c>
      <c r="C120" t="s">
        <v>20</v>
      </c>
      <c r="D120" t="s">
        <v>41</v>
      </c>
      <c r="E120" t="s">
        <v>2040</v>
      </c>
      <c r="F120" t="s">
        <v>68</v>
      </c>
      <c r="G120" t="s">
        <v>57</v>
      </c>
      <c r="H120" t="s">
        <v>81</v>
      </c>
      <c r="I120" t="s">
        <v>498</v>
      </c>
      <c r="J120">
        <v>1</v>
      </c>
      <c r="K120">
        <v>6033</v>
      </c>
      <c r="L120">
        <v>0.2</v>
      </c>
      <c r="M120">
        <v>4826.3999999999996</v>
      </c>
      <c r="N120">
        <v>4826.3999999999996</v>
      </c>
      <c r="O120">
        <v>0.2</v>
      </c>
      <c r="P120">
        <v>965.28</v>
      </c>
      <c r="Q120" t="s">
        <v>37</v>
      </c>
      <c r="R120" t="s">
        <v>48</v>
      </c>
      <c r="S120">
        <v>1</v>
      </c>
      <c r="T120">
        <v>2023</v>
      </c>
      <c r="U120" t="s">
        <v>3075</v>
      </c>
      <c r="V120">
        <v>8</v>
      </c>
      <c r="W120" t="s">
        <v>3109</v>
      </c>
      <c r="X120">
        <v>3861.12</v>
      </c>
      <c r="Y120" t="s">
        <v>3067</v>
      </c>
      <c r="Z120" t="s">
        <v>3063</v>
      </c>
      <c r="AA120" t="s">
        <v>3079</v>
      </c>
    </row>
    <row r="121" spans="1:27" x14ac:dyDescent="0.3">
      <c r="A121" t="s">
        <v>2959</v>
      </c>
      <c r="B121" s="7">
        <v>45845</v>
      </c>
      <c r="C121" t="s">
        <v>40</v>
      </c>
      <c r="D121" t="s">
        <v>21</v>
      </c>
      <c r="E121" t="s">
        <v>42</v>
      </c>
      <c r="F121" t="s">
        <v>103</v>
      </c>
      <c r="G121" t="s">
        <v>34</v>
      </c>
      <c r="H121" t="s">
        <v>35</v>
      </c>
      <c r="I121" t="s">
        <v>1883</v>
      </c>
      <c r="J121">
        <v>4</v>
      </c>
      <c r="K121">
        <v>644</v>
      </c>
      <c r="L121">
        <v>0.06</v>
      </c>
      <c r="M121">
        <v>605.36</v>
      </c>
      <c r="N121">
        <v>2421.44</v>
      </c>
      <c r="O121">
        <v>0.4</v>
      </c>
      <c r="P121">
        <v>968.58</v>
      </c>
      <c r="Q121" t="s">
        <v>51</v>
      </c>
      <c r="R121" t="s">
        <v>48</v>
      </c>
      <c r="S121">
        <v>6</v>
      </c>
      <c r="T121">
        <v>2025</v>
      </c>
      <c r="U121" t="s">
        <v>3088</v>
      </c>
      <c r="V121">
        <v>7</v>
      </c>
      <c r="W121" t="s">
        <v>3094</v>
      </c>
      <c r="X121">
        <v>1452.8600000000001</v>
      </c>
      <c r="Y121" t="s">
        <v>3062</v>
      </c>
      <c r="Z121" t="s">
        <v>3063</v>
      </c>
      <c r="AA121" t="s">
        <v>3079</v>
      </c>
    </row>
    <row r="122" spans="1:27" x14ac:dyDescent="0.3">
      <c r="A122" t="s">
        <v>2978</v>
      </c>
      <c r="B122" s="7">
        <v>45864</v>
      </c>
      <c r="C122" t="s">
        <v>40</v>
      </c>
      <c r="D122" t="s">
        <v>31</v>
      </c>
      <c r="E122" t="s">
        <v>2042</v>
      </c>
      <c r="F122" t="s">
        <v>43</v>
      </c>
      <c r="G122" t="s">
        <v>92</v>
      </c>
      <c r="H122" t="s">
        <v>93</v>
      </c>
      <c r="I122" t="s">
        <v>1919</v>
      </c>
      <c r="J122">
        <v>6</v>
      </c>
      <c r="K122">
        <v>79184</v>
      </c>
      <c r="L122">
        <v>0.23</v>
      </c>
      <c r="M122">
        <v>60971.68</v>
      </c>
      <c r="N122">
        <v>365830.08</v>
      </c>
      <c r="O122">
        <v>0.15</v>
      </c>
      <c r="P122">
        <v>54874.51</v>
      </c>
      <c r="Q122" t="s">
        <v>27</v>
      </c>
      <c r="R122" t="s">
        <v>48</v>
      </c>
      <c r="S122">
        <v>1</v>
      </c>
      <c r="T122">
        <v>2025</v>
      </c>
      <c r="U122" t="s">
        <v>3088</v>
      </c>
      <c r="V122">
        <v>7</v>
      </c>
      <c r="W122" t="s">
        <v>3094</v>
      </c>
      <c r="X122">
        <v>310955.57</v>
      </c>
      <c r="Y122" t="s">
        <v>3067</v>
      </c>
      <c r="Z122" t="s">
        <v>3063</v>
      </c>
      <c r="AA122" t="s">
        <v>3079</v>
      </c>
    </row>
    <row r="123" spans="1:27" x14ac:dyDescent="0.3">
      <c r="A123" t="s">
        <v>2906</v>
      </c>
      <c r="B123" s="7">
        <v>45792</v>
      </c>
      <c r="C123" t="s">
        <v>55</v>
      </c>
      <c r="D123" t="s">
        <v>21</v>
      </c>
      <c r="E123" t="s">
        <v>67</v>
      </c>
      <c r="F123" t="s">
        <v>68</v>
      </c>
      <c r="G123" t="s">
        <v>34</v>
      </c>
      <c r="H123" t="s">
        <v>71</v>
      </c>
      <c r="I123" t="s">
        <v>1782</v>
      </c>
      <c r="J123">
        <v>7</v>
      </c>
      <c r="K123">
        <v>387</v>
      </c>
      <c r="L123">
        <v>0.1</v>
      </c>
      <c r="M123">
        <v>348.3</v>
      </c>
      <c r="N123">
        <v>2438.1</v>
      </c>
      <c r="O123">
        <v>0.4</v>
      </c>
      <c r="P123">
        <v>975.24</v>
      </c>
      <c r="Q123" t="s">
        <v>37</v>
      </c>
      <c r="R123" t="s">
        <v>48</v>
      </c>
      <c r="S123">
        <v>2</v>
      </c>
      <c r="T123">
        <v>2025</v>
      </c>
      <c r="U123" t="s">
        <v>3091</v>
      </c>
      <c r="V123">
        <v>5</v>
      </c>
      <c r="W123" t="s">
        <v>3106</v>
      </c>
      <c r="X123">
        <v>1462.86</v>
      </c>
      <c r="Y123" t="s">
        <v>3067</v>
      </c>
      <c r="Z123" t="s">
        <v>3063</v>
      </c>
      <c r="AA123" t="s">
        <v>3079</v>
      </c>
    </row>
    <row r="124" spans="1:27" x14ac:dyDescent="0.3">
      <c r="A124" t="s">
        <v>2731</v>
      </c>
      <c r="B124" s="7">
        <v>45617</v>
      </c>
      <c r="C124" t="s">
        <v>63</v>
      </c>
      <c r="D124" t="s">
        <v>21</v>
      </c>
      <c r="E124" t="s">
        <v>42</v>
      </c>
      <c r="F124" t="s">
        <v>103</v>
      </c>
      <c r="G124" t="s">
        <v>34</v>
      </c>
      <c r="H124" t="s">
        <v>35</v>
      </c>
      <c r="I124" t="s">
        <v>1438</v>
      </c>
      <c r="J124">
        <v>8</v>
      </c>
      <c r="K124">
        <v>321</v>
      </c>
      <c r="L124">
        <v>0.05</v>
      </c>
      <c r="M124">
        <v>304.95</v>
      </c>
      <c r="N124">
        <v>2439.6</v>
      </c>
      <c r="O124">
        <v>0.4</v>
      </c>
      <c r="P124">
        <v>975.84</v>
      </c>
      <c r="Q124" t="s">
        <v>47</v>
      </c>
      <c r="R124" t="s">
        <v>48</v>
      </c>
      <c r="S124">
        <v>5</v>
      </c>
      <c r="T124">
        <v>2024</v>
      </c>
      <c r="U124" t="s">
        <v>3060</v>
      </c>
      <c r="V124">
        <v>11</v>
      </c>
      <c r="W124" t="s">
        <v>3100</v>
      </c>
      <c r="X124">
        <v>1463.7599999999998</v>
      </c>
      <c r="Y124" t="s">
        <v>3062</v>
      </c>
      <c r="Z124" t="s">
        <v>3063</v>
      </c>
      <c r="AA124" t="s">
        <v>3079</v>
      </c>
    </row>
    <row r="125" spans="1:27" x14ac:dyDescent="0.3">
      <c r="A125" t="s">
        <v>2276</v>
      </c>
      <c r="B125" s="7">
        <v>45162</v>
      </c>
      <c r="C125" t="s">
        <v>55</v>
      </c>
      <c r="D125" t="s">
        <v>31</v>
      </c>
      <c r="E125" t="s">
        <v>42</v>
      </c>
      <c r="F125" t="s">
        <v>103</v>
      </c>
      <c r="G125" t="s">
        <v>57</v>
      </c>
      <c r="H125" t="s">
        <v>100</v>
      </c>
      <c r="I125" t="s">
        <v>542</v>
      </c>
      <c r="J125">
        <v>1</v>
      </c>
      <c r="K125">
        <v>5726</v>
      </c>
      <c r="L125">
        <v>0.14000000000000001</v>
      </c>
      <c r="M125">
        <v>4924.3599999999997</v>
      </c>
      <c r="N125">
        <v>4924.3599999999997</v>
      </c>
      <c r="O125">
        <v>0.2</v>
      </c>
      <c r="P125">
        <v>984.87</v>
      </c>
      <c r="Q125" t="s">
        <v>51</v>
      </c>
      <c r="R125" t="s">
        <v>38</v>
      </c>
      <c r="S125">
        <v>3</v>
      </c>
      <c r="T125">
        <v>2023</v>
      </c>
      <c r="U125" t="s">
        <v>3075</v>
      </c>
      <c r="V125">
        <v>8</v>
      </c>
      <c r="W125" t="s">
        <v>3109</v>
      </c>
      <c r="X125">
        <v>3939.49</v>
      </c>
      <c r="Y125" t="s">
        <v>3067</v>
      </c>
      <c r="Z125" t="s">
        <v>3063</v>
      </c>
      <c r="AA125" t="s">
        <v>3079</v>
      </c>
    </row>
    <row r="126" spans="1:27" x14ac:dyDescent="0.3">
      <c r="A126" t="s">
        <v>2745</v>
      </c>
      <c r="B126" s="7">
        <v>45631</v>
      </c>
      <c r="C126" t="s">
        <v>40</v>
      </c>
      <c r="D126" t="s">
        <v>21</v>
      </c>
      <c r="E126" t="s">
        <v>42</v>
      </c>
      <c r="F126" t="s">
        <v>33</v>
      </c>
      <c r="G126" t="s">
        <v>92</v>
      </c>
      <c r="H126" t="s">
        <v>93</v>
      </c>
      <c r="I126" t="s">
        <v>1466</v>
      </c>
      <c r="J126">
        <v>6</v>
      </c>
      <c r="K126">
        <v>67941</v>
      </c>
      <c r="L126">
        <v>0.11</v>
      </c>
      <c r="M126">
        <v>60467.49</v>
      </c>
      <c r="N126">
        <v>362804.94</v>
      </c>
      <c r="O126">
        <v>0.15</v>
      </c>
      <c r="P126">
        <v>54420.74</v>
      </c>
      <c r="Q126" t="s">
        <v>27</v>
      </c>
      <c r="R126" t="s">
        <v>48</v>
      </c>
      <c r="S126">
        <v>9</v>
      </c>
      <c r="T126">
        <v>2024</v>
      </c>
      <c r="U126" t="s">
        <v>3086</v>
      </c>
      <c r="V126">
        <v>12</v>
      </c>
      <c r="W126" t="s">
        <v>3087</v>
      </c>
      <c r="X126">
        <v>308384.2</v>
      </c>
      <c r="Y126" t="s">
        <v>3077</v>
      </c>
      <c r="Z126" t="s">
        <v>3063</v>
      </c>
      <c r="AA126" t="s">
        <v>3079</v>
      </c>
    </row>
    <row r="127" spans="1:27" x14ac:dyDescent="0.3">
      <c r="A127" t="s">
        <v>2065</v>
      </c>
      <c r="B127" s="7">
        <v>44951</v>
      </c>
      <c r="C127" t="s">
        <v>55</v>
      </c>
      <c r="D127" t="s">
        <v>56</v>
      </c>
      <c r="E127" t="s">
        <v>42</v>
      </c>
      <c r="F127" t="s">
        <v>68</v>
      </c>
      <c r="G127" t="s">
        <v>92</v>
      </c>
      <c r="H127" t="s">
        <v>109</v>
      </c>
      <c r="I127" t="s">
        <v>112</v>
      </c>
      <c r="J127">
        <v>7</v>
      </c>
      <c r="K127">
        <v>66446</v>
      </c>
      <c r="L127">
        <v>0.22</v>
      </c>
      <c r="M127">
        <v>51827.88</v>
      </c>
      <c r="N127">
        <v>362795.16</v>
      </c>
      <c r="O127">
        <v>0.15</v>
      </c>
      <c r="P127">
        <v>54419.27</v>
      </c>
      <c r="Q127" t="s">
        <v>37</v>
      </c>
      <c r="R127" t="s">
        <v>48</v>
      </c>
      <c r="S127">
        <v>2</v>
      </c>
      <c r="T127">
        <v>2023</v>
      </c>
      <c r="U127" t="s">
        <v>3071</v>
      </c>
      <c r="V127">
        <v>1</v>
      </c>
      <c r="W127" t="s">
        <v>3102</v>
      </c>
      <c r="X127">
        <v>308375.88999999996</v>
      </c>
      <c r="Y127" t="s">
        <v>3067</v>
      </c>
      <c r="Z127" t="s">
        <v>3063</v>
      </c>
      <c r="AA127" t="s">
        <v>3079</v>
      </c>
    </row>
    <row r="128" spans="1:27" x14ac:dyDescent="0.3">
      <c r="A128" t="s">
        <v>2464</v>
      </c>
      <c r="B128" s="7">
        <v>45350</v>
      </c>
      <c r="C128" t="s">
        <v>55</v>
      </c>
      <c r="D128" t="s">
        <v>56</v>
      </c>
      <c r="E128" t="s">
        <v>2040</v>
      </c>
      <c r="F128" t="s">
        <v>97</v>
      </c>
      <c r="G128" t="s">
        <v>57</v>
      </c>
      <c r="H128" t="s">
        <v>100</v>
      </c>
      <c r="I128" t="s">
        <v>914</v>
      </c>
      <c r="J128">
        <v>1</v>
      </c>
      <c r="K128">
        <v>5083</v>
      </c>
      <c r="L128">
        <v>0.01</v>
      </c>
      <c r="M128">
        <v>5032.17</v>
      </c>
      <c r="N128">
        <v>5032.17</v>
      </c>
      <c r="O128">
        <v>0.2</v>
      </c>
      <c r="P128">
        <v>1006.43</v>
      </c>
      <c r="Q128" t="s">
        <v>47</v>
      </c>
      <c r="R128" t="s">
        <v>48</v>
      </c>
      <c r="S128">
        <v>4</v>
      </c>
      <c r="T128">
        <v>2024</v>
      </c>
      <c r="U128" t="s">
        <v>3084</v>
      </c>
      <c r="V128">
        <v>2</v>
      </c>
      <c r="W128" t="s">
        <v>3085</v>
      </c>
      <c r="X128">
        <v>4025.7400000000002</v>
      </c>
      <c r="Y128" t="s">
        <v>3062</v>
      </c>
      <c r="Z128" t="s">
        <v>3063</v>
      </c>
      <c r="AA128" t="s">
        <v>3079</v>
      </c>
    </row>
    <row r="129" spans="1:27" x14ac:dyDescent="0.3">
      <c r="A129" t="s">
        <v>2469</v>
      </c>
      <c r="B129" s="7">
        <v>45355</v>
      </c>
      <c r="C129" t="s">
        <v>40</v>
      </c>
      <c r="D129" t="s">
        <v>31</v>
      </c>
      <c r="E129" t="s">
        <v>42</v>
      </c>
      <c r="F129" t="s">
        <v>68</v>
      </c>
      <c r="G129" t="s">
        <v>34</v>
      </c>
      <c r="H129" t="s">
        <v>71</v>
      </c>
      <c r="I129" t="s">
        <v>924</v>
      </c>
      <c r="J129">
        <v>5</v>
      </c>
      <c r="K129">
        <v>547</v>
      </c>
      <c r="L129">
        <v>0.08</v>
      </c>
      <c r="M129">
        <v>503.24</v>
      </c>
      <c r="N129">
        <v>2516.1999999999998</v>
      </c>
      <c r="O129">
        <v>0.4</v>
      </c>
      <c r="P129">
        <v>1006.48</v>
      </c>
      <c r="Q129" t="s">
        <v>51</v>
      </c>
      <c r="R129" t="s">
        <v>38</v>
      </c>
      <c r="S129">
        <v>9</v>
      </c>
      <c r="T129">
        <v>2024</v>
      </c>
      <c r="U129" t="s">
        <v>3069</v>
      </c>
      <c r="V129">
        <v>3</v>
      </c>
      <c r="W129" t="s">
        <v>3101</v>
      </c>
      <c r="X129">
        <v>1509.7199999999998</v>
      </c>
      <c r="Y129" t="s">
        <v>3077</v>
      </c>
      <c r="Z129" t="s">
        <v>3063</v>
      </c>
      <c r="AA129" t="s">
        <v>3079</v>
      </c>
    </row>
    <row r="130" spans="1:27" x14ac:dyDescent="0.3">
      <c r="A130" t="s">
        <v>2922</v>
      </c>
      <c r="B130" s="7">
        <v>45808</v>
      </c>
      <c r="C130" t="s">
        <v>96</v>
      </c>
      <c r="D130" t="s">
        <v>21</v>
      </c>
      <c r="E130" t="s">
        <v>42</v>
      </c>
      <c r="F130" t="s">
        <v>33</v>
      </c>
      <c r="G130" t="s">
        <v>34</v>
      </c>
      <c r="H130" t="s">
        <v>35</v>
      </c>
      <c r="I130" t="s">
        <v>1813</v>
      </c>
      <c r="J130">
        <v>3</v>
      </c>
      <c r="K130">
        <v>1105</v>
      </c>
      <c r="L130">
        <v>0.24</v>
      </c>
      <c r="M130">
        <v>839.8</v>
      </c>
      <c r="N130">
        <v>2519.4</v>
      </c>
      <c r="O130">
        <v>0.4</v>
      </c>
      <c r="P130">
        <v>1007.76</v>
      </c>
      <c r="Q130" t="s">
        <v>27</v>
      </c>
      <c r="R130" t="s">
        <v>48</v>
      </c>
      <c r="S130">
        <v>8</v>
      </c>
      <c r="T130">
        <v>2025</v>
      </c>
      <c r="U130" t="s">
        <v>3091</v>
      </c>
      <c r="V130">
        <v>5</v>
      </c>
      <c r="W130" t="s">
        <v>3106</v>
      </c>
      <c r="X130">
        <v>1511.64</v>
      </c>
      <c r="Y130" t="s">
        <v>3077</v>
      </c>
      <c r="Z130" t="s">
        <v>3063</v>
      </c>
      <c r="AA130" t="s">
        <v>3079</v>
      </c>
    </row>
    <row r="131" spans="1:27" x14ac:dyDescent="0.3">
      <c r="A131" t="s">
        <v>2238</v>
      </c>
      <c r="B131" s="7">
        <v>45124</v>
      </c>
      <c r="C131" t="s">
        <v>96</v>
      </c>
      <c r="D131" t="s">
        <v>56</v>
      </c>
      <c r="E131" t="s">
        <v>2040</v>
      </c>
      <c r="F131" t="s">
        <v>103</v>
      </c>
      <c r="G131" t="s">
        <v>92</v>
      </c>
      <c r="H131" t="s">
        <v>243</v>
      </c>
      <c r="I131" t="s">
        <v>466</v>
      </c>
      <c r="J131">
        <v>6</v>
      </c>
      <c r="K131">
        <v>65409</v>
      </c>
      <c r="L131">
        <v>0.08</v>
      </c>
      <c r="M131">
        <v>60176.28</v>
      </c>
      <c r="N131">
        <v>361057.68</v>
      </c>
      <c r="O131">
        <v>0.15</v>
      </c>
      <c r="P131">
        <v>54158.65</v>
      </c>
      <c r="Q131" t="s">
        <v>37</v>
      </c>
      <c r="R131" t="s">
        <v>48</v>
      </c>
      <c r="S131">
        <v>4</v>
      </c>
      <c r="T131">
        <v>2023</v>
      </c>
      <c r="U131" t="s">
        <v>3088</v>
      </c>
      <c r="V131">
        <v>7</v>
      </c>
      <c r="W131" t="s">
        <v>3111</v>
      </c>
      <c r="X131">
        <v>306899.02999999997</v>
      </c>
      <c r="Y131" t="s">
        <v>3062</v>
      </c>
      <c r="Z131" t="s">
        <v>3063</v>
      </c>
      <c r="AA131" t="s">
        <v>3079</v>
      </c>
    </row>
    <row r="132" spans="1:27" x14ac:dyDescent="0.3">
      <c r="A132" t="s">
        <v>2333</v>
      </c>
      <c r="B132" s="7">
        <v>45219</v>
      </c>
      <c r="C132" t="s">
        <v>63</v>
      </c>
      <c r="D132" t="s">
        <v>56</v>
      </c>
      <c r="E132" t="s">
        <v>42</v>
      </c>
      <c r="F132" t="s">
        <v>43</v>
      </c>
      <c r="G132" t="s">
        <v>92</v>
      </c>
      <c r="H132" t="s">
        <v>93</v>
      </c>
      <c r="I132" t="s">
        <v>655</v>
      </c>
      <c r="J132">
        <v>7</v>
      </c>
      <c r="K132">
        <v>52652</v>
      </c>
      <c r="L132">
        <v>0.05</v>
      </c>
      <c r="M132">
        <v>50019.4</v>
      </c>
      <c r="N132">
        <v>350135.8</v>
      </c>
      <c r="O132">
        <v>0.15</v>
      </c>
      <c r="P132">
        <v>52520.37</v>
      </c>
      <c r="Q132" t="s">
        <v>51</v>
      </c>
      <c r="R132" t="s">
        <v>48</v>
      </c>
      <c r="S132">
        <v>3</v>
      </c>
      <c r="T132">
        <v>2023</v>
      </c>
      <c r="U132" t="s">
        <v>3065</v>
      </c>
      <c r="V132">
        <v>10</v>
      </c>
      <c r="W132" t="s">
        <v>3104</v>
      </c>
      <c r="X132">
        <v>297615.43</v>
      </c>
      <c r="Y132" t="s">
        <v>3067</v>
      </c>
      <c r="Z132" t="s">
        <v>3063</v>
      </c>
      <c r="AA132" t="s">
        <v>3079</v>
      </c>
    </row>
    <row r="133" spans="1:27" x14ac:dyDescent="0.3">
      <c r="A133" t="s">
        <v>2997</v>
      </c>
      <c r="B133" s="7">
        <v>45883</v>
      </c>
      <c r="C133" t="s">
        <v>30</v>
      </c>
      <c r="D133" t="s">
        <v>41</v>
      </c>
      <c r="E133" t="s">
        <v>2042</v>
      </c>
      <c r="F133" t="s">
        <v>97</v>
      </c>
      <c r="G133" t="s">
        <v>34</v>
      </c>
      <c r="H133" t="s">
        <v>141</v>
      </c>
      <c r="I133" t="s">
        <v>1955</v>
      </c>
      <c r="J133">
        <v>6</v>
      </c>
      <c r="K133">
        <v>476</v>
      </c>
      <c r="L133">
        <v>0.1</v>
      </c>
      <c r="M133">
        <v>428.4</v>
      </c>
      <c r="N133">
        <v>2570.4</v>
      </c>
      <c r="O133">
        <v>0.4</v>
      </c>
      <c r="P133">
        <v>1028.1600000000001</v>
      </c>
      <c r="Q133" t="s">
        <v>47</v>
      </c>
      <c r="R133" t="s">
        <v>48</v>
      </c>
      <c r="S133">
        <v>9</v>
      </c>
      <c r="T133">
        <v>2025</v>
      </c>
      <c r="U133" t="s">
        <v>3075</v>
      </c>
      <c r="V133">
        <v>8</v>
      </c>
      <c r="W133" t="s">
        <v>3076</v>
      </c>
      <c r="X133">
        <v>1542.24</v>
      </c>
      <c r="Y133" t="s">
        <v>3077</v>
      </c>
      <c r="Z133" t="s">
        <v>3063</v>
      </c>
      <c r="AA133" t="s">
        <v>3079</v>
      </c>
    </row>
    <row r="134" spans="1:27" x14ac:dyDescent="0.3">
      <c r="A134" t="s">
        <v>2364</v>
      </c>
      <c r="B134" s="7">
        <v>45250</v>
      </c>
      <c r="C134" t="s">
        <v>96</v>
      </c>
      <c r="D134" t="s">
        <v>21</v>
      </c>
      <c r="E134" t="s">
        <v>67</v>
      </c>
      <c r="F134" t="s">
        <v>68</v>
      </c>
      <c r="G134" t="s">
        <v>92</v>
      </c>
      <c r="H134" t="s">
        <v>243</v>
      </c>
      <c r="I134" t="s">
        <v>716</v>
      </c>
      <c r="J134">
        <v>6</v>
      </c>
      <c r="K134">
        <v>75429</v>
      </c>
      <c r="L134">
        <v>0.23</v>
      </c>
      <c r="M134">
        <v>58080.33</v>
      </c>
      <c r="N134">
        <v>348481.98</v>
      </c>
      <c r="O134">
        <v>0.15</v>
      </c>
      <c r="P134">
        <v>52272.3</v>
      </c>
      <c r="Q134" t="s">
        <v>27</v>
      </c>
      <c r="R134" t="s">
        <v>48</v>
      </c>
      <c r="S134">
        <v>4</v>
      </c>
      <c r="T134">
        <v>2023</v>
      </c>
      <c r="U134" t="s">
        <v>3060</v>
      </c>
      <c r="V134">
        <v>11</v>
      </c>
      <c r="W134" t="s">
        <v>3061</v>
      </c>
      <c r="X134">
        <v>296209.68</v>
      </c>
      <c r="Y134" t="s">
        <v>3062</v>
      </c>
      <c r="Z134" t="s">
        <v>3063</v>
      </c>
      <c r="AA134" t="s">
        <v>3079</v>
      </c>
    </row>
    <row r="135" spans="1:27" x14ac:dyDescent="0.3">
      <c r="A135" t="s">
        <v>2574</v>
      </c>
      <c r="B135" s="7">
        <v>45460</v>
      </c>
      <c r="C135" t="s">
        <v>55</v>
      </c>
      <c r="D135" t="s">
        <v>56</v>
      </c>
      <c r="E135" t="s">
        <v>2042</v>
      </c>
      <c r="F135" t="s">
        <v>23</v>
      </c>
      <c r="G135" t="s">
        <v>34</v>
      </c>
      <c r="H135" t="s">
        <v>141</v>
      </c>
      <c r="I135" t="s">
        <v>1131</v>
      </c>
      <c r="J135">
        <v>7</v>
      </c>
      <c r="K135">
        <v>389</v>
      </c>
      <c r="L135">
        <v>0.05</v>
      </c>
      <c r="M135">
        <v>369.55</v>
      </c>
      <c r="N135">
        <v>2586.85</v>
      </c>
      <c r="O135">
        <v>0.4</v>
      </c>
      <c r="P135">
        <v>1034.74</v>
      </c>
      <c r="Q135" t="s">
        <v>47</v>
      </c>
      <c r="R135" t="s">
        <v>48</v>
      </c>
      <c r="S135">
        <v>2</v>
      </c>
      <c r="T135">
        <v>2024</v>
      </c>
      <c r="U135" t="s">
        <v>3073</v>
      </c>
      <c r="V135">
        <v>6</v>
      </c>
      <c r="W135" t="s">
        <v>3074</v>
      </c>
      <c r="X135">
        <v>1552.11</v>
      </c>
      <c r="Y135" t="s">
        <v>3067</v>
      </c>
      <c r="Z135" t="s">
        <v>3063</v>
      </c>
      <c r="AA135" t="s">
        <v>3079</v>
      </c>
    </row>
    <row r="136" spans="1:27" x14ac:dyDescent="0.3">
      <c r="A136" t="s">
        <v>2683</v>
      </c>
      <c r="B136" s="7">
        <v>45569</v>
      </c>
      <c r="C136" t="s">
        <v>96</v>
      </c>
      <c r="D136" t="s">
        <v>21</v>
      </c>
      <c r="E136" t="s">
        <v>2040</v>
      </c>
      <c r="F136" t="s">
        <v>68</v>
      </c>
      <c r="G136" t="s">
        <v>34</v>
      </c>
      <c r="H136" t="s">
        <v>104</v>
      </c>
      <c r="I136" t="s">
        <v>1346</v>
      </c>
      <c r="J136">
        <v>4</v>
      </c>
      <c r="K136">
        <v>698</v>
      </c>
      <c r="L136">
        <v>7.0000000000000007E-2</v>
      </c>
      <c r="M136">
        <v>649.14</v>
      </c>
      <c r="N136">
        <v>2596.56</v>
      </c>
      <c r="O136">
        <v>0.4</v>
      </c>
      <c r="P136">
        <v>1038.6199999999999</v>
      </c>
      <c r="Q136" t="s">
        <v>37</v>
      </c>
      <c r="R136" t="s">
        <v>38</v>
      </c>
      <c r="S136">
        <v>7</v>
      </c>
      <c r="T136">
        <v>2024</v>
      </c>
      <c r="U136" t="s">
        <v>3065</v>
      </c>
      <c r="V136">
        <v>10</v>
      </c>
      <c r="W136" t="s">
        <v>3066</v>
      </c>
      <c r="X136">
        <v>1557.94</v>
      </c>
      <c r="Y136" t="s">
        <v>3062</v>
      </c>
      <c r="Z136" t="s">
        <v>3063</v>
      </c>
      <c r="AA136" t="s">
        <v>3079</v>
      </c>
    </row>
    <row r="137" spans="1:27" x14ac:dyDescent="0.3">
      <c r="A137" t="s">
        <v>2332</v>
      </c>
      <c r="B137" s="7">
        <v>45218</v>
      </c>
      <c r="C137" t="s">
        <v>96</v>
      </c>
      <c r="D137" t="s">
        <v>31</v>
      </c>
      <c r="E137" t="s">
        <v>67</v>
      </c>
      <c r="F137" t="s">
        <v>43</v>
      </c>
      <c r="G137" t="s">
        <v>92</v>
      </c>
      <c r="H137" t="s">
        <v>93</v>
      </c>
      <c r="I137" t="s">
        <v>233</v>
      </c>
      <c r="J137">
        <v>9</v>
      </c>
      <c r="K137">
        <v>46378</v>
      </c>
      <c r="L137">
        <v>0.17</v>
      </c>
      <c r="M137">
        <v>38493.74</v>
      </c>
      <c r="N137">
        <v>346443.66</v>
      </c>
      <c r="O137">
        <v>0.15</v>
      </c>
      <c r="P137">
        <v>51966.55</v>
      </c>
      <c r="Q137" t="s">
        <v>27</v>
      </c>
      <c r="R137" t="s">
        <v>48</v>
      </c>
      <c r="S137">
        <v>3</v>
      </c>
      <c r="T137">
        <v>2023</v>
      </c>
      <c r="U137" t="s">
        <v>3065</v>
      </c>
      <c r="V137">
        <v>10</v>
      </c>
      <c r="W137" t="s">
        <v>3104</v>
      </c>
      <c r="X137">
        <v>294477.11</v>
      </c>
      <c r="Y137" t="s">
        <v>3067</v>
      </c>
      <c r="Z137" t="s">
        <v>3063</v>
      </c>
      <c r="AA137" t="s">
        <v>3079</v>
      </c>
    </row>
    <row r="138" spans="1:27" x14ac:dyDescent="0.3">
      <c r="A138" t="s">
        <v>2485</v>
      </c>
      <c r="B138" s="7">
        <v>45371</v>
      </c>
      <c r="C138" t="s">
        <v>20</v>
      </c>
      <c r="D138" t="s">
        <v>21</v>
      </c>
      <c r="E138" t="s">
        <v>2042</v>
      </c>
      <c r="F138" t="s">
        <v>103</v>
      </c>
      <c r="G138" t="s">
        <v>34</v>
      </c>
      <c r="H138" t="s">
        <v>141</v>
      </c>
      <c r="I138" t="s">
        <v>955</v>
      </c>
      <c r="J138">
        <v>4</v>
      </c>
      <c r="K138">
        <v>659</v>
      </c>
      <c r="L138">
        <v>0.01</v>
      </c>
      <c r="M138">
        <v>652.41</v>
      </c>
      <c r="N138">
        <v>2609.64</v>
      </c>
      <c r="O138">
        <v>0.4</v>
      </c>
      <c r="P138">
        <v>1043.8599999999999</v>
      </c>
      <c r="Q138" t="s">
        <v>51</v>
      </c>
      <c r="R138" t="s">
        <v>48</v>
      </c>
      <c r="S138">
        <v>4</v>
      </c>
      <c r="T138">
        <v>2024</v>
      </c>
      <c r="U138" t="s">
        <v>3069</v>
      </c>
      <c r="V138">
        <v>3</v>
      </c>
      <c r="W138" t="s">
        <v>3101</v>
      </c>
      <c r="X138">
        <v>1565.78</v>
      </c>
      <c r="Y138" t="s">
        <v>3062</v>
      </c>
      <c r="Z138" t="s">
        <v>3063</v>
      </c>
      <c r="AA138" t="s">
        <v>3079</v>
      </c>
    </row>
    <row r="139" spans="1:27" x14ac:dyDescent="0.3">
      <c r="A139" t="s">
        <v>2942</v>
      </c>
      <c r="B139" s="7">
        <v>45828</v>
      </c>
      <c r="C139" t="s">
        <v>55</v>
      </c>
      <c r="D139" t="s">
        <v>31</v>
      </c>
      <c r="E139" t="s">
        <v>2040</v>
      </c>
      <c r="F139" t="s">
        <v>33</v>
      </c>
      <c r="G139" t="s">
        <v>92</v>
      </c>
      <c r="H139" t="s">
        <v>178</v>
      </c>
      <c r="I139" t="s">
        <v>1852</v>
      </c>
      <c r="J139">
        <v>5</v>
      </c>
      <c r="K139">
        <v>75428</v>
      </c>
      <c r="L139">
        <v>0.1</v>
      </c>
      <c r="M139">
        <v>67885.2</v>
      </c>
      <c r="N139">
        <v>339426</v>
      </c>
      <c r="O139">
        <v>0.15</v>
      </c>
      <c r="P139">
        <v>50913.9</v>
      </c>
      <c r="Q139" t="s">
        <v>27</v>
      </c>
      <c r="R139" t="s">
        <v>28</v>
      </c>
      <c r="S139">
        <v>9</v>
      </c>
      <c r="T139">
        <v>2025</v>
      </c>
      <c r="U139" t="s">
        <v>3073</v>
      </c>
      <c r="V139">
        <v>6</v>
      </c>
      <c r="W139" t="s">
        <v>3083</v>
      </c>
      <c r="X139">
        <v>288512.09999999998</v>
      </c>
      <c r="Y139" t="s">
        <v>3077</v>
      </c>
      <c r="Z139" t="s">
        <v>3063</v>
      </c>
      <c r="AA139" t="s">
        <v>3079</v>
      </c>
    </row>
    <row r="140" spans="1:27" x14ac:dyDescent="0.3">
      <c r="A140" t="s">
        <v>2962</v>
      </c>
      <c r="B140" s="7">
        <v>45848</v>
      </c>
      <c r="C140" t="s">
        <v>20</v>
      </c>
      <c r="D140" t="s">
        <v>31</v>
      </c>
      <c r="E140" t="s">
        <v>67</v>
      </c>
      <c r="F140" t="s">
        <v>43</v>
      </c>
      <c r="G140" t="s">
        <v>34</v>
      </c>
      <c r="H140" t="s">
        <v>35</v>
      </c>
      <c r="I140" t="s">
        <v>1889</v>
      </c>
      <c r="J140">
        <v>5</v>
      </c>
      <c r="K140">
        <v>689</v>
      </c>
      <c r="L140">
        <v>0.23</v>
      </c>
      <c r="M140">
        <v>530.53</v>
      </c>
      <c r="N140">
        <v>2652.65</v>
      </c>
      <c r="O140">
        <v>0.4</v>
      </c>
      <c r="P140">
        <v>1061.06</v>
      </c>
      <c r="Q140" t="s">
        <v>37</v>
      </c>
      <c r="R140" t="s">
        <v>48</v>
      </c>
      <c r="S140">
        <v>3</v>
      </c>
      <c r="T140">
        <v>2025</v>
      </c>
      <c r="U140" t="s">
        <v>3088</v>
      </c>
      <c r="V140">
        <v>7</v>
      </c>
      <c r="W140" t="s">
        <v>3094</v>
      </c>
      <c r="X140">
        <v>1591.5900000000001</v>
      </c>
      <c r="Y140" t="s">
        <v>3067</v>
      </c>
      <c r="Z140" t="s">
        <v>3063</v>
      </c>
      <c r="AA140" t="s">
        <v>3079</v>
      </c>
    </row>
    <row r="141" spans="1:27" x14ac:dyDescent="0.3">
      <c r="A141" t="s">
        <v>2117</v>
      </c>
      <c r="B141" s="7">
        <v>45003</v>
      </c>
      <c r="C141" t="s">
        <v>20</v>
      </c>
      <c r="D141" t="s">
        <v>56</v>
      </c>
      <c r="E141" t="s">
        <v>67</v>
      </c>
      <c r="F141" t="s">
        <v>33</v>
      </c>
      <c r="G141" t="s">
        <v>92</v>
      </c>
      <c r="H141" t="s">
        <v>109</v>
      </c>
      <c r="I141" t="s">
        <v>223</v>
      </c>
      <c r="J141">
        <v>8</v>
      </c>
      <c r="K141">
        <v>55350</v>
      </c>
      <c r="L141">
        <v>0.24</v>
      </c>
      <c r="M141">
        <v>42066</v>
      </c>
      <c r="N141">
        <v>336528</v>
      </c>
      <c r="O141">
        <v>0.15</v>
      </c>
      <c r="P141">
        <v>50479.199999999997</v>
      </c>
      <c r="Q141" t="s">
        <v>47</v>
      </c>
      <c r="R141" t="s">
        <v>48</v>
      </c>
      <c r="S141">
        <v>4</v>
      </c>
      <c r="T141">
        <v>2023</v>
      </c>
      <c r="U141" t="s">
        <v>3069</v>
      </c>
      <c r="V141">
        <v>3</v>
      </c>
      <c r="W141" t="s">
        <v>3082</v>
      </c>
      <c r="X141">
        <v>286048.8</v>
      </c>
      <c r="Y141" t="s">
        <v>3062</v>
      </c>
      <c r="Z141" t="s">
        <v>3063</v>
      </c>
      <c r="AA141" t="s">
        <v>3079</v>
      </c>
    </row>
    <row r="142" spans="1:27" x14ac:dyDescent="0.3">
      <c r="A142" t="s">
        <v>2180</v>
      </c>
      <c r="B142" s="7">
        <v>45066</v>
      </c>
      <c r="C142" t="s">
        <v>40</v>
      </c>
      <c r="D142" t="s">
        <v>21</v>
      </c>
      <c r="E142" t="s">
        <v>2040</v>
      </c>
      <c r="F142" t="s">
        <v>33</v>
      </c>
      <c r="G142" t="s">
        <v>34</v>
      </c>
      <c r="H142" t="s">
        <v>71</v>
      </c>
      <c r="I142" t="s">
        <v>350</v>
      </c>
      <c r="J142">
        <v>8</v>
      </c>
      <c r="K142">
        <v>355</v>
      </c>
      <c r="L142">
        <v>0.06</v>
      </c>
      <c r="M142">
        <v>333.7</v>
      </c>
      <c r="N142">
        <v>2669.6</v>
      </c>
      <c r="O142">
        <v>0.4</v>
      </c>
      <c r="P142">
        <v>1067.8399999999999</v>
      </c>
      <c r="Q142" t="s">
        <v>51</v>
      </c>
      <c r="R142" t="s">
        <v>48</v>
      </c>
      <c r="S142">
        <v>4</v>
      </c>
      <c r="T142">
        <v>2023</v>
      </c>
      <c r="U142" t="s">
        <v>3091</v>
      </c>
      <c r="V142">
        <v>5</v>
      </c>
      <c r="W142" t="s">
        <v>3092</v>
      </c>
      <c r="X142">
        <v>1601.76</v>
      </c>
      <c r="Y142" t="s">
        <v>3062</v>
      </c>
      <c r="Z142" t="s">
        <v>3063</v>
      </c>
      <c r="AA142" t="s">
        <v>3079</v>
      </c>
    </row>
    <row r="143" spans="1:27" x14ac:dyDescent="0.3">
      <c r="A143" t="s">
        <v>2816</v>
      </c>
      <c r="B143" s="7">
        <v>45702</v>
      </c>
      <c r="C143" t="s">
        <v>40</v>
      </c>
      <c r="D143" t="s">
        <v>21</v>
      </c>
      <c r="E143" t="s">
        <v>2042</v>
      </c>
      <c r="F143" t="s">
        <v>103</v>
      </c>
      <c r="G143" t="s">
        <v>92</v>
      </c>
      <c r="H143" t="s">
        <v>93</v>
      </c>
      <c r="I143" t="s">
        <v>1604</v>
      </c>
      <c r="J143">
        <v>6</v>
      </c>
      <c r="K143">
        <v>71627</v>
      </c>
      <c r="L143">
        <v>0.23</v>
      </c>
      <c r="M143">
        <v>55152.79</v>
      </c>
      <c r="N143">
        <v>330916.74</v>
      </c>
      <c r="O143">
        <v>0.15</v>
      </c>
      <c r="P143">
        <v>49637.51</v>
      </c>
      <c r="Q143" t="s">
        <v>37</v>
      </c>
      <c r="R143" t="s">
        <v>48</v>
      </c>
      <c r="S143">
        <v>2</v>
      </c>
      <c r="T143">
        <v>2025</v>
      </c>
      <c r="U143" t="s">
        <v>3084</v>
      </c>
      <c r="V143">
        <v>2</v>
      </c>
      <c r="W143" t="s">
        <v>3090</v>
      </c>
      <c r="X143">
        <v>281279.23</v>
      </c>
      <c r="Y143" t="s">
        <v>3067</v>
      </c>
      <c r="Z143" t="s">
        <v>3063</v>
      </c>
      <c r="AA143" t="s">
        <v>3079</v>
      </c>
    </row>
    <row r="144" spans="1:27" x14ac:dyDescent="0.3">
      <c r="A144" t="s">
        <v>2639</v>
      </c>
      <c r="B144" s="7">
        <v>45525</v>
      </c>
      <c r="C144" t="s">
        <v>20</v>
      </c>
      <c r="D144" t="s">
        <v>56</v>
      </c>
      <c r="E144" t="s">
        <v>42</v>
      </c>
      <c r="F144" t="s">
        <v>68</v>
      </c>
      <c r="G144" t="s">
        <v>34</v>
      </c>
      <c r="H144" t="s">
        <v>141</v>
      </c>
      <c r="I144" t="s">
        <v>1259</v>
      </c>
      <c r="J144">
        <v>4</v>
      </c>
      <c r="K144">
        <v>753</v>
      </c>
      <c r="L144">
        <v>0.1</v>
      </c>
      <c r="M144">
        <v>677.7</v>
      </c>
      <c r="N144">
        <v>2710.8</v>
      </c>
      <c r="O144">
        <v>0.4</v>
      </c>
      <c r="P144">
        <v>1084.32</v>
      </c>
      <c r="Q144" t="s">
        <v>47</v>
      </c>
      <c r="R144" t="s">
        <v>38</v>
      </c>
      <c r="S144">
        <v>7</v>
      </c>
      <c r="T144">
        <v>2024</v>
      </c>
      <c r="U144" t="s">
        <v>3075</v>
      </c>
      <c r="V144">
        <v>8</v>
      </c>
      <c r="W144" t="s">
        <v>3093</v>
      </c>
      <c r="X144">
        <v>1626.4800000000002</v>
      </c>
      <c r="Y144" t="s">
        <v>3062</v>
      </c>
      <c r="Z144" t="s">
        <v>3063</v>
      </c>
      <c r="AA144" t="s">
        <v>3079</v>
      </c>
    </row>
    <row r="145" spans="1:27" x14ac:dyDescent="0.3">
      <c r="A145" t="s">
        <v>2770</v>
      </c>
      <c r="B145" s="7">
        <v>45656</v>
      </c>
      <c r="C145" t="s">
        <v>30</v>
      </c>
      <c r="D145" t="s">
        <v>31</v>
      </c>
      <c r="E145" t="s">
        <v>2040</v>
      </c>
      <c r="F145" t="s">
        <v>23</v>
      </c>
      <c r="G145" t="s">
        <v>92</v>
      </c>
      <c r="H145" t="s">
        <v>243</v>
      </c>
      <c r="I145" t="s">
        <v>1514</v>
      </c>
      <c r="J145">
        <v>9</v>
      </c>
      <c r="K145">
        <v>39725</v>
      </c>
      <c r="L145">
        <v>0.09</v>
      </c>
      <c r="M145">
        <v>36149.75</v>
      </c>
      <c r="N145">
        <v>325347.75</v>
      </c>
      <c r="O145">
        <v>0.15</v>
      </c>
      <c r="P145">
        <v>48802.16</v>
      </c>
      <c r="Q145" t="s">
        <v>27</v>
      </c>
      <c r="R145" t="s">
        <v>48</v>
      </c>
      <c r="S145">
        <v>4</v>
      </c>
      <c r="T145">
        <v>2024</v>
      </c>
      <c r="U145" t="s">
        <v>3086</v>
      </c>
      <c r="V145">
        <v>12</v>
      </c>
      <c r="W145" t="s">
        <v>3087</v>
      </c>
      <c r="X145">
        <v>276545.58999999997</v>
      </c>
      <c r="Y145" t="s">
        <v>3062</v>
      </c>
      <c r="Z145" t="s">
        <v>3063</v>
      </c>
      <c r="AA145" t="s">
        <v>3079</v>
      </c>
    </row>
    <row r="146" spans="1:27" x14ac:dyDescent="0.3">
      <c r="A146" t="s">
        <v>2721</v>
      </c>
      <c r="B146" s="7">
        <v>45607</v>
      </c>
      <c r="C146" t="s">
        <v>20</v>
      </c>
      <c r="D146" t="s">
        <v>31</v>
      </c>
      <c r="E146" t="s">
        <v>42</v>
      </c>
      <c r="F146" t="s">
        <v>23</v>
      </c>
      <c r="G146" t="s">
        <v>34</v>
      </c>
      <c r="H146" t="s">
        <v>104</v>
      </c>
      <c r="I146" t="s">
        <v>1418</v>
      </c>
      <c r="J146">
        <v>6</v>
      </c>
      <c r="K146">
        <v>472</v>
      </c>
      <c r="L146">
        <v>0.04</v>
      </c>
      <c r="M146">
        <v>453.12</v>
      </c>
      <c r="N146">
        <v>2718.72</v>
      </c>
      <c r="O146">
        <v>0.4</v>
      </c>
      <c r="P146">
        <v>1087.49</v>
      </c>
      <c r="Q146" t="s">
        <v>51</v>
      </c>
      <c r="R146" t="s">
        <v>48</v>
      </c>
      <c r="S146">
        <v>3</v>
      </c>
      <c r="T146">
        <v>2024</v>
      </c>
      <c r="U146" t="s">
        <v>3060</v>
      </c>
      <c r="V146">
        <v>11</v>
      </c>
      <c r="W146" t="s">
        <v>3100</v>
      </c>
      <c r="X146">
        <v>1631.2299999999998</v>
      </c>
      <c r="Y146" t="s">
        <v>3067</v>
      </c>
      <c r="Z146" t="s">
        <v>3063</v>
      </c>
      <c r="AA146" t="s">
        <v>3079</v>
      </c>
    </row>
    <row r="147" spans="1:27" x14ac:dyDescent="0.3">
      <c r="A147" t="s">
        <v>2958</v>
      </c>
      <c r="B147" s="7">
        <v>45844</v>
      </c>
      <c r="C147" t="s">
        <v>55</v>
      </c>
      <c r="D147" t="s">
        <v>41</v>
      </c>
      <c r="E147" t="s">
        <v>2040</v>
      </c>
      <c r="F147" t="s">
        <v>103</v>
      </c>
      <c r="G147" t="s">
        <v>92</v>
      </c>
      <c r="H147" t="s">
        <v>178</v>
      </c>
      <c r="I147" t="s">
        <v>1881</v>
      </c>
      <c r="J147">
        <v>8</v>
      </c>
      <c r="K147">
        <v>52891</v>
      </c>
      <c r="L147">
        <v>0.24</v>
      </c>
      <c r="M147">
        <v>40197.160000000003</v>
      </c>
      <c r="N147">
        <v>321577.28000000003</v>
      </c>
      <c r="O147">
        <v>0.15</v>
      </c>
      <c r="P147">
        <v>48236.59</v>
      </c>
      <c r="Q147" t="s">
        <v>37</v>
      </c>
      <c r="R147" t="s">
        <v>48</v>
      </c>
      <c r="S147">
        <v>9</v>
      </c>
      <c r="T147">
        <v>2025</v>
      </c>
      <c r="U147" t="s">
        <v>3088</v>
      </c>
      <c r="V147">
        <v>7</v>
      </c>
      <c r="W147" t="s">
        <v>3094</v>
      </c>
      <c r="X147">
        <v>273340.69000000006</v>
      </c>
      <c r="Y147" t="s">
        <v>3077</v>
      </c>
      <c r="Z147" t="s">
        <v>3063</v>
      </c>
      <c r="AA147" t="s">
        <v>3079</v>
      </c>
    </row>
    <row r="148" spans="1:27" x14ac:dyDescent="0.3">
      <c r="A148" t="s">
        <v>2599</v>
      </c>
      <c r="B148" s="7">
        <v>45485</v>
      </c>
      <c r="C148" t="s">
        <v>96</v>
      </c>
      <c r="D148" t="s">
        <v>41</v>
      </c>
      <c r="E148" t="s">
        <v>2040</v>
      </c>
      <c r="F148" t="s">
        <v>23</v>
      </c>
      <c r="G148" t="s">
        <v>92</v>
      </c>
      <c r="H148" t="s">
        <v>93</v>
      </c>
      <c r="I148" t="s">
        <v>1180</v>
      </c>
      <c r="J148">
        <v>8</v>
      </c>
      <c r="K148">
        <v>41174</v>
      </c>
      <c r="L148">
        <v>0.03</v>
      </c>
      <c r="M148">
        <v>39938.78</v>
      </c>
      <c r="N148">
        <v>319510.24</v>
      </c>
      <c r="O148">
        <v>0.15</v>
      </c>
      <c r="P148">
        <v>47926.54</v>
      </c>
      <c r="Q148" t="s">
        <v>47</v>
      </c>
      <c r="R148" t="s">
        <v>48</v>
      </c>
      <c r="S148">
        <v>3</v>
      </c>
      <c r="T148">
        <v>2024</v>
      </c>
      <c r="U148" t="s">
        <v>3088</v>
      </c>
      <c r="V148">
        <v>7</v>
      </c>
      <c r="W148" t="s">
        <v>3089</v>
      </c>
      <c r="X148">
        <v>271583.7</v>
      </c>
      <c r="Y148" t="s">
        <v>3067</v>
      </c>
      <c r="Z148" t="s">
        <v>3063</v>
      </c>
      <c r="AA148" t="s">
        <v>3079</v>
      </c>
    </row>
    <row r="149" spans="1:27" x14ac:dyDescent="0.3">
      <c r="A149" t="s">
        <v>2336</v>
      </c>
      <c r="B149" s="7">
        <v>45222</v>
      </c>
      <c r="C149" t="s">
        <v>55</v>
      </c>
      <c r="D149" t="s">
        <v>56</v>
      </c>
      <c r="E149" t="s">
        <v>2040</v>
      </c>
      <c r="F149" t="s">
        <v>23</v>
      </c>
      <c r="G149" t="s">
        <v>34</v>
      </c>
      <c r="H149" t="s">
        <v>35</v>
      </c>
      <c r="I149" t="s">
        <v>661</v>
      </c>
      <c r="J149">
        <v>6</v>
      </c>
      <c r="K149">
        <v>490</v>
      </c>
      <c r="L149">
        <v>0.05</v>
      </c>
      <c r="M149">
        <v>465.5</v>
      </c>
      <c r="N149">
        <v>2793</v>
      </c>
      <c r="O149">
        <v>0.4</v>
      </c>
      <c r="P149">
        <v>1117.2</v>
      </c>
      <c r="Q149" t="s">
        <v>27</v>
      </c>
      <c r="R149" t="s">
        <v>48</v>
      </c>
      <c r="S149">
        <v>2</v>
      </c>
      <c r="T149">
        <v>2023</v>
      </c>
      <c r="U149" t="s">
        <v>3065</v>
      </c>
      <c r="V149">
        <v>10</v>
      </c>
      <c r="W149" t="s">
        <v>3104</v>
      </c>
      <c r="X149">
        <v>1675.8</v>
      </c>
      <c r="Y149" t="s">
        <v>3067</v>
      </c>
      <c r="Z149" t="s">
        <v>3063</v>
      </c>
      <c r="AA149" t="s">
        <v>3079</v>
      </c>
    </row>
    <row r="150" spans="1:27" x14ac:dyDescent="0.3">
      <c r="A150" t="s">
        <v>2138</v>
      </c>
      <c r="B150" s="7">
        <v>45024</v>
      </c>
      <c r="C150" t="s">
        <v>55</v>
      </c>
      <c r="D150" t="s">
        <v>41</v>
      </c>
      <c r="E150" t="s">
        <v>42</v>
      </c>
      <c r="F150" t="s">
        <v>97</v>
      </c>
      <c r="G150" t="s">
        <v>57</v>
      </c>
      <c r="H150" t="s">
        <v>100</v>
      </c>
      <c r="I150" t="s">
        <v>266</v>
      </c>
      <c r="J150">
        <v>1</v>
      </c>
      <c r="K150">
        <v>6648</v>
      </c>
      <c r="L150">
        <v>0.15</v>
      </c>
      <c r="M150">
        <v>5650.8</v>
      </c>
      <c r="N150">
        <v>5650.8</v>
      </c>
      <c r="O150">
        <v>0.2</v>
      </c>
      <c r="P150">
        <v>1130.1600000000001</v>
      </c>
      <c r="Q150" t="s">
        <v>37</v>
      </c>
      <c r="R150" t="s">
        <v>48</v>
      </c>
      <c r="S150">
        <v>7</v>
      </c>
      <c r="T150">
        <v>2023</v>
      </c>
      <c r="U150" t="s">
        <v>3080</v>
      </c>
      <c r="V150">
        <v>4</v>
      </c>
      <c r="W150" t="s">
        <v>3081</v>
      </c>
      <c r="X150">
        <v>4520.6400000000003</v>
      </c>
      <c r="Y150" t="s">
        <v>3062</v>
      </c>
      <c r="Z150" t="s">
        <v>3063</v>
      </c>
      <c r="AA150" t="s">
        <v>3079</v>
      </c>
    </row>
    <row r="151" spans="1:27" x14ac:dyDescent="0.3">
      <c r="A151" t="s">
        <v>2121</v>
      </c>
      <c r="B151" s="7">
        <v>45007</v>
      </c>
      <c r="C151" t="s">
        <v>63</v>
      </c>
      <c r="D151" t="s">
        <v>56</v>
      </c>
      <c r="E151" t="s">
        <v>42</v>
      </c>
      <c r="F151" t="s">
        <v>23</v>
      </c>
      <c r="G151" t="s">
        <v>34</v>
      </c>
      <c r="H151" t="s">
        <v>35</v>
      </c>
      <c r="I151" t="s">
        <v>231</v>
      </c>
      <c r="J151">
        <v>9</v>
      </c>
      <c r="K151">
        <v>385</v>
      </c>
      <c r="L151">
        <v>0.18</v>
      </c>
      <c r="M151">
        <v>315.7</v>
      </c>
      <c r="N151">
        <v>2841.3</v>
      </c>
      <c r="O151">
        <v>0.4</v>
      </c>
      <c r="P151">
        <v>1136.52</v>
      </c>
      <c r="Q151" t="s">
        <v>47</v>
      </c>
      <c r="R151" t="s">
        <v>48</v>
      </c>
      <c r="S151">
        <v>1</v>
      </c>
      <c r="T151">
        <v>2023</v>
      </c>
      <c r="U151" t="s">
        <v>3069</v>
      </c>
      <c r="V151">
        <v>3</v>
      </c>
      <c r="W151" t="s">
        <v>3082</v>
      </c>
      <c r="X151">
        <v>1704.7800000000002</v>
      </c>
      <c r="Y151" t="s">
        <v>3067</v>
      </c>
      <c r="Z151" t="s">
        <v>3063</v>
      </c>
      <c r="AA151" t="s">
        <v>3079</v>
      </c>
    </row>
    <row r="152" spans="1:27" x14ac:dyDescent="0.3">
      <c r="A152" t="s">
        <v>2752</v>
      </c>
      <c r="B152" s="7">
        <v>45638</v>
      </c>
      <c r="C152" t="s">
        <v>40</v>
      </c>
      <c r="D152" t="s">
        <v>21</v>
      </c>
      <c r="E152" t="s">
        <v>67</v>
      </c>
      <c r="F152" t="s">
        <v>33</v>
      </c>
      <c r="G152" t="s">
        <v>34</v>
      </c>
      <c r="H152" t="s">
        <v>104</v>
      </c>
      <c r="I152" t="s">
        <v>1479</v>
      </c>
      <c r="J152">
        <v>4</v>
      </c>
      <c r="K152">
        <v>740</v>
      </c>
      <c r="L152">
        <v>0.04</v>
      </c>
      <c r="M152">
        <v>710.4</v>
      </c>
      <c r="N152">
        <v>2841.6</v>
      </c>
      <c r="O152">
        <v>0.4</v>
      </c>
      <c r="P152">
        <v>1136.6400000000001</v>
      </c>
      <c r="Q152" t="s">
        <v>27</v>
      </c>
      <c r="R152" t="s">
        <v>48</v>
      </c>
      <c r="S152">
        <v>9</v>
      </c>
      <c r="T152">
        <v>2024</v>
      </c>
      <c r="U152" t="s">
        <v>3086</v>
      </c>
      <c r="V152">
        <v>12</v>
      </c>
      <c r="W152" t="s">
        <v>3087</v>
      </c>
      <c r="X152">
        <v>1704.9599999999998</v>
      </c>
      <c r="Y152" t="s">
        <v>3077</v>
      </c>
      <c r="Z152" t="s">
        <v>3063</v>
      </c>
      <c r="AA152" t="s">
        <v>3079</v>
      </c>
    </row>
    <row r="153" spans="1:27" x14ac:dyDescent="0.3">
      <c r="A153" t="s">
        <v>2936</v>
      </c>
      <c r="B153" s="7">
        <v>45822</v>
      </c>
      <c r="C153" t="s">
        <v>55</v>
      </c>
      <c r="D153" t="s">
        <v>56</v>
      </c>
      <c r="E153" t="s">
        <v>2042</v>
      </c>
      <c r="F153" t="s">
        <v>33</v>
      </c>
      <c r="G153" t="s">
        <v>34</v>
      </c>
      <c r="H153" t="s">
        <v>141</v>
      </c>
      <c r="I153" t="s">
        <v>1840</v>
      </c>
      <c r="J153">
        <v>9</v>
      </c>
      <c r="K153">
        <v>395</v>
      </c>
      <c r="L153">
        <v>0.2</v>
      </c>
      <c r="M153">
        <v>316</v>
      </c>
      <c r="N153">
        <v>2844</v>
      </c>
      <c r="O153">
        <v>0.4</v>
      </c>
      <c r="P153">
        <v>1137.5999999999999</v>
      </c>
      <c r="Q153" t="s">
        <v>51</v>
      </c>
      <c r="R153" t="s">
        <v>28</v>
      </c>
      <c r="S153">
        <v>3</v>
      </c>
      <c r="T153">
        <v>2025</v>
      </c>
      <c r="U153" t="s">
        <v>3073</v>
      </c>
      <c r="V153">
        <v>6</v>
      </c>
      <c r="W153" t="s">
        <v>3083</v>
      </c>
      <c r="X153">
        <v>1706.4</v>
      </c>
      <c r="Y153" t="s">
        <v>3067</v>
      </c>
      <c r="Z153" t="s">
        <v>3063</v>
      </c>
      <c r="AA153" t="s">
        <v>3079</v>
      </c>
    </row>
    <row r="154" spans="1:27" x14ac:dyDescent="0.3">
      <c r="A154" t="s">
        <v>2638</v>
      </c>
      <c r="B154" s="7">
        <v>45524</v>
      </c>
      <c r="C154" t="s">
        <v>20</v>
      </c>
      <c r="D154" t="s">
        <v>21</v>
      </c>
      <c r="E154" t="s">
        <v>2042</v>
      </c>
      <c r="F154" t="s">
        <v>33</v>
      </c>
      <c r="G154" t="s">
        <v>34</v>
      </c>
      <c r="H154" t="s">
        <v>71</v>
      </c>
      <c r="I154" t="s">
        <v>1257</v>
      </c>
      <c r="J154">
        <v>2</v>
      </c>
      <c r="K154">
        <v>1450</v>
      </c>
      <c r="L154">
        <v>0.01</v>
      </c>
      <c r="M154">
        <v>1435.5</v>
      </c>
      <c r="N154">
        <v>2871</v>
      </c>
      <c r="O154">
        <v>0.4</v>
      </c>
      <c r="P154">
        <v>1148.4000000000001</v>
      </c>
      <c r="Q154" t="s">
        <v>27</v>
      </c>
      <c r="R154" t="s">
        <v>48</v>
      </c>
      <c r="S154">
        <v>2</v>
      </c>
      <c r="T154">
        <v>2024</v>
      </c>
      <c r="U154" t="s">
        <v>3075</v>
      </c>
      <c r="V154">
        <v>8</v>
      </c>
      <c r="W154" t="s">
        <v>3093</v>
      </c>
      <c r="X154">
        <v>1722.6</v>
      </c>
      <c r="Y154" t="s">
        <v>3067</v>
      </c>
      <c r="Z154" t="s">
        <v>3063</v>
      </c>
      <c r="AA154" t="s">
        <v>3079</v>
      </c>
    </row>
    <row r="155" spans="1:27" x14ac:dyDescent="0.3">
      <c r="A155" t="s">
        <v>2998</v>
      </c>
      <c r="B155" s="7">
        <v>45884</v>
      </c>
      <c r="C155" t="s">
        <v>63</v>
      </c>
      <c r="D155" t="s">
        <v>21</v>
      </c>
      <c r="E155" t="s">
        <v>2042</v>
      </c>
      <c r="F155" t="s">
        <v>23</v>
      </c>
      <c r="G155" t="s">
        <v>34</v>
      </c>
      <c r="H155" t="s">
        <v>71</v>
      </c>
      <c r="I155" t="s">
        <v>1742</v>
      </c>
      <c r="J155">
        <v>5</v>
      </c>
      <c r="K155">
        <v>731</v>
      </c>
      <c r="L155">
        <v>0.2</v>
      </c>
      <c r="M155">
        <v>584.79999999999995</v>
      </c>
      <c r="N155">
        <v>2924</v>
      </c>
      <c r="O155">
        <v>0.4</v>
      </c>
      <c r="P155">
        <v>1169.5999999999999</v>
      </c>
      <c r="Q155" t="s">
        <v>51</v>
      </c>
      <c r="R155" t="s">
        <v>48</v>
      </c>
      <c r="S155">
        <v>3</v>
      </c>
      <c r="T155">
        <v>2025</v>
      </c>
      <c r="U155" t="s">
        <v>3075</v>
      </c>
      <c r="V155">
        <v>8</v>
      </c>
      <c r="W155" t="s">
        <v>3076</v>
      </c>
      <c r="X155">
        <v>1754.4</v>
      </c>
      <c r="Y155" t="s">
        <v>3067</v>
      </c>
      <c r="Z155" t="s">
        <v>3063</v>
      </c>
      <c r="AA155" t="s">
        <v>3079</v>
      </c>
    </row>
    <row r="156" spans="1:27" x14ac:dyDescent="0.3">
      <c r="A156" t="s">
        <v>2259</v>
      </c>
      <c r="B156" s="7">
        <v>45145</v>
      </c>
      <c r="C156" t="s">
        <v>55</v>
      </c>
      <c r="D156" t="s">
        <v>31</v>
      </c>
      <c r="E156" t="s">
        <v>42</v>
      </c>
      <c r="F156" t="s">
        <v>68</v>
      </c>
      <c r="G156" t="s">
        <v>92</v>
      </c>
      <c r="H156" t="s">
        <v>243</v>
      </c>
      <c r="I156" t="s">
        <v>508</v>
      </c>
      <c r="J156">
        <v>9</v>
      </c>
      <c r="K156">
        <v>37208</v>
      </c>
      <c r="L156">
        <v>0.06</v>
      </c>
      <c r="M156">
        <v>34975.519999999997</v>
      </c>
      <c r="N156">
        <v>314779.68</v>
      </c>
      <c r="O156">
        <v>0.15</v>
      </c>
      <c r="P156">
        <v>47216.95</v>
      </c>
      <c r="Q156" t="s">
        <v>47</v>
      </c>
      <c r="R156" t="s">
        <v>48</v>
      </c>
      <c r="S156">
        <v>5</v>
      </c>
      <c r="T156">
        <v>2023</v>
      </c>
      <c r="U156" t="s">
        <v>3075</v>
      </c>
      <c r="V156">
        <v>8</v>
      </c>
      <c r="W156" t="s">
        <v>3109</v>
      </c>
      <c r="X156">
        <v>267562.73</v>
      </c>
      <c r="Y156" t="s">
        <v>3062</v>
      </c>
      <c r="Z156" t="s">
        <v>3063</v>
      </c>
      <c r="AA156" t="s">
        <v>3079</v>
      </c>
    </row>
    <row r="157" spans="1:27" x14ac:dyDescent="0.3">
      <c r="A157" t="s">
        <v>2601</v>
      </c>
      <c r="B157" s="7">
        <v>45487</v>
      </c>
      <c r="C157" t="s">
        <v>63</v>
      </c>
      <c r="D157" t="s">
        <v>31</v>
      </c>
      <c r="E157" t="s">
        <v>2042</v>
      </c>
      <c r="F157" t="s">
        <v>43</v>
      </c>
      <c r="G157" t="s">
        <v>92</v>
      </c>
      <c r="H157" t="s">
        <v>93</v>
      </c>
      <c r="I157" t="s">
        <v>1184</v>
      </c>
      <c r="J157">
        <v>4</v>
      </c>
      <c r="K157">
        <v>79252</v>
      </c>
      <c r="L157">
        <v>0.04</v>
      </c>
      <c r="M157">
        <v>76081.919999999998</v>
      </c>
      <c r="N157">
        <v>304327.67999999999</v>
      </c>
      <c r="O157">
        <v>0.15</v>
      </c>
      <c r="P157">
        <v>45649.15</v>
      </c>
      <c r="Q157" t="s">
        <v>51</v>
      </c>
      <c r="R157" t="s">
        <v>48</v>
      </c>
      <c r="S157">
        <v>2</v>
      </c>
      <c r="T157">
        <v>2024</v>
      </c>
      <c r="U157" t="s">
        <v>3088</v>
      </c>
      <c r="V157">
        <v>7</v>
      </c>
      <c r="W157" t="s">
        <v>3089</v>
      </c>
      <c r="X157">
        <v>258678.53</v>
      </c>
      <c r="Y157" t="s">
        <v>3067</v>
      </c>
      <c r="Z157" t="s">
        <v>3063</v>
      </c>
      <c r="AA157" t="s">
        <v>3079</v>
      </c>
    </row>
    <row r="158" spans="1:27" x14ac:dyDescent="0.3">
      <c r="A158" t="s">
        <v>2151</v>
      </c>
      <c r="B158" s="7">
        <v>45037</v>
      </c>
      <c r="C158" t="s">
        <v>55</v>
      </c>
      <c r="D158" t="s">
        <v>31</v>
      </c>
      <c r="E158" t="s">
        <v>42</v>
      </c>
      <c r="F158" t="s">
        <v>97</v>
      </c>
      <c r="G158" t="s">
        <v>92</v>
      </c>
      <c r="H158" t="s">
        <v>109</v>
      </c>
      <c r="I158" t="s">
        <v>292</v>
      </c>
      <c r="J158">
        <v>5</v>
      </c>
      <c r="K158">
        <v>77649</v>
      </c>
      <c r="L158">
        <v>0.22</v>
      </c>
      <c r="M158">
        <v>60566.22</v>
      </c>
      <c r="N158">
        <v>302831.09999999998</v>
      </c>
      <c r="O158">
        <v>0.15</v>
      </c>
      <c r="P158">
        <v>45424.66</v>
      </c>
      <c r="Q158" t="s">
        <v>51</v>
      </c>
      <c r="R158" t="s">
        <v>38</v>
      </c>
      <c r="S158">
        <v>7</v>
      </c>
      <c r="T158">
        <v>2023</v>
      </c>
      <c r="U158" t="s">
        <v>3080</v>
      </c>
      <c r="V158">
        <v>4</v>
      </c>
      <c r="W158" t="s">
        <v>3081</v>
      </c>
      <c r="X158">
        <v>257406.43999999997</v>
      </c>
      <c r="Y158" t="s">
        <v>3062</v>
      </c>
      <c r="Z158" t="s">
        <v>3063</v>
      </c>
      <c r="AA158" t="s">
        <v>3079</v>
      </c>
    </row>
    <row r="159" spans="1:27" x14ac:dyDescent="0.3">
      <c r="A159" t="s">
        <v>2543</v>
      </c>
      <c r="B159" s="7">
        <v>45429</v>
      </c>
      <c r="C159" t="s">
        <v>40</v>
      </c>
      <c r="D159" t="s">
        <v>21</v>
      </c>
      <c r="E159" t="s">
        <v>2042</v>
      </c>
      <c r="F159" t="s">
        <v>103</v>
      </c>
      <c r="G159" t="s">
        <v>34</v>
      </c>
      <c r="H159" t="s">
        <v>71</v>
      </c>
      <c r="I159" t="s">
        <v>1069</v>
      </c>
      <c r="J159">
        <v>5</v>
      </c>
      <c r="K159">
        <v>736</v>
      </c>
      <c r="L159">
        <v>0.17</v>
      </c>
      <c r="M159">
        <v>610.88</v>
      </c>
      <c r="N159">
        <v>3054.4</v>
      </c>
      <c r="O159">
        <v>0.4</v>
      </c>
      <c r="P159">
        <v>1221.76</v>
      </c>
      <c r="Q159" t="s">
        <v>47</v>
      </c>
      <c r="R159" t="s">
        <v>48</v>
      </c>
      <c r="S159">
        <v>4</v>
      </c>
      <c r="T159">
        <v>2024</v>
      </c>
      <c r="U159" t="s">
        <v>3091</v>
      </c>
      <c r="V159">
        <v>5</v>
      </c>
      <c r="W159" t="s">
        <v>3105</v>
      </c>
      <c r="X159">
        <v>1832.64</v>
      </c>
      <c r="Y159" t="s">
        <v>3062</v>
      </c>
      <c r="Z159" t="s">
        <v>3063</v>
      </c>
      <c r="AA159" t="s">
        <v>3079</v>
      </c>
    </row>
    <row r="160" spans="1:27" x14ac:dyDescent="0.3">
      <c r="A160" t="s">
        <v>2283</v>
      </c>
      <c r="B160" s="7">
        <v>45169</v>
      </c>
      <c r="C160" t="s">
        <v>40</v>
      </c>
      <c r="D160" t="s">
        <v>41</v>
      </c>
      <c r="E160" t="s">
        <v>2040</v>
      </c>
      <c r="F160" t="s">
        <v>103</v>
      </c>
      <c r="G160" t="s">
        <v>92</v>
      </c>
      <c r="H160" t="s">
        <v>178</v>
      </c>
      <c r="I160" t="s">
        <v>556</v>
      </c>
      <c r="J160">
        <v>9</v>
      </c>
      <c r="K160">
        <v>41324</v>
      </c>
      <c r="L160">
        <v>0.19</v>
      </c>
      <c r="M160">
        <v>33472.44</v>
      </c>
      <c r="N160">
        <v>301251.96000000002</v>
      </c>
      <c r="O160">
        <v>0.15</v>
      </c>
      <c r="P160">
        <v>45187.79</v>
      </c>
      <c r="Q160" t="s">
        <v>51</v>
      </c>
      <c r="R160" t="s">
        <v>28</v>
      </c>
      <c r="S160">
        <v>9</v>
      </c>
      <c r="T160">
        <v>2023</v>
      </c>
      <c r="U160" t="s">
        <v>3075</v>
      </c>
      <c r="V160">
        <v>8</v>
      </c>
      <c r="W160" t="s">
        <v>3109</v>
      </c>
      <c r="X160">
        <v>256064.17</v>
      </c>
      <c r="Y160" t="s">
        <v>3077</v>
      </c>
      <c r="Z160" t="s">
        <v>3063</v>
      </c>
      <c r="AA160" t="s">
        <v>3079</v>
      </c>
    </row>
    <row r="161" spans="1:27" x14ac:dyDescent="0.3">
      <c r="A161" t="s">
        <v>2696</v>
      </c>
      <c r="B161" s="7">
        <v>45582</v>
      </c>
      <c r="C161" t="s">
        <v>96</v>
      </c>
      <c r="D161" t="s">
        <v>41</v>
      </c>
      <c r="E161" t="s">
        <v>42</v>
      </c>
      <c r="F161" t="s">
        <v>33</v>
      </c>
      <c r="G161" t="s">
        <v>92</v>
      </c>
      <c r="H161" t="s">
        <v>109</v>
      </c>
      <c r="I161" t="s">
        <v>1370</v>
      </c>
      <c r="J161">
        <v>8</v>
      </c>
      <c r="K161">
        <v>45144</v>
      </c>
      <c r="L161">
        <v>0.17</v>
      </c>
      <c r="M161">
        <v>37469.519999999997</v>
      </c>
      <c r="N161">
        <v>299756.15999999997</v>
      </c>
      <c r="O161">
        <v>0.15</v>
      </c>
      <c r="P161">
        <v>44963.42</v>
      </c>
      <c r="Q161" t="s">
        <v>37</v>
      </c>
      <c r="R161" t="s">
        <v>48</v>
      </c>
      <c r="S161">
        <v>9</v>
      </c>
      <c r="T161">
        <v>2024</v>
      </c>
      <c r="U161" t="s">
        <v>3065</v>
      </c>
      <c r="V161">
        <v>10</v>
      </c>
      <c r="W161" t="s">
        <v>3066</v>
      </c>
      <c r="X161">
        <v>254792.74</v>
      </c>
      <c r="Y161" t="s">
        <v>3077</v>
      </c>
      <c r="Z161" t="s">
        <v>3063</v>
      </c>
      <c r="AA161" t="s">
        <v>3079</v>
      </c>
    </row>
    <row r="162" spans="1:27" x14ac:dyDescent="0.3">
      <c r="A162" t="s">
        <v>2244</v>
      </c>
      <c r="B162" s="7">
        <v>45130</v>
      </c>
      <c r="C162" t="s">
        <v>30</v>
      </c>
      <c r="D162" t="s">
        <v>41</v>
      </c>
      <c r="E162" t="s">
        <v>2042</v>
      </c>
      <c r="F162" t="s">
        <v>23</v>
      </c>
      <c r="G162" t="s">
        <v>92</v>
      </c>
      <c r="H162" t="s">
        <v>243</v>
      </c>
      <c r="I162" t="s">
        <v>478</v>
      </c>
      <c r="J162">
        <v>7</v>
      </c>
      <c r="K162">
        <v>52823</v>
      </c>
      <c r="L162">
        <v>0.19</v>
      </c>
      <c r="M162">
        <v>42786.63</v>
      </c>
      <c r="N162">
        <v>299506.40999999997</v>
      </c>
      <c r="O162">
        <v>0.15</v>
      </c>
      <c r="P162">
        <v>44925.96</v>
      </c>
      <c r="Q162" t="s">
        <v>51</v>
      </c>
      <c r="R162" t="s">
        <v>38</v>
      </c>
      <c r="S162">
        <v>4</v>
      </c>
      <c r="T162">
        <v>2023</v>
      </c>
      <c r="U162" t="s">
        <v>3088</v>
      </c>
      <c r="V162">
        <v>7</v>
      </c>
      <c r="W162" t="s">
        <v>3111</v>
      </c>
      <c r="X162">
        <v>254580.44999999998</v>
      </c>
      <c r="Y162" t="s">
        <v>3062</v>
      </c>
      <c r="Z162" t="s">
        <v>3063</v>
      </c>
      <c r="AA162" t="s">
        <v>3079</v>
      </c>
    </row>
    <row r="163" spans="1:27" x14ac:dyDescent="0.3">
      <c r="A163" t="s">
        <v>2393</v>
      </c>
      <c r="B163" s="7">
        <v>45279</v>
      </c>
      <c r="C163" t="s">
        <v>63</v>
      </c>
      <c r="D163" t="s">
        <v>41</v>
      </c>
      <c r="E163" t="s">
        <v>2040</v>
      </c>
      <c r="F163" t="s">
        <v>97</v>
      </c>
      <c r="G163" t="s">
        <v>92</v>
      </c>
      <c r="H163" t="s">
        <v>93</v>
      </c>
      <c r="I163" t="s">
        <v>773</v>
      </c>
      <c r="J163">
        <v>5</v>
      </c>
      <c r="K163">
        <v>59104</v>
      </c>
      <c r="L163">
        <v>0</v>
      </c>
      <c r="M163">
        <v>59104</v>
      </c>
      <c r="N163">
        <v>295520</v>
      </c>
      <c r="O163">
        <v>0.15</v>
      </c>
      <c r="P163">
        <v>44328</v>
      </c>
      <c r="Q163" t="s">
        <v>37</v>
      </c>
      <c r="R163" t="s">
        <v>48</v>
      </c>
      <c r="S163">
        <v>4</v>
      </c>
      <c r="T163">
        <v>2023</v>
      </c>
      <c r="U163" t="s">
        <v>3086</v>
      </c>
      <c r="V163">
        <v>12</v>
      </c>
      <c r="W163" t="s">
        <v>3099</v>
      </c>
      <c r="X163">
        <v>251192</v>
      </c>
      <c r="Y163" t="s">
        <v>3062</v>
      </c>
      <c r="Z163" t="s">
        <v>3063</v>
      </c>
      <c r="AA163" t="s">
        <v>3079</v>
      </c>
    </row>
    <row r="164" spans="1:27" x14ac:dyDescent="0.3">
      <c r="A164" t="s">
        <v>2536</v>
      </c>
      <c r="B164" s="7">
        <v>45422</v>
      </c>
      <c r="C164" t="s">
        <v>40</v>
      </c>
      <c r="D164" t="s">
        <v>21</v>
      </c>
      <c r="E164" t="s">
        <v>42</v>
      </c>
      <c r="F164" t="s">
        <v>103</v>
      </c>
      <c r="G164" t="s">
        <v>92</v>
      </c>
      <c r="H164" t="s">
        <v>93</v>
      </c>
      <c r="I164" t="s">
        <v>1056</v>
      </c>
      <c r="J164">
        <v>7</v>
      </c>
      <c r="K164">
        <v>45298</v>
      </c>
      <c r="L164">
        <v>7.0000000000000007E-2</v>
      </c>
      <c r="M164">
        <v>42127.14</v>
      </c>
      <c r="N164">
        <v>294889.98</v>
      </c>
      <c r="O164">
        <v>0.15</v>
      </c>
      <c r="P164">
        <v>44233.5</v>
      </c>
      <c r="Q164" t="s">
        <v>47</v>
      </c>
      <c r="R164" t="s">
        <v>48</v>
      </c>
      <c r="S164">
        <v>2</v>
      </c>
      <c r="T164">
        <v>2024</v>
      </c>
      <c r="U164" t="s">
        <v>3091</v>
      </c>
      <c r="V164">
        <v>5</v>
      </c>
      <c r="W164" t="s">
        <v>3105</v>
      </c>
      <c r="X164">
        <v>250656.47999999998</v>
      </c>
      <c r="Y164" t="s">
        <v>3067</v>
      </c>
      <c r="Z164" t="s">
        <v>3063</v>
      </c>
      <c r="AA164" t="s">
        <v>3079</v>
      </c>
    </row>
    <row r="165" spans="1:27" x14ac:dyDescent="0.3">
      <c r="A165" t="s">
        <v>2648</v>
      </c>
      <c r="B165" s="7">
        <v>45534</v>
      </c>
      <c r="C165" t="s">
        <v>40</v>
      </c>
      <c r="D165" t="s">
        <v>41</v>
      </c>
      <c r="E165" t="s">
        <v>67</v>
      </c>
      <c r="F165" t="s">
        <v>103</v>
      </c>
      <c r="G165" t="s">
        <v>92</v>
      </c>
      <c r="H165" t="s">
        <v>93</v>
      </c>
      <c r="I165" t="s">
        <v>1276</v>
      </c>
      <c r="J165">
        <v>5</v>
      </c>
      <c r="K165">
        <v>74641</v>
      </c>
      <c r="L165">
        <v>0.21</v>
      </c>
      <c r="M165">
        <v>58966.39</v>
      </c>
      <c r="N165">
        <v>294831.95</v>
      </c>
      <c r="O165">
        <v>0.15</v>
      </c>
      <c r="P165">
        <v>44224.79</v>
      </c>
      <c r="Q165" t="s">
        <v>37</v>
      </c>
      <c r="R165" t="s">
        <v>48</v>
      </c>
      <c r="S165">
        <v>9</v>
      </c>
      <c r="T165">
        <v>2024</v>
      </c>
      <c r="U165" t="s">
        <v>3075</v>
      </c>
      <c r="V165">
        <v>8</v>
      </c>
      <c r="W165" t="s">
        <v>3093</v>
      </c>
      <c r="X165">
        <v>250607.16</v>
      </c>
      <c r="Y165" t="s">
        <v>3077</v>
      </c>
      <c r="Z165" t="s">
        <v>3063</v>
      </c>
      <c r="AA165" t="s">
        <v>3079</v>
      </c>
    </row>
    <row r="166" spans="1:27" x14ac:dyDescent="0.3">
      <c r="A166" t="s">
        <v>2518</v>
      </c>
      <c r="B166" s="7">
        <v>45404</v>
      </c>
      <c r="C166" t="s">
        <v>20</v>
      </c>
      <c r="D166" t="s">
        <v>56</v>
      </c>
      <c r="E166" t="s">
        <v>2042</v>
      </c>
      <c r="F166" t="s">
        <v>33</v>
      </c>
      <c r="G166" t="s">
        <v>92</v>
      </c>
      <c r="H166" t="s">
        <v>109</v>
      </c>
      <c r="I166" t="s">
        <v>1020</v>
      </c>
      <c r="J166">
        <v>6</v>
      </c>
      <c r="K166">
        <v>50461</v>
      </c>
      <c r="L166">
        <v>0.05</v>
      </c>
      <c r="M166">
        <v>47937.95</v>
      </c>
      <c r="N166">
        <v>287627.7</v>
      </c>
      <c r="O166">
        <v>0.15</v>
      </c>
      <c r="P166">
        <v>43144.160000000003</v>
      </c>
      <c r="Q166" t="s">
        <v>47</v>
      </c>
      <c r="R166" t="s">
        <v>38</v>
      </c>
      <c r="S166">
        <v>8</v>
      </c>
      <c r="T166">
        <v>2024</v>
      </c>
      <c r="U166" t="s">
        <v>3080</v>
      </c>
      <c r="V166">
        <v>4</v>
      </c>
      <c r="W166" t="s">
        <v>3095</v>
      </c>
      <c r="X166">
        <v>244483.54</v>
      </c>
      <c r="Y166" t="s">
        <v>3077</v>
      </c>
      <c r="Z166" t="s">
        <v>3063</v>
      </c>
      <c r="AA166" t="s">
        <v>3079</v>
      </c>
    </row>
    <row r="167" spans="1:27" x14ac:dyDescent="0.3">
      <c r="A167" t="s">
        <v>2433</v>
      </c>
      <c r="B167" s="7">
        <v>45319</v>
      </c>
      <c r="C167" t="s">
        <v>20</v>
      </c>
      <c r="D167" t="s">
        <v>21</v>
      </c>
      <c r="E167" t="s">
        <v>2042</v>
      </c>
      <c r="F167" t="s">
        <v>68</v>
      </c>
      <c r="G167" t="s">
        <v>34</v>
      </c>
      <c r="H167" t="s">
        <v>141</v>
      </c>
      <c r="I167" t="s">
        <v>852</v>
      </c>
      <c r="J167">
        <v>5</v>
      </c>
      <c r="K167">
        <v>716</v>
      </c>
      <c r="L167">
        <v>0.1</v>
      </c>
      <c r="M167">
        <v>644.4</v>
      </c>
      <c r="N167">
        <v>3222</v>
      </c>
      <c r="O167">
        <v>0.4</v>
      </c>
      <c r="P167">
        <v>1288.8</v>
      </c>
      <c r="Q167" t="s">
        <v>27</v>
      </c>
      <c r="R167" t="s">
        <v>48</v>
      </c>
      <c r="S167">
        <v>7</v>
      </c>
      <c r="T167">
        <v>2024</v>
      </c>
      <c r="U167" t="s">
        <v>3071</v>
      </c>
      <c r="V167">
        <v>1</v>
      </c>
      <c r="W167" t="s">
        <v>3078</v>
      </c>
      <c r="X167">
        <v>1933.2</v>
      </c>
      <c r="Y167" t="s">
        <v>3062</v>
      </c>
      <c r="Z167" t="s">
        <v>3063</v>
      </c>
      <c r="AA167" t="s">
        <v>3079</v>
      </c>
    </row>
    <row r="168" spans="1:27" x14ac:dyDescent="0.3">
      <c r="A168" t="s">
        <v>2624</v>
      </c>
      <c r="B168" s="7">
        <v>45510</v>
      </c>
      <c r="C168" t="s">
        <v>20</v>
      </c>
      <c r="D168" t="s">
        <v>41</v>
      </c>
      <c r="E168" t="s">
        <v>2042</v>
      </c>
      <c r="F168" t="s">
        <v>97</v>
      </c>
      <c r="G168" t="s">
        <v>92</v>
      </c>
      <c r="H168" t="s">
        <v>109</v>
      </c>
      <c r="I168" t="s">
        <v>1230</v>
      </c>
      <c r="J168">
        <v>6</v>
      </c>
      <c r="K168">
        <v>51424</v>
      </c>
      <c r="L168">
        <v>0.08</v>
      </c>
      <c r="M168">
        <v>47310.080000000002</v>
      </c>
      <c r="N168">
        <v>283860.47999999998</v>
      </c>
      <c r="O168">
        <v>0.15</v>
      </c>
      <c r="P168">
        <v>42579.07</v>
      </c>
      <c r="Q168" t="s">
        <v>47</v>
      </c>
      <c r="R168" t="s">
        <v>48</v>
      </c>
      <c r="S168">
        <v>1</v>
      </c>
      <c r="T168">
        <v>2024</v>
      </c>
      <c r="U168" t="s">
        <v>3075</v>
      </c>
      <c r="V168">
        <v>8</v>
      </c>
      <c r="W168" t="s">
        <v>3093</v>
      </c>
      <c r="X168">
        <v>241281.40999999997</v>
      </c>
      <c r="Y168" t="s">
        <v>3067</v>
      </c>
      <c r="Z168" t="s">
        <v>3063</v>
      </c>
      <c r="AA168" t="s">
        <v>3079</v>
      </c>
    </row>
    <row r="169" spans="1:27" x14ac:dyDescent="0.3">
      <c r="A169" t="s">
        <v>2780</v>
      </c>
      <c r="B169" s="7">
        <v>45666</v>
      </c>
      <c r="C169" t="s">
        <v>30</v>
      </c>
      <c r="D169" t="s">
        <v>31</v>
      </c>
      <c r="E169" t="s">
        <v>2042</v>
      </c>
      <c r="F169" t="s">
        <v>103</v>
      </c>
      <c r="G169" t="s">
        <v>34</v>
      </c>
      <c r="H169" t="s">
        <v>141</v>
      </c>
      <c r="I169" t="s">
        <v>1534</v>
      </c>
      <c r="J169">
        <v>4</v>
      </c>
      <c r="K169">
        <v>1073</v>
      </c>
      <c r="L169">
        <v>0.24</v>
      </c>
      <c r="M169">
        <v>815.48</v>
      </c>
      <c r="N169">
        <v>3261.92</v>
      </c>
      <c r="O169">
        <v>0.4</v>
      </c>
      <c r="P169">
        <v>1304.77</v>
      </c>
      <c r="Q169" t="s">
        <v>51</v>
      </c>
      <c r="R169" t="s">
        <v>38</v>
      </c>
      <c r="S169">
        <v>4</v>
      </c>
      <c r="T169">
        <v>2025</v>
      </c>
      <c r="U169" t="s">
        <v>3071</v>
      </c>
      <c r="V169">
        <v>1</v>
      </c>
      <c r="W169" t="s">
        <v>3072</v>
      </c>
      <c r="X169">
        <v>1957.15</v>
      </c>
      <c r="Y169" t="s">
        <v>3062</v>
      </c>
      <c r="Z169" t="s">
        <v>3063</v>
      </c>
      <c r="AA169" t="s">
        <v>3079</v>
      </c>
    </row>
    <row r="170" spans="1:27" x14ac:dyDescent="0.3">
      <c r="A170" t="s">
        <v>2713</v>
      </c>
      <c r="B170" s="7">
        <v>45599</v>
      </c>
      <c r="C170" t="s">
        <v>40</v>
      </c>
      <c r="D170" t="s">
        <v>56</v>
      </c>
      <c r="E170" t="s">
        <v>42</v>
      </c>
      <c r="F170" t="s">
        <v>43</v>
      </c>
      <c r="G170" t="s">
        <v>34</v>
      </c>
      <c r="H170" t="s">
        <v>141</v>
      </c>
      <c r="I170" t="s">
        <v>1402</v>
      </c>
      <c r="J170">
        <v>6</v>
      </c>
      <c r="K170">
        <v>550</v>
      </c>
      <c r="L170">
        <v>0.01</v>
      </c>
      <c r="M170">
        <v>544.5</v>
      </c>
      <c r="N170">
        <v>3267</v>
      </c>
      <c r="O170">
        <v>0.4</v>
      </c>
      <c r="P170">
        <v>1306.8</v>
      </c>
      <c r="Q170" t="s">
        <v>47</v>
      </c>
      <c r="R170" t="s">
        <v>48</v>
      </c>
      <c r="S170">
        <v>9</v>
      </c>
      <c r="T170">
        <v>2024</v>
      </c>
      <c r="U170" t="s">
        <v>3060</v>
      </c>
      <c r="V170">
        <v>11</v>
      </c>
      <c r="W170" t="s">
        <v>3100</v>
      </c>
      <c r="X170">
        <v>1960.2</v>
      </c>
      <c r="Y170" t="s">
        <v>3077</v>
      </c>
      <c r="Z170" t="s">
        <v>3063</v>
      </c>
      <c r="AA170" t="s">
        <v>3079</v>
      </c>
    </row>
    <row r="171" spans="1:27" x14ac:dyDescent="0.3">
      <c r="A171" t="s">
        <v>2061</v>
      </c>
      <c r="B171" s="7">
        <v>44947</v>
      </c>
      <c r="C171" t="s">
        <v>55</v>
      </c>
      <c r="D171" t="s">
        <v>31</v>
      </c>
      <c r="E171" t="s">
        <v>42</v>
      </c>
      <c r="F171" t="s">
        <v>23</v>
      </c>
      <c r="G171" t="s">
        <v>57</v>
      </c>
      <c r="H171" t="s">
        <v>100</v>
      </c>
      <c r="I171" t="s">
        <v>101</v>
      </c>
      <c r="J171">
        <v>3</v>
      </c>
      <c r="K171">
        <v>2899</v>
      </c>
      <c r="L171">
        <v>0.24</v>
      </c>
      <c r="M171">
        <v>2203.2399999999998</v>
      </c>
      <c r="N171">
        <v>6609.72</v>
      </c>
      <c r="O171">
        <v>0.2</v>
      </c>
      <c r="P171">
        <v>1321.94</v>
      </c>
      <c r="Q171" t="s">
        <v>51</v>
      </c>
      <c r="R171" t="s">
        <v>48</v>
      </c>
      <c r="S171">
        <v>4</v>
      </c>
      <c r="T171">
        <v>2023</v>
      </c>
      <c r="U171" t="s">
        <v>3071</v>
      </c>
      <c r="V171">
        <v>1</v>
      </c>
      <c r="W171" t="s">
        <v>3102</v>
      </c>
      <c r="X171">
        <v>5287.7800000000007</v>
      </c>
      <c r="Y171" t="s">
        <v>3062</v>
      </c>
      <c r="Z171" t="s">
        <v>3063</v>
      </c>
      <c r="AA171" t="s">
        <v>3079</v>
      </c>
    </row>
    <row r="172" spans="1:27" x14ac:dyDescent="0.3">
      <c r="A172" t="s">
        <v>2782</v>
      </c>
      <c r="B172" s="7">
        <v>45668</v>
      </c>
      <c r="C172" t="s">
        <v>55</v>
      </c>
      <c r="D172" t="s">
        <v>31</v>
      </c>
      <c r="E172" t="s">
        <v>2042</v>
      </c>
      <c r="F172" t="s">
        <v>43</v>
      </c>
      <c r="G172" t="s">
        <v>34</v>
      </c>
      <c r="H172" t="s">
        <v>104</v>
      </c>
      <c r="I172" t="s">
        <v>1538</v>
      </c>
      <c r="J172">
        <v>6</v>
      </c>
      <c r="K172">
        <v>672</v>
      </c>
      <c r="L172">
        <v>0.18</v>
      </c>
      <c r="M172">
        <v>551.04</v>
      </c>
      <c r="N172">
        <v>3306.24</v>
      </c>
      <c r="O172">
        <v>0.4</v>
      </c>
      <c r="P172">
        <v>1322.5</v>
      </c>
      <c r="Q172" t="s">
        <v>47</v>
      </c>
      <c r="R172" t="s">
        <v>48</v>
      </c>
      <c r="S172">
        <v>6</v>
      </c>
      <c r="T172">
        <v>2025</v>
      </c>
      <c r="U172" t="s">
        <v>3071</v>
      </c>
      <c r="V172">
        <v>1</v>
      </c>
      <c r="W172" t="s">
        <v>3072</v>
      </c>
      <c r="X172">
        <v>1983.7399999999998</v>
      </c>
      <c r="Y172" t="s">
        <v>3062</v>
      </c>
      <c r="Z172" t="s">
        <v>3063</v>
      </c>
      <c r="AA172" t="s">
        <v>3079</v>
      </c>
    </row>
    <row r="173" spans="1:27" x14ac:dyDescent="0.3">
      <c r="A173" t="s">
        <v>2928</v>
      </c>
      <c r="B173" s="7">
        <v>45814</v>
      </c>
      <c r="C173" t="s">
        <v>30</v>
      </c>
      <c r="D173" t="s">
        <v>56</v>
      </c>
      <c r="E173" t="s">
        <v>2042</v>
      </c>
      <c r="F173" t="s">
        <v>23</v>
      </c>
      <c r="G173" t="s">
        <v>34</v>
      </c>
      <c r="H173" t="s">
        <v>104</v>
      </c>
      <c r="I173" t="s">
        <v>1825</v>
      </c>
      <c r="J173">
        <v>5</v>
      </c>
      <c r="K173">
        <v>781</v>
      </c>
      <c r="L173">
        <v>0.15</v>
      </c>
      <c r="M173">
        <v>663.85</v>
      </c>
      <c r="N173">
        <v>3319.25</v>
      </c>
      <c r="O173">
        <v>0.4</v>
      </c>
      <c r="P173">
        <v>1327.7</v>
      </c>
      <c r="Q173" t="s">
        <v>51</v>
      </c>
      <c r="R173" t="s">
        <v>48</v>
      </c>
      <c r="S173">
        <v>5</v>
      </c>
      <c r="T173">
        <v>2025</v>
      </c>
      <c r="U173" t="s">
        <v>3073</v>
      </c>
      <c r="V173">
        <v>6</v>
      </c>
      <c r="W173" t="s">
        <v>3083</v>
      </c>
      <c r="X173">
        <v>1991.55</v>
      </c>
      <c r="Y173" t="s">
        <v>3062</v>
      </c>
      <c r="Z173" t="s">
        <v>3063</v>
      </c>
      <c r="AA173" t="s">
        <v>3079</v>
      </c>
    </row>
    <row r="174" spans="1:27" x14ac:dyDescent="0.3">
      <c r="A174" t="s">
        <v>2777</v>
      </c>
      <c r="B174" s="7">
        <v>45663</v>
      </c>
      <c r="C174" t="s">
        <v>96</v>
      </c>
      <c r="D174" t="s">
        <v>21</v>
      </c>
      <c r="E174" t="s">
        <v>2040</v>
      </c>
      <c r="F174" t="s">
        <v>33</v>
      </c>
      <c r="G174" t="s">
        <v>92</v>
      </c>
      <c r="H174" t="s">
        <v>109</v>
      </c>
      <c r="I174" t="s">
        <v>1528</v>
      </c>
      <c r="J174">
        <v>7</v>
      </c>
      <c r="K174">
        <v>48787</v>
      </c>
      <c r="L174">
        <v>0.17</v>
      </c>
      <c r="M174">
        <v>40493.21</v>
      </c>
      <c r="N174">
        <v>283452.46999999997</v>
      </c>
      <c r="O174">
        <v>0.15</v>
      </c>
      <c r="P174">
        <v>42517.87</v>
      </c>
      <c r="Q174" t="s">
        <v>47</v>
      </c>
      <c r="R174" t="s">
        <v>48</v>
      </c>
      <c r="S174">
        <v>6</v>
      </c>
      <c r="T174">
        <v>2025</v>
      </c>
      <c r="U174" t="s">
        <v>3071</v>
      </c>
      <c r="V174">
        <v>1</v>
      </c>
      <c r="W174" t="s">
        <v>3072</v>
      </c>
      <c r="X174">
        <v>240934.59999999998</v>
      </c>
      <c r="Y174" t="s">
        <v>3062</v>
      </c>
      <c r="Z174" t="s">
        <v>3063</v>
      </c>
      <c r="AA174" t="s">
        <v>3079</v>
      </c>
    </row>
    <row r="175" spans="1:27" x14ac:dyDescent="0.3">
      <c r="A175" t="s">
        <v>2996</v>
      </c>
      <c r="B175" s="7">
        <v>45882</v>
      </c>
      <c r="C175" t="s">
        <v>20</v>
      </c>
      <c r="D175" t="s">
        <v>56</v>
      </c>
      <c r="E175" t="s">
        <v>42</v>
      </c>
      <c r="F175" t="s">
        <v>33</v>
      </c>
      <c r="G175" t="s">
        <v>92</v>
      </c>
      <c r="H175" t="s">
        <v>109</v>
      </c>
      <c r="I175" t="s">
        <v>1953</v>
      </c>
      <c r="J175">
        <v>5</v>
      </c>
      <c r="K175">
        <v>73878</v>
      </c>
      <c r="L175">
        <v>0.24</v>
      </c>
      <c r="M175">
        <v>56147.28</v>
      </c>
      <c r="N175">
        <v>280736.40000000002</v>
      </c>
      <c r="O175">
        <v>0.15</v>
      </c>
      <c r="P175">
        <v>42110.46</v>
      </c>
      <c r="Q175" t="s">
        <v>51</v>
      </c>
      <c r="R175" t="s">
        <v>48</v>
      </c>
      <c r="S175">
        <v>9</v>
      </c>
      <c r="T175">
        <v>2025</v>
      </c>
      <c r="U175" t="s">
        <v>3075</v>
      </c>
      <c r="V175">
        <v>8</v>
      </c>
      <c r="W175" t="s">
        <v>3076</v>
      </c>
      <c r="X175">
        <v>238625.94000000003</v>
      </c>
      <c r="Y175" t="s">
        <v>3077</v>
      </c>
      <c r="Z175" t="s">
        <v>3063</v>
      </c>
      <c r="AA175" t="s">
        <v>3079</v>
      </c>
    </row>
    <row r="176" spans="1:27" x14ac:dyDescent="0.3">
      <c r="A176" t="s">
        <v>2616</v>
      </c>
      <c r="B176" s="7">
        <v>45502</v>
      </c>
      <c r="C176" t="s">
        <v>96</v>
      </c>
      <c r="D176" t="s">
        <v>56</v>
      </c>
      <c r="E176" t="s">
        <v>2040</v>
      </c>
      <c r="F176" t="s">
        <v>97</v>
      </c>
      <c r="G176" t="s">
        <v>34</v>
      </c>
      <c r="H176" t="s">
        <v>71</v>
      </c>
      <c r="I176" t="s">
        <v>1214</v>
      </c>
      <c r="J176">
        <v>8</v>
      </c>
      <c r="K176">
        <v>441</v>
      </c>
      <c r="L176">
        <v>0.05</v>
      </c>
      <c r="M176">
        <v>418.95</v>
      </c>
      <c r="N176">
        <v>3351.6</v>
      </c>
      <c r="O176">
        <v>0.4</v>
      </c>
      <c r="P176">
        <v>1340.64</v>
      </c>
      <c r="Q176" t="s">
        <v>47</v>
      </c>
      <c r="R176" t="s">
        <v>48</v>
      </c>
      <c r="S176">
        <v>4</v>
      </c>
      <c r="T176">
        <v>2024</v>
      </c>
      <c r="U176" t="s">
        <v>3088</v>
      </c>
      <c r="V176">
        <v>7</v>
      </c>
      <c r="W176" t="s">
        <v>3089</v>
      </c>
      <c r="X176">
        <v>2010.9599999999998</v>
      </c>
      <c r="Y176" t="s">
        <v>3062</v>
      </c>
      <c r="Z176" t="s">
        <v>3063</v>
      </c>
      <c r="AA176" t="s">
        <v>3079</v>
      </c>
    </row>
    <row r="177" spans="1:27" x14ac:dyDescent="0.3">
      <c r="A177" t="s">
        <v>2630</v>
      </c>
      <c r="B177" s="7">
        <v>45516</v>
      </c>
      <c r="C177" t="s">
        <v>20</v>
      </c>
      <c r="D177" t="s">
        <v>41</v>
      </c>
      <c r="E177" t="s">
        <v>42</v>
      </c>
      <c r="F177" t="s">
        <v>23</v>
      </c>
      <c r="G177" t="s">
        <v>92</v>
      </c>
      <c r="H177" t="s">
        <v>93</v>
      </c>
      <c r="I177" t="s">
        <v>1242</v>
      </c>
      <c r="J177">
        <v>9</v>
      </c>
      <c r="K177">
        <v>32420</v>
      </c>
      <c r="L177">
        <v>0.04</v>
      </c>
      <c r="M177">
        <v>31123.200000000001</v>
      </c>
      <c r="N177">
        <v>280108.79999999999</v>
      </c>
      <c r="O177">
        <v>0.15</v>
      </c>
      <c r="P177">
        <v>42016.32</v>
      </c>
      <c r="Q177" t="s">
        <v>27</v>
      </c>
      <c r="R177" t="s">
        <v>48</v>
      </c>
      <c r="S177">
        <v>4</v>
      </c>
      <c r="T177">
        <v>2024</v>
      </c>
      <c r="U177" t="s">
        <v>3075</v>
      </c>
      <c r="V177">
        <v>8</v>
      </c>
      <c r="W177" t="s">
        <v>3093</v>
      </c>
      <c r="X177">
        <v>238092.47999999998</v>
      </c>
      <c r="Y177" t="s">
        <v>3062</v>
      </c>
      <c r="Z177" t="s">
        <v>3063</v>
      </c>
      <c r="AA177" t="s">
        <v>3079</v>
      </c>
    </row>
    <row r="178" spans="1:27" x14ac:dyDescent="0.3">
      <c r="A178" t="s">
        <v>2703</v>
      </c>
      <c r="B178" s="7">
        <v>45589</v>
      </c>
      <c r="C178" t="s">
        <v>63</v>
      </c>
      <c r="D178" t="s">
        <v>41</v>
      </c>
      <c r="E178" t="s">
        <v>42</v>
      </c>
      <c r="F178" t="s">
        <v>33</v>
      </c>
      <c r="G178" t="s">
        <v>92</v>
      </c>
      <c r="H178" t="s">
        <v>178</v>
      </c>
      <c r="I178" t="s">
        <v>1384</v>
      </c>
      <c r="J178">
        <v>5</v>
      </c>
      <c r="K178">
        <v>71558</v>
      </c>
      <c r="L178">
        <v>0.22</v>
      </c>
      <c r="M178">
        <v>55815.24</v>
      </c>
      <c r="N178">
        <v>279076.2</v>
      </c>
      <c r="O178">
        <v>0.15</v>
      </c>
      <c r="P178">
        <v>41861.43</v>
      </c>
      <c r="Q178" t="s">
        <v>51</v>
      </c>
      <c r="R178" t="s">
        <v>48</v>
      </c>
      <c r="S178">
        <v>7</v>
      </c>
      <c r="T178">
        <v>2024</v>
      </c>
      <c r="U178" t="s">
        <v>3065</v>
      </c>
      <c r="V178">
        <v>10</v>
      </c>
      <c r="W178" t="s">
        <v>3066</v>
      </c>
      <c r="X178">
        <v>237214.77000000002</v>
      </c>
      <c r="Y178" t="s">
        <v>3062</v>
      </c>
      <c r="Z178" t="s">
        <v>3063</v>
      </c>
      <c r="AA178" t="s">
        <v>3079</v>
      </c>
    </row>
    <row r="179" spans="1:27" x14ac:dyDescent="0.3">
      <c r="A179" t="s">
        <v>2203</v>
      </c>
      <c r="B179" s="7">
        <v>45089</v>
      </c>
      <c r="C179" t="s">
        <v>63</v>
      </c>
      <c r="D179" t="s">
        <v>21</v>
      </c>
      <c r="E179" t="s">
        <v>2042</v>
      </c>
      <c r="F179" t="s">
        <v>103</v>
      </c>
      <c r="G179" t="s">
        <v>34</v>
      </c>
      <c r="H179" t="s">
        <v>104</v>
      </c>
      <c r="I179" t="s">
        <v>396</v>
      </c>
      <c r="J179">
        <v>5</v>
      </c>
      <c r="K179">
        <v>689</v>
      </c>
      <c r="L179">
        <v>0.02</v>
      </c>
      <c r="M179">
        <v>675.22</v>
      </c>
      <c r="N179">
        <v>3376.1</v>
      </c>
      <c r="O179">
        <v>0.4</v>
      </c>
      <c r="P179">
        <v>1350.44</v>
      </c>
      <c r="Q179" t="s">
        <v>51</v>
      </c>
      <c r="R179" t="s">
        <v>48</v>
      </c>
      <c r="S179">
        <v>8</v>
      </c>
      <c r="T179">
        <v>2023</v>
      </c>
      <c r="U179" t="s">
        <v>3073</v>
      </c>
      <c r="V179">
        <v>6</v>
      </c>
      <c r="W179" t="s">
        <v>3103</v>
      </c>
      <c r="X179">
        <v>2025.6599999999999</v>
      </c>
      <c r="Y179" t="s">
        <v>3077</v>
      </c>
      <c r="Z179" t="s">
        <v>3063</v>
      </c>
      <c r="AA179" t="s">
        <v>3079</v>
      </c>
    </row>
    <row r="180" spans="1:27" x14ac:dyDescent="0.3">
      <c r="A180" t="s">
        <v>2275</v>
      </c>
      <c r="B180" s="7">
        <v>45161</v>
      </c>
      <c r="C180" t="s">
        <v>63</v>
      </c>
      <c r="D180" t="s">
        <v>56</v>
      </c>
      <c r="E180" t="s">
        <v>42</v>
      </c>
      <c r="F180" t="s">
        <v>33</v>
      </c>
      <c r="G180" t="s">
        <v>92</v>
      </c>
      <c r="H180" t="s">
        <v>243</v>
      </c>
      <c r="I180" t="s">
        <v>540</v>
      </c>
      <c r="J180">
        <v>5</v>
      </c>
      <c r="K180">
        <v>61924</v>
      </c>
      <c r="L180">
        <v>0.1</v>
      </c>
      <c r="M180">
        <v>55731.6</v>
      </c>
      <c r="N180">
        <v>278658</v>
      </c>
      <c r="O180">
        <v>0.15</v>
      </c>
      <c r="P180">
        <v>41798.699999999997</v>
      </c>
      <c r="Q180" t="s">
        <v>37</v>
      </c>
      <c r="R180" t="s">
        <v>48</v>
      </c>
      <c r="S180">
        <v>2</v>
      </c>
      <c r="T180">
        <v>2023</v>
      </c>
      <c r="U180" t="s">
        <v>3075</v>
      </c>
      <c r="V180">
        <v>8</v>
      </c>
      <c r="W180" t="s">
        <v>3109</v>
      </c>
      <c r="X180">
        <v>236859.3</v>
      </c>
      <c r="Y180" t="s">
        <v>3067</v>
      </c>
      <c r="Z180" t="s">
        <v>3063</v>
      </c>
      <c r="AA180" t="s">
        <v>3079</v>
      </c>
    </row>
    <row r="181" spans="1:27" x14ac:dyDescent="0.3">
      <c r="A181" t="s">
        <v>2220</v>
      </c>
      <c r="B181" s="7">
        <v>45106</v>
      </c>
      <c r="C181" t="s">
        <v>55</v>
      </c>
      <c r="D181" t="s">
        <v>41</v>
      </c>
      <c r="E181" t="s">
        <v>2040</v>
      </c>
      <c r="F181" t="s">
        <v>103</v>
      </c>
      <c r="G181" t="s">
        <v>92</v>
      </c>
      <c r="H181" t="s">
        <v>109</v>
      </c>
      <c r="I181" t="s">
        <v>430</v>
      </c>
      <c r="J181">
        <v>7</v>
      </c>
      <c r="K181">
        <v>42556</v>
      </c>
      <c r="L181">
        <v>7.0000000000000007E-2</v>
      </c>
      <c r="M181">
        <v>39577.08</v>
      </c>
      <c r="N181">
        <v>277039.56</v>
      </c>
      <c r="O181">
        <v>0.15</v>
      </c>
      <c r="P181">
        <v>41555.93</v>
      </c>
      <c r="Q181" t="s">
        <v>37</v>
      </c>
      <c r="R181" t="s">
        <v>48</v>
      </c>
      <c r="S181">
        <v>5</v>
      </c>
      <c r="T181">
        <v>2023</v>
      </c>
      <c r="U181" t="s">
        <v>3073</v>
      </c>
      <c r="V181">
        <v>6</v>
      </c>
      <c r="W181" t="s">
        <v>3103</v>
      </c>
      <c r="X181">
        <v>235483.63</v>
      </c>
      <c r="Y181" t="s">
        <v>3062</v>
      </c>
      <c r="Z181" t="s">
        <v>3063</v>
      </c>
      <c r="AA181" t="s">
        <v>3079</v>
      </c>
    </row>
    <row r="182" spans="1:27" x14ac:dyDescent="0.3">
      <c r="A182" t="s">
        <v>3017</v>
      </c>
      <c r="B182" s="7">
        <v>45903</v>
      </c>
      <c r="C182" t="s">
        <v>20</v>
      </c>
      <c r="D182" t="s">
        <v>21</v>
      </c>
      <c r="E182" t="s">
        <v>42</v>
      </c>
      <c r="F182" t="s">
        <v>103</v>
      </c>
      <c r="G182" t="s">
        <v>34</v>
      </c>
      <c r="H182" t="s">
        <v>35</v>
      </c>
      <c r="I182" t="s">
        <v>1993</v>
      </c>
      <c r="J182">
        <v>3</v>
      </c>
      <c r="K182">
        <v>1477</v>
      </c>
      <c r="L182">
        <v>0.22</v>
      </c>
      <c r="M182">
        <v>1152.06</v>
      </c>
      <c r="N182">
        <v>3456.18</v>
      </c>
      <c r="O182">
        <v>0.4</v>
      </c>
      <c r="P182">
        <v>1382.47</v>
      </c>
      <c r="Q182" t="s">
        <v>51</v>
      </c>
      <c r="R182" t="s">
        <v>38</v>
      </c>
      <c r="S182">
        <v>8</v>
      </c>
      <c r="T182">
        <v>2025</v>
      </c>
      <c r="U182" t="s">
        <v>3097</v>
      </c>
      <c r="V182">
        <v>9</v>
      </c>
      <c r="W182" t="s">
        <v>3110</v>
      </c>
      <c r="X182">
        <v>2073.71</v>
      </c>
      <c r="Y182" t="s">
        <v>3077</v>
      </c>
      <c r="Z182" t="s">
        <v>3063</v>
      </c>
      <c r="AA182" t="s">
        <v>3079</v>
      </c>
    </row>
    <row r="183" spans="1:27" x14ac:dyDescent="0.3">
      <c r="A183" t="s">
        <v>2706</v>
      </c>
      <c r="B183" s="7">
        <v>45592</v>
      </c>
      <c r="C183" t="s">
        <v>20</v>
      </c>
      <c r="D183" t="s">
        <v>56</v>
      </c>
      <c r="E183" t="s">
        <v>2042</v>
      </c>
      <c r="F183" t="s">
        <v>97</v>
      </c>
      <c r="G183" t="s">
        <v>92</v>
      </c>
      <c r="H183" t="s">
        <v>243</v>
      </c>
      <c r="I183" t="s">
        <v>520</v>
      </c>
      <c r="J183">
        <v>6</v>
      </c>
      <c r="K183">
        <v>56857</v>
      </c>
      <c r="L183">
        <v>0.19</v>
      </c>
      <c r="M183">
        <v>46054.17</v>
      </c>
      <c r="N183">
        <v>276325.02</v>
      </c>
      <c r="O183">
        <v>0.15</v>
      </c>
      <c r="P183">
        <v>41448.75</v>
      </c>
      <c r="Q183" t="s">
        <v>47</v>
      </c>
      <c r="R183" t="s">
        <v>38</v>
      </c>
      <c r="S183">
        <v>7</v>
      </c>
      <c r="T183">
        <v>2024</v>
      </c>
      <c r="U183" t="s">
        <v>3065</v>
      </c>
      <c r="V183">
        <v>10</v>
      </c>
      <c r="W183" t="s">
        <v>3066</v>
      </c>
      <c r="X183">
        <v>234876.27000000002</v>
      </c>
      <c r="Y183" t="s">
        <v>3062</v>
      </c>
      <c r="Z183" t="s">
        <v>3063</v>
      </c>
      <c r="AA183" t="s">
        <v>3079</v>
      </c>
    </row>
    <row r="184" spans="1:27" x14ac:dyDescent="0.3">
      <c r="A184" t="s">
        <v>2524</v>
      </c>
      <c r="B184" s="7">
        <v>45410</v>
      </c>
      <c r="C184" t="s">
        <v>63</v>
      </c>
      <c r="D184" t="s">
        <v>41</v>
      </c>
      <c r="E184" t="s">
        <v>67</v>
      </c>
      <c r="F184" t="s">
        <v>68</v>
      </c>
      <c r="G184" t="s">
        <v>34</v>
      </c>
      <c r="H184" t="s">
        <v>71</v>
      </c>
      <c r="I184" t="s">
        <v>1032</v>
      </c>
      <c r="J184">
        <v>9</v>
      </c>
      <c r="K184">
        <v>465</v>
      </c>
      <c r="L184">
        <v>0.15</v>
      </c>
      <c r="M184">
        <v>395.25</v>
      </c>
      <c r="N184">
        <v>3557.25</v>
      </c>
      <c r="O184">
        <v>0.4</v>
      </c>
      <c r="P184">
        <v>1422.9</v>
      </c>
      <c r="Q184" t="s">
        <v>27</v>
      </c>
      <c r="R184" t="s">
        <v>38</v>
      </c>
      <c r="S184">
        <v>8</v>
      </c>
      <c r="T184">
        <v>2024</v>
      </c>
      <c r="U184" t="s">
        <v>3080</v>
      </c>
      <c r="V184">
        <v>4</v>
      </c>
      <c r="W184" t="s">
        <v>3095</v>
      </c>
      <c r="X184">
        <v>2134.35</v>
      </c>
      <c r="Y184" t="s">
        <v>3077</v>
      </c>
      <c r="Z184" t="s">
        <v>3063</v>
      </c>
      <c r="AA184" t="s">
        <v>3079</v>
      </c>
    </row>
    <row r="185" spans="1:27" x14ac:dyDescent="0.3">
      <c r="A185" t="s">
        <v>2455</v>
      </c>
      <c r="B185" s="7">
        <v>45341</v>
      </c>
      <c r="C185" t="s">
        <v>20</v>
      </c>
      <c r="D185" t="s">
        <v>41</v>
      </c>
      <c r="E185" t="s">
        <v>2042</v>
      </c>
      <c r="F185" t="s">
        <v>33</v>
      </c>
      <c r="G185" t="s">
        <v>92</v>
      </c>
      <c r="H185" t="s">
        <v>178</v>
      </c>
      <c r="I185" t="s">
        <v>896</v>
      </c>
      <c r="J185">
        <v>6</v>
      </c>
      <c r="K185">
        <v>54843</v>
      </c>
      <c r="L185">
        <v>0.17</v>
      </c>
      <c r="M185">
        <v>45519.69</v>
      </c>
      <c r="N185">
        <v>273118.14</v>
      </c>
      <c r="O185">
        <v>0.15</v>
      </c>
      <c r="P185">
        <v>40967.72</v>
      </c>
      <c r="Q185" t="s">
        <v>47</v>
      </c>
      <c r="R185" t="s">
        <v>48</v>
      </c>
      <c r="S185">
        <v>2</v>
      </c>
      <c r="T185">
        <v>2024</v>
      </c>
      <c r="U185" t="s">
        <v>3084</v>
      </c>
      <c r="V185">
        <v>2</v>
      </c>
      <c r="W185" t="s">
        <v>3085</v>
      </c>
      <c r="X185">
        <v>232150.42</v>
      </c>
      <c r="Y185" t="s">
        <v>3067</v>
      </c>
      <c r="Z185" t="s">
        <v>3063</v>
      </c>
      <c r="AA185" t="s">
        <v>3079</v>
      </c>
    </row>
    <row r="186" spans="1:27" x14ac:dyDescent="0.3">
      <c r="A186" t="s">
        <v>2239</v>
      </c>
      <c r="B186" s="7">
        <v>45125</v>
      </c>
      <c r="C186" t="s">
        <v>40</v>
      </c>
      <c r="D186" t="s">
        <v>21</v>
      </c>
      <c r="E186" t="s">
        <v>2040</v>
      </c>
      <c r="F186" t="s">
        <v>103</v>
      </c>
      <c r="G186" t="s">
        <v>34</v>
      </c>
      <c r="H186" t="s">
        <v>104</v>
      </c>
      <c r="I186" t="s">
        <v>468</v>
      </c>
      <c r="J186">
        <v>3</v>
      </c>
      <c r="K186">
        <v>1368</v>
      </c>
      <c r="L186">
        <v>0.13</v>
      </c>
      <c r="M186">
        <v>1190.1600000000001</v>
      </c>
      <c r="N186">
        <v>3570.48</v>
      </c>
      <c r="O186">
        <v>0.4</v>
      </c>
      <c r="P186">
        <v>1428.19</v>
      </c>
      <c r="Q186" t="s">
        <v>37</v>
      </c>
      <c r="R186" t="s">
        <v>48</v>
      </c>
      <c r="S186">
        <v>5</v>
      </c>
      <c r="T186">
        <v>2023</v>
      </c>
      <c r="U186" t="s">
        <v>3088</v>
      </c>
      <c r="V186">
        <v>7</v>
      </c>
      <c r="W186" t="s">
        <v>3111</v>
      </c>
      <c r="X186">
        <v>2142.29</v>
      </c>
      <c r="Y186" t="s">
        <v>3062</v>
      </c>
      <c r="Z186" t="s">
        <v>3063</v>
      </c>
      <c r="AA186" t="s">
        <v>3079</v>
      </c>
    </row>
    <row r="187" spans="1:27" x14ac:dyDescent="0.3">
      <c r="A187" t="s">
        <v>2059</v>
      </c>
      <c r="B187" s="7">
        <v>44945</v>
      </c>
      <c r="C187" t="s">
        <v>30</v>
      </c>
      <c r="D187" t="s">
        <v>31</v>
      </c>
      <c r="E187" t="s">
        <v>42</v>
      </c>
      <c r="F187" t="s">
        <v>68</v>
      </c>
      <c r="G187" t="s">
        <v>92</v>
      </c>
      <c r="H187" t="s">
        <v>93</v>
      </c>
      <c r="I187" t="s">
        <v>94</v>
      </c>
      <c r="J187">
        <v>6</v>
      </c>
      <c r="K187">
        <v>56163</v>
      </c>
      <c r="L187">
        <v>0.2</v>
      </c>
      <c r="M187">
        <v>44930.400000000001</v>
      </c>
      <c r="N187">
        <v>269582.40000000002</v>
      </c>
      <c r="O187">
        <v>0.15</v>
      </c>
      <c r="P187">
        <v>40437.360000000001</v>
      </c>
      <c r="Q187" t="s">
        <v>27</v>
      </c>
      <c r="R187" t="s">
        <v>48</v>
      </c>
      <c r="S187">
        <v>3</v>
      </c>
      <c r="T187">
        <v>2023</v>
      </c>
      <c r="U187" t="s">
        <v>3071</v>
      </c>
      <c r="V187">
        <v>1</v>
      </c>
      <c r="W187" t="s">
        <v>3102</v>
      </c>
      <c r="X187">
        <v>229145.04000000004</v>
      </c>
      <c r="Y187" t="s">
        <v>3067</v>
      </c>
      <c r="Z187" t="s">
        <v>3063</v>
      </c>
      <c r="AA187" t="s">
        <v>3079</v>
      </c>
    </row>
    <row r="188" spans="1:27" x14ac:dyDescent="0.3">
      <c r="A188" t="s">
        <v>2262</v>
      </c>
      <c r="B188" s="7">
        <v>45148</v>
      </c>
      <c r="C188" t="s">
        <v>63</v>
      </c>
      <c r="D188" t="s">
        <v>41</v>
      </c>
      <c r="E188" t="s">
        <v>2042</v>
      </c>
      <c r="F188" t="s">
        <v>23</v>
      </c>
      <c r="G188" t="s">
        <v>92</v>
      </c>
      <c r="H188" t="s">
        <v>93</v>
      </c>
      <c r="I188" t="s">
        <v>514</v>
      </c>
      <c r="J188">
        <v>8</v>
      </c>
      <c r="K188">
        <v>35923</v>
      </c>
      <c r="L188">
        <v>0.09</v>
      </c>
      <c r="M188">
        <v>32689.93</v>
      </c>
      <c r="N188">
        <v>261519.44</v>
      </c>
      <c r="O188">
        <v>0.15</v>
      </c>
      <c r="P188">
        <v>39227.919999999998</v>
      </c>
      <c r="Q188" t="s">
        <v>47</v>
      </c>
      <c r="R188" t="s">
        <v>48</v>
      </c>
      <c r="S188">
        <v>5</v>
      </c>
      <c r="T188">
        <v>2023</v>
      </c>
      <c r="U188" t="s">
        <v>3075</v>
      </c>
      <c r="V188">
        <v>8</v>
      </c>
      <c r="W188" t="s">
        <v>3109</v>
      </c>
      <c r="X188">
        <v>222291.52000000002</v>
      </c>
      <c r="Y188" t="s">
        <v>3062</v>
      </c>
      <c r="Z188" t="s">
        <v>3063</v>
      </c>
      <c r="AA188" t="s">
        <v>3079</v>
      </c>
    </row>
    <row r="189" spans="1:27" x14ac:dyDescent="0.3">
      <c r="A189" t="s">
        <v>2938</v>
      </c>
      <c r="B189" s="7">
        <v>45824</v>
      </c>
      <c r="C189" t="s">
        <v>20</v>
      </c>
      <c r="D189" t="s">
        <v>21</v>
      </c>
      <c r="E189" t="s">
        <v>42</v>
      </c>
      <c r="F189" t="s">
        <v>68</v>
      </c>
      <c r="G189" t="s">
        <v>92</v>
      </c>
      <c r="H189" t="s">
        <v>109</v>
      </c>
      <c r="I189" t="s">
        <v>1844</v>
      </c>
      <c r="J189">
        <v>7</v>
      </c>
      <c r="K189">
        <v>40682</v>
      </c>
      <c r="L189">
        <v>0.09</v>
      </c>
      <c r="M189">
        <v>37020.620000000003</v>
      </c>
      <c r="N189">
        <v>259144.34</v>
      </c>
      <c r="O189">
        <v>0.15</v>
      </c>
      <c r="P189">
        <v>38871.65</v>
      </c>
      <c r="Q189" t="s">
        <v>37</v>
      </c>
      <c r="R189" t="s">
        <v>48</v>
      </c>
      <c r="S189">
        <v>3</v>
      </c>
      <c r="T189">
        <v>2025</v>
      </c>
      <c r="U189" t="s">
        <v>3073</v>
      </c>
      <c r="V189">
        <v>6</v>
      </c>
      <c r="W189" t="s">
        <v>3083</v>
      </c>
      <c r="X189">
        <v>220272.69</v>
      </c>
      <c r="Y189" t="s">
        <v>3067</v>
      </c>
      <c r="Z189" t="s">
        <v>3063</v>
      </c>
      <c r="AA189" t="s">
        <v>3079</v>
      </c>
    </row>
    <row r="190" spans="1:27" x14ac:dyDescent="0.3">
      <c r="A190" t="s">
        <v>2169</v>
      </c>
      <c r="B190" s="7">
        <v>45055</v>
      </c>
      <c r="C190" t="s">
        <v>20</v>
      </c>
      <c r="D190" t="s">
        <v>56</v>
      </c>
      <c r="E190" t="s">
        <v>67</v>
      </c>
      <c r="F190" t="s">
        <v>97</v>
      </c>
      <c r="G190" t="s">
        <v>34</v>
      </c>
      <c r="H190" t="s">
        <v>141</v>
      </c>
      <c r="I190" t="s">
        <v>328</v>
      </c>
      <c r="J190">
        <v>4</v>
      </c>
      <c r="K190">
        <v>1171</v>
      </c>
      <c r="L190">
        <v>0.21</v>
      </c>
      <c r="M190">
        <v>925.09</v>
      </c>
      <c r="N190">
        <v>3700.36</v>
      </c>
      <c r="O190">
        <v>0.4</v>
      </c>
      <c r="P190">
        <v>1480.14</v>
      </c>
      <c r="Q190" t="s">
        <v>37</v>
      </c>
      <c r="R190" t="s">
        <v>48</v>
      </c>
      <c r="S190">
        <v>7</v>
      </c>
      <c r="T190">
        <v>2023</v>
      </c>
      <c r="U190" t="s">
        <v>3091</v>
      </c>
      <c r="V190">
        <v>5</v>
      </c>
      <c r="W190" t="s">
        <v>3092</v>
      </c>
      <c r="X190">
        <v>2220.2200000000003</v>
      </c>
      <c r="Y190" t="s">
        <v>3062</v>
      </c>
      <c r="Z190" t="s">
        <v>3063</v>
      </c>
      <c r="AA190" t="s">
        <v>3079</v>
      </c>
    </row>
    <row r="191" spans="1:27" x14ac:dyDescent="0.3">
      <c r="A191" t="s">
        <v>2501</v>
      </c>
      <c r="B191" s="7">
        <v>45387</v>
      </c>
      <c r="C191" t="s">
        <v>63</v>
      </c>
      <c r="D191" t="s">
        <v>21</v>
      </c>
      <c r="E191" t="s">
        <v>67</v>
      </c>
      <c r="F191" t="s">
        <v>23</v>
      </c>
      <c r="G191" t="s">
        <v>92</v>
      </c>
      <c r="H191" t="s">
        <v>243</v>
      </c>
      <c r="I191" t="s">
        <v>987</v>
      </c>
      <c r="J191">
        <v>4</v>
      </c>
      <c r="K191">
        <v>75450</v>
      </c>
      <c r="L191">
        <v>0.15</v>
      </c>
      <c r="M191">
        <v>64132.5</v>
      </c>
      <c r="N191">
        <v>256530</v>
      </c>
      <c r="O191">
        <v>0.15</v>
      </c>
      <c r="P191">
        <v>38479.5</v>
      </c>
      <c r="Q191" t="s">
        <v>37</v>
      </c>
      <c r="R191" t="s">
        <v>48</v>
      </c>
      <c r="S191">
        <v>9</v>
      </c>
      <c r="T191">
        <v>2024</v>
      </c>
      <c r="U191" t="s">
        <v>3080</v>
      </c>
      <c r="V191">
        <v>4</v>
      </c>
      <c r="W191" t="s">
        <v>3095</v>
      </c>
      <c r="X191">
        <v>218050.5</v>
      </c>
      <c r="Y191" t="s">
        <v>3077</v>
      </c>
      <c r="Z191" t="s">
        <v>3063</v>
      </c>
      <c r="AA191" t="s">
        <v>3079</v>
      </c>
    </row>
    <row r="192" spans="1:27" x14ac:dyDescent="0.3">
      <c r="A192" t="s">
        <v>2442</v>
      </c>
      <c r="B192" s="7">
        <v>45328</v>
      </c>
      <c r="C192" t="s">
        <v>55</v>
      </c>
      <c r="D192" t="s">
        <v>56</v>
      </c>
      <c r="E192" t="s">
        <v>42</v>
      </c>
      <c r="F192" t="s">
        <v>103</v>
      </c>
      <c r="G192" t="s">
        <v>34</v>
      </c>
      <c r="H192" t="s">
        <v>104</v>
      </c>
      <c r="I192" t="s">
        <v>870</v>
      </c>
      <c r="J192">
        <v>7</v>
      </c>
      <c r="K192">
        <v>580</v>
      </c>
      <c r="L192">
        <v>0.08</v>
      </c>
      <c r="M192">
        <v>533.6</v>
      </c>
      <c r="N192">
        <v>3735.2</v>
      </c>
      <c r="O192">
        <v>0.4</v>
      </c>
      <c r="P192">
        <v>1494.08</v>
      </c>
      <c r="Q192" t="s">
        <v>47</v>
      </c>
      <c r="R192" t="s">
        <v>38</v>
      </c>
      <c r="S192">
        <v>1</v>
      </c>
      <c r="T192">
        <v>2024</v>
      </c>
      <c r="U192" t="s">
        <v>3084</v>
      </c>
      <c r="V192">
        <v>2</v>
      </c>
      <c r="W192" t="s">
        <v>3085</v>
      </c>
      <c r="X192">
        <v>2241.12</v>
      </c>
      <c r="Y192" t="s">
        <v>3067</v>
      </c>
      <c r="Z192" t="s">
        <v>3063</v>
      </c>
      <c r="AA192" t="s">
        <v>3079</v>
      </c>
    </row>
    <row r="193" spans="1:27" x14ac:dyDescent="0.3">
      <c r="A193" t="s">
        <v>2098</v>
      </c>
      <c r="B193" s="7">
        <v>44984</v>
      </c>
      <c r="C193" t="s">
        <v>40</v>
      </c>
      <c r="D193" t="s">
        <v>56</v>
      </c>
      <c r="E193" t="s">
        <v>42</v>
      </c>
      <c r="F193" t="s">
        <v>103</v>
      </c>
      <c r="G193" t="s">
        <v>57</v>
      </c>
      <c r="H193" t="s">
        <v>183</v>
      </c>
      <c r="I193" t="s">
        <v>184</v>
      </c>
      <c r="J193">
        <v>1</v>
      </c>
      <c r="K193">
        <v>9005</v>
      </c>
      <c r="L193">
        <v>0.17</v>
      </c>
      <c r="M193">
        <v>7474.15</v>
      </c>
      <c r="N193">
        <v>7474.15</v>
      </c>
      <c r="O193">
        <v>0.2</v>
      </c>
      <c r="P193">
        <v>1494.83</v>
      </c>
      <c r="Q193" t="s">
        <v>27</v>
      </c>
      <c r="R193" t="s">
        <v>38</v>
      </c>
      <c r="S193">
        <v>6</v>
      </c>
      <c r="T193">
        <v>2023</v>
      </c>
      <c r="U193" t="s">
        <v>3084</v>
      </c>
      <c r="V193">
        <v>2</v>
      </c>
      <c r="W193" t="s">
        <v>3108</v>
      </c>
      <c r="X193">
        <v>5979.32</v>
      </c>
      <c r="Y193" t="s">
        <v>3062</v>
      </c>
      <c r="Z193" t="s">
        <v>3063</v>
      </c>
      <c r="AA193" t="s">
        <v>3079</v>
      </c>
    </row>
    <row r="194" spans="1:27" x14ac:dyDescent="0.3">
      <c r="A194" t="s">
        <v>2849</v>
      </c>
      <c r="B194" s="7">
        <v>45735</v>
      </c>
      <c r="C194" t="s">
        <v>40</v>
      </c>
      <c r="D194" t="s">
        <v>21</v>
      </c>
      <c r="E194" t="s">
        <v>2040</v>
      </c>
      <c r="F194" t="s">
        <v>43</v>
      </c>
      <c r="G194" t="s">
        <v>92</v>
      </c>
      <c r="H194" t="s">
        <v>93</v>
      </c>
      <c r="I194" t="s">
        <v>1669</v>
      </c>
      <c r="J194">
        <v>7</v>
      </c>
      <c r="K194">
        <v>43937</v>
      </c>
      <c r="L194">
        <v>0.18</v>
      </c>
      <c r="M194">
        <v>36028.339999999997</v>
      </c>
      <c r="N194">
        <v>252198.38</v>
      </c>
      <c r="O194">
        <v>0.15</v>
      </c>
      <c r="P194">
        <v>37829.760000000002</v>
      </c>
      <c r="Q194" t="s">
        <v>27</v>
      </c>
      <c r="R194" t="s">
        <v>48</v>
      </c>
      <c r="S194">
        <v>4</v>
      </c>
      <c r="T194">
        <v>2025</v>
      </c>
      <c r="U194" t="s">
        <v>3069</v>
      </c>
      <c r="V194">
        <v>3</v>
      </c>
      <c r="W194" t="s">
        <v>3070</v>
      </c>
      <c r="X194">
        <v>214368.62</v>
      </c>
      <c r="Y194" t="s">
        <v>3062</v>
      </c>
      <c r="Z194" t="s">
        <v>3063</v>
      </c>
      <c r="AA194" t="s">
        <v>3079</v>
      </c>
    </row>
    <row r="195" spans="1:27" x14ac:dyDescent="0.3">
      <c r="A195" t="s">
        <v>2265</v>
      </c>
      <c r="B195" s="7">
        <v>45151</v>
      </c>
      <c r="C195" t="s">
        <v>63</v>
      </c>
      <c r="D195" t="s">
        <v>21</v>
      </c>
      <c r="E195" t="s">
        <v>42</v>
      </c>
      <c r="F195" t="s">
        <v>103</v>
      </c>
      <c r="G195" t="s">
        <v>92</v>
      </c>
      <c r="H195" t="s">
        <v>243</v>
      </c>
      <c r="I195" t="s">
        <v>520</v>
      </c>
      <c r="J195">
        <v>8</v>
      </c>
      <c r="K195">
        <v>39165</v>
      </c>
      <c r="L195">
        <v>0.2</v>
      </c>
      <c r="M195">
        <v>31332</v>
      </c>
      <c r="N195">
        <v>250656</v>
      </c>
      <c r="O195">
        <v>0.15</v>
      </c>
      <c r="P195">
        <v>37598.400000000001</v>
      </c>
      <c r="Q195" t="s">
        <v>47</v>
      </c>
      <c r="R195" t="s">
        <v>48</v>
      </c>
      <c r="S195">
        <v>4</v>
      </c>
      <c r="T195">
        <v>2023</v>
      </c>
      <c r="U195" t="s">
        <v>3075</v>
      </c>
      <c r="V195">
        <v>8</v>
      </c>
      <c r="W195" t="s">
        <v>3109</v>
      </c>
      <c r="X195">
        <v>213057.6</v>
      </c>
      <c r="Y195" t="s">
        <v>3062</v>
      </c>
      <c r="Z195" t="s">
        <v>3063</v>
      </c>
      <c r="AA195" t="s">
        <v>3079</v>
      </c>
    </row>
    <row r="196" spans="1:27" x14ac:dyDescent="0.3">
      <c r="A196" t="s">
        <v>3007</v>
      </c>
      <c r="B196" s="7">
        <v>45893</v>
      </c>
      <c r="C196" t="s">
        <v>30</v>
      </c>
      <c r="D196" t="s">
        <v>31</v>
      </c>
      <c r="E196" t="s">
        <v>2042</v>
      </c>
      <c r="F196" t="s">
        <v>97</v>
      </c>
      <c r="G196" t="s">
        <v>92</v>
      </c>
      <c r="H196" t="s">
        <v>178</v>
      </c>
      <c r="I196" t="s">
        <v>1973</v>
      </c>
      <c r="J196">
        <v>1</v>
      </c>
      <c r="K196">
        <v>10781</v>
      </c>
      <c r="L196">
        <v>0.05</v>
      </c>
      <c r="M196">
        <v>10241.950000000001</v>
      </c>
      <c r="N196">
        <v>10241.950000000001</v>
      </c>
      <c r="O196">
        <v>0.15</v>
      </c>
      <c r="P196">
        <v>1536.29</v>
      </c>
      <c r="Q196" t="s">
        <v>27</v>
      </c>
      <c r="R196" t="s">
        <v>48</v>
      </c>
      <c r="S196">
        <v>5</v>
      </c>
      <c r="T196">
        <v>2025</v>
      </c>
      <c r="U196" t="s">
        <v>3075</v>
      </c>
      <c r="V196">
        <v>8</v>
      </c>
      <c r="W196" t="s">
        <v>3076</v>
      </c>
      <c r="X196">
        <v>8705.66</v>
      </c>
      <c r="Y196" t="s">
        <v>3062</v>
      </c>
      <c r="Z196" t="s">
        <v>3063</v>
      </c>
      <c r="AA196" t="s">
        <v>3079</v>
      </c>
    </row>
    <row r="197" spans="1:27" x14ac:dyDescent="0.3">
      <c r="A197" t="s">
        <v>2199</v>
      </c>
      <c r="B197" s="7">
        <v>45085</v>
      </c>
      <c r="C197" t="s">
        <v>40</v>
      </c>
      <c r="D197" t="s">
        <v>56</v>
      </c>
      <c r="E197" t="s">
        <v>2042</v>
      </c>
      <c r="F197" t="s">
        <v>43</v>
      </c>
      <c r="G197" t="s">
        <v>92</v>
      </c>
      <c r="H197" t="s">
        <v>178</v>
      </c>
      <c r="I197" t="s">
        <v>388</v>
      </c>
      <c r="J197">
        <v>7</v>
      </c>
      <c r="K197">
        <v>39856</v>
      </c>
      <c r="L197">
        <v>0.11</v>
      </c>
      <c r="M197">
        <v>35471.839999999997</v>
      </c>
      <c r="N197">
        <v>248302.88</v>
      </c>
      <c r="O197">
        <v>0.15</v>
      </c>
      <c r="P197">
        <v>37245.43</v>
      </c>
      <c r="Q197" t="s">
        <v>51</v>
      </c>
      <c r="R197" t="s">
        <v>48</v>
      </c>
      <c r="S197">
        <v>6</v>
      </c>
      <c r="T197">
        <v>2023</v>
      </c>
      <c r="U197" t="s">
        <v>3073</v>
      </c>
      <c r="V197">
        <v>6</v>
      </c>
      <c r="W197" t="s">
        <v>3103</v>
      </c>
      <c r="X197">
        <v>211057.45</v>
      </c>
      <c r="Y197" t="s">
        <v>3062</v>
      </c>
      <c r="Z197" t="s">
        <v>3063</v>
      </c>
      <c r="AA197" t="s">
        <v>3079</v>
      </c>
    </row>
    <row r="198" spans="1:27" x14ac:dyDescent="0.3">
      <c r="A198" t="s">
        <v>2426</v>
      </c>
      <c r="B198" s="7">
        <v>45312</v>
      </c>
      <c r="C198" t="s">
        <v>96</v>
      </c>
      <c r="D198" t="s">
        <v>21</v>
      </c>
      <c r="E198" t="s">
        <v>67</v>
      </c>
      <c r="F198" t="s">
        <v>97</v>
      </c>
      <c r="G198" t="s">
        <v>92</v>
      </c>
      <c r="H198" t="s">
        <v>109</v>
      </c>
      <c r="I198" t="s">
        <v>838</v>
      </c>
      <c r="J198">
        <v>4</v>
      </c>
      <c r="K198">
        <v>64624</v>
      </c>
      <c r="L198">
        <v>0.05</v>
      </c>
      <c r="M198">
        <v>61392.800000000003</v>
      </c>
      <c r="N198">
        <v>245571.20000000001</v>
      </c>
      <c r="O198">
        <v>0.15</v>
      </c>
      <c r="P198">
        <v>36835.68</v>
      </c>
      <c r="Q198" t="s">
        <v>51</v>
      </c>
      <c r="R198" t="s">
        <v>48</v>
      </c>
      <c r="S198">
        <v>5</v>
      </c>
      <c r="T198">
        <v>2024</v>
      </c>
      <c r="U198" t="s">
        <v>3071</v>
      </c>
      <c r="V198">
        <v>1</v>
      </c>
      <c r="W198" t="s">
        <v>3078</v>
      </c>
      <c r="X198">
        <v>208735.52000000002</v>
      </c>
      <c r="Y198" t="s">
        <v>3062</v>
      </c>
      <c r="Z198" t="s">
        <v>3063</v>
      </c>
      <c r="AA198" t="s">
        <v>3079</v>
      </c>
    </row>
    <row r="199" spans="1:27" x14ac:dyDescent="0.3">
      <c r="A199" t="s">
        <v>2884</v>
      </c>
      <c r="B199" s="7">
        <v>45770</v>
      </c>
      <c r="C199" t="s">
        <v>40</v>
      </c>
      <c r="D199" t="s">
        <v>31</v>
      </c>
      <c r="E199" t="s">
        <v>42</v>
      </c>
      <c r="F199" t="s">
        <v>33</v>
      </c>
      <c r="G199" t="s">
        <v>92</v>
      </c>
      <c r="H199" t="s">
        <v>178</v>
      </c>
      <c r="I199" t="s">
        <v>1738</v>
      </c>
      <c r="J199">
        <v>7</v>
      </c>
      <c r="K199">
        <v>35122</v>
      </c>
      <c r="L199">
        <v>0.01</v>
      </c>
      <c r="M199">
        <v>34770.78</v>
      </c>
      <c r="N199">
        <v>243395.46</v>
      </c>
      <c r="O199">
        <v>0.15</v>
      </c>
      <c r="P199">
        <v>36509.32</v>
      </c>
      <c r="Q199" t="s">
        <v>51</v>
      </c>
      <c r="R199" t="s">
        <v>48</v>
      </c>
      <c r="S199">
        <v>4</v>
      </c>
      <c r="T199">
        <v>2025</v>
      </c>
      <c r="U199" t="s">
        <v>3080</v>
      </c>
      <c r="V199">
        <v>4</v>
      </c>
      <c r="W199" t="s">
        <v>3096</v>
      </c>
      <c r="X199">
        <v>206886.13999999998</v>
      </c>
      <c r="Y199" t="s">
        <v>3062</v>
      </c>
      <c r="Z199" t="s">
        <v>3063</v>
      </c>
      <c r="AA199" t="s">
        <v>3079</v>
      </c>
    </row>
    <row r="200" spans="1:27" x14ac:dyDescent="0.3">
      <c r="A200" t="s">
        <v>2512</v>
      </c>
      <c r="B200" s="7">
        <v>45398</v>
      </c>
      <c r="C200" t="s">
        <v>30</v>
      </c>
      <c r="D200" t="s">
        <v>21</v>
      </c>
      <c r="E200" t="s">
        <v>2040</v>
      </c>
      <c r="F200" t="s">
        <v>23</v>
      </c>
      <c r="G200" t="s">
        <v>34</v>
      </c>
      <c r="H200" t="s">
        <v>35</v>
      </c>
      <c r="I200" t="s">
        <v>1009</v>
      </c>
      <c r="J200">
        <v>3</v>
      </c>
      <c r="K200">
        <v>1381</v>
      </c>
      <c r="L200">
        <v>0.06</v>
      </c>
      <c r="M200">
        <v>1298.1400000000001</v>
      </c>
      <c r="N200">
        <v>3894.42</v>
      </c>
      <c r="O200">
        <v>0.4</v>
      </c>
      <c r="P200">
        <v>1557.77</v>
      </c>
      <c r="Q200" t="s">
        <v>37</v>
      </c>
      <c r="R200" t="s">
        <v>48</v>
      </c>
      <c r="S200">
        <v>3</v>
      </c>
      <c r="T200">
        <v>2024</v>
      </c>
      <c r="U200" t="s">
        <v>3080</v>
      </c>
      <c r="V200">
        <v>4</v>
      </c>
      <c r="W200" t="s">
        <v>3095</v>
      </c>
      <c r="X200">
        <v>2336.65</v>
      </c>
      <c r="Y200" t="s">
        <v>3067</v>
      </c>
      <c r="Z200" t="s">
        <v>3063</v>
      </c>
      <c r="AA200" t="s">
        <v>3079</v>
      </c>
    </row>
    <row r="201" spans="1:27" x14ac:dyDescent="0.3">
      <c r="A201" t="s">
        <v>2919</v>
      </c>
      <c r="B201" s="7">
        <v>45805</v>
      </c>
      <c r="C201" t="s">
        <v>55</v>
      </c>
      <c r="D201" t="s">
        <v>56</v>
      </c>
      <c r="E201" t="s">
        <v>2040</v>
      </c>
      <c r="F201" t="s">
        <v>43</v>
      </c>
      <c r="G201" t="s">
        <v>34</v>
      </c>
      <c r="H201" t="s">
        <v>35</v>
      </c>
      <c r="I201" t="s">
        <v>1807</v>
      </c>
      <c r="J201">
        <v>3</v>
      </c>
      <c r="K201">
        <v>1443</v>
      </c>
      <c r="L201">
        <v>0.1</v>
      </c>
      <c r="M201">
        <v>1298.7</v>
      </c>
      <c r="N201">
        <v>3896.1</v>
      </c>
      <c r="O201">
        <v>0.4</v>
      </c>
      <c r="P201">
        <v>1558.44</v>
      </c>
      <c r="Q201" t="s">
        <v>47</v>
      </c>
      <c r="R201" t="s">
        <v>48</v>
      </c>
      <c r="S201">
        <v>6</v>
      </c>
      <c r="T201">
        <v>2025</v>
      </c>
      <c r="U201" t="s">
        <v>3091</v>
      </c>
      <c r="V201">
        <v>5</v>
      </c>
      <c r="W201" t="s">
        <v>3106</v>
      </c>
      <c r="X201">
        <v>2337.66</v>
      </c>
      <c r="Y201" t="s">
        <v>3062</v>
      </c>
      <c r="Z201" t="s">
        <v>3063</v>
      </c>
      <c r="AA201" t="s">
        <v>3079</v>
      </c>
    </row>
    <row r="202" spans="1:27" x14ac:dyDescent="0.3">
      <c r="A202" t="s">
        <v>2626</v>
      </c>
      <c r="B202" s="7">
        <v>45512</v>
      </c>
      <c r="C202" t="s">
        <v>40</v>
      </c>
      <c r="D202" t="s">
        <v>31</v>
      </c>
      <c r="E202" t="s">
        <v>2040</v>
      </c>
      <c r="F202" t="s">
        <v>33</v>
      </c>
      <c r="G202" t="s">
        <v>34</v>
      </c>
      <c r="H202" t="s">
        <v>35</v>
      </c>
      <c r="I202" t="s">
        <v>1234</v>
      </c>
      <c r="J202">
        <v>7</v>
      </c>
      <c r="K202">
        <v>696</v>
      </c>
      <c r="L202">
        <v>0.2</v>
      </c>
      <c r="M202">
        <v>556.79999999999995</v>
      </c>
      <c r="N202">
        <v>3897.6</v>
      </c>
      <c r="O202">
        <v>0.4</v>
      </c>
      <c r="P202">
        <v>1559.04</v>
      </c>
      <c r="Q202" t="s">
        <v>51</v>
      </c>
      <c r="R202" t="s">
        <v>48</v>
      </c>
      <c r="S202">
        <v>5</v>
      </c>
      <c r="T202">
        <v>2024</v>
      </c>
      <c r="U202" t="s">
        <v>3075</v>
      </c>
      <c r="V202">
        <v>8</v>
      </c>
      <c r="W202" t="s">
        <v>3093</v>
      </c>
      <c r="X202">
        <v>2338.56</v>
      </c>
      <c r="Y202" t="s">
        <v>3062</v>
      </c>
      <c r="Z202" t="s">
        <v>3063</v>
      </c>
      <c r="AA202" t="s">
        <v>3079</v>
      </c>
    </row>
    <row r="203" spans="1:27" x14ac:dyDescent="0.3">
      <c r="A203" t="s">
        <v>2734</v>
      </c>
      <c r="B203" s="7">
        <v>45620</v>
      </c>
      <c r="C203" t="s">
        <v>30</v>
      </c>
      <c r="D203" t="s">
        <v>31</v>
      </c>
      <c r="E203" t="s">
        <v>2042</v>
      </c>
      <c r="F203" t="s">
        <v>68</v>
      </c>
      <c r="G203" t="s">
        <v>92</v>
      </c>
      <c r="H203" t="s">
        <v>178</v>
      </c>
      <c r="I203" t="s">
        <v>1444</v>
      </c>
      <c r="J203">
        <v>6</v>
      </c>
      <c r="K203">
        <v>47643</v>
      </c>
      <c r="L203">
        <v>0.15</v>
      </c>
      <c r="M203">
        <v>40496.550000000003</v>
      </c>
      <c r="N203">
        <v>242979.3</v>
      </c>
      <c r="O203">
        <v>0.15</v>
      </c>
      <c r="P203">
        <v>36446.89</v>
      </c>
      <c r="Q203" t="s">
        <v>47</v>
      </c>
      <c r="R203" t="s">
        <v>48</v>
      </c>
      <c r="S203">
        <v>4</v>
      </c>
      <c r="T203">
        <v>2024</v>
      </c>
      <c r="U203" t="s">
        <v>3060</v>
      </c>
      <c r="V203">
        <v>11</v>
      </c>
      <c r="W203" t="s">
        <v>3100</v>
      </c>
      <c r="X203">
        <v>206532.40999999997</v>
      </c>
      <c r="Y203" t="s">
        <v>3062</v>
      </c>
      <c r="Z203" t="s">
        <v>3063</v>
      </c>
      <c r="AA203" t="s">
        <v>3079</v>
      </c>
    </row>
    <row r="204" spans="1:27" x14ac:dyDescent="0.3">
      <c r="A204" t="s">
        <v>2272</v>
      </c>
      <c r="B204" s="7">
        <v>45158</v>
      </c>
      <c r="C204" t="s">
        <v>55</v>
      </c>
      <c r="D204" t="s">
        <v>31</v>
      </c>
      <c r="E204" t="s">
        <v>67</v>
      </c>
      <c r="F204" t="s">
        <v>97</v>
      </c>
      <c r="G204" t="s">
        <v>92</v>
      </c>
      <c r="H204" t="s">
        <v>178</v>
      </c>
      <c r="I204" t="s">
        <v>534</v>
      </c>
      <c r="J204">
        <v>1</v>
      </c>
      <c r="K204">
        <v>13712</v>
      </c>
      <c r="L204">
        <v>0.24</v>
      </c>
      <c r="M204">
        <v>10421.120000000001</v>
      </c>
      <c r="N204">
        <v>10421.120000000001</v>
      </c>
      <c r="O204">
        <v>0.15</v>
      </c>
      <c r="P204">
        <v>1563.17</v>
      </c>
      <c r="Q204" t="s">
        <v>37</v>
      </c>
      <c r="R204" t="s">
        <v>48</v>
      </c>
      <c r="S204">
        <v>9</v>
      </c>
      <c r="T204">
        <v>2023</v>
      </c>
      <c r="U204" t="s">
        <v>3075</v>
      </c>
      <c r="V204">
        <v>8</v>
      </c>
      <c r="W204" t="s">
        <v>3109</v>
      </c>
      <c r="X204">
        <v>8857.9500000000007</v>
      </c>
      <c r="Y204" t="s">
        <v>3077</v>
      </c>
      <c r="Z204" t="s">
        <v>3063</v>
      </c>
      <c r="AA204" t="s">
        <v>3079</v>
      </c>
    </row>
    <row r="205" spans="1:27" x14ac:dyDescent="0.3">
      <c r="A205" t="s">
        <v>2688</v>
      </c>
      <c r="B205" s="7">
        <v>45574</v>
      </c>
      <c r="C205" t="s">
        <v>96</v>
      </c>
      <c r="D205" t="s">
        <v>31</v>
      </c>
      <c r="E205" t="s">
        <v>67</v>
      </c>
      <c r="F205" t="s">
        <v>33</v>
      </c>
      <c r="G205" t="s">
        <v>34</v>
      </c>
      <c r="H205" t="s">
        <v>104</v>
      </c>
      <c r="I205" t="s">
        <v>1356</v>
      </c>
      <c r="J205">
        <v>6</v>
      </c>
      <c r="K205">
        <v>719</v>
      </c>
      <c r="L205">
        <v>0.09</v>
      </c>
      <c r="M205">
        <v>654.29</v>
      </c>
      <c r="N205">
        <v>3925.74</v>
      </c>
      <c r="O205">
        <v>0.4</v>
      </c>
      <c r="P205">
        <v>1570.3</v>
      </c>
      <c r="Q205" t="s">
        <v>51</v>
      </c>
      <c r="R205" t="s">
        <v>38</v>
      </c>
      <c r="S205">
        <v>5</v>
      </c>
      <c r="T205">
        <v>2024</v>
      </c>
      <c r="U205" t="s">
        <v>3065</v>
      </c>
      <c r="V205">
        <v>10</v>
      </c>
      <c r="W205" t="s">
        <v>3066</v>
      </c>
      <c r="X205">
        <v>2355.4399999999996</v>
      </c>
      <c r="Y205" t="s">
        <v>3062</v>
      </c>
      <c r="Z205" t="s">
        <v>3063</v>
      </c>
      <c r="AA205" t="s">
        <v>3079</v>
      </c>
    </row>
    <row r="206" spans="1:27" x14ac:dyDescent="0.3">
      <c r="A206" t="s">
        <v>2549</v>
      </c>
      <c r="B206" s="7">
        <v>45435</v>
      </c>
      <c r="C206" t="s">
        <v>30</v>
      </c>
      <c r="D206" t="s">
        <v>41</v>
      </c>
      <c r="E206" t="s">
        <v>42</v>
      </c>
      <c r="F206" t="s">
        <v>68</v>
      </c>
      <c r="G206" t="s">
        <v>34</v>
      </c>
      <c r="H206" t="s">
        <v>71</v>
      </c>
      <c r="I206" t="s">
        <v>1081</v>
      </c>
      <c r="J206">
        <v>4</v>
      </c>
      <c r="K206">
        <v>1188</v>
      </c>
      <c r="L206">
        <v>0.17</v>
      </c>
      <c r="M206">
        <v>986.04</v>
      </c>
      <c r="N206">
        <v>3944.16</v>
      </c>
      <c r="O206">
        <v>0.4</v>
      </c>
      <c r="P206">
        <v>1577.66</v>
      </c>
      <c r="Q206" t="s">
        <v>47</v>
      </c>
      <c r="R206" t="s">
        <v>48</v>
      </c>
      <c r="S206">
        <v>6</v>
      </c>
      <c r="T206">
        <v>2024</v>
      </c>
      <c r="U206" t="s">
        <v>3091</v>
      </c>
      <c r="V206">
        <v>5</v>
      </c>
      <c r="W206" t="s">
        <v>3105</v>
      </c>
      <c r="X206">
        <v>2366.5</v>
      </c>
      <c r="Y206" t="s">
        <v>3062</v>
      </c>
      <c r="Z206" t="s">
        <v>3063</v>
      </c>
      <c r="AA206" t="s">
        <v>3079</v>
      </c>
    </row>
    <row r="207" spans="1:27" x14ac:dyDescent="0.3">
      <c r="A207" t="s">
        <v>2494</v>
      </c>
      <c r="B207" s="7">
        <v>45380</v>
      </c>
      <c r="C207" t="s">
        <v>55</v>
      </c>
      <c r="D207" t="s">
        <v>56</v>
      </c>
      <c r="E207" t="s">
        <v>67</v>
      </c>
      <c r="F207" t="s">
        <v>43</v>
      </c>
      <c r="G207" t="s">
        <v>34</v>
      </c>
      <c r="H207" t="s">
        <v>35</v>
      </c>
      <c r="I207" t="s">
        <v>973</v>
      </c>
      <c r="J207">
        <v>3</v>
      </c>
      <c r="K207">
        <v>1403</v>
      </c>
      <c r="L207">
        <v>0.06</v>
      </c>
      <c r="M207">
        <v>1318.82</v>
      </c>
      <c r="N207">
        <v>3956.46</v>
      </c>
      <c r="O207">
        <v>0.4</v>
      </c>
      <c r="P207">
        <v>1582.58</v>
      </c>
      <c r="Q207" t="s">
        <v>51</v>
      </c>
      <c r="R207" t="s">
        <v>48</v>
      </c>
      <c r="S207">
        <v>7</v>
      </c>
      <c r="T207">
        <v>2024</v>
      </c>
      <c r="U207" t="s">
        <v>3069</v>
      </c>
      <c r="V207">
        <v>3</v>
      </c>
      <c r="W207" t="s">
        <v>3101</v>
      </c>
      <c r="X207">
        <v>2373.88</v>
      </c>
      <c r="Y207" t="s">
        <v>3062</v>
      </c>
      <c r="Z207" t="s">
        <v>3063</v>
      </c>
      <c r="AA207" t="s">
        <v>3079</v>
      </c>
    </row>
    <row r="208" spans="1:27" x14ac:dyDescent="0.3">
      <c r="A208" t="s">
        <v>2789</v>
      </c>
      <c r="B208" s="7">
        <v>45675</v>
      </c>
      <c r="C208" t="s">
        <v>30</v>
      </c>
      <c r="D208" t="s">
        <v>41</v>
      </c>
      <c r="E208" t="s">
        <v>67</v>
      </c>
      <c r="F208" t="s">
        <v>33</v>
      </c>
      <c r="G208" t="s">
        <v>92</v>
      </c>
      <c r="H208" t="s">
        <v>243</v>
      </c>
      <c r="I208" t="s">
        <v>1551</v>
      </c>
      <c r="J208">
        <v>5</v>
      </c>
      <c r="K208">
        <v>57701</v>
      </c>
      <c r="L208">
        <v>0.16</v>
      </c>
      <c r="M208">
        <v>48468.84</v>
      </c>
      <c r="N208">
        <v>242344.2</v>
      </c>
      <c r="O208">
        <v>0.15</v>
      </c>
      <c r="P208">
        <v>36351.629999999997</v>
      </c>
      <c r="Q208" t="s">
        <v>37</v>
      </c>
      <c r="R208" t="s">
        <v>38</v>
      </c>
      <c r="S208">
        <v>2</v>
      </c>
      <c r="T208">
        <v>2025</v>
      </c>
      <c r="U208" t="s">
        <v>3071</v>
      </c>
      <c r="V208">
        <v>1</v>
      </c>
      <c r="W208" t="s">
        <v>3072</v>
      </c>
      <c r="X208">
        <v>205992.57</v>
      </c>
      <c r="Y208" t="s">
        <v>3067</v>
      </c>
      <c r="Z208" t="s">
        <v>3063</v>
      </c>
      <c r="AA208" t="s">
        <v>3079</v>
      </c>
    </row>
    <row r="209" spans="1:27" x14ac:dyDescent="0.3">
      <c r="A209" t="s">
        <v>2949</v>
      </c>
      <c r="B209" s="7">
        <v>45835</v>
      </c>
      <c r="C209" t="s">
        <v>30</v>
      </c>
      <c r="D209" t="s">
        <v>21</v>
      </c>
      <c r="E209" t="s">
        <v>67</v>
      </c>
      <c r="F209" t="s">
        <v>103</v>
      </c>
      <c r="G209" t="s">
        <v>92</v>
      </c>
      <c r="H209" t="s">
        <v>243</v>
      </c>
      <c r="I209" t="s">
        <v>1866</v>
      </c>
      <c r="J209">
        <v>8</v>
      </c>
      <c r="K209">
        <v>38228</v>
      </c>
      <c r="L209">
        <v>0.21</v>
      </c>
      <c r="M209">
        <v>30200.12</v>
      </c>
      <c r="N209">
        <v>241600.96</v>
      </c>
      <c r="O209">
        <v>0.15</v>
      </c>
      <c r="P209">
        <v>36240.14</v>
      </c>
      <c r="Q209" t="s">
        <v>47</v>
      </c>
      <c r="R209" t="s">
        <v>38</v>
      </c>
      <c r="S209">
        <v>8</v>
      </c>
      <c r="T209">
        <v>2025</v>
      </c>
      <c r="U209" t="s">
        <v>3073</v>
      </c>
      <c r="V209">
        <v>6</v>
      </c>
      <c r="W209" t="s">
        <v>3083</v>
      </c>
      <c r="X209">
        <v>205360.82</v>
      </c>
      <c r="Y209" t="s">
        <v>3077</v>
      </c>
      <c r="Z209" t="s">
        <v>3063</v>
      </c>
      <c r="AA209" t="s">
        <v>3079</v>
      </c>
    </row>
    <row r="210" spans="1:27" x14ac:dyDescent="0.3">
      <c r="A210" t="s">
        <v>2964</v>
      </c>
      <c r="B210" s="7">
        <v>45850</v>
      </c>
      <c r="C210" t="s">
        <v>63</v>
      </c>
      <c r="D210" t="s">
        <v>41</v>
      </c>
      <c r="E210" t="s">
        <v>2042</v>
      </c>
      <c r="F210" t="s">
        <v>97</v>
      </c>
      <c r="G210" t="s">
        <v>34</v>
      </c>
      <c r="H210" t="s">
        <v>35</v>
      </c>
      <c r="I210" t="s">
        <v>1893</v>
      </c>
      <c r="J210">
        <v>9</v>
      </c>
      <c r="K210">
        <v>526</v>
      </c>
      <c r="L210">
        <v>0.16</v>
      </c>
      <c r="M210">
        <v>441.84</v>
      </c>
      <c r="N210">
        <v>3976.56</v>
      </c>
      <c r="O210">
        <v>0.4</v>
      </c>
      <c r="P210">
        <v>1590.62</v>
      </c>
      <c r="Q210" t="s">
        <v>47</v>
      </c>
      <c r="R210" t="s">
        <v>48</v>
      </c>
      <c r="S210">
        <v>7</v>
      </c>
      <c r="T210">
        <v>2025</v>
      </c>
      <c r="U210" t="s">
        <v>3088</v>
      </c>
      <c r="V210">
        <v>7</v>
      </c>
      <c r="W210" t="s">
        <v>3094</v>
      </c>
      <c r="X210">
        <v>2385.94</v>
      </c>
      <c r="Y210" t="s">
        <v>3062</v>
      </c>
      <c r="Z210" t="s">
        <v>3063</v>
      </c>
      <c r="AA210" t="s">
        <v>3079</v>
      </c>
    </row>
    <row r="211" spans="1:27" x14ac:dyDescent="0.3">
      <c r="A211" t="s">
        <v>2381</v>
      </c>
      <c r="B211" s="7">
        <v>45267</v>
      </c>
      <c r="C211" t="s">
        <v>30</v>
      </c>
      <c r="D211" t="s">
        <v>31</v>
      </c>
      <c r="E211" t="s">
        <v>67</v>
      </c>
      <c r="F211" t="s">
        <v>97</v>
      </c>
      <c r="G211" t="s">
        <v>92</v>
      </c>
      <c r="H211" t="s">
        <v>93</v>
      </c>
      <c r="I211" t="s">
        <v>750</v>
      </c>
      <c r="J211">
        <v>4</v>
      </c>
      <c r="K211">
        <v>65826</v>
      </c>
      <c r="L211">
        <v>0.09</v>
      </c>
      <c r="M211">
        <v>59901.66</v>
      </c>
      <c r="N211">
        <v>239606.64</v>
      </c>
      <c r="O211">
        <v>0.15</v>
      </c>
      <c r="P211">
        <v>35941</v>
      </c>
      <c r="Q211" t="s">
        <v>27</v>
      </c>
      <c r="R211" t="s">
        <v>48</v>
      </c>
      <c r="S211">
        <v>3</v>
      </c>
      <c r="T211">
        <v>2023</v>
      </c>
      <c r="U211" t="s">
        <v>3086</v>
      </c>
      <c r="V211">
        <v>12</v>
      </c>
      <c r="W211" t="s">
        <v>3099</v>
      </c>
      <c r="X211">
        <v>203665.64</v>
      </c>
      <c r="Y211" t="s">
        <v>3067</v>
      </c>
      <c r="Z211" t="s">
        <v>3063</v>
      </c>
      <c r="AA211" t="s">
        <v>3079</v>
      </c>
    </row>
    <row r="212" spans="1:27" x14ac:dyDescent="0.3">
      <c r="A212" t="s">
        <v>2174</v>
      </c>
      <c r="B212" s="7">
        <v>45060</v>
      </c>
      <c r="C212" t="s">
        <v>96</v>
      </c>
      <c r="D212" t="s">
        <v>56</v>
      </c>
      <c r="E212" t="s">
        <v>67</v>
      </c>
      <c r="F212" t="s">
        <v>68</v>
      </c>
      <c r="G212" t="s">
        <v>34</v>
      </c>
      <c r="H212" t="s">
        <v>141</v>
      </c>
      <c r="I212" t="s">
        <v>338</v>
      </c>
      <c r="J212">
        <v>3</v>
      </c>
      <c r="K212">
        <v>1344</v>
      </c>
      <c r="L212">
        <v>0</v>
      </c>
      <c r="M212">
        <v>1344</v>
      </c>
      <c r="N212">
        <v>4032</v>
      </c>
      <c r="O212">
        <v>0.4</v>
      </c>
      <c r="P212">
        <v>1612.8</v>
      </c>
      <c r="Q212" t="s">
        <v>37</v>
      </c>
      <c r="R212" t="s">
        <v>38</v>
      </c>
      <c r="S212">
        <v>5</v>
      </c>
      <c r="T212">
        <v>2023</v>
      </c>
      <c r="U212" t="s">
        <v>3091</v>
      </c>
      <c r="V212">
        <v>5</v>
      </c>
      <c r="W212" t="s">
        <v>3092</v>
      </c>
      <c r="X212">
        <v>2419.1999999999998</v>
      </c>
      <c r="Y212" t="s">
        <v>3062</v>
      </c>
      <c r="Z212" t="s">
        <v>3063</v>
      </c>
      <c r="AA212" t="s">
        <v>3079</v>
      </c>
    </row>
    <row r="213" spans="1:27" x14ac:dyDescent="0.3">
      <c r="A213" t="s">
        <v>3008</v>
      </c>
      <c r="B213" s="7">
        <v>45894</v>
      </c>
      <c r="C213" t="s">
        <v>63</v>
      </c>
      <c r="D213" t="s">
        <v>21</v>
      </c>
      <c r="E213" t="s">
        <v>2040</v>
      </c>
      <c r="F213" t="s">
        <v>43</v>
      </c>
      <c r="G213" t="s">
        <v>34</v>
      </c>
      <c r="H213" t="s">
        <v>141</v>
      </c>
      <c r="I213" t="s">
        <v>1975</v>
      </c>
      <c r="J213">
        <v>4</v>
      </c>
      <c r="K213">
        <v>1200</v>
      </c>
      <c r="L213">
        <v>0.16</v>
      </c>
      <c r="M213">
        <v>1008</v>
      </c>
      <c r="N213">
        <v>4032</v>
      </c>
      <c r="O213">
        <v>0.4</v>
      </c>
      <c r="P213">
        <v>1612.8</v>
      </c>
      <c r="Q213" t="s">
        <v>27</v>
      </c>
      <c r="R213" t="s">
        <v>48</v>
      </c>
      <c r="S213">
        <v>2</v>
      </c>
      <c r="T213">
        <v>2025</v>
      </c>
      <c r="U213" t="s">
        <v>3075</v>
      </c>
      <c r="V213">
        <v>8</v>
      </c>
      <c r="W213" t="s">
        <v>3076</v>
      </c>
      <c r="X213">
        <v>2419.1999999999998</v>
      </c>
      <c r="Y213" t="s">
        <v>3067</v>
      </c>
      <c r="Z213" t="s">
        <v>3063</v>
      </c>
      <c r="AA213" t="s">
        <v>3079</v>
      </c>
    </row>
    <row r="214" spans="1:27" x14ac:dyDescent="0.3">
      <c r="A214" t="s">
        <v>2219</v>
      </c>
      <c r="B214" s="7">
        <v>45105</v>
      </c>
      <c r="C214" t="s">
        <v>63</v>
      </c>
      <c r="D214" t="s">
        <v>31</v>
      </c>
      <c r="E214" t="s">
        <v>67</v>
      </c>
      <c r="F214" t="s">
        <v>103</v>
      </c>
      <c r="G214" t="s">
        <v>34</v>
      </c>
      <c r="H214" t="s">
        <v>71</v>
      </c>
      <c r="I214" t="s">
        <v>428</v>
      </c>
      <c r="J214">
        <v>8</v>
      </c>
      <c r="K214">
        <v>583</v>
      </c>
      <c r="L214">
        <v>0.13</v>
      </c>
      <c r="M214">
        <v>507.21</v>
      </c>
      <c r="N214">
        <v>4057.68</v>
      </c>
      <c r="O214">
        <v>0.4</v>
      </c>
      <c r="P214">
        <v>1623.07</v>
      </c>
      <c r="Q214" t="s">
        <v>51</v>
      </c>
      <c r="R214" t="s">
        <v>38</v>
      </c>
      <c r="S214">
        <v>7</v>
      </c>
      <c r="T214">
        <v>2023</v>
      </c>
      <c r="U214" t="s">
        <v>3073</v>
      </c>
      <c r="V214">
        <v>6</v>
      </c>
      <c r="W214" t="s">
        <v>3103</v>
      </c>
      <c r="X214">
        <v>2434.6099999999997</v>
      </c>
      <c r="Y214" t="s">
        <v>3062</v>
      </c>
      <c r="Z214" t="s">
        <v>3063</v>
      </c>
      <c r="AA214" t="s">
        <v>3079</v>
      </c>
    </row>
    <row r="215" spans="1:27" x14ac:dyDescent="0.3">
      <c r="A215" t="s">
        <v>2995</v>
      </c>
      <c r="B215" s="7">
        <v>45881</v>
      </c>
      <c r="C215" t="s">
        <v>30</v>
      </c>
      <c r="D215" t="s">
        <v>31</v>
      </c>
      <c r="E215" t="s">
        <v>42</v>
      </c>
      <c r="F215" t="s">
        <v>33</v>
      </c>
      <c r="G215" t="s">
        <v>92</v>
      </c>
      <c r="H215" t="s">
        <v>178</v>
      </c>
      <c r="I215" t="s">
        <v>1951</v>
      </c>
      <c r="J215">
        <v>6</v>
      </c>
      <c r="K215">
        <v>47823</v>
      </c>
      <c r="L215">
        <v>0.2</v>
      </c>
      <c r="M215">
        <v>38258.400000000001</v>
      </c>
      <c r="N215">
        <v>229550.4</v>
      </c>
      <c r="O215">
        <v>0.15</v>
      </c>
      <c r="P215">
        <v>34432.559999999998</v>
      </c>
      <c r="Q215" t="s">
        <v>51</v>
      </c>
      <c r="R215" t="s">
        <v>48</v>
      </c>
      <c r="S215">
        <v>6</v>
      </c>
      <c r="T215">
        <v>2025</v>
      </c>
      <c r="U215" t="s">
        <v>3075</v>
      </c>
      <c r="V215">
        <v>8</v>
      </c>
      <c r="W215" t="s">
        <v>3076</v>
      </c>
      <c r="X215">
        <v>195117.84</v>
      </c>
      <c r="Y215" t="s">
        <v>3062</v>
      </c>
      <c r="Z215" t="s">
        <v>3063</v>
      </c>
      <c r="AA215" t="s">
        <v>3079</v>
      </c>
    </row>
    <row r="216" spans="1:27" x14ac:dyDescent="0.3">
      <c r="A216" t="s">
        <v>2559</v>
      </c>
      <c r="B216" s="7">
        <v>45445</v>
      </c>
      <c r="C216" t="s">
        <v>63</v>
      </c>
      <c r="D216" t="s">
        <v>56</v>
      </c>
      <c r="E216" t="s">
        <v>2042</v>
      </c>
      <c r="F216" t="s">
        <v>68</v>
      </c>
      <c r="G216" t="s">
        <v>34</v>
      </c>
      <c r="H216" t="s">
        <v>35</v>
      </c>
      <c r="I216" t="s">
        <v>1101</v>
      </c>
      <c r="J216">
        <v>8</v>
      </c>
      <c r="K216">
        <v>666</v>
      </c>
      <c r="L216">
        <v>0.23</v>
      </c>
      <c r="M216">
        <v>512.82000000000005</v>
      </c>
      <c r="N216">
        <v>4102.5600000000004</v>
      </c>
      <c r="O216">
        <v>0.4</v>
      </c>
      <c r="P216">
        <v>1641.02</v>
      </c>
      <c r="Q216" t="s">
        <v>37</v>
      </c>
      <c r="R216" t="s">
        <v>48</v>
      </c>
      <c r="S216">
        <v>3</v>
      </c>
      <c r="T216">
        <v>2024</v>
      </c>
      <c r="U216" t="s">
        <v>3073</v>
      </c>
      <c r="V216">
        <v>6</v>
      </c>
      <c r="W216" t="s">
        <v>3074</v>
      </c>
      <c r="X216">
        <v>2461.5400000000004</v>
      </c>
      <c r="Y216" t="s">
        <v>3067</v>
      </c>
      <c r="Z216" t="s">
        <v>3063</v>
      </c>
      <c r="AA216" t="s">
        <v>3079</v>
      </c>
    </row>
    <row r="217" spans="1:27" x14ac:dyDescent="0.3">
      <c r="A217" t="s">
        <v>2172</v>
      </c>
      <c r="B217" s="7">
        <v>45058</v>
      </c>
      <c r="C217" t="s">
        <v>20</v>
      </c>
      <c r="D217" t="s">
        <v>31</v>
      </c>
      <c r="E217" t="s">
        <v>2042</v>
      </c>
      <c r="F217" t="s">
        <v>43</v>
      </c>
      <c r="G217" t="s">
        <v>34</v>
      </c>
      <c r="H217" t="s">
        <v>141</v>
      </c>
      <c r="I217" t="s">
        <v>334</v>
      </c>
      <c r="J217">
        <v>7</v>
      </c>
      <c r="K217">
        <v>775</v>
      </c>
      <c r="L217">
        <v>0.24</v>
      </c>
      <c r="M217">
        <v>589</v>
      </c>
      <c r="N217">
        <v>4123</v>
      </c>
      <c r="O217">
        <v>0.4</v>
      </c>
      <c r="P217">
        <v>1649.2</v>
      </c>
      <c r="Q217" t="s">
        <v>27</v>
      </c>
      <c r="R217" t="s">
        <v>28</v>
      </c>
      <c r="S217">
        <v>8</v>
      </c>
      <c r="T217">
        <v>2023</v>
      </c>
      <c r="U217" t="s">
        <v>3091</v>
      </c>
      <c r="V217">
        <v>5</v>
      </c>
      <c r="W217" t="s">
        <v>3092</v>
      </c>
      <c r="X217">
        <v>2473.8000000000002</v>
      </c>
      <c r="Y217" t="s">
        <v>3077</v>
      </c>
      <c r="Z217" t="s">
        <v>3063</v>
      </c>
      <c r="AA217" t="s">
        <v>3079</v>
      </c>
    </row>
    <row r="218" spans="1:27" x14ac:dyDescent="0.3">
      <c r="A218" t="s">
        <v>2854</v>
      </c>
      <c r="B218" s="7">
        <v>45740</v>
      </c>
      <c r="C218" t="s">
        <v>63</v>
      </c>
      <c r="D218" t="s">
        <v>21</v>
      </c>
      <c r="E218" t="s">
        <v>2040</v>
      </c>
      <c r="F218" t="s">
        <v>23</v>
      </c>
      <c r="G218" t="s">
        <v>92</v>
      </c>
      <c r="H218" t="s">
        <v>93</v>
      </c>
      <c r="I218" t="s">
        <v>1679</v>
      </c>
      <c r="J218">
        <v>7</v>
      </c>
      <c r="K218">
        <v>37386</v>
      </c>
      <c r="L218">
        <v>0.16</v>
      </c>
      <c r="M218">
        <v>31404.240000000002</v>
      </c>
      <c r="N218">
        <v>219829.68</v>
      </c>
      <c r="O218">
        <v>0.15</v>
      </c>
      <c r="P218">
        <v>32974.449999999997</v>
      </c>
      <c r="Q218" t="s">
        <v>47</v>
      </c>
      <c r="R218" t="s">
        <v>48</v>
      </c>
      <c r="S218">
        <v>2</v>
      </c>
      <c r="T218">
        <v>2025</v>
      </c>
      <c r="U218" t="s">
        <v>3069</v>
      </c>
      <c r="V218">
        <v>3</v>
      </c>
      <c r="W218" t="s">
        <v>3070</v>
      </c>
      <c r="X218">
        <v>186855.22999999998</v>
      </c>
      <c r="Y218" t="s">
        <v>3067</v>
      </c>
      <c r="Z218" t="s">
        <v>3063</v>
      </c>
      <c r="AA218" t="s">
        <v>3079</v>
      </c>
    </row>
    <row r="219" spans="1:27" x14ac:dyDescent="0.3">
      <c r="A219" t="s">
        <v>2602</v>
      </c>
      <c r="B219" s="7">
        <v>45488</v>
      </c>
      <c r="C219" t="s">
        <v>55</v>
      </c>
      <c r="D219" t="s">
        <v>21</v>
      </c>
      <c r="E219" t="s">
        <v>42</v>
      </c>
      <c r="F219" t="s">
        <v>23</v>
      </c>
      <c r="G219" t="s">
        <v>92</v>
      </c>
      <c r="H219" t="s">
        <v>93</v>
      </c>
      <c r="I219" t="s">
        <v>1186</v>
      </c>
      <c r="J219">
        <v>4</v>
      </c>
      <c r="K219">
        <v>71949</v>
      </c>
      <c r="L219">
        <v>0.24</v>
      </c>
      <c r="M219">
        <v>54681.24</v>
      </c>
      <c r="N219">
        <v>218724.96</v>
      </c>
      <c r="O219">
        <v>0.15</v>
      </c>
      <c r="P219">
        <v>32808.74</v>
      </c>
      <c r="Q219" t="s">
        <v>51</v>
      </c>
      <c r="R219" t="s">
        <v>48</v>
      </c>
      <c r="S219">
        <v>3</v>
      </c>
      <c r="T219">
        <v>2024</v>
      </c>
      <c r="U219" t="s">
        <v>3088</v>
      </c>
      <c r="V219">
        <v>7</v>
      </c>
      <c r="W219" t="s">
        <v>3089</v>
      </c>
      <c r="X219">
        <v>185916.22</v>
      </c>
      <c r="Y219" t="s">
        <v>3067</v>
      </c>
      <c r="Z219" t="s">
        <v>3063</v>
      </c>
      <c r="AA219" t="s">
        <v>3079</v>
      </c>
    </row>
    <row r="220" spans="1:27" x14ac:dyDescent="0.3">
      <c r="A220" t="s">
        <v>2546</v>
      </c>
      <c r="B220" s="7">
        <v>45432</v>
      </c>
      <c r="C220" t="s">
        <v>55</v>
      </c>
      <c r="D220" t="s">
        <v>41</v>
      </c>
      <c r="E220" t="s">
        <v>42</v>
      </c>
      <c r="F220" t="s">
        <v>33</v>
      </c>
      <c r="G220" t="s">
        <v>92</v>
      </c>
      <c r="H220" t="s">
        <v>243</v>
      </c>
      <c r="I220" t="s">
        <v>1075</v>
      </c>
      <c r="J220">
        <v>5</v>
      </c>
      <c r="K220">
        <v>43613</v>
      </c>
      <c r="L220">
        <v>0</v>
      </c>
      <c r="M220">
        <v>43613</v>
      </c>
      <c r="N220">
        <v>218065</v>
      </c>
      <c r="O220">
        <v>0.15</v>
      </c>
      <c r="P220">
        <v>32709.75</v>
      </c>
      <c r="Q220" t="s">
        <v>51</v>
      </c>
      <c r="R220" t="s">
        <v>48</v>
      </c>
      <c r="S220">
        <v>7</v>
      </c>
      <c r="T220">
        <v>2024</v>
      </c>
      <c r="U220" t="s">
        <v>3091</v>
      </c>
      <c r="V220">
        <v>5</v>
      </c>
      <c r="W220" t="s">
        <v>3105</v>
      </c>
      <c r="X220">
        <v>185355.25</v>
      </c>
      <c r="Y220" t="s">
        <v>3062</v>
      </c>
      <c r="Z220" t="s">
        <v>3063</v>
      </c>
      <c r="AA220" t="s">
        <v>3079</v>
      </c>
    </row>
    <row r="221" spans="1:27" x14ac:dyDescent="0.3">
      <c r="A221" t="s">
        <v>2444</v>
      </c>
      <c r="B221" s="7">
        <v>45330</v>
      </c>
      <c r="C221" t="s">
        <v>63</v>
      </c>
      <c r="D221" t="s">
        <v>56</v>
      </c>
      <c r="E221" t="s">
        <v>2040</v>
      </c>
      <c r="F221" t="s">
        <v>103</v>
      </c>
      <c r="G221" t="s">
        <v>34</v>
      </c>
      <c r="H221" t="s">
        <v>104</v>
      </c>
      <c r="I221" t="s">
        <v>874</v>
      </c>
      <c r="J221">
        <v>3</v>
      </c>
      <c r="K221">
        <v>1482</v>
      </c>
      <c r="L221">
        <v>0.05</v>
      </c>
      <c r="M221">
        <v>1407.9</v>
      </c>
      <c r="N221">
        <v>4223.7</v>
      </c>
      <c r="O221">
        <v>0.4</v>
      </c>
      <c r="P221">
        <v>1689.48</v>
      </c>
      <c r="Q221" t="s">
        <v>47</v>
      </c>
      <c r="R221" t="s">
        <v>48</v>
      </c>
      <c r="S221">
        <v>9</v>
      </c>
      <c r="T221">
        <v>2024</v>
      </c>
      <c r="U221" t="s">
        <v>3084</v>
      </c>
      <c r="V221">
        <v>2</v>
      </c>
      <c r="W221" t="s">
        <v>3085</v>
      </c>
      <c r="X221">
        <v>2534.2199999999998</v>
      </c>
      <c r="Y221" t="s">
        <v>3077</v>
      </c>
      <c r="Z221" t="s">
        <v>3063</v>
      </c>
      <c r="AA221" t="s">
        <v>3079</v>
      </c>
    </row>
    <row r="222" spans="1:27" x14ac:dyDescent="0.3">
      <c r="A222" t="s">
        <v>2288</v>
      </c>
      <c r="B222" s="7">
        <v>45174</v>
      </c>
      <c r="C222" t="s">
        <v>30</v>
      </c>
      <c r="D222" t="s">
        <v>21</v>
      </c>
      <c r="E222" t="s">
        <v>2040</v>
      </c>
      <c r="F222" t="s">
        <v>43</v>
      </c>
      <c r="G222" t="s">
        <v>92</v>
      </c>
      <c r="H222" t="s">
        <v>93</v>
      </c>
      <c r="I222" t="s">
        <v>566</v>
      </c>
      <c r="J222">
        <v>7</v>
      </c>
      <c r="K222">
        <v>32443</v>
      </c>
      <c r="L222">
        <v>0.04</v>
      </c>
      <c r="M222">
        <v>31145.279999999999</v>
      </c>
      <c r="N222">
        <v>218016.96</v>
      </c>
      <c r="O222">
        <v>0.15</v>
      </c>
      <c r="P222">
        <v>32702.54</v>
      </c>
      <c r="Q222" t="s">
        <v>27</v>
      </c>
      <c r="R222" t="s">
        <v>38</v>
      </c>
      <c r="S222">
        <v>9</v>
      </c>
      <c r="T222">
        <v>2023</v>
      </c>
      <c r="U222" t="s">
        <v>3097</v>
      </c>
      <c r="V222">
        <v>9</v>
      </c>
      <c r="W222" t="s">
        <v>3107</v>
      </c>
      <c r="X222">
        <v>185314.41999999998</v>
      </c>
      <c r="Y222" t="s">
        <v>3077</v>
      </c>
      <c r="Z222" t="s">
        <v>3063</v>
      </c>
      <c r="AA222" t="s">
        <v>3079</v>
      </c>
    </row>
    <row r="223" spans="1:27" x14ac:dyDescent="0.3">
      <c r="A223" t="s">
        <v>2979</v>
      </c>
      <c r="B223" s="7">
        <v>45865</v>
      </c>
      <c r="C223" t="s">
        <v>96</v>
      </c>
      <c r="D223" t="s">
        <v>41</v>
      </c>
      <c r="E223" t="s">
        <v>42</v>
      </c>
      <c r="F223" t="s">
        <v>33</v>
      </c>
      <c r="G223" t="s">
        <v>92</v>
      </c>
      <c r="H223" t="s">
        <v>243</v>
      </c>
      <c r="I223" t="s">
        <v>1921</v>
      </c>
      <c r="J223">
        <v>4</v>
      </c>
      <c r="K223">
        <v>57945</v>
      </c>
      <c r="L223">
        <v>0.06</v>
      </c>
      <c r="M223">
        <v>54468.3</v>
      </c>
      <c r="N223">
        <v>217873.2</v>
      </c>
      <c r="O223">
        <v>0.15</v>
      </c>
      <c r="P223">
        <v>32680.98</v>
      </c>
      <c r="Q223" t="s">
        <v>27</v>
      </c>
      <c r="R223" t="s">
        <v>48</v>
      </c>
      <c r="S223">
        <v>3</v>
      </c>
      <c r="T223">
        <v>2025</v>
      </c>
      <c r="U223" t="s">
        <v>3088</v>
      </c>
      <c r="V223">
        <v>7</v>
      </c>
      <c r="W223" t="s">
        <v>3094</v>
      </c>
      <c r="X223">
        <v>185192.22</v>
      </c>
      <c r="Y223" t="s">
        <v>3067</v>
      </c>
      <c r="Z223" t="s">
        <v>3063</v>
      </c>
      <c r="AA223" t="s">
        <v>3079</v>
      </c>
    </row>
    <row r="224" spans="1:27" x14ac:dyDescent="0.3">
      <c r="A224" t="s">
        <v>2461</v>
      </c>
      <c r="B224" s="7">
        <v>45347</v>
      </c>
      <c r="C224" t="s">
        <v>20</v>
      </c>
      <c r="D224" t="s">
        <v>31</v>
      </c>
      <c r="E224" t="s">
        <v>2042</v>
      </c>
      <c r="F224" t="s">
        <v>97</v>
      </c>
      <c r="G224" t="s">
        <v>57</v>
      </c>
      <c r="H224" t="s">
        <v>183</v>
      </c>
      <c r="I224" t="s">
        <v>908</v>
      </c>
      <c r="J224">
        <v>5</v>
      </c>
      <c r="K224">
        <v>2207</v>
      </c>
      <c r="L224">
        <v>0.22</v>
      </c>
      <c r="M224">
        <v>1721.46</v>
      </c>
      <c r="N224">
        <v>8607.2999999999993</v>
      </c>
      <c r="O224">
        <v>0.2</v>
      </c>
      <c r="P224">
        <v>1721.46</v>
      </c>
      <c r="Q224" t="s">
        <v>27</v>
      </c>
      <c r="R224" t="s">
        <v>48</v>
      </c>
      <c r="S224">
        <v>2</v>
      </c>
      <c r="T224">
        <v>2024</v>
      </c>
      <c r="U224" t="s">
        <v>3084</v>
      </c>
      <c r="V224">
        <v>2</v>
      </c>
      <c r="W224" t="s">
        <v>3085</v>
      </c>
      <c r="X224">
        <v>6885.8399999999992</v>
      </c>
      <c r="Y224" t="s">
        <v>3067</v>
      </c>
      <c r="Z224" t="s">
        <v>3063</v>
      </c>
      <c r="AA224" t="s">
        <v>3079</v>
      </c>
    </row>
    <row r="225" spans="1:27" x14ac:dyDescent="0.3">
      <c r="A225" t="s">
        <v>2317</v>
      </c>
      <c r="B225" s="7">
        <v>45203</v>
      </c>
      <c r="C225" t="s">
        <v>30</v>
      </c>
      <c r="D225" t="s">
        <v>21</v>
      </c>
      <c r="E225" t="s">
        <v>2040</v>
      </c>
      <c r="F225" t="s">
        <v>103</v>
      </c>
      <c r="G225" t="s">
        <v>34</v>
      </c>
      <c r="H225" t="s">
        <v>104</v>
      </c>
      <c r="I225" t="s">
        <v>624</v>
      </c>
      <c r="J225">
        <v>8</v>
      </c>
      <c r="K225">
        <v>606</v>
      </c>
      <c r="L225">
        <v>0.11</v>
      </c>
      <c r="M225">
        <v>539.34</v>
      </c>
      <c r="N225">
        <v>4314.72</v>
      </c>
      <c r="O225">
        <v>0.4</v>
      </c>
      <c r="P225">
        <v>1725.89</v>
      </c>
      <c r="Q225" t="s">
        <v>47</v>
      </c>
      <c r="R225" t="s">
        <v>48</v>
      </c>
      <c r="S225">
        <v>8</v>
      </c>
      <c r="T225">
        <v>2023</v>
      </c>
      <c r="U225" t="s">
        <v>3065</v>
      </c>
      <c r="V225">
        <v>10</v>
      </c>
      <c r="W225" t="s">
        <v>3104</v>
      </c>
      <c r="X225">
        <v>2588.83</v>
      </c>
      <c r="Y225" t="s">
        <v>3077</v>
      </c>
      <c r="Z225" t="s">
        <v>3063</v>
      </c>
      <c r="AA225" t="s">
        <v>3079</v>
      </c>
    </row>
    <row r="226" spans="1:27" x14ac:dyDescent="0.3">
      <c r="A226" t="s">
        <v>2196</v>
      </c>
      <c r="B226" s="7">
        <v>45082</v>
      </c>
      <c r="C226" t="s">
        <v>30</v>
      </c>
      <c r="D226" t="s">
        <v>21</v>
      </c>
      <c r="E226" t="s">
        <v>67</v>
      </c>
      <c r="F226" t="s">
        <v>33</v>
      </c>
      <c r="G226" t="s">
        <v>92</v>
      </c>
      <c r="H226" t="s">
        <v>93</v>
      </c>
      <c r="I226" t="s">
        <v>382</v>
      </c>
      <c r="J226">
        <v>6</v>
      </c>
      <c r="K226">
        <v>38404</v>
      </c>
      <c r="L226">
        <v>7.0000000000000007E-2</v>
      </c>
      <c r="M226">
        <v>35715.72</v>
      </c>
      <c r="N226">
        <v>214294.32</v>
      </c>
      <c r="O226">
        <v>0.15</v>
      </c>
      <c r="P226">
        <v>32144.15</v>
      </c>
      <c r="Q226" t="s">
        <v>37</v>
      </c>
      <c r="R226" t="s">
        <v>28</v>
      </c>
      <c r="S226">
        <v>3</v>
      </c>
      <c r="T226">
        <v>2023</v>
      </c>
      <c r="U226" t="s">
        <v>3073</v>
      </c>
      <c r="V226">
        <v>6</v>
      </c>
      <c r="W226" t="s">
        <v>3103</v>
      </c>
      <c r="X226">
        <v>182150.17</v>
      </c>
      <c r="Y226" t="s">
        <v>3067</v>
      </c>
      <c r="Z226" t="s">
        <v>3063</v>
      </c>
      <c r="AA226" t="s">
        <v>3079</v>
      </c>
    </row>
    <row r="227" spans="1:27" x14ac:dyDescent="0.3">
      <c r="A227" t="s">
        <v>2506</v>
      </c>
      <c r="B227" s="7">
        <v>45392</v>
      </c>
      <c r="C227" t="s">
        <v>40</v>
      </c>
      <c r="D227" t="s">
        <v>56</v>
      </c>
      <c r="E227" t="s">
        <v>67</v>
      </c>
      <c r="F227" t="s">
        <v>103</v>
      </c>
      <c r="G227" t="s">
        <v>57</v>
      </c>
      <c r="H227" t="s">
        <v>81</v>
      </c>
      <c r="I227" t="s">
        <v>997</v>
      </c>
      <c r="J227">
        <v>4</v>
      </c>
      <c r="K227">
        <v>2560</v>
      </c>
      <c r="L227">
        <v>0.15</v>
      </c>
      <c r="M227">
        <v>2176</v>
      </c>
      <c r="N227">
        <v>8704</v>
      </c>
      <c r="O227">
        <v>0.2</v>
      </c>
      <c r="P227">
        <v>1740.8</v>
      </c>
      <c r="Q227" t="s">
        <v>47</v>
      </c>
      <c r="R227" t="s">
        <v>48</v>
      </c>
      <c r="S227">
        <v>3</v>
      </c>
      <c r="T227">
        <v>2024</v>
      </c>
      <c r="U227" t="s">
        <v>3080</v>
      </c>
      <c r="V227">
        <v>4</v>
      </c>
      <c r="W227" t="s">
        <v>3095</v>
      </c>
      <c r="X227">
        <v>6963.2</v>
      </c>
      <c r="Y227" t="s">
        <v>3067</v>
      </c>
      <c r="Z227" t="s">
        <v>3063</v>
      </c>
      <c r="AA227" t="s">
        <v>3079</v>
      </c>
    </row>
    <row r="228" spans="1:27" x14ac:dyDescent="0.3">
      <c r="A228" t="s">
        <v>2313</v>
      </c>
      <c r="B228" s="7">
        <v>45199</v>
      </c>
      <c r="C228" t="s">
        <v>63</v>
      </c>
      <c r="D228" t="s">
        <v>41</v>
      </c>
      <c r="E228" t="s">
        <v>2040</v>
      </c>
      <c r="F228" t="s">
        <v>23</v>
      </c>
      <c r="G228" t="s">
        <v>92</v>
      </c>
      <c r="H228" t="s">
        <v>178</v>
      </c>
      <c r="I228" t="s">
        <v>616</v>
      </c>
      <c r="J228">
        <v>4</v>
      </c>
      <c r="K228">
        <v>69889</v>
      </c>
      <c r="L228">
        <v>0.24</v>
      </c>
      <c r="M228">
        <v>53115.64</v>
      </c>
      <c r="N228">
        <v>212462.56</v>
      </c>
      <c r="O228">
        <v>0.15</v>
      </c>
      <c r="P228">
        <v>31869.38</v>
      </c>
      <c r="Q228" t="s">
        <v>47</v>
      </c>
      <c r="R228" t="s">
        <v>38</v>
      </c>
      <c r="S228">
        <v>8</v>
      </c>
      <c r="T228">
        <v>2023</v>
      </c>
      <c r="U228" t="s">
        <v>3097</v>
      </c>
      <c r="V228">
        <v>9</v>
      </c>
      <c r="W228" t="s">
        <v>3107</v>
      </c>
      <c r="X228">
        <v>180593.18</v>
      </c>
      <c r="Y228" t="s">
        <v>3077</v>
      </c>
      <c r="Z228" t="s">
        <v>3063</v>
      </c>
      <c r="AA228" t="s">
        <v>3079</v>
      </c>
    </row>
    <row r="229" spans="1:27" x14ac:dyDescent="0.3">
      <c r="A229" t="s">
        <v>2685</v>
      </c>
      <c r="B229" s="7">
        <v>45571</v>
      </c>
      <c r="C229" t="s">
        <v>40</v>
      </c>
      <c r="D229" t="s">
        <v>31</v>
      </c>
      <c r="E229" t="s">
        <v>67</v>
      </c>
      <c r="F229" t="s">
        <v>97</v>
      </c>
      <c r="G229" t="s">
        <v>34</v>
      </c>
      <c r="H229" t="s">
        <v>71</v>
      </c>
      <c r="I229" t="s">
        <v>1350</v>
      </c>
      <c r="J229">
        <v>9</v>
      </c>
      <c r="K229">
        <v>641</v>
      </c>
      <c r="L229">
        <v>0.24</v>
      </c>
      <c r="M229">
        <v>487.16</v>
      </c>
      <c r="N229">
        <v>4384.4399999999996</v>
      </c>
      <c r="O229">
        <v>0.4</v>
      </c>
      <c r="P229">
        <v>1753.78</v>
      </c>
      <c r="Q229" t="s">
        <v>37</v>
      </c>
      <c r="R229" t="s">
        <v>48</v>
      </c>
      <c r="S229">
        <v>2</v>
      </c>
      <c r="T229">
        <v>2024</v>
      </c>
      <c r="U229" t="s">
        <v>3065</v>
      </c>
      <c r="V229">
        <v>10</v>
      </c>
      <c r="W229" t="s">
        <v>3066</v>
      </c>
      <c r="X229">
        <v>2630.66</v>
      </c>
      <c r="Y229" t="s">
        <v>3067</v>
      </c>
      <c r="Z229" t="s">
        <v>3063</v>
      </c>
      <c r="AA229" t="s">
        <v>3079</v>
      </c>
    </row>
    <row r="230" spans="1:27" x14ac:dyDescent="0.3">
      <c r="A230" t="s">
        <v>2100</v>
      </c>
      <c r="B230" s="7">
        <v>44986</v>
      </c>
      <c r="C230" t="s">
        <v>40</v>
      </c>
      <c r="D230" t="s">
        <v>41</v>
      </c>
      <c r="E230" t="s">
        <v>67</v>
      </c>
      <c r="F230" t="s">
        <v>103</v>
      </c>
      <c r="G230" t="s">
        <v>57</v>
      </c>
      <c r="H230" t="s">
        <v>183</v>
      </c>
      <c r="I230" t="s">
        <v>189</v>
      </c>
      <c r="J230">
        <v>3</v>
      </c>
      <c r="K230">
        <v>2956</v>
      </c>
      <c r="L230">
        <v>0.01</v>
      </c>
      <c r="M230">
        <v>2926.44</v>
      </c>
      <c r="N230">
        <v>8779.32</v>
      </c>
      <c r="O230">
        <v>0.2</v>
      </c>
      <c r="P230">
        <v>1755.86</v>
      </c>
      <c r="Q230" t="s">
        <v>47</v>
      </c>
      <c r="R230" t="s">
        <v>48</v>
      </c>
      <c r="S230">
        <v>5</v>
      </c>
      <c r="T230">
        <v>2023</v>
      </c>
      <c r="U230" t="s">
        <v>3069</v>
      </c>
      <c r="V230">
        <v>3</v>
      </c>
      <c r="W230" t="s">
        <v>3082</v>
      </c>
      <c r="X230">
        <v>7023.46</v>
      </c>
      <c r="Y230" t="s">
        <v>3062</v>
      </c>
      <c r="Z230" t="s">
        <v>3063</v>
      </c>
      <c r="AA230" t="s">
        <v>3079</v>
      </c>
    </row>
    <row r="231" spans="1:27" x14ac:dyDescent="0.3">
      <c r="A231" t="s">
        <v>2598</v>
      </c>
      <c r="B231" s="7">
        <v>45484</v>
      </c>
      <c r="C231" t="s">
        <v>55</v>
      </c>
      <c r="D231" t="s">
        <v>21</v>
      </c>
      <c r="E231" t="s">
        <v>2040</v>
      </c>
      <c r="F231" t="s">
        <v>23</v>
      </c>
      <c r="G231" t="s">
        <v>34</v>
      </c>
      <c r="H231" t="s">
        <v>71</v>
      </c>
      <c r="I231" t="s">
        <v>1178</v>
      </c>
      <c r="J231">
        <v>4</v>
      </c>
      <c r="K231">
        <v>1181</v>
      </c>
      <c r="L231">
        <v>7.0000000000000007E-2</v>
      </c>
      <c r="M231">
        <v>1098.33</v>
      </c>
      <c r="N231">
        <v>4393.32</v>
      </c>
      <c r="O231">
        <v>0.4</v>
      </c>
      <c r="P231">
        <v>1757.33</v>
      </c>
      <c r="Q231" t="s">
        <v>47</v>
      </c>
      <c r="R231" t="s">
        <v>48</v>
      </c>
      <c r="S231">
        <v>8</v>
      </c>
      <c r="T231">
        <v>2024</v>
      </c>
      <c r="U231" t="s">
        <v>3088</v>
      </c>
      <c r="V231">
        <v>7</v>
      </c>
      <c r="W231" t="s">
        <v>3089</v>
      </c>
      <c r="X231">
        <v>2635.99</v>
      </c>
      <c r="Y231" t="s">
        <v>3077</v>
      </c>
      <c r="Z231" t="s">
        <v>3063</v>
      </c>
      <c r="AA231" t="s">
        <v>3079</v>
      </c>
    </row>
    <row r="232" spans="1:27" x14ac:dyDescent="0.3">
      <c r="A232" t="s">
        <v>2111</v>
      </c>
      <c r="B232" s="7">
        <v>44997</v>
      </c>
      <c r="C232" t="s">
        <v>63</v>
      </c>
      <c r="D232" t="s">
        <v>21</v>
      </c>
      <c r="E232" t="s">
        <v>42</v>
      </c>
      <c r="F232" t="s">
        <v>23</v>
      </c>
      <c r="G232" t="s">
        <v>92</v>
      </c>
      <c r="H232" t="s">
        <v>178</v>
      </c>
      <c r="I232" t="s">
        <v>211</v>
      </c>
      <c r="J232">
        <v>3</v>
      </c>
      <c r="K232">
        <v>75128</v>
      </c>
      <c r="L232">
        <v>7.0000000000000007E-2</v>
      </c>
      <c r="M232">
        <v>69869.039999999994</v>
      </c>
      <c r="N232">
        <v>209607.12</v>
      </c>
      <c r="O232">
        <v>0.15</v>
      </c>
      <c r="P232">
        <v>31441.07</v>
      </c>
      <c r="Q232" t="s">
        <v>27</v>
      </c>
      <c r="R232" t="s">
        <v>48</v>
      </c>
      <c r="S232">
        <v>8</v>
      </c>
      <c r="T232">
        <v>2023</v>
      </c>
      <c r="U232" t="s">
        <v>3069</v>
      </c>
      <c r="V232">
        <v>3</v>
      </c>
      <c r="W232" t="s">
        <v>3082</v>
      </c>
      <c r="X232">
        <v>178166.05</v>
      </c>
      <c r="Y232" t="s">
        <v>3077</v>
      </c>
      <c r="Z232" t="s">
        <v>3063</v>
      </c>
      <c r="AA232" t="s">
        <v>3079</v>
      </c>
    </row>
    <row r="233" spans="1:27" x14ac:dyDescent="0.3">
      <c r="A233" t="s">
        <v>2113</v>
      </c>
      <c r="B233" s="7">
        <v>44999</v>
      </c>
      <c r="C233" t="s">
        <v>20</v>
      </c>
      <c r="D233" t="s">
        <v>31</v>
      </c>
      <c r="E233" t="s">
        <v>2042</v>
      </c>
      <c r="F233" t="s">
        <v>23</v>
      </c>
      <c r="G233" t="s">
        <v>34</v>
      </c>
      <c r="H233" t="s">
        <v>71</v>
      </c>
      <c r="I233" t="s">
        <v>215</v>
      </c>
      <c r="J233">
        <v>4</v>
      </c>
      <c r="K233">
        <v>1473</v>
      </c>
      <c r="L233">
        <v>0.25</v>
      </c>
      <c r="M233">
        <v>1104.75</v>
      </c>
      <c r="N233">
        <v>4419</v>
      </c>
      <c r="O233">
        <v>0.4</v>
      </c>
      <c r="P233">
        <v>1767.6</v>
      </c>
      <c r="Q233" t="s">
        <v>47</v>
      </c>
      <c r="R233" t="s">
        <v>48</v>
      </c>
      <c r="S233">
        <v>3</v>
      </c>
      <c r="T233">
        <v>2023</v>
      </c>
      <c r="U233" t="s">
        <v>3069</v>
      </c>
      <c r="V233">
        <v>3</v>
      </c>
      <c r="W233" t="s">
        <v>3082</v>
      </c>
      <c r="X233">
        <v>2651.4</v>
      </c>
      <c r="Y233" t="s">
        <v>3067</v>
      </c>
      <c r="Z233" t="s">
        <v>3063</v>
      </c>
      <c r="AA233" t="s">
        <v>3079</v>
      </c>
    </row>
    <row r="234" spans="1:27" x14ac:dyDescent="0.3">
      <c r="A234" t="s">
        <v>2400</v>
      </c>
      <c r="B234" s="7">
        <v>45286</v>
      </c>
      <c r="C234" t="s">
        <v>40</v>
      </c>
      <c r="D234" t="s">
        <v>41</v>
      </c>
      <c r="E234" t="s">
        <v>2042</v>
      </c>
      <c r="F234" t="s">
        <v>103</v>
      </c>
      <c r="G234" t="s">
        <v>34</v>
      </c>
      <c r="H234" t="s">
        <v>71</v>
      </c>
      <c r="I234" t="s">
        <v>786</v>
      </c>
      <c r="J234">
        <v>4</v>
      </c>
      <c r="K234">
        <v>1383</v>
      </c>
      <c r="L234">
        <v>0.2</v>
      </c>
      <c r="M234">
        <v>1106.4000000000001</v>
      </c>
      <c r="N234">
        <v>4425.6000000000004</v>
      </c>
      <c r="O234">
        <v>0.4</v>
      </c>
      <c r="P234">
        <v>1770.24</v>
      </c>
      <c r="Q234" t="s">
        <v>47</v>
      </c>
      <c r="R234" t="s">
        <v>28</v>
      </c>
      <c r="S234">
        <v>6</v>
      </c>
      <c r="T234">
        <v>2023</v>
      </c>
      <c r="U234" t="s">
        <v>3086</v>
      </c>
      <c r="V234">
        <v>12</v>
      </c>
      <c r="W234" t="s">
        <v>3099</v>
      </c>
      <c r="X234">
        <v>2655.3600000000006</v>
      </c>
      <c r="Y234" t="s">
        <v>3062</v>
      </c>
      <c r="Z234" t="s">
        <v>3063</v>
      </c>
      <c r="AA234" t="s">
        <v>3079</v>
      </c>
    </row>
    <row r="235" spans="1:27" x14ac:dyDescent="0.3">
      <c r="A235" t="s">
        <v>2855</v>
      </c>
      <c r="B235" s="7">
        <v>45741</v>
      </c>
      <c r="C235" t="s">
        <v>30</v>
      </c>
      <c r="D235" t="s">
        <v>56</v>
      </c>
      <c r="E235" t="s">
        <v>2040</v>
      </c>
      <c r="F235" t="s">
        <v>43</v>
      </c>
      <c r="G235" t="s">
        <v>57</v>
      </c>
      <c r="H235" t="s">
        <v>183</v>
      </c>
      <c r="I235" t="s">
        <v>1681</v>
      </c>
      <c r="J235">
        <v>1</v>
      </c>
      <c r="K235">
        <v>11518</v>
      </c>
      <c r="L235">
        <v>0.22</v>
      </c>
      <c r="M235">
        <v>8984.0400000000009</v>
      </c>
      <c r="N235">
        <v>8984.0400000000009</v>
      </c>
      <c r="O235">
        <v>0.2</v>
      </c>
      <c r="P235">
        <v>1796.81</v>
      </c>
      <c r="Q235" t="s">
        <v>51</v>
      </c>
      <c r="R235" t="s">
        <v>38</v>
      </c>
      <c r="S235">
        <v>8</v>
      </c>
      <c r="T235">
        <v>2025</v>
      </c>
      <c r="U235" t="s">
        <v>3069</v>
      </c>
      <c r="V235">
        <v>3</v>
      </c>
      <c r="W235" t="s">
        <v>3070</v>
      </c>
      <c r="X235">
        <v>7187.2300000000014</v>
      </c>
      <c r="Y235" t="s">
        <v>3077</v>
      </c>
      <c r="Z235" t="s">
        <v>3063</v>
      </c>
      <c r="AA235" t="s">
        <v>3079</v>
      </c>
    </row>
    <row r="236" spans="1:27" x14ac:dyDescent="0.3">
      <c r="A236" t="s">
        <v>2976</v>
      </c>
      <c r="B236" s="7">
        <v>45862</v>
      </c>
      <c r="C236" t="s">
        <v>96</v>
      </c>
      <c r="D236" t="s">
        <v>56</v>
      </c>
      <c r="E236" t="s">
        <v>2040</v>
      </c>
      <c r="F236" t="s">
        <v>103</v>
      </c>
      <c r="G236" t="s">
        <v>92</v>
      </c>
      <c r="H236" t="s">
        <v>93</v>
      </c>
      <c r="I236" t="s">
        <v>1915</v>
      </c>
      <c r="J236">
        <v>3</v>
      </c>
      <c r="K236">
        <v>77169</v>
      </c>
      <c r="L236">
        <v>0.11</v>
      </c>
      <c r="M236">
        <v>68680.41</v>
      </c>
      <c r="N236">
        <v>206041.23</v>
      </c>
      <c r="O236">
        <v>0.15</v>
      </c>
      <c r="P236">
        <v>30906.18</v>
      </c>
      <c r="Q236" t="s">
        <v>27</v>
      </c>
      <c r="R236" t="s">
        <v>48</v>
      </c>
      <c r="S236">
        <v>5</v>
      </c>
      <c r="T236">
        <v>2025</v>
      </c>
      <c r="U236" t="s">
        <v>3088</v>
      </c>
      <c r="V236">
        <v>7</v>
      </c>
      <c r="W236" t="s">
        <v>3094</v>
      </c>
      <c r="X236">
        <v>175135.05000000002</v>
      </c>
      <c r="Y236" t="s">
        <v>3062</v>
      </c>
      <c r="Z236" t="s">
        <v>3063</v>
      </c>
      <c r="AA236" t="s">
        <v>3079</v>
      </c>
    </row>
    <row r="237" spans="1:27" x14ac:dyDescent="0.3">
      <c r="A237" t="s">
        <v>2939</v>
      </c>
      <c r="B237" s="7">
        <v>45825</v>
      </c>
      <c r="C237" t="s">
        <v>40</v>
      </c>
      <c r="D237" t="s">
        <v>31</v>
      </c>
      <c r="E237" t="s">
        <v>2042</v>
      </c>
      <c r="F237" t="s">
        <v>23</v>
      </c>
      <c r="G237" t="s">
        <v>92</v>
      </c>
      <c r="H237" t="s">
        <v>109</v>
      </c>
      <c r="I237" t="s">
        <v>1846</v>
      </c>
      <c r="J237">
        <v>9</v>
      </c>
      <c r="K237">
        <v>24289</v>
      </c>
      <c r="L237">
        <v>0.06</v>
      </c>
      <c r="M237">
        <v>22831.66</v>
      </c>
      <c r="N237">
        <v>205484.94</v>
      </c>
      <c r="O237">
        <v>0.15</v>
      </c>
      <c r="P237">
        <v>30822.74</v>
      </c>
      <c r="Q237" t="s">
        <v>37</v>
      </c>
      <c r="R237" t="s">
        <v>48</v>
      </c>
      <c r="S237">
        <v>8</v>
      </c>
      <c r="T237">
        <v>2025</v>
      </c>
      <c r="U237" t="s">
        <v>3073</v>
      </c>
      <c r="V237">
        <v>6</v>
      </c>
      <c r="W237" t="s">
        <v>3083</v>
      </c>
      <c r="X237">
        <v>174662.2</v>
      </c>
      <c r="Y237" t="s">
        <v>3077</v>
      </c>
      <c r="Z237" t="s">
        <v>3063</v>
      </c>
      <c r="AA237" t="s">
        <v>3079</v>
      </c>
    </row>
    <row r="238" spans="1:27" x14ac:dyDescent="0.3">
      <c r="A238" t="s">
        <v>2105</v>
      </c>
      <c r="B238" s="7">
        <v>44991</v>
      </c>
      <c r="C238" t="s">
        <v>55</v>
      </c>
      <c r="D238" t="s">
        <v>56</v>
      </c>
      <c r="E238" t="s">
        <v>42</v>
      </c>
      <c r="F238" t="s">
        <v>43</v>
      </c>
      <c r="G238" t="s">
        <v>57</v>
      </c>
      <c r="H238" t="s">
        <v>183</v>
      </c>
      <c r="I238" t="s">
        <v>199</v>
      </c>
      <c r="J238">
        <v>2</v>
      </c>
      <c r="K238">
        <v>5453</v>
      </c>
      <c r="L238">
        <v>0.16</v>
      </c>
      <c r="M238">
        <v>4580.5200000000004</v>
      </c>
      <c r="N238">
        <v>9161.0400000000009</v>
      </c>
      <c r="O238">
        <v>0.2</v>
      </c>
      <c r="P238">
        <v>1832.21</v>
      </c>
      <c r="Q238" t="s">
        <v>37</v>
      </c>
      <c r="R238" t="s">
        <v>48</v>
      </c>
      <c r="S238">
        <v>1</v>
      </c>
      <c r="T238">
        <v>2023</v>
      </c>
      <c r="U238" t="s">
        <v>3069</v>
      </c>
      <c r="V238">
        <v>3</v>
      </c>
      <c r="W238" t="s">
        <v>3082</v>
      </c>
      <c r="X238">
        <v>7328.8300000000008</v>
      </c>
      <c r="Y238" t="s">
        <v>3067</v>
      </c>
      <c r="Z238" t="s">
        <v>3063</v>
      </c>
      <c r="AA238" t="s">
        <v>3079</v>
      </c>
    </row>
    <row r="239" spans="1:27" x14ac:dyDescent="0.3">
      <c r="A239" t="s">
        <v>2588</v>
      </c>
      <c r="B239" s="7">
        <v>45474</v>
      </c>
      <c r="C239" t="s">
        <v>40</v>
      </c>
      <c r="D239" t="s">
        <v>56</v>
      </c>
      <c r="E239" t="s">
        <v>2040</v>
      </c>
      <c r="F239" t="s">
        <v>103</v>
      </c>
      <c r="G239" t="s">
        <v>57</v>
      </c>
      <c r="H239" t="s">
        <v>183</v>
      </c>
      <c r="I239" t="s">
        <v>1158</v>
      </c>
      <c r="J239">
        <v>5</v>
      </c>
      <c r="K239">
        <v>2419</v>
      </c>
      <c r="L239">
        <v>0.24</v>
      </c>
      <c r="M239">
        <v>1838.44</v>
      </c>
      <c r="N239">
        <v>9192.2000000000007</v>
      </c>
      <c r="O239">
        <v>0.2</v>
      </c>
      <c r="P239">
        <v>1838.44</v>
      </c>
      <c r="Q239" t="s">
        <v>47</v>
      </c>
      <c r="R239" t="s">
        <v>38</v>
      </c>
      <c r="S239">
        <v>8</v>
      </c>
      <c r="T239">
        <v>2024</v>
      </c>
      <c r="U239" t="s">
        <v>3088</v>
      </c>
      <c r="V239">
        <v>7</v>
      </c>
      <c r="W239" t="s">
        <v>3089</v>
      </c>
      <c r="X239">
        <v>7353.76</v>
      </c>
      <c r="Y239" t="s">
        <v>3077</v>
      </c>
      <c r="Z239" t="s">
        <v>3063</v>
      </c>
      <c r="AA239" t="s">
        <v>3079</v>
      </c>
    </row>
    <row r="240" spans="1:27" x14ac:dyDescent="0.3">
      <c r="A240" t="s">
        <v>2443</v>
      </c>
      <c r="B240" s="7">
        <v>45329</v>
      </c>
      <c r="C240" t="s">
        <v>55</v>
      </c>
      <c r="D240" t="s">
        <v>31</v>
      </c>
      <c r="E240" t="s">
        <v>67</v>
      </c>
      <c r="F240" t="s">
        <v>33</v>
      </c>
      <c r="G240" t="s">
        <v>92</v>
      </c>
      <c r="H240" t="s">
        <v>93</v>
      </c>
      <c r="I240" t="s">
        <v>872</v>
      </c>
      <c r="J240">
        <v>4</v>
      </c>
      <c r="K240">
        <v>55113</v>
      </c>
      <c r="L240">
        <v>7.0000000000000007E-2</v>
      </c>
      <c r="M240">
        <v>51255.09</v>
      </c>
      <c r="N240">
        <v>205020.36</v>
      </c>
      <c r="O240">
        <v>0.15</v>
      </c>
      <c r="P240">
        <v>30753.05</v>
      </c>
      <c r="Q240" t="s">
        <v>47</v>
      </c>
      <c r="R240" t="s">
        <v>38</v>
      </c>
      <c r="S240">
        <v>3</v>
      </c>
      <c r="T240">
        <v>2024</v>
      </c>
      <c r="U240" t="s">
        <v>3084</v>
      </c>
      <c r="V240">
        <v>2</v>
      </c>
      <c r="W240" t="s">
        <v>3085</v>
      </c>
      <c r="X240">
        <v>174267.31</v>
      </c>
      <c r="Y240" t="s">
        <v>3067</v>
      </c>
      <c r="Z240" t="s">
        <v>3063</v>
      </c>
      <c r="AA240" t="s">
        <v>3079</v>
      </c>
    </row>
    <row r="241" spans="1:27" x14ac:dyDescent="0.3">
      <c r="A241" t="s">
        <v>2137</v>
      </c>
      <c r="B241" s="7">
        <v>45023</v>
      </c>
      <c r="C241" t="s">
        <v>20</v>
      </c>
      <c r="D241" t="s">
        <v>31</v>
      </c>
      <c r="E241" t="s">
        <v>2040</v>
      </c>
      <c r="F241" t="s">
        <v>103</v>
      </c>
      <c r="G241" t="s">
        <v>34</v>
      </c>
      <c r="H241" t="s">
        <v>104</v>
      </c>
      <c r="I241" t="s">
        <v>264</v>
      </c>
      <c r="J241">
        <v>4</v>
      </c>
      <c r="K241">
        <v>1204</v>
      </c>
      <c r="L241">
        <v>0.02</v>
      </c>
      <c r="M241">
        <v>1179.92</v>
      </c>
      <c r="N241">
        <v>4719.68</v>
      </c>
      <c r="O241">
        <v>0.4</v>
      </c>
      <c r="P241">
        <v>1887.87</v>
      </c>
      <c r="Q241" t="s">
        <v>27</v>
      </c>
      <c r="R241" t="s">
        <v>48</v>
      </c>
      <c r="S241">
        <v>2</v>
      </c>
      <c r="T241">
        <v>2023</v>
      </c>
      <c r="U241" t="s">
        <v>3080</v>
      </c>
      <c r="V241">
        <v>4</v>
      </c>
      <c r="W241" t="s">
        <v>3081</v>
      </c>
      <c r="X241">
        <v>2831.8100000000004</v>
      </c>
      <c r="Y241" t="s">
        <v>3067</v>
      </c>
      <c r="Z241" t="s">
        <v>3063</v>
      </c>
      <c r="AA241" t="s">
        <v>3079</v>
      </c>
    </row>
    <row r="242" spans="1:27" x14ac:dyDescent="0.3">
      <c r="A242" t="s">
        <v>2592</v>
      </c>
      <c r="B242" s="7">
        <v>45478</v>
      </c>
      <c r="C242" t="s">
        <v>63</v>
      </c>
      <c r="D242" t="s">
        <v>21</v>
      </c>
      <c r="E242" t="s">
        <v>42</v>
      </c>
      <c r="F242" t="s">
        <v>103</v>
      </c>
      <c r="G242" t="s">
        <v>57</v>
      </c>
      <c r="H242" t="s">
        <v>58</v>
      </c>
      <c r="I242" t="s">
        <v>1166</v>
      </c>
      <c r="J242">
        <v>9</v>
      </c>
      <c r="K242">
        <v>17422</v>
      </c>
      <c r="L242">
        <v>0.02</v>
      </c>
      <c r="M242">
        <v>17073.560000000001</v>
      </c>
      <c r="N242">
        <v>153662.04</v>
      </c>
      <c r="O242">
        <v>0.2</v>
      </c>
      <c r="P242">
        <v>30732.41</v>
      </c>
      <c r="Q242" t="s">
        <v>37</v>
      </c>
      <c r="R242" t="s">
        <v>48</v>
      </c>
      <c r="S242">
        <v>3</v>
      </c>
      <c r="T242">
        <v>2024</v>
      </c>
      <c r="U242" t="s">
        <v>3088</v>
      </c>
      <c r="V242">
        <v>7</v>
      </c>
      <c r="W242" t="s">
        <v>3089</v>
      </c>
      <c r="X242">
        <v>122929.63</v>
      </c>
      <c r="Y242" t="s">
        <v>3067</v>
      </c>
      <c r="Z242" t="s">
        <v>3063</v>
      </c>
      <c r="AA242" t="s">
        <v>3079</v>
      </c>
    </row>
    <row r="243" spans="1:27" x14ac:dyDescent="0.3">
      <c r="A243" t="s">
        <v>2596</v>
      </c>
      <c r="B243" s="7">
        <v>45482</v>
      </c>
      <c r="C243" t="s">
        <v>55</v>
      </c>
      <c r="D243" t="s">
        <v>56</v>
      </c>
      <c r="E243" t="s">
        <v>2040</v>
      </c>
      <c r="F243" t="s">
        <v>23</v>
      </c>
      <c r="G243" t="s">
        <v>34</v>
      </c>
      <c r="H243" t="s">
        <v>104</v>
      </c>
      <c r="I243" t="s">
        <v>1174</v>
      </c>
      <c r="J243">
        <v>7</v>
      </c>
      <c r="K243">
        <v>718</v>
      </c>
      <c r="L243">
        <v>0.06</v>
      </c>
      <c r="M243">
        <v>674.92</v>
      </c>
      <c r="N243">
        <v>4724.4399999999996</v>
      </c>
      <c r="O243">
        <v>0.4</v>
      </c>
      <c r="P243">
        <v>1889.78</v>
      </c>
      <c r="Q243" t="s">
        <v>27</v>
      </c>
      <c r="R243" t="s">
        <v>48</v>
      </c>
      <c r="S243">
        <v>6</v>
      </c>
      <c r="T243">
        <v>2024</v>
      </c>
      <c r="U243" t="s">
        <v>3088</v>
      </c>
      <c r="V243">
        <v>7</v>
      </c>
      <c r="W243" t="s">
        <v>3089</v>
      </c>
      <c r="X243">
        <v>2834.66</v>
      </c>
      <c r="Y243" t="s">
        <v>3062</v>
      </c>
      <c r="Z243" t="s">
        <v>3063</v>
      </c>
      <c r="AA243" t="s">
        <v>3079</v>
      </c>
    </row>
    <row r="244" spans="1:27" x14ac:dyDescent="0.3">
      <c r="A244" t="s">
        <v>2451</v>
      </c>
      <c r="B244" s="7">
        <v>45337</v>
      </c>
      <c r="C244" t="s">
        <v>63</v>
      </c>
      <c r="D244" t="s">
        <v>21</v>
      </c>
      <c r="E244" t="s">
        <v>2042</v>
      </c>
      <c r="F244" t="s">
        <v>33</v>
      </c>
      <c r="G244" t="s">
        <v>57</v>
      </c>
      <c r="H244" t="s">
        <v>183</v>
      </c>
      <c r="I244" t="s">
        <v>888</v>
      </c>
      <c r="J244">
        <v>1</v>
      </c>
      <c r="K244">
        <v>11686</v>
      </c>
      <c r="L244">
        <v>0.19</v>
      </c>
      <c r="M244">
        <v>9465.66</v>
      </c>
      <c r="N244">
        <v>9465.66</v>
      </c>
      <c r="O244">
        <v>0.2</v>
      </c>
      <c r="P244">
        <v>1893.13</v>
      </c>
      <c r="Q244" t="s">
        <v>47</v>
      </c>
      <c r="R244" t="s">
        <v>48</v>
      </c>
      <c r="S244">
        <v>4</v>
      </c>
      <c r="T244">
        <v>2024</v>
      </c>
      <c r="U244" t="s">
        <v>3084</v>
      </c>
      <c r="V244">
        <v>2</v>
      </c>
      <c r="W244" t="s">
        <v>3085</v>
      </c>
      <c r="X244">
        <v>7572.53</v>
      </c>
      <c r="Y244" t="s">
        <v>3062</v>
      </c>
      <c r="Z244" t="s">
        <v>3063</v>
      </c>
      <c r="AA244" t="s">
        <v>3079</v>
      </c>
    </row>
    <row r="245" spans="1:27" x14ac:dyDescent="0.3">
      <c r="A245" t="s">
        <v>2170</v>
      </c>
      <c r="B245" s="7">
        <v>45056</v>
      </c>
      <c r="C245" t="s">
        <v>40</v>
      </c>
      <c r="D245" t="s">
        <v>41</v>
      </c>
      <c r="E245" t="s">
        <v>2042</v>
      </c>
      <c r="F245" t="s">
        <v>33</v>
      </c>
      <c r="G245" t="s">
        <v>34</v>
      </c>
      <c r="H245" t="s">
        <v>71</v>
      </c>
      <c r="I245" t="s">
        <v>330</v>
      </c>
      <c r="J245">
        <v>7</v>
      </c>
      <c r="K245">
        <v>712</v>
      </c>
      <c r="L245">
        <v>0.05</v>
      </c>
      <c r="M245">
        <v>676.4</v>
      </c>
      <c r="N245">
        <v>4734.8</v>
      </c>
      <c r="O245">
        <v>0.4</v>
      </c>
      <c r="P245">
        <v>1893.92</v>
      </c>
      <c r="Q245" t="s">
        <v>37</v>
      </c>
      <c r="R245" t="s">
        <v>48</v>
      </c>
      <c r="S245">
        <v>6</v>
      </c>
      <c r="T245">
        <v>2023</v>
      </c>
      <c r="U245" t="s">
        <v>3091</v>
      </c>
      <c r="V245">
        <v>5</v>
      </c>
      <c r="W245" t="s">
        <v>3092</v>
      </c>
      <c r="X245">
        <v>2840.88</v>
      </c>
      <c r="Y245" t="s">
        <v>3062</v>
      </c>
      <c r="Z245" t="s">
        <v>3063</v>
      </c>
      <c r="AA245" t="s">
        <v>3079</v>
      </c>
    </row>
    <row r="246" spans="1:27" x14ac:dyDescent="0.3">
      <c r="A246" t="s">
        <v>2539</v>
      </c>
      <c r="B246" s="7">
        <v>45425</v>
      </c>
      <c r="C246" t="s">
        <v>30</v>
      </c>
      <c r="D246" t="s">
        <v>56</v>
      </c>
      <c r="E246" t="s">
        <v>67</v>
      </c>
      <c r="F246" t="s">
        <v>68</v>
      </c>
      <c r="G246" t="s">
        <v>92</v>
      </c>
      <c r="H246" t="s">
        <v>243</v>
      </c>
      <c r="I246" t="s">
        <v>1061</v>
      </c>
      <c r="J246">
        <v>4</v>
      </c>
      <c r="K246">
        <v>60200</v>
      </c>
      <c r="L246">
        <v>0.15</v>
      </c>
      <c r="M246">
        <v>51170</v>
      </c>
      <c r="N246">
        <v>204680</v>
      </c>
      <c r="O246">
        <v>0.15</v>
      </c>
      <c r="P246">
        <v>30702</v>
      </c>
      <c r="Q246" t="s">
        <v>27</v>
      </c>
      <c r="R246" t="s">
        <v>48</v>
      </c>
      <c r="S246">
        <v>1</v>
      </c>
      <c r="T246">
        <v>2024</v>
      </c>
      <c r="U246" t="s">
        <v>3091</v>
      </c>
      <c r="V246">
        <v>5</v>
      </c>
      <c r="W246" t="s">
        <v>3105</v>
      </c>
      <c r="X246">
        <v>173978</v>
      </c>
      <c r="Y246" t="s">
        <v>3067</v>
      </c>
      <c r="Z246" t="s">
        <v>3063</v>
      </c>
      <c r="AA246" t="s">
        <v>3079</v>
      </c>
    </row>
    <row r="247" spans="1:27" x14ac:dyDescent="0.3">
      <c r="A247" t="s">
        <v>2449</v>
      </c>
      <c r="B247" s="7">
        <v>45335</v>
      </c>
      <c r="C247" t="s">
        <v>55</v>
      </c>
      <c r="D247" t="s">
        <v>21</v>
      </c>
      <c r="E247" t="s">
        <v>2042</v>
      </c>
      <c r="F247" t="s">
        <v>103</v>
      </c>
      <c r="G247" t="s">
        <v>34</v>
      </c>
      <c r="H247" t="s">
        <v>71</v>
      </c>
      <c r="I247" t="s">
        <v>884</v>
      </c>
      <c r="J247">
        <v>4</v>
      </c>
      <c r="K247">
        <v>1432</v>
      </c>
      <c r="L247">
        <v>0.17</v>
      </c>
      <c r="M247">
        <v>1188.56</v>
      </c>
      <c r="N247">
        <v>4754.24</v>
      </c>
      <c r="O247">
        <v>0.4</v>
      </c>
      <c r="P247">
        <v>1901.7</v>
      </c>
      <c r="Q247" t="s">
        <v>37</v>
      </c>
      <c r="R247" t="s">
        <v>48</v>
      </c>
      <c r="S247">
        <v>8</v>
      </c>
      <c r="T247">
        <v>2024</v>
      </c>
      <c r="U247" t="s">
        <v>3084</v>
      </c>
      <c r="V247">
        <v>2</v>
      </c>
      <c r="W247" t="s">
        <v>3085</v>
      </c>
      <c r="X247">
        <v>2852.54</v>
      </c>
      <c r="Y247" t="s">
        <v>3077</v>
      </c>
      <c r="Z247" t="s">
        <v>3063</v>
      </c>
      <c r="AA247" t="s">
        <v>3079</v>
      </c>
    </row>
    <row r="248" spans="1:27" x14ac:dyDescent="0.3">
      <c r="A248" t="s">
        <v>2425</v>
      </c>
      <c r="B248" s="7">
        <v>45311</v>
      </c>
      <c r="C248" t="s">
        <v>20</v>
      </c>
      <c r="D248" t="s">
        <v>31</v>
      </c>
      <c r="E248" t="s">
        <v>67</v>
      </c>
      <c r="F248" t="s">
        <v>68</v>
      </c>
      <c r="G248" t="s">
        <v>34</v>
      </c>
      <c r="H248" t="s">
        <v>71</v>
      </c>
      <c r="I248" t="s">
        <v>836</v>
      </c>
      <c r="J248">
        <v>6</v>
      </c>
      <c r="K248">
        <v>847</v>
      </c>
      <c r="L248">
        <v>0.06</v>
      </c>
      <c r="M248">
        <v>796.18</v>
      </c>
      <c r="N248">
        <v>4777.08</v>
      </c>
      <c r="O248">
        <v>0.4</v>
      </c>
      <c r="P248">
        <v>1910.83</v>
      </c>
      <c r="Q248" t="s">
        <v>51</v>
      </c>
      <c r="R248" t="s">
        <v>48</v>
      </c>
      <c r="S248">
        <v>8</v>
      </c>
      <c r="T248">
        <v>2024</v>
      </c>
      <c r="U248" t="s">
        <v>3071</v>
      </c>
      <c r="V248">
        <v>1</v>
      </c>
      <c r="W248" t="s">
        <v>3078</v>
      </c>
      <c r="X248">
        <v>2866.25</v>
      </c>
      <c r="Y248" t="s">
        <v>3077</v>
      </c>
      <c r="Z248" t="s">
        <v>3063</v>
      </c>
      <c r="AA248" t="s">
        <v>3079</v>
      </c>
    </row>
    <row r="249" spans="1:27" x14ac:dyDescent="0.3">
      <c r="A249" t="s">
        <v>2750</v>
      </c>
      <c r="B249" s="7">
        <v>45636</v>
      </c>
      <c r="C249" t="s">
        <v>20</v>
      </c>
      <c r="D249" t="s">
        <v>31</v>
      </c>
      <c r="E249" t="s">
        <v>67</v>
      </c>
      <c r="F249" t="s">
        <v>68</v>
      </c>
      <c r="G249" t="s">
        <v>92</v>
      </c>
      <c r="H249" t="s">
        <v>93</v>
      </c>
      <c r="I249" t="s">
        <v>1475</v>
      </c>
      <c r="J249">
        <v>7</v>
      </c>
      <c r="K249">
        <v>33387</v>
      </c>
      <c r="L249">
        <v>0.15</v>
      </c>
      <c r="M249">
        <v>28378.95</v>
      </c>
      <c r="N249">
        <v>198652.65</v>
      </c>
      <c r="O249">
        <v>0.15</v>
      </c>
      <c r="P249">
        <v>29797.9</v>
      </c>
      <c r="Q249" t="s">
        <v>47</v>
      </c>
      <c r="R249" t="s">
        <v>48</v>
      </c>
      <c r="S249">
        <v>8</v>
      </c>
      <c r="T249">
        <v>2024</v>
      </c>
      <c r="U249" t="s">
        <v>3086</v>
      </c>
      <c r="V249">
        <v>12</v>
      </c>
      <c r="W249" t="s">
        <v>3087</v>
      </c>
      <c r="X249">
        <v>168854.75</v>
      </c>
      <c r="Y249" t="s">
        <v>3077</v>
      </c>
      <c r="Z249" t="s">
        <v>3063</v>
      </c>
      <c r="AA249" t="s">
        <v>3079</v>
      </c>
    </row>
    <row r="250" spans="1:27" x14ac:dyDescent="0.3">
      <c r="A250" t="s">
        <v>2189</v>
      </c>
      <c r="B250" s="7">
        <v>45075</v>
      </c>
      <c r="C250" t="s">
        <v>30</v>
      </c>
      <c r="D250" t="s">
        <v>56</v>
      </c>
      <c r="E250" t="s">
        <v>42</v>
      </c>
      <c r="F250" t="s">
        <v>43</v>
      </c>
      <c r="G250" t="s">
        <v>57</v>
      </c>
      <c r="H250" t="s">
        <v>100</v>
      </c>
      <c r="I250" t="s">
        <v>368</v>
      </c>
      <c r="J250">
        <v>9</v>
      </c>
      <c r="K250">
        <v>16846</v>
      </c>
      <c r="L250">
        <v>0.02</v>
      </c>
      <c r="M250">
        <v>16509.080000000002</v>
      </c>
      <c r="N250">
        <v>148581.72</v>
      </c>
      <c r="O250">
        <v>0.2</v>
      </c>
      <c r="P250">
        <v>29716.34</v>
      </c>
      <c r="Q250" t="s">
        <v>47</v>
      </c>
      <c r="R250" t="s">
        <v>48</v>
      </c>
      <c r="S250">
        <v>8</v>
      </c>
      <c r="T250">
        <v>2023</v>
      </c>
      <c r="U250" t="s">
        <v>3091</v>
      </c>
      <c r="V250">
        <v>5</v>
      </c>
      <c r="W250" t="s">
        <v>3092</v>
      </c>
      <c r="X250">
        <v>118865.38</v>
      </c>
      <c r="Y250" t="s">
        <v>3077</v>
      </c>
      <c r="Z250" t="s">
        <v>3063</v>
      </c>
      <c r="AA250" t="s">
        <v>3079</v>
      </c>
    </row>
    <row r="251" spans="1:27" x14ac:dyDescent="0.3">
      <c r="A251" t="s">
        <v>2349</v>
      </c>
      <c r="B251" s="7">
        <v>45235</v>
      </c>
      <c r="C251" t="s">
        <v>30</v>
      </c>
      <c r="D251" t="s">
        <v>21</v>
      </c>
      <c r="E251" t="s">
        <v>2040</v>
      </c>
      <c r="F251" t="s">
        <v>33</v>
      </c>
      <c r="G251" t="s">
        <v>34</v>
      </c>
      <c r="H251" t="s">
        <v>35</v>
      </c>
      <c r="I251" t="s">
        <v>686</v>
      </c>
      <c r="J251">
        <v>5</v>
      </c>
      <c r="K251">
        <v>1108</v>
      </c>
      <c r="L251">
        <v>0.13</v>
      </c>
      <c r="M251">
        <v>963.96</v>
      </c>
      <c r="N251">
        <v>4819.8</v>
      </c>
      <c r="O251">
        <v>0.4</v>
      </c>
      <c r="P251">
        <v>1927.92</v>
      </c>
      <c r="Q251" t="s">
        <v>27</v>
      </c>
      <c r="R251" t="s">
        <v>48</v>
      </c>
      <c r="S251">
        <v>5</v>
      </c>
      <c r="T251">
        <v>2023</v>
      </c>
      <c r="U251" t="s">
        <v>3060</v>
      </c>
      <c r="V251">
        <v>11</v>
      </c>
      <c r="W251" t="s">
        <v>3061</v>
      </c>
      <c r="X251">
        <v>2891.88</v>
      </c>
      <c r="Y251" t="s">
        <v>3062</v>
      </c>
      <c r="Z251" t="s">
        <v>3063</v>
      </c>
      <c r="AA251" t="s">
        <v>3079</v>
      </c>
    </row>
    <row r="252" spans="1:27" x14ac:dyDescent="0.3">
      <c r="A252" t="s">
        <v>2695</v>
      </c>
      <c r="B252" s="7">
        <v>45581</v>
      </c>
      <c r="C252" t="s">
        <v>96</v>
      </c>
      <c r="D252" t="s">
        <v>31</v>
      </c>
      <c r="E252" t="s">
        <v>42</v>
      </c>
      <c r="F252" t="s">
        <v>103</v>
      </c>
      <c r="G252" t="s">
        <v>34</v>
      </c>
      <c r="H252" t="s">
        <v>104</v>
      </c>
      <c r="I252" t="s">
        <v>1368</v>
      </c>
      <c r="J252">
        <v>9</v>
      </c>
      <c r="K252">
        <v>559</v>
      </c>
      <c r="L252">
        <v>0.04</v>
      </c>
      <c r="M252">
        <v>536.64</v>
      </c>
      <c r="N252">
        <v>4829.76</v>
      </c>
      <c r="O252">
        <v>0.4</v>
      </c>
      <c r="P252">
        <v>1931.9</v>
      </c>
      <c r="Q252" t="s">
        <v>51</v>
      </c>
      <c r="R252" t="s">
        <v>38</v>
      </c>
      <c r="S252">
        <v>6</v>
      </c>
      <c r="T252">
        <v>2024</v>
      </c>
      <c r="U252" t="s">
        <v>3065</v>
      </c>
      <c r="V252">
        <v>10</v>
      </c>
      <c r="W252" t="s">
        <v>3066</v>
      </c>
      <c r="X252">
        <v>2897.86</v>
      </c>
      <c r="Y252" t="s">
        <v>3062</v>
      </c>
      <c r="Z252" t="s">
        <v>3063</v>
      </c>
      <c r="AA252" t="s">
        <v>3079</v>
      </c>
    </row>
    <row r="253" spans="1:27" x14ac:dyDescent="0.3">
      <c r="A253" t="s">
        <v>2678</v>
      </c>
      <c r="B253" s="7">
        <v>45564</v>
      </c>
      <c r="C253" t="s">
        <v>96</v>
      </c>
      <c r="D253" t="s">
        <v>21</v>
      </c>
      <c r="E253" t="s">
        <v>2040</v>
      </c>
      <c r="F253" t="s">
        <v>33</v>
      </c>
      <c r="G253" t="s">
        <v>34</v>
      </c>
      <c r="H253" t="s">
        <v>35</v>
      </c>
      <c r="I253" t="s">
        <v>1336</v>
      </c>
      <c r="J253">
        <v>9</v>
      </c>
      <c r="K253">
        <v>565</v>
      </c>
      <c r="L253">
        <v>0.05</v>
      </c>
      <c r="M253">
        <v>536.75</v>
      </c>
      <c r="N253">
        <v>4830.75</v>
      </c>
      <c r="O253">
        <v>0.4</v>
      </c>
      <c r="P253">
        <v>1932.3</v>
      </c>
      <c r="Q253" t="s">
        <v>37</v>
      </c>
      <c r="R253" t="s">
        <v>48</v>
      </c>
      <c r="S253">
        <v>3</v>
      </c>
      <c r="T253">
        <v>2024</v>
      </c>
      <c r="U253" t="s">
        <v>3097</v>
      </c>
      <c r="V253">
        <v>9</v>
      </c>
      <c r="W253" t="s">
        <v>3098</v>
      </c>
      <c r="X253">
        <v>2898.45</v>
      </c>
      <c r="Y253" t="s">
        <v>3067</v>
      </c>
      <c r="Z253" t="s">
        <v>3063</v>
      </c>
      <c r="AA253" t="s">
        <v>3079</v>
      </c>
    </row>
    <row r="254" spans="1:27" x14ac:dyDescent="0.3">
      <c r="A254" t="s">
        <v>2144</v>
      </c>
      <c r="B254" s="7">
        <v>45030</v>
      </c>
      <c r="C254" t="s">
        <v>40</v>
      </c>
      <c r="D254" t="s">
        <v>56</v>
      </c>
      <c r="E254" t="s">
        <v>2040</v>
      </c>
      <c r="F254" t="s">
        <v>103</v>
      </c>
      <c r="G254" t="s">
        <v>57</v>
      </c>
      <c r="H254" t="s">
        <v>100</v>
      </c>
      <c r="I254" t="s">
        <v>278</v>
      </c>
      <c r="J254">
        <v>1</v>
      </c>
      <c r="K254">
        <v>10321</v>
      </c>
      <c r="L254">
        <v>0.06</v>
      </c>
      <c r="M254">
        <v>9701.74</v>
      </c>
      <c r="N254">
        <v>9701.74</v>
      </c>
      <c r="O254">
        <v>0.2</v>
      </c>
      <c r="P254">
        <v>1940.35</v>
      </c>
      <c r="Q254" t="s">
        <v>47</v>
      </c>
      <c r="R254" t="s">
        <v>48</v>
      </c>
      <c r="S254">
        <v>8</v>
      </c>
      <c r="T254">
        <v>2023</v>
      </c>
      <c r="U254" t="s">
        <v>3080</v>
      </c>
      <c r="V254">
        <v>4</v>
      </c>
      <c r="W254" t="s">
        <v>3081</v>
      </c>
      <c r="X254">
        <v>7761.3899999999994</v>
      </c>
      <c r="Y254" t="s">
        <v>3077</v>
      </c>
      <c r="Z254" t="s">
        <v>3063</v>
      </c>
      <c r="AA254" t="s">
        <v>3079</v>
      </c>
    </row>
    <row r="255" spans="1:27" x14ac:dyDescent="0.3">
      <c r="A255" t="s">
        <v>2631</v>
      </c>
      <c r="B255" s="7">
        <v>45517</v>
      </c>
      <c r="C255" t="s">
        <v>63</v>
      </c>
      <c r="D255" t="s">
        <v>41</v>
      </c>
      <c r="E255" t="s">
        <v>2040</v>
      </c>
      <c r="F255" t="s">
        <v>68</v>
      </c>
      <c r="G255" t="s">
        <v>92</v>
      </c>
      <c r="H255" t="s">
        <v>109</v>
      </c>
      <c r="I255" t="s">
        <v>112</v>
      </c>
      <c r="J255">
        <v>6</v>
      </c>
      <c r="K255">
        <v>39300</v>
      </c>
      <c r="L255">
        <v>0.16</v>
      </c>
      <c r="M255">
        <v>33012</v>
      </c>
      <c r="N255">
        <v>198072</v>
      </c>
      <c r="O255">
        <v>0.15</v>
      </c>
      <c r="P255">
        <v>29710.799999999999</v>
      </c>
      <c r="Q255" t="s">
        <v>51</v>
      </c>
      <c r="R255" t="s">
        <v>48</v>
      </c>
      <c r="S255">
        <v>4</v>
      </c>
      <c r="T255">
        <v>2024</v>
      </c>
      <c r="U255" t="s">
        <v>3075</v>
      </c>
      <c r="V255">
        <v>8</v>
      </c>
      <c r="W255" t="s">
        <v>3093</v>
      </c>
      <c r="X255">
        <v>168361.2</v>
      </c>
      <c r="Y255" t="s">
        <v>3062</v>
      </c>
      <c r="Z255" t="s">
        <v>3063</v>
      </c>
      <c r="AA255" t="s">
        <v>3079</v>
      </c>
    </row>
    <row r="256" spans="1:27" x14ac:dyDescent="0.3">
      <c r="A256" t="s">
        <v>2277</v>
      </c>
      <c r="B256" s="7">
        <v>45163</v>
      </c>
      <c r="C256" t="s">
        <v>20</v>
      </c>
      <c r="D256" t="s">
        <v>21</v>
      </c>
      <c r="E256" t="s">
        <v>42</v>
      </c>
      <c r="F256" t="s">
        <v>33</v>
      </c>
      <c r="G256" t="s">
        <v>92</v>
      </c>
      <c r="H256" t="s">
        <v>243</v>
      </c>
      <c r="I256" t="s">
        <v>544</v>
      </c>
      <c r="J256">
        <v>6</v>
      </c>
      <c r="K256">
        <v>37723</v>
      </c>
      <c r="L256">
        <v>0.13</v>
      </c>
      <c r="M256">
        <v>32819.01</v>
      </c>
      <c r="N256">
        <v>196914.06</v>
      </c>
      <c r="O256">
        <v>0.15</v>
      </c>
      <c r="P256">
        <v>29537.11</v>
      </c>
      <c r="Q256" t="s">
        <v>47</v>
      </c>
      <c r="R256" t="s">
        <v>48</v>
      </c>
      <c r="S256">
        <v>2</v>
      </c>
      <c r="T256">
        <v>2023</v>
      </c>
      <c r="U256" t="s">
        <v>3075</v>
      </c>
      <c r="V256">
        <v>8</v>
      </c>
      <c r="W256" t="s">
        <v>3109</v>
      </c>
      <c r="X256">
        <v>167376.95000000001</v>
      </c>
      <c r="Y256" t="s">
        <v>3067</v>
      </c>
      <c r="Z256" t="s">
        <v>3063</v>
      </c>
      <c r="AA256" t="s">
        <v>3079</v>
      </c>
    </row>
    <row r="257" spans="1:27" x14ac:dyDescent="0.3">
      <c r="A257" t="s">
        <v>2204</v>
      </c>
      <c r="B257" s="7">
        <v>45090</v>
      </c>
      <c r="C257" t="s">
        <v>63</v>
      </c>
      <c r="D257" t="s">
        <v>41</v>
      </c>
      <c r="E257" t="s">
        <v>2040</v>
      </c>
      <c r="F257" t="s">
        <v>23</v>
      </c>
      <c r="G257" t="s">
        <v>92</v>
      </c>
      <c r="H257" t="s">
        <v>178</v>
      </c>
      <c r="I257" t="s">
        <v>398</v>
      </c>
      <c r="J257">
        <v>5</v>
      </c>
      <c r="K257">
        <v>51235</v>
      </c>
      <c r="L257">
        <v>0.24</v>
      </c>
      <c r="M257">
        <v>38938.6</v>
      </c>
      <c r="N257">
        <v>194693</v>
      </c>
      <c r="O257">
        <v>0.15</v>
      </c>
      <c r="P257">
        <v>29203.95</v>
      </c>
      <c r="Q257" t="s">
        <v>47</v>
      </c>
      <c r="R257" t="s">
        <v>48</v>
      </c>
      <c r="S257">
        <v>1</v>
      </c>
      <c r="T257">
        <v>2023</v>
      </c>
      <c r="U257" t="s">
        <v>3073</v>
      </c>
      <c r="V257">
        <v>6</v>
      </c>
      <c r="W257" t="s">
        <v>3103</v>
      </c>
      <c r="X257">
        <v>165489.04999999999</v>
      </c>
      <c r="Y257" t="s">
        <v>3067</v>
      </c>
      <c r="Z257" t="s">
        <v>3063</v>
      </c>
      <c r="AA257" t="s">
        <v>3079</v>
      </c>
    </row>
    <row r="258" spans="1:27" x14ac:dyDescent="0.3">
      <c r="A258" t="s">
        <v>2132</v>
      </c>
      <c r="B258" s="7">
        <v>45018</v>
      </c>
      <c r="C258" t="s">
        <v>63</v>
      </c>
      <c r="D258" t="s">
        <v>41</v>
      </c>
      <c r="E258" t="s">
        <v>67</v>
      </c>
      <c r="F258" t="s">
        <v>33</v>
      </c>
      <c r="G258" t="s">
        <v>92</v>
      </c>
      <c r="H258" t="s">
        <v>93</v>
      </c>
      <c r="I258" t="s">
        <v>254</v>
      </c>
      <c r="J258">
        <v>3</v>
      </c>
      <c r="K258">
        <v>76061</v>
      </c>
      <c r="L258">
        <v>0.15</v>
      </c>
      <c r="M258">
        <v>64651.85</v>
      </c>
      <c r="N258">
        <v>193955.55</v>
      </c>
      <c r="O258">
        <v>0.15</v>
      </c>
      <c r="P258">
        <v>29093.33</v>
      </c>
      <c r="Q258" t="s">
        <v>37</v>
      </c>
      <c r="R258" t="s">
        <v>48</v>
      </c>
      <c r="S258">
        <v>9</v>
      </c>
      <c r="T258">
        <v>2023</v>
      </c>
      <c r="U258" t="s">
        <v>3080</v>
      </c>
      <c r="V258">
        <v>4</v>
      </c>
      <c r="W258" t="s">
        <v>3081</v>
      </c>
      <c r="X258">
        <v>164862.21999999997</v>
      </c>
      <c r="Y258" t="s">
        <v>3077</v>
      </c>
      <c r="Z258" t="s">
        <v>3063</v>
      </c>
      <c r="AA258" t="s">
        <v>3079</v>
      </c>
    </row>
    <row r="259" spans="1:27" x14ac:dyDescent="0.3">
      <c r="A259" t="s">
        <v>2870</v>
      </c>
      <c r="B259" s="7">
        <v>45756</v>
      </c>
      <c r="C259" t="s">
        <v>96</v>
      </c>
      <c r="D259" t="s">
        <v>31</v>
      </c>
      <c r="E259" t="s">
        <v>2040</v>
      </c>
      <c r="F259" t="s">
        <v>97</v>
      </c>
      <c r="G259" t="s">
        <v>92</v>
      </c>
      <c r="H259" t="s">
        <v>109</v>
      </c>
      <c r="I259" t="s">
        <v>1710</v>
      </c>
      <c r="J259">
        <v>8</v>
      </c>
      <c r="K259">
        <v>24472</v>
      </c>
      <c r="L259">
        <v>0.01</v>
      </c>
      <c r="M259">
        <v>24227.279999999999</v>
      </c>
      <c r="N259">
        <v>193818.23999999999</v>
      </c>
      <c r="O259">
        <v>0.15</v>
      </c>
      <c r="P259">
        <v>29072.74</v>
      </c>
      <c r="Q259" t="s">
        <v>47</v>
      </c>
      <c r="R259" t="s">
        <v>48</v>
      </c>
      <c r="S259">
        <v>7</v>
      </c>
      <c r="T259">
        <v>2025</v>
      </c>
      <c r="U259" t="s">
        <v>3080</v>
      </c>
      <c r="V259">
        <v>4</v>
      </c>
      <c r="W259" t="s">
        <v>3096</v>
      </c>
      <c r="X259">
        <v>164745.5</v>
      </c>
      <c r="Y259" t="s">
        <v>3062</v>
      </c>
      <c r="Z259" t="s">
        <v>3063</v>
      </c>
      <c r="AA259" t="s">
        <v>3079</v>
      </c>
    </row>
    <row r="260" spans="1:27" x14ac:dyDescent="0.3">
      <c r="A260" t="s">
        <v>2298</v>
      </c>
      <c r="B260" s="7">
        <v>45184</v>
      </c>
      <c r="C260" t="s">
        <v>55</v>
      </c>
      <c r="D260" t="s">
        <v>41</v>
      </c>
      <c r="E260" t="s">
        <v>42</v>
      </c>
      <c r="F260" t="s">
        <v>33</v>
      </c>
      <c r="G260" t="s">
        <v>34</v>
      </c>
      <c r="H260" t="s">
        <v>141</v>
      </c>
      <c r="I260" t="s">
        <v>586</v>
      </c>
      <c r="J260">
        <v>5</v>
      </c>
      <c r="K260">
        <v>1015</v>
      </c>
      <c r="L260">
        <v>0.02</v>
      </c>
      <c r="M260">
        <v>994.7</v>
      </c>
      <c r="N260">
        <v>4973.5</v>
      </c>
      <c r="O260">
        <v>0.4</v>
      </c>
      <c r="P260">
        <v>1989.4</v>
      </c>
      <c r="Q260" t="s">
        <v>51</v>
      </c>
      <c r="R260" t="s">
        <v>48</v>
      </c>
      <c r="S260">
        <v>3</v>
      </c>
      <c r="T260">
        <v>2023</v>
      </c>
      <c r="U260" t="s">
        <v>3097</v>
      </c>
      <c r="V260">
        <v>9</v>
      </c>
      <c r="W260" t="s">
        <v>3107</v>
      </c>
      <c r="X260">
        <v>2984.1</v>
      </c>
      <c r="Y260" t="s">
        <v>3067</v>
      </c>
      <c r="Z260" t="s">
        <v>3063</v>
      </c>
      <c r="AA260" t="s">
        <v>3079</v>
      </c>
    </row>
    <row r="261" spans="1:27" x14ac:dyDescent="0.3">
      <c r="A261" t="s">
        <v>2587</v>
      </c>
      <c r="B261" s="7">
        <v>45473</v>
      </c>
      <c r="C261" t="s">
        <v>96</v>
      </c>
      <c r="D261" t="s">
        <v>56</v>
      </c>
      <c r="E261" t="s">
        <v>42</v>
      </c>
      <c r="F261" t="s">
        <v>68</v>
      </c>
      <c r="G261" t="s">
        <v>34</v>
      </c>
      <c r="H261" t="s">
        <v>141</v>
      </c>
      <c r="I261" t="s">
        <v>1156</v>
      </c>
      <c r="J261">
        <v>5</v>
      </c>
      <c r="K261">
        <v>1019</v>
      </c>
      <c r="L261">
        <v>0.02</v>
      </c>
      <c r="M261">
        <v>998.62</v>
      </c>
      <c r="N261">
        <v>4993.1000000000004</v>
      </c>
      <c r="O261">
        <v>0.4</v>
      </c>
      <c r="P261">
        <v>1997.24</v>
      </c>
      <c r="Q261" t="s">
        <v>27</v>
      </c>
      <c r="R261" t="s">
        <v>48</v>
      </c>
      <c r="S261">
        <v>9</v>
      </c>
      <c r="T261">
        <v>2024</v>
      </c>
      <c r="U261" t="s">
        <v>3073</v>
      </c>
      <c r="V261">
        <v>6</v>
      </c>
      <c r="W261" t="s">
        <v>3074</v>
      </c>
      <c r="X261">
        <v>2995.8600000000006</v>
      </c>
      <c r="Y261" t="s">
        <v>3077</v>
      </c>
      <c r="Z261" t="s">
        <v>3063</v>
      </c>
      <c r="AA261" t="s">
        <v>3079</v>
      </c>
    </row>
    <row r="262" spans="1:27" x14ac:dyDescent="0.3">
      <c r="A262" t="s">
        <v>2776</v>
      </c>
      <c r="B262" s="7">
        <v>45662</v>
      </c>
      <c r="C262" t="s">
        <v>30</v>
      </c>
      <c r="D262" t="s">
        <v>21</v>
      </c>
      <c r="E262" t="s">
        <v>2040</v>
      </c>
      <c r="F262" t="s">
        <v>103</v>
      </c>
      <c r="G262" t="s">
        <v>57</v>
      </c>
      <c r="H262" t="s">
        <v>81</v>
      </c>
      <c r="I262" t="s">
        <v>1526</v>
      </c>
      <c r="J262">
        <v>9</v>
      </c>
      <c r="K262">
        <v>18898</v>
      </c>
      <c r="L262">
        <v>0.15</v>
      </c>
      <c r="M262">
        <v>16063.3</v>
      </c>
      <c r="N262">
        <v>144569.70000000001</v>
      </c>
      <c r="O262">
        <v>0.2</v>
      </c>
      <c r="P262">
        <v>28913.94</v>
      </c>
      <c r="Q262" t="s">
        <v>47</v>
      </c>
      <c r="R262" t="s">
        <v>48</v>
      </c>
      <c r="S262">
        <v>4</v>
      </c>
      <c r="T262">
        <v>2025</v>
      </c>
      <c r="U262" t="s">
        <v>3071</v>
      </c>
      <c r="V262">
        <v>1</v>
      </c>
      <c r="W262" t="s">
        <v>3072</v>
      </c>
      <c r="X262">
        <v>115655.76000000001</v>
      </c>
      <c r="Y262" t="s">
        <v>3062</v>
      </c>
      <c r="Z262" t="s">
        <v>3063</v>
      </c>
      <c r="AA262" t="s">
        <v>3079</v>
      </c>
    </row>
    <row r="263" spans="1:27" x14ac:dyDescent="0.3">
      <c r="A263" t="s">
        <v>2241</v>
      </c>
      <c r="B263" s="7">
        <v>45127</v>
      </c>
      <c r="C263" t="s">
        <v>20</v>
      </c>
      <c r="D263" t="s">
        <v>21</v>
      </c>
      <c r="E263" t="s">
        <v>2040</v>
      </c>
      <c r="F263" t="s">
        <v>97</v>
      </c>
      <c r="G263" t="s">
        <v>57</v>
      </c>
      <c r="H263" t="s">
        <v>81</v>
      </c>
      <c r="I263" t="s">
        <v>472</v>
      </c>
      <c r="J263">
        <v>2</v>
      </c>
      <c r="K263">
        <v>5719</v>
      </c>
      <c r="L263">
        <v>0.12</v>
      </c>
      <c r="M263">
        <v>5032.72</v>
      </c>
      <c r="N263">
        <v>10065.44</v>
      </c>
      <c r="O263">
        <v>0.2</v>
      </c>
      <c r="P263">
        <v>2013.09</v>
      </c>
      <c r="Q263" t="s">
        <v>37</v>
      </c>
      <c r="R263" t="s">
        <v>48</v>
      </c>
      <c r="S263">
        <v>2</v>
      </c>
      <c r="T263">
        <v>2023</v>
      </c>
      <c r="U263" t="s">
        <v>3088</v>
      </c>
      <c r="V263">
        <v>7</v>
      </c>
      <c r="W263" t="s">
        <v>3111</v>
      </c>
      <c r="X263">
        <v>8052.35</v>
      </c>
      <c r="Y263" t="s">
        <v>3067</v>
      </c>
      <c r="Z263" t="s">
        <v>3063</v>
      </c>
      <c r="AA263" t="s">
        <v>3079</v>
      </c>
    </row>
    <row r="264" spans="1:27" x14ac:dyDescent="0.3">
      <c r="A264" t="s">
        <v>2994</v>
      </c>
      <c r="B264" s="7">
        <v>45880</v>
      </c>
      <c r="C264" t="s">
        <v>63</v>
      </c>
      <c r="D264" t="s">
        <v>41</v>
      </c>
      <c r="E264" t="s">
        <v>67</v>
      </c>
      <c r="F264" t="s">
        <v>97</v>
      </c>
      <c r="G264" t="s">
        <v>34</v>
      </c>
      <c r="H264" t="s">
        <v>104</v>
      </c>
      <c r="I264" t="s">
        <v>1949</v>
      </c>
      <c r="J264">
        <v>8</v>
      </c>
      <c r="K264">
        <v>760</v>
      </c>
      <c r="L264">
        <v>0.17</v>
      </c>
      <c r="M264">
        <v>630.79999999999995</v>
      </c>
      <c r="N264">
        <v>5046.3999999999996</v>
      </c>
      <c r="O264">
        <v>0.4</v>
      </c>
      <c r="P264">
        <v>2018.56</v>
      </c>
      <c r="Q264" t="s">
        <v>27</v>
      </c>
      <c r="R264" t="s">
        <v>48</v>
      </c>
      <c r="S264">
        <v>3</v>
      </c>
      <c r="T264">
        <v>2025</v>
      </c>
      <c r="U264" t="s">
        <v>3075</v>
      </c>
      <c r="V264">
        <v>8</v>
      </c>
      <c r="W264" t="s">
        <v>3076</v>
      </c>
      <c r="X264">
        <v>3027.8399999999997</v>
      </c>
      <c r="Y264" t="s">
        <v>3067</v>
      </c>
      <c r="Z264" t="s">
        <v>3063</v>
      </c>
      <c r="AA264" t="s">
        <v>3079</v>
      </c>
    </row>
    <row r="265" spans="1:27" x14ac:dyDescent="0.3">
      <c r="A265" t="s">
        <v>2719</v>
      </c>
      <c r="B265" s="7">
        <v>45605</v>
      </c>
      <c r="C265" t="s">
        <v>40</v>
      </c>
      <c r="D265" t="s">
        <v>21</v>
      </c>
      <c r="E265" t="s">
        <v>67</v>
      </c>
      <c r="F265" t="s">
        <v>103</v>
      </c>
      <c r="G265" t="s">
        <v>34</v>
      </c>
      <c r="H265" t="s">
        <v>104</v>
      </c>
      <c r="I265" t="s">
        <v>1414</v>
      </c>
      <c r="J265">
        <v>8</v>
      </c>
      <c r="K265">
        <v>721</v>
      </c>
      <c r="L265">
        <v>0.12</v>
      </c>
      <c r="M265">
        <v>634.48</v>
      </c>
      <c r="N265">
        <v>5075.84</v>
      </c>
      <c r="O265">
        <v>0.4</v>
      </c>
      <c r="P265">
        <v>2030.34</v>
      </c>
      <c r="Q265" t="s">
        <v>27</v>
      </c>
      <c r="R265" t="s">
        <v>48</v>
      </c>
      <c r="S265">
        <v>9</v>
      </c>
      <c r="T265">
        <v>2024</v>
      </c>
      <c r="U265" t="s">
        <v>3060</v>
      </c>
      <c r="V265">
        <v>11</v>
      </c>
      <c r="W265" t="s">
        <v>3100</v>
      </c>
      <c r="X265">
        <v>3045.5</v>
      </c>
      <c r="Y265" t="s">
        <v>3077</v>
      </c>
      <c r="Z265" t="s">
        <v>3063</v>
      </c>
      <c r="AA265" t="s">
        <v>3079</v>
      </c>
    </row>
    <row r="266" spans="1:27" x14ac:dyDescent="0.3">
      <c r="A266" t="s">
        <v>2857</v>
      </c>
      <c r="B266" s="7">
        <v>45743</v>
      </c>
      <c r="C266" t="s">
        <v>55</v>
      </c>
      <c r="D266" t="s">
        <v>21</v>
      </c>
      <c r="E266" t="s">
        <v>67</v>
      </c>
      <c r="F266" t="s">
        <v>33</v>
      </c>
      <c r="G266" t="s">
        <v>92</v>
      </c>
      <c r="H266" t="s">
        <v>109</v>
      </c>
      <c r="I266" t="s">
        <v>1685</v>
      </c>
      <c r="J266">
        <v>8</v>
      </c>
      <c r="K266">
        <v>26184</v>
      </c>
      <c r="L266">
        <v>0.08</v>
      </c>
      <c r="M266">
        <v>24089.279999999999</v>
      </c>
      <c r="N266">
        <v>192714.23999999999</v>
      </c>
      <c r="O266">
        <v>0.15</v>
      </c>
      <c r="P266">
        <v>28907.14</v>
      </c>
      <c r="Q266" t="s">
        <v>37</v>
      </c>
      <c r="R266" t="s">
        <v>48</v>
      </c>
      <c r="S266">
        <v>3</v>
      </c>
      <c r="T266">
        <v>2025</v>
      </c>
      <c r="U266" t="s">
        <v>3069</v>
      </c>
      <c r="V266">
        <v>3</v>
      </c>
      <c r="W266" t="s">
        <v>3070</v>
      </c>
      <c r="X266">
        <v>163807.09999999998</v>
      </c>
      <c r="Y266" t="s">
        <v>3067</v>
      </c>
      <c r="Z266" t="s">
        <v>3063</v>
      </c>
      <c r="AA266" t="s">
        <v>3079</v>
      </c>
    </row>
    <row r="267" spans="1:27" x14ac:dyDescent="0.3">
      <c r="A267" t="s">
        <v>2699</v>
      </c>
      <c r="B267" s="7">
        <v>45585</v>
      </c>
      <c r="C267" t="s">
        <v>96</v>
      </c>
      <c r="D267" t="s">
        <v>41</v>
      </c>
      <c r="E267" t="s">
        <v>2042</v>
      </c>
      <c r="F267" t="s">
        <v>103</v>
      </c>
      <c r="G267" t="s">
        <v>92</v>
      </c>
      <c r="H267" t="s">
        <v>93</v>
      </c>
      <c r="I267" t="s">
        <v>1376</v>
      </c>
      <c r="J267">
        <v>4</v>
      </c>
      <c r="K267">
        <v>60979</v>
      </c>
      <c r="L267">
        <v>0.22</v>
      </c>
      <c r="M267">
        <v>47563.62</v>
      </c>
      <c r="N267">
        <v>190254.48</v>
      </c>
      <c r="O267">
        <v>0.15</v>
      </c>
      <c r="P267">
        <v>28538.17</v>
      </c>
      <c r="Q267" t="s">
        <v>27</v>
      </c>
      <c r="R267" t="s">
        <v>48</v>
      </c>
      <c r="S267">
        <v>9</v>
      </c>
      <c r="T267">
        <v>2024</v>
      </c>
      <c r="U267" t="s">
        <v>3065</v>
      </c>
      <c r="V267">
        <v>10</v>
      </c>
      <c r="W267" t="s">
        <v>3066</v>
      </c>
      <c r="X267">
        <v>161716.31</v>
      </c>
      <c r="Y267" t="s">
        <v>3077</v>
      </c>
      <c r="Z267" t="s">
        <v>3063</v>
      </c>
      <c r="AA267" t="s">
        <v>3079</v>
      </c>
    </row>
    <row r="268" spans="1:27" x14ac:dyDescent="0.3">
      <c r="A268" t="s">
        <v>2655</v>
      </c>
      <c r="B268" s="7">
        <v>45541</v>
      </c>
      <c r="C268" t="s">
        <v>30</v>
      </c>
      <c r="D268" t="s">
        <v>56</v>
      </c>
      <c r="E268" t="s">
        <v>2040</v>
      </c>
      <c r="F268" t="s">
        <v>103</v>
      </c>
      <c r="G268" t="s">
        <v>92</v>
      </c>
      <c r="H268" t="s">
        <v>109</v>
      </c>
      <c r="I268" t="s">
        <v>1290</v>
      </c>
      <c r="J268">
        <v>7</v>
      </c>
      <c r="K268">
        <v>30281</v>
      </c>
      <c r="L268">
        <v>0.12</v>
      </c>
      <c r="M268">
        <v>26647.279999999999</v>
      </c>
      <c r="N268">
        <v>186530.96</v>
      </c>
      <c r="O268">
        <v>0.15</v>
      </c>
      <c r="P268">
        <v>27979.64</v>
      </c>
      <c r="Q268" t="s">
        <v>27</v>
      </c>
      <c r="R268" t="s">
        <v>28</v>
      </c>
      <c r="S268">
        <v>6</v>
      </c>
      <c r="T268">
        <v>2024</v>
      </c>
      <c r="U268" t="s">
        <v>3097</v>
      </c>
      <c r="V268">
        <v>9</v>
      </c>
      <c r="W268" t="s">
        <v>3098</v>
      </c>
      <c r="X268">
        <v>158551.32</v>
      </c>
      <c r="Y268" t="s">
        <v>3062</v>
      </c>
      <c r="Z268" t="s">
        <v>3063</v>
      </c>
      <c r="AA268" t="s">
        <v>3079</v>
      </c>
    </row>
    <row r="269" spans="1:27" x14ac:dyDescent="0.3">
      <c r="A269" t="s">
        <v>2716</v>
      </c>
      <c r="B269" s="7">
        <v>45602</v>
      </c>
      <c r="C269" t="s">
        <v>30</v>
      </c>
      <c r="D269" t="s">
        <v>21</v>
      </c>
      <c r="E269" t="s">
        <v>67</v>
      </c>
      <c r="F269" t="s">
        <v>23</v>
      </c>
      <c r="G269" t="s">
        <v>34</v>
      </c>
      <c r="H269" t="s">
        <v>35</v>
      </c>
      <c r="I269" t="s">
        <v>1408</v>
      </c>
      <c r="J269">
        <v>5</v>
      </c>
      <c r="K269">
        <v>1091</v>
      </c>
      <c r="L269">
        <v>0.06</v>
      </c>
      <c r="M269">
        <v>1025.54</v>
      </c>
      <c r="N269">
        <v>5127.7</v>
      </c>
      <c r="O269">
        <v>0.4</v>
      </c>
      <c r="P269">
        <v>2051.08</v>
      </c>
      <c r="Q269" t="s">
        <v>37</v>
      </c>
      <c r="R269" t="s">
        <v>48</v>
      </c>
      <c r="S269">
        <v>7</v>
      </c>
      <c r="T269">
        <v>2024</v>
      </c>
      <c r="U269" t="s">
        <v>3060</v>
      </c>
      <c r="V269">
        <v>11</v>
      </c>
      <c r="W269" t="s">
        <v>3100</v>
      </c>
      <c r="X269">
        <v>3076.62</v>
      </c>
      <c r="Y269" t="s">
        <v>3062</v>
      </c>
      <c r="Z269" t="s">
        <v>3063</v>
      </c>
      <c r="AA269" t="s">
        <v>3079</v>
      </c>
    </row>
    <row r="270" spans="1:27" x14ac:dyDescent="0.3">
      <c r="A270" t="s">
        <v>2472</v>
      </c>
      <c r="B270" s="7">
        <v>45358</v>
      </c>
      <c r="C270" t="s">
        <v>55</v>
      </c>
      <c r="D270" t="s">
        <v>56</v>
      </c>
      <c r="E270" t="s">
        <v>2042</v>
      </c>
      <c r="F270" t="s">
        <v>97</v>
      </c>
      <c r="G270" t="s">
        <v>92</v>
      </c>
      <c r="H270" t="s">
        <v>93</v>
      </c>
      <c r="I270" t="s">
        <v>930</v>
      </c>
      <c r="J270">
        <v>6</v>
      </c>
      <c r="K270">
        <v>39301</v>
      </c>
      <c r="L270">
        <v>0.21</v>
      </c>
      <c r="M270">
        <v>31047.79</v>
      </c>
      <c r="N270">
        <v>186286.74</v>
      </c>
      <c r="O270">
        <v>0.15</v>
      </c>
      <c r="P270">
        <v>27943.01</v>
      </c>
      <c r="Q270" t="s">
        <v>27</v>
      </c>
      <c r="R270" t="s">
        <v>38</v>
      </c>
      <c r="S270">
        <v>5</v>
      </c>
      <c r="T270">
        <v>2024</v>
      </c>
      <c r="U270" t="s">
        <v>3069</v>
      </c>
      <c r="V270">
        <v>3</v>
      </c>
      <c r="W270" t="s">
        <v>3101</v>
      </c>
      <c r="X270">
        <v>158343.72999999998</v>
      </c>
      <c r="Y270" t="s">
        <v>3062</v>
      </c>
      <c r="Z270" t="s">
        <v>3063</v>
      </c>
      <c r="AA270" t="s">
        <v>3079</v>
      </c>
    </row>
    <row r="271" spans="1:27" x14ac:dyDescent="0.3">
      <c r="A271" t="s">
        <v>2096</v>
      </c>
      <c r="B271" s="7">
        <v>44982</v>
      </c>
      <c r="C271" t="s">
        <v>63</v>
      </c>
      <c r="D271" t="s">
        <v>41</v>
      </c>
      <c r="E271" t="s">
        <v>42</v>
      </c>
      <c r="F271" t="s">
        <v>103</v>
      </c>
      <c r="G271" t="s">
        <v>92</v>
      </c>
      <c r="H271" t="s">
        <v>178</v>
      </c>
      <c r="I271" t="s">
        <v>179</v>
      </c>
      <c r="J271">
        <v>5</v>
      </c>
      <c r="K271">
        <v>40027</v>
      </c>
      <c r="L271">
        <v>7.0000000000000007E-2</v>
      </c>
      <c r="M271">
        <v>37225.11</v>
      </c>
      <c r="N271">
        <v>186125.55</v>
      </c>
      <c r="O271">
        <v>0.15</v>
      </c>
      <c r="P271">
        <v>27918.83</v>
      </c>
      <c r="Q271" t="s">
        <v>47</v>
      </c>
      <c r="R271" t="s">
        <v>48</v>
      </c>
      <c r="S271">
        <v>7</v>
      </c>
      <c r="T271">
        <v>2023</v>
      </c>
      <c r="U271" t="s">
        <v>3084</v>
      </c>
      <c r="V271">
        <v>2</v>
      </c>
      <c r="W271" t="s">
        <v>3108</v>
      </c>
      <c r="X271">
        <v>158206.71999999997</v>
      </c>
      <c r="Y271" t="s">
        <v>3062</v>
      </c>
      <c r="Z271" t="s">
        <v>3063</v>
      </c>
      <c r="AA271" t="s">
        <v>3079</v>
      </c>
    </row>
    <row r="272" spans="1:27" x14ac:dyDescent="0.3">
      <c r="A272" t="s">
        <v>2608</v>
      </c>
      <c r="B272" s="7">
        <v>45494</v>
      </c>
      <c r="C272" t="s">
        <v>40</v>
      </c>
      <c r="D272" t="s">
        <v>31</v>
      </c>
      <c r="E272" t="s">
        <v>2042</v>
      </c>
      <c r="F272" t="s">
        <v>68</v>
      </c>
      <c r="G272" t="s">
        <v>34</v>
      </c>
      <c r="H272" t="s">
        <v>104</v>
      </c>
      <c r="I272" t="s">
        <v>1198</v>
      </c>
      <c r="J272">
        <v>6</v>
      </c>
      <c r="K272">
        <v>941</v>
      </c>
      <c r="L272">
        <v>0.08</v>
      </c>
      <c r="M272">
        <v>865.72</v>
      </c>
      <c r="N272">
        <v>5194.32</v>
      </c>
      <c r="O272">
        <v>0.4</v>
      </c>
      <c r="P272">
        <v>2077.73</v>
      </c>
      <c r="Q272" t="s">
        <v>47</v>
      </c>
      <c r="R272" t="s">
        <v>48</v>
      </c>
      <c r="S272">
        <v>1</v>
      </c>
      <c r="T272">
        <v>2024</v>
      </c>
      <c r="U272" t="s">
        <v>3088</v>
      </c>
      <c r="V272">
        <v>7</v>
      </c>
      <c r="W272" t="s">
        <v>3089</v>
      </c>
      <c r="X272">
        <v>3116.5899999999997</v>
      </c>
      <c r="Y272" t="s">
        <v>3067</v>
      </c>
      <c r="Z272" t="s">
        <v>3063</v>
      </c>
      <c r="AA272" t="s">
        <v>3079</v>
      </c>
    </row>
    <row r="273" spans="1:27" x14ac:dyDescent="0.3">
      <c r="A273" t="s">
        <v>2122</v>
      </c>
      <c r="B273" s="7">
        <v>45008</v>
      </c>
      <c r="C273" t="s">
        <v>63</v>
      </c>
      <c r="D273" t="s">
        <v>31</v>
      </c>
      <c r="E273" t="s">
        <v>2042</v>
      </c>
      <c r="F273" t="s">
        <v>103</v>
      </c>
      <c r="G273" t="s">
        <v>92</v>
      </c>
      <c r="H273" t="s">
        <v>93</v>
      </c>
      <c r="I273" t="s">
        <v>233</v>
      </c>
      <c r="J273">
        <v>4</v>
      </c>
      <c r="K273">
        <v>52229</v>
      </c>
      <c r="L273">
        <v>0.11</v>
      </c>
      <c r="M273">
        <v>46483.81</v>
      </c>
      <c r="N273">
        <v>185935.24</v>
      </c>
      <c r="O273">
        <v>0.15</v>
      </c>
      <c r="P273">
        <v>27890.29</v>
      </c>
      <c r="Q273" t="s">
        <v>37</v>
      </c>
      <c r="R273" t="s">
        <v>48</v>
      </c>
      <c r="S273">
        <v>6</v>
      </c>
      <c r="T273">
        <v>2023</v>
      </c>
      <c r="U273" t="s">
        <v>3069</v>
      </c>
      <c r="V273">
        <v>3</v>
      </c>
      <c r="W273" t="s">
        <v>3082</v>
      </c>
      <c r="X273">
        <v>158044.94999999998</v>
      </c>
      <c r="Y273" t="s">
        <v>3062</v>
      </c>
      <c r="Z273" t="s">
        <v>3063</v>
      </c>
      <c r="AA273" t="s">
        <v>3079</v>
      </c>
    </row>
    <row r="274" spans="1:27" x14ac:dyDescent="0.3">
      <c r="A274" t="s">
        <v>2212</v>
      </c>
      <c r="B274" s="7">
        <v>45098</v>
      </c>
      <c r="C274" t="s">
        <v>40</v>
      </c>
      <c r="D274" t="s">
        <v>56</v>
      </c>
      <c r="E274" t="s">
        <v>2040</v>
      </c>
      <c r="F274" t="s">
        <v>103</v>
      </c>
      <c r="G274" t="s">
        <v>92</v>
      </c>
      <c r="H274" t="s">
        <v>109</v>
      </c>
      <c r="I274" t="s">
        <v>414</v>
      </c>
      <c r="J274">
        <v>9</v>
      </c>
      <c r="K274">
        <v>25398</v>
      </c>
      <c r="L274">
        <v>0.19</v>
      </c>
      <c r="M274">
        <v>20572.38</v>
      </c>
      <c r="N274">
        <v>185151.42</v>
      </c>
      <c r="O274">
        <v>0.15</v>
      </c>
      <c r="P274">
        <v>27772.71</v>
      </c>
      <c r="Q274" t="s">
        <v>47</v>
      </c>
      <c r="R274" t="s">
        <v>48</v>
      </c>
      <c r="S274">
        <v>9</v>
      </c>
      <c r="T274">
        <v>2023</v>
      </c>
      <c r="U274" t="s">
        <v>3073</v>
      </c>
      <c r="V274">
        <v>6</v>
      </c>
      <c r="W274" t="s">
        <v>3103</v>
      </c>
      <c r="X274">
        <v>157378.71000000002</v>
      </c>
      <c r="Y274" t="s">
        <v>3077</v>
      </c>
      <c r="Z274" t="s">
        <v>3063</v>
      </c>
      <c r="AA274" t="s">
        <v>3079</v>
      </c>
    </row>
    <row r="275" spans="1:27" x14ac:dyDescent="0.3">
      <c r="A275" t="s">
        <v>2415</v>
      </c>
      <c r="B275" s="7">
        <v>45301</v>
      </c>
      <c r="C275" t="s">
        <v>63</v>
      </c>
      <c r="D275" t="s">
        <v>41</v>
      </c>
      <c r="E275" t="s">
        <v>42</v>
      </c>
      <c r="F275" t="s">
        <v>23</v>
      </c>
      <c r="G275" t="s">
        <v>92</v>
      </c>
      <c r="H275" t="s">
        <v>93</v>
      </c>
      <c r="I275" t="s">
        <v>816</v>
      </c>
      <c r="J275">
        <v>5</v>
      </c>
      <c r="K275">
        <v>43893</v>
      </c>
      <c r="L275">
        <v>0.16</v>
      </c>
      <c r="M275">
        <v>36870.120000000003</v>
      </c>
      <c r="N275">
        <v>184350.6</v>
      </c>
      <c r="O275">
        <v>0.15</v>
      </c>
      <c r="P275">
        <v>27652.59</v>
      </c>
      <c r="Q275" t="s">
        <v>47</v>
      </c>
      <c r="R275" t="s">
        <v>48</v>
      </c>
      <c r="S275">
        <v>3</v>
      </c>
      <c r="T275">
        <v>2024</v>
      </c>
      <c r="U275" t="s">
        <v>3071</v>
      </c>
      <c r="V275">
        <v>1</v>
      </c>
      <c r="W275" t="s">
        <v>3078</v>
      </c>
      <c r="X275">
        <v>156698.01</v>
      </c>
      <c r="Y275" t="s">
        <v>3067</v>
      </c>
      <c r="Z275" t="s">
        <v>3063</v>
      </c>
      <c r="AA275" t="s">
        <v>3079</v>
      </c>
    </row>
    <row r="276" spans="1:27" x14ac:dyDescent="0.3">
      <c r="A276" t="s">
        <v>2456</v>
      </c>
      <c r="B276" s="7">
        <v>45342</v>
      </c>
      <c r="C276" t="s">
        <v>30</v>
      </c>
      <c r="D276" t="s">
        <v>41</v>
      </c>
      <c r="E276" t="s">
        <v>67</v>
      </c>
      <c r="F276" t="s">
        <v>33</v>
      </c>
      <c r="G276" t="s">
        <v>34</v>
      </c>
      <c r="H276" t="s">
        <v>71</v>
      </c>
      <c r="I276" t="s">
        <v>898</v>
      </c>
      <c r="J276">
        <v>9</v>
      </c>
      <c r="K276">
        <v>652</v>
      </c>
      <c r="L276">
        <v>0.09</v>
      </c>
      <c r="M276">
        <v>593.32000000000005</v>
      </c>
      <c r="N276">
        <v>5339.88</v>
      </c>
      <c r="O276">
        <v>0.4</v>
      </c>
      <c r="P276">
        <v>2135.9499999999998</v>
      </c>
      <c r="Q276" t="s">
        <v>51</v>
      </c>
      <c r="R276" t="s">
        <v>48</v>
      </c>
      <c r="S276">
        <v>9</v>
      </c>
      <c r="T276">
        <v>2024</v>
      </c>
      <c r="U276" t="s">
        <v>3084</v>
      </c>
      <c r="V276">
        <v>2</v>
      </c>
      <c r="W276" t="s">
        <v>3085</v>
      </c>
      <c r="X276">
        <v>3203.9300000000003</v>
      </c>
      <c r="Y276" t="s">
        <v>3077</v>
      </c>
      <c r="Z276" t="s">
        <v>3063</v>
      </c>
      <c r="AA276" t="s">
        <v>3079</v>
      </c>
    </row>
    <row r="277" spans="1:27" x14ac:dyDescent="0.3">
      <c r="A277" t="s">
        <v>2507</v>
      </c>
      <c r="B277" s="7">
        <v>45393</v>
      </c>
      <c r="C277" t="s">
        <v>40</v>
      </c>
      <c r="D277" t="s">
        <v>21</v>
      </c>
      <c r="E277" t="s">
        <v>2040</v>
      </c>
      <c r="F277" t="s">
        <v>43</v>
      </c>
      <c r="G277" t="s">
        <v>57</v>
      </c>
      <c r="H277" t="s">
        <v>183</v>
      </c>
      <c r="I277" t="s">
        <v>999</v>
      </c>
      <c r="J277">
        <v>1</v>
      </c>
      <c r="K277">
        <v>14329</v>
      </c>
      <c r="L277">
        <v>0.25</v>
      </c>
      <c r="M277">
        <v>10746.75</v>
      </c>
      <c r="N277">
        <v>10746.75</v>
      </c>
      <c r="O277">
        <v>0.2</v>
      </c>
      <c r="P277">
        <v>2149.35</v>
      </c>
      <c r="Q277" t="s">
        <v>51</v>
      </c>
      <c r="R277" t="s">
        <v>48</v>
      </c>
      <c r="S277">
        <v>8</v>
      </c>
      <c r="T277">
        <v>2024</v>
      </c>
      <c r="U277" t="s">
        <v>3080</v>
      </c>
      <c r="V277">
        <v>4</v>
      </c>
      <c r="W277" t="s">
        <v>3095</v>
      </c>
      <c r="X277">
        <v>8597.4</v>
      </c>
      <c r="Y277" t="s">
        <v>3077</v>
      </c>
      <c r="Z277" t="s">
        <v>3063</v>
      </c>
      <c r="AA277" t="s">
        <v>3079</v>
      </c>
    </row>
    <row r="278" spans="1:27" x14ac:dyDescent="0.3">
      <c r="A278" t="s">
        <v>2050</v>
      </c>
      <c r="B278" s="7">
        <v>44936</v>
      </c>
      <c r="C278" t="s">
        <v>40</v>
      </c>
      <c r="D278" t="s">
        <v>31</v>
      </c>
      <c r="E278" t="s">
        <v>67</v>
      </c>
      <c r="F278" t="s">
        <v>23</v>
      </c>
      <c r="G278" t="s">
        <v>34</v>
      </c>
      <c r="H278" t="s">
        <v>71</v>
      </c>
      <c r="I278" t="s">
        <v>72</v>
      </c>
      <c r="J278">
        <v>8</v>
      </c>
      <c r="K278">
        <v>752</v>
      </c>
      <c r="L278">
        <v>0.1</v>
      </c>
      <c r="M278">
        <v>676.8</v>
      </c>
      <c r="N278">
        <v>5414.4</v>
      </c>
      <c r="O278">
        <v>0.4</v>
      </c>
      <c r="P278">
        <v>2165.7600000000002</v>
      </c>
      <c r="Q278" t="s">
        <v>37</v>
      </c>
      <c r="R278" t="s">
        <v>48</v>
      </c>
      <c r="S278">
        <v>5</v>
      </c>
      <c r="T278">
        <v>2023</v>
      </c>
      <c r="U278" t="s">
        <v>3071</v>
      </c>
      <c r="V278">
        <v>1</v>
      </c>
      <c r="W278" t="s">
        <v>3102</v>
      </c>
      <c r="X278">
        <v>3248.6399999999994</v>
      </c>
      <c r="Y278" t="s">
        <v>3062</v>
      </c>
      <c r="Z278" t="s">
        <v>3063</v>
      </c>
      <c r="AA278" t="s">
        <v>3079</v>
      </c>
    </row>
    <row r="279" spans="1:27" x14ac:dyDescent="0.3">
      <c r="A279" t="s">
        <v>2680</v>
      </c>
      <c r="B279" s="7">
        <v>45566</v>
      </c>
      <c r="C279" t="s">
        <v>63</v>
      </c>
      <c r="D279" t="s">
        <v>56</v>
      </c>
      <c r="E279" t="s">
        <v>42</v>
      </c>
      <c r="F279" t="s">
        <v>68</v>
      </c>
      <c r="G279" t="s">
        <v>34</v>
      </c>
      <c r="H279" t="s">
        <v>104</v>
      </c>
      <c r="I279" t="s">
        <v>1340</v>
      </c>
      <c r="J279">
        <v>9</v>
      </c>
      <c r="K279">
        <v>635</v>
      </c>
      <c r="L279">
        <v>0.05</v>
      </c>
      <c r="M279">
        <v>603.25</v>
      </c>
      <c r="N279">
        <v>5429.25</v>
      </c>
      <c r="O279">
        <v>0.4</v>
      </c>
      <c r="P279">
        <v>2171.6999999999998</v>
      </c>
      <c r="Q279" t="s">
        <v>51</v>
      </c>
      <c r="R279" t="s">
        <v>48</v>
      </c>
      <c r="S279">
        <v>5</v>
      </c>
      <c r="T279">
        <v>2024</v>
      </c>
      <c r="U279" t="s">
        <v>3065</v>
      </c>
      <c r="V279">
        <v>10</v>
      </c>
      <c r="W279" t="s">
        <v>3066</v>
      </c>
      <c r="X279">
        <v>3257.55</v>
      </c>
      <c r="Y279" t="s">
        <v>3062</v>
      </c>
      <c r="Z279" t="s">
        <v>3063</v>
      </c>
      <c r="AA279" t="s">
        <v>3079</v>
      </c>
    </row>
    <row r="280" spans="1:27" x14ac:dyDescent="0.3">
      <c r="A280" t="s">
        <v>2082</v>
      </c>
      <c r="B280" s="7">
        <v>44968</v>
      </c>
      <c r="C280" t="s">
        <v>30</v>
      </c>
      <c r="D280" t="s">
        <v>56</v>
      </c>
      <c r="E280" t="s">
        <v>42</v>
      </c>
      <c r="F280" t="s">
        <v>97</v>
      </c>
      <c r="G280" t="s">
        <v>92</v>
      </c>
      <c r="H280" t="s">
        <v>109</v>
      </c>
      <c r="I280" t="s">
        <v>150</v>
      </c>
      <c r="J280">
        <v>9</v>
      </c>
      <c r="K280">
        <v>26082</v>
      </c>
      <c r="L280">
        <v>0.23</v>
      </c>
      <c r="M280">
        <v>20083.14</v>
      </c>
      <c r="N280">
        <v>180748.26</v>
      </c>
      <c r="O280">
        <v>0.15</v>
      </c>
      <c r="P280">
        <v>27112.240000000002</v>
      </c>
      <c r="Q280" t="s">
        <v>47</v>
      </c>
      <c r="R280" t="s">
        <v>38</v>
      </c>
      <c r="S280">
        <v>8</v>
      </c>
      <c r="T280">
        <v>2023</v>
      </c>
      <c r="U280" t="s">
        <v>3084</v>
      </c>
      <c r="V280">
        <v>2</v>
      </c>
      <c r="W280" t="s">
        <v>3108</v>
      </c>
      <c r="X280">
        <v>153636.02000000002</v>
      </c>
      <c r="Y280" t="s">
        <v>3077</v>
      </c>
      <c r="Z280" t="s">
        <v>3063</v>
      </c>
      <c r="AA280" t="s">
        <v>3079</v>
      </c>
    </row>
    <row r="281" spans="1:27" x14ac:dyDescent="0.3">
      <c r="A281" t="s">
        <v>2562</v>
      </c>
      <c r="B281" s="7">
        <v>45448</v>
      </c>
      <c r="C281" t="s">
        <v>20</v>
      </c>
      <c r="D281" t="s">
        <v>56</v>
      </c>
      <c r="E281" t="s">
        <v>2040</v>
      </c>
      <c r="F281" t="s">
        <v>43</v>
      </c>
      <c r="G281" t="s">
        <v>92</v>
      </c>
      <c r="H281" t="s">
        <v>93</v>
      </c>
      <c r="I281" t="s">
        <v>1107</v>
      </c>
      <c r="J281">
        <v>3</v>
      </c>
      <c r="K281">
        <v>65677</v>
      </c>
      <c r="L281">
        <v>0.09</v>
      </c>
      <c r="M281">
        <v>59766.07</v>
      </c>
      <c r="N281">
        <v>179298.21</v>
      </c>
      <c r="O281">
        <v>0.15</v>
      </c>
      <c r="P281">
        <v>26894.73</v>
      </c>
      <c r="Q281" t="s">
        <v>27</v>
      </c>
      <c r="R281" t="s">
        <v>48</v>
      </c>
      <c r="S281">
        <v>2</v>
      </c>
      <c r="T281">
        <v>2024</v>
      </c>
      <c r="U281" t="s">
        <v>3073</v>
      </c>
      <c r="V281">
        <v>6</v>
      </c>
      <c r="W281" t="s">
        <v>3074</v>
      </c>
      <c r="X281">
        <v>152403.47999999998</v>
      </c>
      <c r="Y281" t="s">
        <v>3067</v>
      </c>
      <c r="Z281" t="s">
        <v>3063</v>
      </c>
      <c r="AA281" t="s">
        <v>3079</v>
      </c>
    </row>
    <row r="282" spans="1:27" x14ac:dyDescent="0.3">
      <c r="A282" t="s">
        <v>2340</v>
      </c>
      <c r="B282" s="7">
        <v>45226</v>
      </c>
      <c r="C282" t="s">
        <v>96</v>
      </c>
      <c r="D282" t="s">
        <v>41</v>
      </c>
      <c r="E282" t="s">
        <v>42</v>
      </c>
      <c r="F282" t="s">
        <v>103</v>
      </c>
      <c r="G282" t="s">
        <v>92</v>
      </c>
      <c r="H282" t="s">
        <v>243</v>
      </c>
      <c r="I282" t="s">
        <v>669</v>
      </c>
      <c r="J282">
        <v>3</v>
      </c>
      <c r="K282">
        <v>74157</v>
      </c>
      <c r="L282">
        <v>0.2</v>
      </c>
      <c r="M282">
        <v>59325.599999999999</v>
      </c>
      <c r="N282">
        <v>177976.8</v>
      </c>
      <c r="O282">
        <v>0.15</v>
      </c>
      <c r="P282">
        <v>26696.52</v>
      </c>
      <c r="Q282" t="s">
        <v>27</v>
      </c>
      <c r="R282" t="s">
        <v>48</v>
      </c>
      <c r="S282">
        <v>3</v>
      </c>
      <c r="T282">
        <v>2023</v>
      </c>
      <c r="U282" t="s">
        <v>3065</v>
      </c>
      <c r="V282">
        <v>10</v>
      </c>
      <c r="W282" t="s">
        <v>3104</v>
      </c>
      <c r="X282">
        <v>151280.28</v>
      </c>
      <c r="Y282" t="s">
        <v>3067</v>
      </c>
      <c r="Z282" t="s">
        <v>3063</v>
      </c>
      <c r="AA282" t="s">
        <v>3079</v>
      </c>
    </row>
    <row r="283" spans="1:27" x14ac:dyDescent="0.3">
      <c r="A283" t="s">
        <v>2651</v>
      </c>
      <c r="B283" s="7">
        <v>45537</v>
      </c>
      <c r="C283" t="s">
        <v>40</v>
      </c>
      <c r="D283" t="s">
        <v>21</v>
      </c>
      <c r="E283" t="s">
        <v>2040</v>
      </c>
      <c r="F283" t="s">
        <v>33</v>
      </c>
      <c r="G283" t="s">
        <v>92</v>
      </c>
      <c r="H283" t="s">
        <v>109</v>
      </c>
      <c r="I283" t="s">
        <v>1282</v>
      </c>
      <c r="J283">
        <v>1</v>
      </c>
      <c r="K283">
        <v>16172</v>
      </c>
      <c r="L283">
        <v>0.09</v>
      </c>
      <c r="M283">
        <v>14716.52</v>
      </c>
      <c r="N283">
        <v>14716.52</v>
      </c>
      <c r="O283">
        <v>0.15</v>
      </c>
      <c r="P283">
        <v>2207.48</v>
      </c>
      <c r="Q283" t="s">
        <v>47</v>
      </c>
      <c r="R283" t="s">
        <v>48</v>
      </c>
      <c r="S283">
        <v>9</v>
      </c>
      <c r="T283">
        <v>2024</v>
      </c>
      <c r="U283" t="s">
        <v>3097</v>
      </c>
      <c r="V283">
        <v>9</v>
      </c>
      <c r="W283" t="s">
        <v>3098</v>
      </c>
      <c r="X283">
        <v>12509.04</v>
      </c>
      <c r="Y283" t="s">
        <v>3077</v>
      </c>
      <c r="Z283" t="s">
        <v>3063</v>
      </c>
      <c r="AA283" t="s">
        <v>3079</v>
      </c>
    </row>
    <row r="284" spans="1:27" x14ac:dyDescent="0.3">
      <c r="A284" t="s">
        <v>2074</v>
      </c>
      <c r="B284" s="7">
        <v>44960</v>
      </c>
      <c r="C284" t="s">
        <v>63</v>
      </c>
      <c r="D284" t="s">
        <v>41</v>
      </c>
      <c r="E284" t="s">
        <v>42</v>
      </c>
      <c r="F284" t="s">
        <v>68</v>
      </c>
      <c r="G284" t="s">
        <v>92</v>
      </c>
      <c r="H284" t="s">
        <v>109</v>
      </c>
      <c r="I284" t="s">
        <v>132</v>
      </c>
      <c r="J284">
        <v>3</v>
      </c>
      <c r="K284">
        <v>62579</v>
      </c>
      <c r="L284">
        <v>7.0000000000000007E-2</v>
      </c>
      <c r="M284">
        <v>58198.47</v>
      </c>
      <c r="N284">
        <v>174595.41</v>
      </c>
      <c r="O284">
        <v>0.15</v>
      </c>
      <c r="P284">
        <v>26189.31</v>
      </c>
      <c r="Q284" t="s">
        <v>37</v>
      </c>
      <c r="R284" t="s">
        <v>48</v>
      </c>
      <c r="S284">
        <v>3</v>
      </c>
      <c r="T284">
        <v>2023</v>
      </c>
      <c r="U284" t="s">
        <v>3084</v>
      </c>
      <c r="V284">
        <v>2</v>
      </c>
      <c r="W284" t="s">
        <v>3108</v>
      </c>
      <c r="X284">
        <v>148406.1</v>
      </c>
      <c r="Y284" t="s">
        <v>3067</v>
      </c>
      <c r="Z284" t="s">
        <v>3063</v>
      </c>
      <c r="AA284" t="s">
        <v>3079</v>
      </c>
    </row>
    <row r="285" spans="1:27" x14ac:dyDescent="0.3">
      <c r="A285" t="s">
        <v>2521</v>
      </c>
      <c r="B285" s="7">
        <v>45407</v>
      </c>
      <c r="C285" t="s">
        <v>96</v>
      </c>
      <c r="D285" t="s">
        <v>56</v>
      </c>
      <c r="E285" t="s">
        <v>2042</v>
      </c>
      <c r="F285" t="s">
        <v>33</v>
      </c>
      <c r="G285" t="s">
        <v>92</v>
      </c>
      <c r="H285" t="s">
        <v>178</v>
      </c>
      <c r="I285" t="s">
        <v>1026</v>
      </c>
      <c r="J285">
        <v>6</v>
      </c>
      <c r="K285">
        <v>34226</v>
      </c>
      <c r="L285">
        <v>0.16</v>
      </c>
      <c r="M285">
        <v>28749.84</v>
      </c>
      <c r="N285">
        <v>172499.04</v>
      </c>
      <c r="O285">
        <v>0.15</v>
      </c>
      <c r="P285">
        <v>25874.86</v>
      </c>
      <c r="Q285" t="s">
        <v>47</v>
      </c>
      <c r="R285" t="s">
        <v>48</v>
      </c>
      <c r="S285">
        <v>2</v>
      </c>
      <c r="T285">
        <v>2024</v>
      </c>
      <c r="U285" t="s">
        <v>3080</v>
      </c>
      <c r="V285">
        <v>4</v>
      </c>
      <c r="W285" t="s">
        <v>3095</v>
      </c>
      <c r="X285">
        <v>146624.18</v>
      </c>
      <c r="Y285" t="s">
        <v>3067</v>
      </c>
      <c r="Z285" t="s">
        <v>3063</v>
      </c>
      <c r="AA285" t="s">
        <v>3079</v>
      </c>
    </row>
    <row r="286" spans="1:27" x14ac:dyDescent="0.3">
      <c r="A286" t="s">
        <v>2569</v>
      </c>
      <c r="B286" s="7">
        <v>45455</v>
      </c>
      <c r="C286" t="s">
        <v>55</v>
      </c>
      <c r="D286" t="s">
        <v>56</v>
      </c>
      <c r="E286" t="s">
        <v>2042</v>
      </c>
      <c r="F286" t="s">
        <v>33</v>
      </c>
      <c r="G286" t="s">
        <v>34</v>
      </c>
      <c r="H286" t="s">
        <v>35</v>
      </c>
      <c r="I286" t="s">
        <v>1121</v>
      </c>
      <c r="J286">
        <v>6</v>
      </c>
      <c r="K286">
        <v>1182</v>
      </c>
      <c r="L286">
        <v>0.22</v>
      </c>
      <c r="M286">
        <v>921.96</v>
      </c>
      <c r="N286">
        <v>5531.76</v>
      </c>
      <c r="O286">
        <v>0.4</v>
      </c>
      <c r="P286">
        <v>2212.6999999999998</v>
      </c>
      <c r="Q286" t="s">
        <v>27</v>
      </c>
      <c r="R286" t="s">
        <v>48</v>
      </c>
      <c r="S286">
        <v>9</v>
      </c>
      <c r="T286">
        <v>2024</v>
      </c>
      <c r="U286" t="s">
        <v>3073</v>
      </c>
      <c r="V286">
        <v>6</v>
      </c>
      <c r="W286" t="s">
        <v>3074</v>
      </c>
      <c r="X286">
        <v>3319.0600000000004</v>
      </c>
      <c r="Y286" t="s">
        <v>3077</v>
      </c>
      <c r="Z286" t="s">
        <v>3063</v>
      </c>
      <c r="AA286" t="s">
        <v>3079</v>
      </c>
    </row>
    <row r="287" spans="1:27" x14ac:dyDescent="0.3">
      <c r="A287" t="s">
        <v>2818</v>
      </c>
      <c r="B287" s="7">
        <v>45704</v>
      </c>
      <c r="C287" t="s">
        <v>55</v>
      </c>
      <c r="D287" t="s">
        <v>21</v>
      </c>
      <c r="E287" t="s">
        <v>67</v>
      </c>
      <c r="F287" t="s">
        <v>97</v>
      </c>
      <c r="G287" t="s">
        <v>34</v>
      </c>
      <c r="H287" t="s">
        <v>141</v>
      </c>
      <c r="I287" t="s">
        <v>955</v>
      </c>
      <c r="J287">
        <v>6</v>
      </c>
      <c r="K287">
        <v>1140</v>
      </c>
      <c r="L287">
        <v>0.19</v>
      </c>
      <c r="M287">
        <v>923.4</v>
      </c>
      <c r="N287">
        <v>5540.4</v>
      </c>
      <c r="O287">
        <v>0.4</v>
      </c>
      <c r="P287">
        <v>2216.16</v>
      </c>
      <c r="Q287" t="s">
        <v>51</v>
      </c>
      <c r="R287" t="s">
        <v>48</v>
      </c>
      <c r="S287">
        <v>9</v>
      </c>
      <c r="T287">
        <v>2025</v>
      </c>
      <c r="U287" t="s">
        <v>3084</v>
      </c>
      <c r="V287">
        <v>2</v>
      </c>
      <c r="W287" t="s">
        <v>3090</v>
      </c>
      <c r="X287">
        <v>3324.24</v>
      </c>
      <c r="Y287" t="s">
        <v>3077</v>
      </c>
      <c r="Z287" t="s">
        <v>3063</v>
      </c>
      <c r="AA287" t="s">
        <v>3079</v>
      </c>
    </row>
    <row r="288" spans="1:27" x14ac:dyDescent="0.3">
      <c r="A288" t="s">
        <v>2553</v>
      </c>
      <c r="B288" s="7">
        <v>45439</v>
      </c>
      <c r="C288" t="s">
        <v>63</v>
      </c>
      <c r="D288" t="s">
        <v>41</v>
      </c>
      <c r="E288" t="s">
        <v>2040</v>
      </c>
      <c r="F288" t="s">
        <v>97</v>
      </c>
      <c r="G288" t="s">
        <v>92</v>
      </c>
      <c r="H288" t="s">
        <v>178</v>
      </c>
      <c r="I288" t="s">
        <v>1089</v>
      </c>
      <c r="J288">
        <v>7</v>
      </c>
      <c r="K288">
        <v>28268</v>
      </c>
      <c r="L288">
        <v>0.13</v>
      </c>
      <c r="M288">
        <v>24593.16</v>
      </c>
      <c r="N288">
        <v>172152.12</v>
      </c>
      <c r="O288">
        <v>0.15</v>
      </c>
      <c r="P288">
        <v>25822.82</v>
      </c>
      <c r="Q288" t="s">
        <v>47</v>
      </c>
      <c r="R288" t="s">
        <v>48</v>
      </c>
      <c r="S288">
        <v>6</v>
      </c>
      <c r="T288">
        <v>2024</v>
      </c>
      <c r="U288" t="s">
        <v>3091</v>
      </c>
      <c r="V288">
        <v>5</v>
      </c>
      <c r="W288" t="s">
        <v>3105</v>
      </c>
      <c r="X288">
        <v>146329.29999999999</v>
      </c>
      <c r="Y288" t="s">
        <v>3062</v>
      </c>
      <c r="Z288" t="s">
        <v>3063</v>
      </c>
      <c r="AA288" t="s">
        <v>3079</v>
      </c>
    </row>
    <row r="289" spans="1:27" x14ac:dyDescent="0.3">
      <c r="A289" t="s">
        <v>2717</v>
      </c>
      <c r="B289" s="7">
        <v>45603</v>
      </c>
      <c r="C289" t="s">
        <v>63</v>
      </c>
      <c r="D289" t="s">
        <v>21</v>
      </c>
      <c r="E289" t="s">
        <v>2042</v>
      </c>
      <c r="F289" t="s">
        <v>97</v>
      </c>
      <c r="G289" t="s">
        <v>34</v>
      </c>
      <c r="H289" t="s">
        <v>104</v>
      </c>
      <c r="I289" t="s">
        <v>1410</v>
      </c>
      <c r="J289">
        <v>5</v>
      </c>
      <c r="K289">
        <v>1449</v>
      </c>
      <c r="L289">
        <v>0.23</v>
      </c>
      <c r="M289">
        <v>1115.73</v>
      </c>
      <c r="N289">
        <v>5578.65</v>
      </c>
      <c r="O289">
        <v>0.4</v>
      </c>
      <c r="P289">
        <v>2231.46</v>
      </c>
      <c r="Q289" t="s">
        <v>27</v>
      </c>
      <c r="R289" t="s">
        <v>48</v>
      </c>
      <c r="S289">
        <v>8</v>
      </c>
      <c r="T289">
        <v>2024</v>
      </c>
      <c r="U289" t="s">
        <v>3060</v>
      </c>
      <c r="V289">
        <v>11</v>
      </c>
      <c r="W289" t="s">
        <v>3100</v>
      </c>
      <c r="X289">
        <v>3347.1899999999996</v>
      </c>
      <c r="Y289" t="s">
        <v>3077</v>
      </c>
      <c r="Z289" t="s">
        <v>3063</v>
      </c>
      <c r="AA289" t="s">
        <v>3079</v>
      </c>
    </row>
    <row r="290" spans="1:27" x14ac:dyDescent="0.3">
      <c r="A290" t="s">
        <v>3012</v>
      </c>
      <c r="B290" s="7">
        <v>45898</v>
      </c>
      <c r="C290" t="s">
        <v>96</v>
      </c>
      <c r="D290" t="s">
        <v>21</v>
      </c>
      <c r="E290" t="s">
        <v>42</v>
      </c>
      <c r="F290" t="s">
        <v>103</v>
      </c>
      <c r="G290" t="s">
        <v>34</v>
      </c>
      <c r="H290" t="s">
        <v>104</v>
      </c>
      <c r="I290" t="s">
        <v>1983</v>
      </c>
      <c r="J290">
        <v>5</v>
      </c>
      <c r="K290">
        <v>1249</v>
      </c>
      <c r="L290">
        <v>0.1</v>
      </c>
      <c r="M290">
        <v>1124.0999999999999</v>
      </c>
      <c r="N290">
        <v>5620.5</v>
      </c>
      <c r="O290">
        <v>0.4</v>
      </c>
      <c r="P290">
        <v>2248.1999999999998</v>
      </c>
      <c r="Q290" t="s">
        <v>47</v>
      </c>
      <c r="R290" t="s">
        <v>38</v>
      </c>
      <c r="S290">
        <v>5</v>
      </c>
      <c r="T290">
        <v>2025</v>
      </c>
      <c r="U290" t="s">
        <v>3075</v>
      </c>
      <c r="V290">
        <v>8</v>
      </c>
      <c r="W290" t="s">
        <v>3076</v>
      </c>
      <c r="X290">
        <v>3372.3</v>
      </c>
      <c r="Y290" t="s">
        <v>3062</v>
      </c>
      <c r="Z290" t="s">
        <v>3063</v>
      </c>
      <c r="AA290" t="s">
        <v>3079</v>
      </c>
    </row>
    <row r="291" spans="1:27" x14ac:dyDescent="0.3">
      <c r="A291" t="s">
        <v>2977</v>
      </c>
      <c r="B291" s="7">
        <v>45863</v>
      </c>
      <c r="C291" t="s">
        <v>55</v>
      </c>
      <c r="D291" t="s">
        <v>21</v>
      </c>
      <c r="E291" t="s">
        <v>2040</v>
      </c>
      <c r="F291" t="s">
        <v>68</v>
      </c>
      <c r="G291" t="s">
        <v>92</v>
      </c>
      <c r="H291" t="s">
        <v>178</v>
      </c>
      <c r="I291" t="s">
        <v>1917</v>
      </c>
      <c r="J291">
        <v>3</v>
      </c>
      <c r="K291">
        <v>60669</v>
      </c>
      <c r="L291">
        <v>0.09</v>
      </c>
      <c r="M291">
        <v>55208.79</v>
      </c>
      <c r="N291">
        <v>165626.37</v>
      </c>
      <c r="O291">
        <v>0.15</v>
      </c>
      <c r="P291">
        <v>24843.96</v>
      </c>
      <c r="Q291" t="s">
        <v>47</v>
      </c>
      <c r="R291" t="s">
        <v>48</v>
      </c>
      <c r="S291">
        <v>9</v>
      </c>
      <c r="T291">
        <v>2025</v>
      </c>
      <c r="U291" t="s">
        <v>3088</v>
      </c>
      <c r="V291">
        <v>7</v>
      </c>
      <c r="W291" t="s">
        <v>3094</v>
      </c>
      <c r="X291">
        <v>140782.41</v>
      </c>
      <c r="Y291" t="s">
        <v>3077</v>
      </c>
      <c r="Z291" t="s">
        <v>3063</v>
      </c>
      <c r="AA291" t="s">
        <v>3079</v>
      </c>
    </row>
    <row r="292" spans="1:27" x14ac:dyDescent="0.3">
      <c r="A292" t="s">
        <v>2463</v>
      </c>
      <c r="B292" s="7">
        <v>45349</v>
      </c>
      <c r="C292" t="s">
        <v>96</v>
      </c>
      <c r="D292" t="s">
        <v>21</v>
      </c>
      <c r="E292" t="s">
        <v>2042</v>
      </c>
      <c r="F292" t="s">
        <v>33</v>
      </c>
      <c r="G292" t="s">
        <v>57</v>
      </c>
      <c r="H292" t="s">
        <v>183</v>
      </c>
      <c r="I292" t="s">
        <v>912</v>
      </c>
      <c r="J292">
        <v>5</v>
      </c>
      <c r="K292">
        <v>2632</v>
      </c>
      <c r="L292">
        <v>0.14000000000000001</v>
      </c>
      <c r="M292">
        <v>2263.52</v>
      </c>
      <c r="N292">
        <v>11317.6</v>
      </c>
      <c r="O292">
        <v>0.2</v>
      </c>
      <c r="P292">
        <v>2263.52</v>
      </c>
      <c r="Q292" t="s">
        <v>47</v>
      </c>
      <c r="R292" t="s">
        <v>38</v>
      </c>
      <c r="S292">
        <v>9</v>
      </c>
      <c r="T292">
        <v>2024</v>
      </c>
      <c r="U292" t="s">
        <v>3084</v>
      </c>
      <c r="V292">
        <v>2</v>
      </c>
      <c r="W292" t="s">
        <v>3085</v>
      </c>
      <c r="X292">
        <v>9054.08</v>
      </c>
      <c r="Y292" t="s">
        <v>3077</v>
      </c>
      <c r="Z292" t="s">
        <v>3063</v>
      </c>
      <c r="AA292" t="s">
        <v>3079</v>
      </c>
    </row>
    <row r="293" spans="1:27" x14ac:dyDescent="0.3">
      <c r="A293" t="s">
        <v>2682</v>
      </c>
      <c r="B293" s="7">
        <v>45568</v>
      </c>
      <c r="C293" t="s">
        <v>55</v>
      </c>
      <c r="D293" t="s">
        <v>56</v>
      </c>
      <c r="E293" t="s">
        <v>42</v>
      </c>
      <c r="F293" t="s">
        <v>23</v>
      </c>
      <c r="G293" t="s">
        <v>34</v>
      </c>
      <c r="H293" t="s">
        <v>71</v>
      </c>
      <c r="I293" t="s">
        <v>1344</v>
      </c>
      <c r="J293">
        <v>5</v>
      </c>
      <c r="K293">
        <v>1434</v>
      </c>
      <c r="L293">
        <v>0.21</v>
      </c>
      <c r="M293">
        <v>1132.8599999999999</v>
      </c>
      <c r="N293">
        <v>5664.3</v>
      </c>
      <c r="O293">
        <v>0.4</v>
      </c>
      <c r="P293">
        <v>2265.7199999999998</v>
      </c>
      <c r="Q293" t="s">
        <v>47</v>
      </c>
      <c r="R293" t="s">
        <v>48</v>
      </c>
      <c r="S293">
        <v>1</v>
      </c>
      <c r="T293">
        <v>2024</v>
      </c>
      <c r="U293" t="s">
        <v>3065</v>
      </c>
      <c r="V293">
        <v>10</v>
      </c>
      <c r="W293" t="s">
        <v>3066</v>
      </c>
      <c r="X293">
        <v>3398.5800000000004</v>
      </c>
      <c r="Y293" t="s">
        <v>3067</v>
      </c>
      <c r="Z293" t="s">
        <v>3063</v>
      </c>
      <c r="AA293" t="s">
        <v>3079</v>
      </c>
    </row>
    <row r="294" spans="1:27" x14ac:dyDescent="0.3">
      <c r="A294" t="s">
        <v>2353</v>
      </c>
      <c r="B294" s="7">
        <v>45239</v>
      </c>
      <c r="C294" t="s">
        <v>96</v>
      </c>
      <c r="D294" t="s">
        <v>31</v>
      </c>
      <c r="E294" t="s">
        <v>2042</v>
      </c>
      <c r="F294" t="s">
        <v>103</v>
      </c>
      <c r="G294" t="s">
        <v>57</v>
      </c>
      <c r="H294" t="s">
        <v>81</v>
      </c>
      <c r="I294" t="s">
        <v>694</v>
      </c>
      <c r="J294">
        <v>8</v>
      </c>
      <c r="K294">
        <v>17600</v>
      </c>
      <c r="L294">
        <v>0.12</v>
      </c>
      <c r="M294">
        <v>15488</v>
      </c>
      <c r="N294">
        <v>123904</v>
      </c>
      <c r="O294">
        <v>0.2</v>
      </c>
      <c r="P294">
        <v>24780.799999999999</v>
      </c>
      <c r="Q294" t="s">
        <v>27</v>
      </c>
      <c r="R294" t="s">
        <v>38</v>
      </c>
      <c r="S294">
        <v>1</v>
      </c>
      <c r="T294">
        <v>2023</v>
      </c>
      <c r="U294" t="s">
        <v>3060</v>
      </c>
      <c r="V294">
        <v>11</v>
      </c>
      <c r="W294" t="s">
        <v>3061</v>
      </c>
      <c r="X294">
        <v>99123.199999999997</v>
      </c>
      <c r="Y294" t="s">
        <v>3067</v>
      </c>
      <c r="Z294" t="s">
        <v>3063</v>
      </c>
      <c r="AA294" t="s">
        <v>3079</v>
      </c>
    </row>
    <row r="295" spans="1:27" x14ac:dyDescent="0.3">
      <c r="A295" t="s">
        <v>2594</v>
      </c>
      <c r="B295" s="7">
        <v>45480</v>
      </c>
      <c r="C295" t="s">
        <v>96</v>
      </c>
      <c r="D295" t="s">
        <v>21</v>
      </c>
      <c r="E295" t="s">
        <v>42</v>
      </c>
      <c r="F295" t="s">
        <v>23</v>
      </c>
      <c r="G295" t="s">
        <v>34</v>
      </c>
      <c r="H295" t="s">
        <v>35</v>
      </c>
      <c r="I295" t="s">
        <v>1170</v>
      </c>
      <c r="J295">
        <v>6</v>
      </c>
      <c r="K295">
        <v>967</v>
      </c>
      <c r="L295">
        <v>0.02</v>
      </c>
      <c r="M295">
        <v>947.66</v>
      </c>
      <c r="N295">
        <v>5685.96</v>
      </c>
      <c r="O295">
        <v>0.4</v>
      </c>
      <c r="P295">
        <v>2274.38</v>
      </c>
      <c r="Q295" t="s">
        <v>47</v>
      </c>
      <c r="R295" t="s">
        <v>48</v>
      </c>
      <c r="S295">
        <v>7</v>
      </c>
      <c r="T295">
        <v>2024</v>
      </c>
      <c r="U295" t="s">
        <v>3088</v>
      </c>
      <c r="V295">
        <v>7</v>
      </c>
      <c r="W295" t="s">
        <v>3089</v>
      </c>
      <c r="X295">
        <v>3411.58</v>
      </c>
      <c r="Y295" t="s">
        <v>3062</v>
      </c>
      <c r="Z295" t="s">
        <v>3063</v>
      </c>
      <c r="AA295" t="s">
        <v>3079</v>
      </c>
    </row>
    <row r="296" spans="1:27" x14ac:dyDescent="0.3">
      <c r="A296" t="s">
        <v>2534</v>
      </c>
      <c r="B296" s="7">
        <v>45420</v>
      </c>
      <c r="C296" t="s">
        <v>30</v>
      </c>
      <c r="D296" t="s">
        <v>31</v>
      </c>
      <c r="E296" t="s">
        <v>67</v>
      </c>
      <c r="F296" t="s">
        <v>23</v>
      </c>
      <c r="G296" t="s">
        <v>92</v>
      </c>
      <c r="H296" t="s">
        <v>93</v>
      </c>
      <c r="I296" t="s">
        <v>1052</v>
      </c>
      <c r="J296">
        <v>8</v>
      </c>
      <c r="K296">
        <v>24716</v>
      </c>
      <c r="L296">
        <v>0.17</v>
      </c>
      <c r="M296">
        <v>20514.28</v>
      </c>
      <c r="N296">
        <v>164114.23999999999</v>
      </c>
      <c r="O296">
        <v>0.15</v>
      </c>
      <c r="P296">
        <v>24617.14</v>
      </c>
      <c r="Q296" t="s">
        <v>27</v>
      </c>
      <c r="R296" t="s">
        <v>48</v>
      </c>
      <c r="S296">
        <v>9</v>
      </c>
      <c r="T296">
        <v>2024</v>
      </c>
      <c r="U296" t="s">
        <v>3091</v>
      </c>
      <c r="V296">
        <v>5</v>
      </c>
      <c r="W296" t="s">
        <v>3105</v>
      </c>
      <c r="X296">
        <v>139497.09999999998</v>
      </c>
      <c r="Y296" t="s">
        <v>3077</v>
      </c>
      <c r="Z296" t="s">
        <v>3063</v>
      </c>
      <c r="AA296" t="s">
        <v>3079</v>
      </c>
    </row>
    <row r="297" spans="1:27" x14ac:dyDescent="0.3">
      <c r="A297" t="s">
        <v>2432</v>
      </c>
      <c r="B297" s="7">
        <v>45318</v>
      </c>
      <c r="C297" t="s">
        <v>55</v>
      </c>
      <c r="D297" t="s">
        <v>21</v>
      </c>
      <c r="E297" t="s">
        <v>42</v>
      </c>
      <c r="F297" t="s">
        <v>23</v>
      </c>
      <c r="G297" t="s">
        <v>34</v>
      </c>
      <c r="H297" t="s">
        <v>71</v>
      </c>
      <c r="I297" t="s">
        <v>850</v>
      </c>
      <c r="J297">
        <v>6</v>
      </c>
      <c r="K297">
        <v>1155</v>
      </c>
      <c r="L297">
        <v>0.17</v>
      </c>
      <c r="M297">
        <v>958.65</v>
      </c>
      <c r="N297">
        <v>5751.9</v>
      </c>
      <c r="O297">
        <v>0.4</v>
      </c>
      <c r="P297">
        <v>2300.7600000000002</v>
      </c>
      <c r="Q297" t="s">
        <v>51</v>
      </c>
      <c r="R297" t="s">
        <v>48</v>
      </c>
      <c r="S297">
        <v>8</v>
      </c>
      <c r="T297">
        <v>2024</v>
      </c>
      <c r="U297" t="s">
        <v>3071</v>
      </c>
      <c r="V297">
        <v>1</v>
      </c>
      <c r="W297" t="s">
        <v>3078</v>
      </c>
      <c r="X297">
        <v>3451.1399999999994</v>
      </c>
      <c r="Y297" t="s">
        <v>3077</v>
      </c>
      <c r="Z297" t="s">
        <v>3063</v>
      </c>
      <c r="AA297" t="s">
        <v>3079</v>
      </c>
    </row>
    <row r="298" spans="1:27" x14ac:dyDescent="0.3">
      <c r="A298" t="s">
        <v>2691</v>
      </c>
      <c r="B298" s="7">
        <v>45577</v>
      </c>
      <c r="C298" t="s">
        <v>96</v>
      </c>
      <c r="D298" t="s">
        <v>31</v>
      </c>
      <c r="E298" t="s">
        <v>2042</v>
      </c>
      <c r="F298" t="s">
        <v>33</v>
      </c>
      <c r="G298" t="s">
        <v>57</v>
      </c>
      <c r="H298" t="s">
        <v>58</v>
      </c>
      <c r="I298" t="s">
        <v>1361</v>
      </c>
      <c r="J298">
        <v>1</v>
      </c>
      <c r="K298">
        <v>11765</v>
      </c>
      <c r="L298">
        <v>0.02</v>
      </c>
      <c r="M298">
        <v>11529.7</v>
      </c>
      <c r="N298">
        <v>11529.7</v>
      </c>
      <c r="O298">
        <v>0.2</v>
      </c>
      <c r="P298">
        <v>2305.94</v>
      </c>
      <c r="Q298" t="s">
        <v>37</v>
      </c>
      <c r="R298" t="s">
        <v>48</v>
      </c>
      <c r="S298">
        <v>6</v>
      </c>
      <c r="T298">
        <v>2024</v>
      </c>
      <c r="U298" t="s">
        <v>3065</v>
      </c>
      <c r="V298">
        <v>10</v>
      </c>
      <c r="W298" t="s">
        <v>3066</v>
      </c>
      <c r="X298">
        <v>9223.76</v>
      </c>
      <c r="Y298" t="s">
        <v>3062</v>
      </c>
      <c r="Z298" t="s">
        <v>3063</v>
      </c>
      <c r="AA298" t="s">
        <v>3079</v>
      </c>
    </row>
    <row r="299" spans="1:27" x14ac:dyDescent="0.3">
      <c r="A299" t="s">
        <v>2398</v>
      </c>
      <c r="B299" s="7">
        <v>45284</v>
      </c>
      <c r="C299" t="s">
        <v>40</v>
      </c>
      <c r="D299" t="s">
        <v>31</v>
      </c>
      <c r="E299" t="s">
        <v>2042</v>
      </c>
      <c r="F299" t="s">
        <v>33</v>
      </c>
      <c r="G299" t="s">
        <v>34</v>
      </c>
      <c r="H299" t="s">
        <v>71</v>
      </c>
      <c r="I299" t="s">
        <v>782</v>
      </c>
      <c r="J299">
        <v>6</v>
      </c>
      <c r="K299">
        <v>1187</v>
      </c>
      <c r="L299">
        <v>0.19</v>
      </c>
      <c r="M299">
        <v>961.47</v>
      </c>
      <c r="N299">
        <v>5768.82</v>
      </c>
      <c r="O299">
        <v>0.4</v>
      </c>
      <c r="P299">
        <v>2307.5300000000002</v>
      </c>
      <c r="Q299" t="s">
        <v>27</v>
      </c>
      <c r="R299" t="s">
        <v>48</v>
      </c>
      <c r="S299">
        <v>4</v>
      </c>
      <c r="T299">
        <v>2023</v>
      </c>
      <c r="U299" t="s">
        <v>3086</v>
      </c>
      <c r="V299">
        <v>12</v>
      </c>
      <c r="W299" t="s">
        <v>3099</v>
      </c>
      <c r="X299">
        <v>3461.2899999999995</v>
      </c>
      <c r="Y299" t="s">
        <v>3062</v>
      </c>
      <c r="Z299" t="s">
        <v>3063</v>
      </c>
      <c r="AA299" t="s">
        <v>3079</v>
      </c>
    </row>
    <row r="300" spans="1:27" x14ac:dyDescent="0.3">
      <c r="A300" t="s">
        <v>2935</v>
      </c>
      <c r="B300" s="7">
        <v>45821</v>
      </c>
      <c r="C300" t="s">
        <v>40</v>
      </c>
      <c r="D300" t="s">
        <v>31</v>
      </c>
      <c r="E300" t="s">
        <v>67</v>
      </c>
      <c r="F300" t="s">
        <v>103</v>
      </c>
      <c r="G300" t="s">
        <v>92</v>
      </c>
      <c r="H300" t="s">
        <v>243</v>
      </c>
      <c r="I300" t="s">
        <v>1838</v>
      </c>
      <c r="J300">
        <v>8</v>
      </c>
      <c r="K300">
        <v>25892</v>
      </c>
      <c r="L300">
        <v>0.21</v>
      </c>
      <c r="M300">
        <v>20454.68</v>
      </c>
      <c r="N300">
        <v>163637.44</v>
      </c>
      <c r="O300">
        <v>0.15</v>
      </c>
      <c r="P300">
        <v>24545.62</v>
      </c>
      <c r="Q300" t="s">
        <v>51</v>
      </c>
      <c r="R300" t="s">
        <v>38</v>
      </c>
      <c r="S300">
        <v>4</v>
      </c>
      <c r="T300">
        <v>2025</v>
      </c>
      <c r="U300" t="s">
        <v>3073</v>
      </c>
      <c r="V300">
        <v>6</v>
      </c>
      <c r="W300" t="s">
        <v>3083</v>
      </c>
      <c r="X300">
        <v>139091.82</v>
      </c>
      <c r="Y300" t="s">
        <v>3062</v>
      </c>
      <c r="Z300" t="s">
        <v>3063</v>
      </c>
      <c r="AA300" t="s">
        <v>3079</v>
      </c>
    </row>
    <row r="301" spans="1:27" x14ac:dyDescent="0.3">
      <c r="A301" t="s">
        <v>2863</v>
      </c>
      <c r="B301" s="7">
        <v>45749</v>
      </c>
      <c r="C301" t="s">
        <v>40</v>
      </c>
      <c r="D301" t="s">
        <v>31</v>
      </c>
      <c r="E301" t="s">
        <v>67</v>
      </c>
      <c r="F301" t="s">
        <v>23</v>
      </c>
      <c r="G301" t="s">
        <v>57</v>
      </c>
      <c r="H301" t="s">
        <v>183</v>
      </c>
      <c r="I301" t="s">
        <v>1697</v>
      </c>
      <c r="J301">
        <v>4</v>
      </c>
      <c r="K301">
        <v>3283</v>
      </c>
      <c r="L301">
        <v>0.12</v>
      </c>
      <c r="M301">
        <v>2889.04</v>
      </c>
      <c r="N301">
        <v>11556.16</v>
      </c>
      <c r="O301">
        <v>0.2</v>
      </c>
      <c r="P301">
        <v>2311.23</v>
      </c>
      <c r="Q301" t="s">
        <v>47</v>
      </c>
      <c r="R301" t="s">
        <v>48</v>
      </c>
      <c r="S301">
        <v>1</v>
      </c>
      <c r="T301">
        <v>2025</v>
      </c>
      <c r="U301" t="s">
        <v>3080</v>
      </c>
      <c r="V301">
        <v>4</v>
      </c>
      <c r="W301" t="s">
        <v>3096</v>
      </c>
      <c r="X301">
        <v>9244.93</v>
      </c>
      <c r="Y301" t="s">
        <v>3067</v>
      </c>
      <c r="Z301" t="s">
        <v>3063</v>
      </c>
      <c r="AA301" t="s">
        <v>3079</v>
      </c>
    </row>
    <row r="302" spans="1:27" x14ac:dyDescent="0.3">
      <c r="A302" t="s">
        <v>2373</v>
      </c>
      <c r="B302" s="7">
        <v>45259</v>
      </c>
      <c r="C302" t="s">
        <v>55</v>
      </c>
      <c r="D302" t="s">
        <v>21</v>
      </c>
      <c r="E302" t="s">
        <v>67</v>
      </c>
      <c r="F302" t="s">
        <v>43</v>
      </c>
      <c r="G302" t="s">
        <v>92</v>
      </c>
      <c r="H302" t="s">
        <v>243</v>
      </c>
      <c r="I302" t="s">
        <v>734</v>
      </c>
      <c r="J302">
        <v>4</v>
      </c>
      <c r="K302">
        <v>41401</v>
      </c>
      <c r="L302">
        <v>0.02</v>
      </c>
      <c r="M302">
        <v>40572.980000000003</v>
      </c>
      <c r="N302">
        <v>162291.92000000001</v>
      </c>
      <c r="O302">
        <v>0.15</v>
      </c>
      <c r="P302">
        <v>24343.79</v>
      </c>
      <c r="Q302" t="s">
        <v>27</v>
      </c>
      <c r="R302" t="s">
        <v>48</v>
      </c>
      <c r="S302">
        <v>4</v>
      </c>
      <c r="T302">
        <v>2023</v>
      </c>
      <c r="U302" t="s">
        <v>3060</v>
      </c>
      <c r="V302">
        <v>11</v>
      </c>
      <c r="W302" t="s">
        <v>3061</v>
      </c>
      <c r="X302">
        <v>137948.13</v>
      </c>
      <c r="Y302" t="s">
        <v>3062</v>
      </c>
      <c r="Z302" t="s">
        <v>3063</v>
      </c>
      <c r="AA302" t="s">
        <v>3079</v>
      </c>
    </row>
    <row r="303" spans="1:27" x14ac:dyDescent="0.3">
      <c r="A303" t="s">
        <v>2376</v>
      </c>
      <c r="B303" s="7">
        <v>45262</v>
      </c>
      <c r="C303" t="s">
        <v>20</v>
      </c>
      <c r="D303" t="s">
        <v>41</v>
      </c>
      <c r="E303" t="s">
        <v>2042</v>
      </c>
      <c r="F303" t="s">
        <v>33</v>
      </c>
      <c r="G303" t="s">
        <v>57</v>
      </c>
      <c r="H303" t="s">
        <v>81</v>
      </c>
      <c r="I303" t="s">
        <v>740</v>
      </c>
      <c r="J303">
        <v>7</v>
      </c>
      <c r="K303">
        <v>19456</v>
      </c>
      <c r="L303">
        <v>0.11</v>
      </c>
      <c r="M303">
        <v>17315.84</v>
      </c>
      <c r="N303">
        <v>121210.88</v>
      </c>
      <c r="O303">
        <v>0.2</v>
      </c>
      <c r="P303">
        <v>24242.18</v>
      </c>
      <c r="Q303" t="s">
        <v>51</v>
      </c>
      <c r="R303" t="s">
        <v>38</v>
      </c>
      <c r="S303">
        <v>3</v>
      </c>
      <c r="T303">
        <v>2023</v>
      </c>
      <c r="U303" t="s">
        <v>3086</v>
      </c>
      <c r="V303">
        <v>12</v>
      </c>
      <c r="W303" t="s">
        <v>3099</v>
      </c>
      <c r="X303">
        <v>96968.700000000012</v>
      </c>
      <c r="Y303" t="s">
        <v>3067</v>
      </c>
      <c r="Z303" t="s">
        <v>3063</v>
      </c>
      <c r="AA303" t="s">
        <v>3079</v>
      </c>
    </row>
    <row r="304" spans="1:27" x14ac:dyDescent="0.3">
      <c r="A304" t="s">
        <v>2633</v>
      </c>
      <c r="B304" s="7">
        <v>45519</v>
      </c>
      <c r="C304" t="s">
        <v>96</v>
      </c>
      <c r="D304" t="s">
        <v>56</v>
      </c>
      <c r="E304" t="s">
        <v>42</v>
      </c>
      <c r="F304" t="s">
        <v>97</v>
      </c>
      <c r="G304" t="s">
        <v>34</v>
      </c>
      <c r="H304" t="s">
        <v>104</v>
      </c>
      <c r="I304" t="s">
        <v>1247</v>
      </c>
      <c r="J304">
        <v>9</v>
      </c>
      <c r="K304">
        <v>745</v>
      </c>
      <c r="L304">
        <v>0.12</v>
      </c>
      <c r="M304">
        <v>655.6</v>
      </c>
      <c r="N304">
        <v>5900.4</v>
      </c>
      <c r="O304">
        <v>0.4</v>
      </c>
      <c r="P304">
        <v>2360.16</v>
      </c>
      <c r="Q304" t="s">
        <v>27</v>
      </c>
      <c r="R304" t="s">
        <v>38</v>
      </c>
      <c r="S304">
        <v>3</v>
      </c>
      <c r="T304">
        <v>2024</v>
      </c>
      <c r="U304" t="s">
        <v>3075</v>
      </c>
      <c r="V304">
        <v>8</v>
      </c>
      <c r="W304" t="s">
        <v>3093</v>
      </c>
      <c r="X304">
        <v>3540.24</v>
      </c>
      <c r="Y304" t="s">
        <v>3067</v>
      </c>
      <c r="Z304" t="s">
        <v>3063</v>
      </c>
      <c r="AA304" t="s">
        <v>3079</v>
      </c>
    </row>
    <row r="305" spans="1:27" x14ac:dyDescent="0.3">
      <c r="A305" t="s">
        <v>3024</v>
      </c>
      <c r="B305" s="7">
        <v>45910</v>
      </c>
      <c r="C305" t="s">
        <v>30</v>
      </c>
      <c r="D305" t="s">
        <v>56</v>
      </c>
      <c r="E305" t="s">
        <v>67</v>
      </c>
      <c r="F305" t="s">
        <v>33</v>
      </c>
      <c r="G305" t="s">
        <v>57</v>
      </c>
      <c r="H305" t="s">
        <v>183</v>
      </c>
      <c r="I305" t="s">
        <v>2007</v>
      </c>
      <c r="J305">
        <v>7</v>
      </c>
      <c r="K305">
        <v>17795</v>
      </c>
      <c r="L305">
        <v>0.04</v>
      </c>
      <c r="M305">
        <v>17083.2</v>
      </c>
      <c r="N305">
        <v>119582.39999999999</v>
      </c>
      <c r="O305">
        <v>0.2</v>
      </c>
      <c r="P305">
        <v>23916.48</v>
      </c>
      <c r="Q305" t="s">
        <v>51</v>
      </c>
      <c r="R305" t="s">
        <v>48</v>
      </c>
      <c r="S305">
        <v>8</v>
      </c>
      <c r="T305">
        <v>2025</v>
      </c>
      <c r="U305" t="s">
        <v>3097</v>
      </c>
      <c r="V305">
        <v>9</v>
      </c>
      <c r="W305" t="s">
        <v>3110</v>
      </c>
      <c r="X305">
        <v>95665.919999999998</v>
      </c>
      <c r="Y305" t="s">
        <v>3077</v>
      </c>
      <c r="Z305" t="s">
        <v>3063</v>
      </c>
      <c r="AA305" t="s">
        <v>3079</v>
      </c>
    </row>
    <row r="306" spans="1:27" x14ac:dyDescent="0.3">
      <c r="A306" t="s">
        <v>2768</v>
      </c>
      <c r="B306" s="7">
        <v>45654</v>
      </c>
      <c r="C306" t="s">
        <v>63</v>
      </c>
      <c r="D306" t="s">
        <v>56</v>
      </c>
      <c r="E306" t="s">
        <v>42</v>
      </c>
      <c r="F306" t="s">
        <v>43</v>
      </c>
      <c r="G306" t="s">
        <v>57</v>
      </c>
      <c r="H306" t="s">
        <v>81</v>
      </c>
      <c r="I306" t="s">
        <v>1510</v>
      </c>
      <c r="J306">
        <v>8</v>
      </c>
      <c r="K306">
        <v>18406</v>
      </c>
      <c r="L306">
        <v>0.19</v>
      </c>
      <c r="M306">
        <v>14908.86</v>
      </c>
      <c r="N306">
        <v>119270.88</v>
      </c>
      <c r="O306">
        <v>0.2</v>
      </c>
      <c r="P306">
        <v>23854.18</v>
      </c>
      <c r="Q306" t="s">
        <v>27</v>
      </c>
      <c r="R306" t="s">
        <v>48</v>
      </c>
      <c r="S306">
        <v>9</v>
      </c>
      <c r="T306">
        <v>2024</v>
      </c>
      <c r="U306" t="s">
        <v>3086</v>
      </c>
      <c r="V306">
        <v>12</v>
      </c>
      <c r="W306" t="s">
        <v>3087</v>
      </c>
      <c r="X306">
        <v>95416.700000000012</v>
      </c>
      <c r="Y306" t="s">
        <v>3077</v>
      </c>
      <c r="Z306" t="s">
        <v>3063</v>
      </c>
      <c r="AA306" t="s">
        <v>3079</v>
      </c>
    </row>
    <row r="307" spans="1:27" x14ac:dyDescent="0.3">
      <c r="A307" t="s">
        <v>2337</v>
      </c>
      <c r="B307" s="7">
        <v>45223</v>
      </c>
      <c r="C307" t="s">
        <v>20</v>
      </c>
      <c r="D307" t="s">
        <v>31</v>
      </c>
      <c r="E307" t="s">
        <v>67</v>
      </c>
      <c r="F307" t="s">
        <v>33</v>
      </c>
      <c r="G307" t="s">
        <v>34</v>
      </c>
      <c r="H307" t="s">
        <v>71</v>
      </c>
      <c r="I307" t="s">
        <v>663</v>
      </c>
      <c r="J307">
        <v>5</v>
      </c>
      <c r="K307">
        <v>1367</v>
      </c>
      <c r="L307">
        <v>0.13</v>
      </c>
      <c r="M307">
        <v>1189.29</v>
      </c>
      <c r="N307">
        <v>5946.45</v>
      </c>
      <c r="O307">
        <v>0.4</v>
      </c>
      <c r="P307">
        <v>2378.58</v>
      </c>
      <c r="Q307" t="s">
        <v>51</v>
      </c>
      <c r="R307" t="s">
        <v>48</v>
      </c>
      <c r="S307">
        <v>9</v>
      </c>
      <c r="T307">
        <v>2023</v>
      </c>
      <c r="U307" t="s">
        <v>3065</v>
      </c>
      <c r="V307">
        <v>10</v>
      </c>
      <c r="W307" t="s">
        <v>3104</v>
      </c>
      <c r="X307">
        <v>3567.87</v>
      </c>
      <c r="Y307" t="s">
        <v>3077</v>
      </c>
      <c r="Z307" t="s">
        <v>3063</v>
      </c>
      <c r="AA307" t="s">
        <v>3079</v>
      </c>
    </row>
    <row r="308" spans="1:27" x14ac:dyDescent="0.3">
      <c r="A308" t="s">
        <v>2146</v>
      </c>
      <c r="B308" s="7">
        <v>45032</v>
      </c>
      <c r="C308" t="s">
        <v>30</v>
      </c>
      <c r="D308" t="s">
        <v>21</v>
      </c>
      <c r="E308" t="s">
        <v>2040</v>
      </c>
      <c r="F308" t="s">
        <v>103</v>
      </c>
      <c r="G308" t="s">
        <v>34</v>
      </c>
      <c r="H308" t="s">
        <v>71</v>
      </c>
      <c r="I308" t="s">
        <v>282</v>
      </c>
      <c r="J308">
        <v>7</v>
      </c>
      <c r="K308">
        <v>1037</v>
      </c>
      <c r="L308">
        <v>0.18</v>
      </c>
      <c r="M308">
        <v>850.34</v>
      </c>
      <c r="N308">
        <v>5952.38</v>
      </c>
      <c r="O308">
        <v>0.4</v>
      </c>
      <c r="P308">
        <v>2380.9499999999998</v>
      </c>
      <c r="Q308" t="s">
        <v>51</v>
      </c>
      <c r="R308" t="s">
        <v>48</v>
      </c>
      <c r="S308">
        <v>9</v>
      </c>
      <c r="T308">
        <v>2023</v>
      </c>
      <c r="U308" t="s">
        <v>3080</v>
      </c>
      <c r="V308">
        <v>4</v>
      </c>
      <c r="W308" t="s">
        <v>3081</v>
      </c>
      <c r="X308">
        <v>3571.4300000000003</v>
      </c>
      <c r="Y308" t="s">
        <v>3077</v>
      </c>
      <c r="Z308" t="s">
        <v>3063</v>
      </c>
      <c r="AA308" t="s">
        <v>3079</v>
      </c>
    </row>
    <row r="309" spans="1:27" x14ac:dyDescent="0.3">
      <c r="A309" t="s">
        <v>2753</v>
      </c>
      <c r="B309" s="7">
        <v>45639</v>
      </c>
      <c r="C309" t="s">
        <v>96</v>
      </c>
      <c r="D309" t="s">
        <v>41</v>
      </c>
      <c r="E309" t="s">
        <v>67</v>
      </c>
      <c r="F309" t="s">
        <v>23</v>
      </c>
      <c r="G309" t="s">
        <v>57</v>
      </c>
      <c r="H309" t="s">
        <v>58</v>
      </c>
      <c r="I309" t="s">
        <v>1481</v>
      </c>
      <c r="J309">
        <v>9</v>
      </c>
      <c r="K309">
        <v>14500</v>
      </c>
      <c r="L309">
        <v>0.09</v>
      </c>
      <c r="M309">
        <v>13195</v>
      </c>
      <c r="N309">
        <v>118755</v>
      </c>
      <c r="O309">
        <v>0.2</v>
      </c>
      <c r="P309">
        <v>23751</v>
      </c>
      <c r="Q309" t="s">
        <v>37</v>
      </c>
      <c r="R309" t="s">
        <v>48</v>
      </c>
      <c r="S309">
        <v>3</v>
      </c>
      <c r="T309">
        <v>2024</v>
      </c>
      <c r="U309" t="s">
        <v>3086</v>
      </c>
      <c r="V309">
        <v>12</v>
      </c>
      <c r="W309" t="s">
        <v>3087</v>
      </c>
      <c r="X309">
        <v>95004</v>
      </c>
      <c r="Y309" t="s">
        <v>3067</v>
      </c>
      <c r="Z309" t="s">
        <v>3063</v>
      </c>
      <c r="AA309" t="s">
        <v>3079</v>
      </c>
    </row>
    <row r="310" spans="1:27" x14ac:dyDescent="0.3">
      <c r="A310" t="s">
        <v>2421</v>
      </c>
      <c r="B310" s="7">
        <v>45307</v>
      </c>
      <c r="C310" t="s">
        <v>20</v>
      </c>
      <c r="D310" t="s">
        <v>41</v>
      </c>
      <c r="E310" t="s">
        <v>67</v>
      </c>
      <c r="F310" t="s">
        <v>23</v>
      </c>
      <c r="G310" t="s">
        <v>57</v>
      </c>
      <c r="H310" t="s">
        <v>81</v>
      </c>
      <c r="I310" t="s">
        <v>828</v>
      </c>
      <c r="J310">
        <v>9</v>
      </c>
      <c r="K310">
        <v>16052</v>
      </c>
      <c r="L310">
        <v>0.18</v>
      </c>
      <c r="M310">
        <v>13162.64</v>
      </c>
      <c r="N310">
        <v>118463.76</v>
      </c>
      <c r="O310">
        <v>0.2</v>
      </c>
      <c r="P310">
        <v>23692.75</v>
      </c>
      <c r="Q310" t="s">
        <v>37</v>
      </c>
      <c r="R310" t="s">
        <v>38</v>
      </c>
      <c r="S310">
        <v>1</v>
      </c>
      <c r="T310">
        <v>2024</v>
      </c>
      <c r="U310" t="s">
        <v>3071</v>
      </c>
      <c r="V310">
        <v>1</v>
      </c>
      <c r="W310" t="s">
        <v>3078</v>
      </c>
      <c r="X310">
        <v>94771.01</v>
      </c>
      <c r="Y310" t="s">
        <v>3067</v>
      </c>
      <c r="Z310" t="s">
        <v>3063</v>
      </c>
      <c r="AA310" t="s">
        <v>3079</v>
      </c>
    </row>
    <row r="311" spans="1:27" x14ac:dyDescent="0.3">
      <c r="A311" t="s">
        <v>2182</v>
      </c>
      <c r="B311" s="7">
        <v>45068</v>
      </c>
      <c r="C311" t="s">
        <v>40</v>
      </c>
      <c r="D311" t="s">
        <v>56</v>
      </c>
      <c r="E311" t="s">
        <v>2042</v>
      </c>
      <c r="F311" t="s">
        <v>23</v>
      </c>
      <c r="G311" t="s">
        <v>34</v>
      </c>
      <c r="H311" t="s">
        <v>35</v>
      </c>
      <c r="I311" t="s">
        <v>354</v>
      </c>
      <c r="J311">
        <v>9</v>
      </c>
      <c r="K311">
        <v>819</v>
      </c>
      <c r="L311">
        <v>0.18</v>
      </c>
      <c r="M311">
        <v>671.58</v>
      </c>
      <c r="N311">
        <v>6044.22</v>
      </c>
      <c r="O311">
        <v>0.4</v>
      </c>
      <c r="P311">
        <v>2417.69</v>
      </c>
      <c r="Q311" t="s">
        <v>37</v>
      </c>
      <c r="R311" t="s">
        <v>38</v>
      </c>
      <c r="S311">
        <v>1</v>
      </c>
      <c r="T311">
        <v>2023</v>
      </c>
      <c r="U311" t="s">
        <v>3091</v>
      </c>
      <c r="V311">
        <v>5</v>
      </c>
      <c r="W311" t="s">
        <v>3092</v>
      </c>
      <c r="X311">
        <v>3626.53</v>
      </c>
      <c r="Y311" t="s">
        <v>3067</v>
      </c>
      <c r="Z311" t="s">
        <v>3063</v>
      </c>
      <c r="AA311" t="s">
        <v>3079</v>
      </c>
    </row>
    <row r="312" spans="1:27" x14ac:dyDescent="0.3">
      <c r="A312" t="s">
        <v>2404</v>
      </c>
      <c r="B312" s="7">
        <v>45290</v>
      </c>
      <c r="C312" t="s">
        <v>96</v>
      </c>
      <c r="D312" t="s">
        <v>21</v>
      </c>
      <c r="E312" t="s">
        <v>42</v>
      </c>
      <c r="F312" t="s">
        <v>68</v>
      </c>
      <c r="G312" t="s">
        <v>34</v>
      </c>
      <c r="H312" t="s">
        <v>104</v>
      </c>
      <c r="I312" t="s">
        <v>794</v>
      </c>
      <c r="J312">
        <v>8</v>
      </c>
      <c r="K312">
        <v>789</v>
      </c>
      <c r="L312">
        <v>0.04</v>
      </c>
      <c r="M312">
        <v>757.44</v>
      </c>
      <c r="N312">
        <v>6059.52</v>
      </c>
      <c r="O312">
        <v>0.4</v>
      </c>
      <c r="P312">
        <v>2423.81</v>
      </c>
      <c r="Q312" t="s">
        <v>37</v>
      </c>
      <c r="R312" t="s">
        <v>28</v>
      </c>
      <c r="S312">
        <v>2</v>
      </c>
      <c r="T312">
        <v>2023</v>
      </c>
      <c r="U312" t="s">
        <v>3086</v>
      </c>
      <c r="V312">
        <v>12</v>
      </c>
      <c r="W312" t="s">
        <v>3099</v>
      </c>
      <c r="X312">
        <v>3635.7100000000005</v>
      </c>
      <c r="Y312" t="s">
        <v>3067</v>
      </c>
      <c r="Z312" t="s">
        <v>3063</v>
      </c>
      <c r="AA312" t="s">
        <v>3079</v>
      </c>
    </row>
    <row r="313" spans="1:27" x14ac:dyDescent="0.3">
      <c r="A313" t="s">
        <v>3006</v>
      </c>
      <c r="B313" s="7">
        <v>45892</v>
      </c>
      <c r="C313" t="s">
        <v>96</v>
      </c>
      <c r="D313" t="s">
        <v>56</v>
      </c>
      <c r="E313" t="s">
        <v>2040</v>
      </c>
      <c r="F313" t="s">
        <v>97</v>
      </c>
      <c r="G313" t="s">
        <v>57</v>
      </c>
      <c r="H313" t="s">
        <v>81</v>
      </c>
      <c r="I313" t="s">
        <v>977</v>
      </c>
      <c r="J313">
        <v>9</v>
      </c>
      <c r="K313">
        <v>16939</v>
      </c>
      <c r="L313">
        <v>0.23</v>
      </c>
      <c r="M313">
        <v>13043.03</v>
      </c>
      <c r="N313">
        <v>117387.27</v>
      </c>
      <c r="O313">
        <v>0.2</v>
      </c>
      <c r="P313">
        <v>23477.45</v>
      </c>
      <c r="Q313" t="s">
        <v>51</v>
      </c>
      <c r="R313" t="s">
        <v>48</v>
      </c>
      <c r="S313">
        <v>4</v>
      </c>
      <c r="T313">
        <v>2025</v>
      </c>
      <c r="U313" t="s">
        <v>3075</v>
      </c>
      <c r="V313">
        <v>8</v>
      </c>
      <c r="W313" t="s">
        <v>3076</v>
      </c>
      <c r="X313">
        <v>93909.82</v>
      </c>
      <c r="Y313" t="s">
        <v>3062</v>
      </c>
      <c r="Z313" t="s">
        <v>3063</v>
      </c>
      <c r="AA313" t="s">
        <v>3079</v>
      </c>
    </row>
    <row r="314" spans="1:27" x14ac:dyDescent="0.3">
      <c r="A314" t="s">
        <v>3013</v>
      </c>
      <c r="B314" s="7">
        <v>45899</v>
      </c>
      <c r="C314" t="s">
        <v>96</v>
      </c>
      <c r="D314" t="s">
        <v>41</v>
      </c>
      <c r="E314" t="s">
        <v>42</v>
      </c>
      <c r="F314" t="s">
        <v>68</v>
      </c>
      <c r="G314" t="s">
        <v>34</v>
      </c>
      <c r="H314" t="s">
        <v>141</v>
      </c>
      <c r="I314" t="s">
        <v>1985</v>
      </c>
      <c r="J314">
        <v>6</v>
      </c>
      <c r="K314">
        <v>1080</v>
      </c>
      <c r="L314">
        <v>0.04</v>
      </c>
      <c r="M314">
        <v>1036.8</v>
      </c>
      <c r="N314">
        <v>6220.8</v>
      </c>
      <c r="O314">
        <v>0.4</v>
      </c>
      <c r="P314">
        <v>2488.3200000000002</v>
      </c>
      <c r="Q314" t="s">
        <v>47</v>
      </c>
      <c r="R314" t="s">
        <v>38</v>
      </c>
      <c r="S314">
        <v>2</v>
      </c>
      <c r="T314">
        <v>2025</v>
      </c>
      <c r="U314" t="s">
        <v>3075</v>
      </c>
      <c r="V314">
        <v>8</v>
      </c>
      <c r="W314" t="s">
        <v>3076</v>
      </c>
      <c r="X314">
        <v>3732.48</v>
      </c>
      <c r="Y314" t="s">
        <v>3067</v>
      </c>
      <c r="Z314" t="s">
        <v>3063</v>
      </c>
      <c r="AA314" t="s">
        <v>3079</v>
      </c>
    </row>
    <row r="315" spans="1:27" x14ac:dyDescent="0.3">
      <c r="A315" t="s">
        <v>2830</v>
      </c>
      <c r="B315" s="7">
        <v>45716</v>
      </c>
      <c r="C315" t="s">
        <v>63</v>
      </c>
      <c r="D315" t="s">
        <v>41</v>
      </c>
      <c r="E315" t="s">
        <v>2040</v>
      </c>
      <c r="F315" t="s">
        <v>103</v>
      </c>
      <c r="G315" t="s">
        <v>92</v>
      </c>
      <c r="H315" t="s">
        <v>93</v>
      </c>
      <c r="I315" t="s">
        <v>1631</v>
      </c>
      <c r="J315">
        <v>8</v>
      </c>
      <c r="K315">
        <v>21005</v>
      </c>
      <c r="L315">
        <v>7.0000000000000007E-2</v>
      </c>
      <c r="M315">
        <v>19534.650000000001</v>
      </c>
      <c r="N315">
        <v>156277.20000000001</v>
      </c>
      <c r="O315">
        <v>0.15</v>
      </c>
      <c r="P315">
        <v>23441.58</v>
      </c>
      <c r="Q315" t="s">
        <v>51</v>
      </c>
      <c r="R315" t="s">
        <v>48</v>
      </c>
      <c r="S315">
        <v>7</v>
      </c>
      <c r="T315">
        <v>2025</v>
      </c>
      <c r="U315" t="s">
        <v>3084</v>
      </c>
      <c r="V315">
        <v>2</v>
      </c>
      <c r="W315" t="s">
        <v>3090</v>
      </c>
      <c r="X315">
        <v>132835.62</v>
      </c>
      <c r="Y315" t="s">
        <v>3062</v>
      </c>
      <c r="Z315" t="s">
        <v>3063</v>
      </c>
      <c r="AA315" t="s">
        <v>3079</v>
      </c>
    </row>
    <row r="316" spans="1:27" x14ac:dyDescent="0.3">
      <c r="A316" t="s">
        <v>2826</v>
      </c>
      <c r="B316" s="7">
        <v>45712</v>
      </c>
      <c r="C316" t="s">
        <v>40</v>
      </c>
      <c r="D316" t="s">
        <v>21</v>
      </c>
      <c r="E316" t="s">
        <v>2040</v>
      </c>
      <c r="F316" t="s">
        <v>33</v>
      </c>
      <c r="G316" t="s">
        <v>92</v>
      </c>
      <c r="H316" t="s">
        <v>178</v>
      </c>
      <c r="I316" t="s">
        <v>1623</v>
      </c>
      <c r="J316">
        <v>6</v>
      </c>
      <c r="K316">
        <v>33225</v>
      </c>
      <c r="L316">
        <v>0.22</v>
      </c>
      <c r="M316">
        <v>25915.5</v>
      </c>
      <c r="N316">
        <v>155493</v>
      </c>
      <c r="O316">
        <v>0.15</v>
      </c>
      <c r="P316">
        <v>23323.95</v>
      </c>
      <c r="Q316" t="s">
        <v>51</v>
      </c>
      <c r="R316" t="s">
        <v>48</v>
      </c>
      <c r="S316">
        <v>2</v>
      </c>
      <c r="T316">
        <v>2025</v>
      </c>
      <c r="U316" t="s">
        <v>3084</v>
      </c>
      <c r="V316">
        <v>2</v>
      </c>
      <c r="W316" t="s">
        <v>3090</v>
      </c>
      <c r="X316">
        <v>132169.04999999999</v>
      </c>
      <c r="Y316" t="s">
        <v>3067</v>
      </c>
      <c r="Z316" t="s">
        <v>3063</v>
      </c>
      <c r="AA316" t="s">
        <v>3079</v>
      </c>
    </row>
    <row r="317" spans="1:27" x14ac:dyDescent="0.3">
      <c r="A317" t="s">
        <v>2751</v>
      </c>
      <c r="B317" s="7">
        <v>45637</v>
      </c>
      <c r="C317" t="s">
        <v>55</v>
      </c>
      <c r="D317" t="s">
        <v>41</v>
      </c>
      <c r="E317" t="s">
        <v>67</v>
      </c>
      <c r="F317" t="s">
        <v>23</v>
      </c>
      <c r="G317" t="s">
        <v>34</v>
      </c>
      <c r="H317" t="s">
        <v>71</v>
      </c>
      <c r="I317" t="s">
        <v>1477</v>
      </c>
      <c r="J317">
        <v>7</v>
      </c>
      <c r="K317">
        <v>969</v>
      </c>
      <c r="L317">
        <v>7.0000000000000007E-2</v>
      </c>
      <c r="M317">
        <v>901.17</v>
      </c>
      <c r="N317">
        <v>6308.19</v>
      </c>
      <c r="O317">
        <v>0.4</v>
      </c>
      <c r="P317">
        <v>2523.2800000000002</v>
      </c>
      <c r="Q317" t="s">
        <v>51</v>
      </c>
      <c r="R317" t="s">
        <v>48</v>
      </c>
      <c r="S317">
        <v>1</v>
      </c>
      <c r="T317">
        <v>2024</v>
      </c>
      <c r="U317" t="s">
        <v>3086</v>
      </c>
      <c r="V317">
        <v>12</v>
      </c>
      <c r="W317" t="s">
        <v>3087</v>
      </c>
      <c r="X317">
        <v>3784.9099999999994</v>
      </c>
      <c r="Y317" t="s">
        <v>3067</v>
      </c>
      <c r="Z317" t="s">
        <v>3063</v>
      </c>
      <c r="AA317" t="s">
        <v>3079</v>
      </c>
    </row>
    <row r="318" spans="1:27" x14ac:dyDescent="0.3">
      <c r="A318" t="s">
        <v>2299</v>
      </c>
      <c r="B318" s="7">
        <v>45185</v>
      </c>
      <c r="C318" t="s">
        <v>63</v>
      </c>
      <c r="D318" t="s">
        <v>31</v>
      </c>
      <c r="E318" t="s">
        <v>2042</v>
      </c>
      <c r="F318" t="s">
        <v>23</v>
      </c>
      <c r="G318" t="s">
        <v>57</v>
      </c>
      <c r="H318" t="s">
        <v>81</v>
      </c>
      <c r="I318" t="s">
        <v>588</v>
      </c>
      <c r="J318">
        <v>1</v>
      </c>
      <c r="K318">
        <v>12693</v>
      </c>
      <c r="L318">
        <v>0</v>
      </c>
      <c r="M318">
        <v>12693</v>
      </c>
      <c r="N318">
        <v>12693</v>
      </c>
      <c r="O318">
        <v>0.2</v>
      </c>
      <c r="P318">
        <v>2538.6</v>
      </c>
      <c r="Q318" t="s">
        <v>27</v>
      </c>
      <c r="R318" t="s">
        <v>48</v>
      </c>
      <c r="S318">
        <v>3</v>
      </c>
      <c r="T318">
        <v>2023</v>
      </c>
      <c r="U318" t="s">
        <v>3097</v>
      </c>
      <c r="V318">
        <v>9</v>
      </c>
      <c r="W318" t="s">
        <v>3107</v>
      </c>
      <c r="X318">
        <v>10154.4</v>
      </c>
      <c r="Y318" t="s">
        <v>3067</v>
      </c>
      <c r="Z318" t="s">
        <v>3063</v>
      </c>
      <c r="AA318" t="s">
        <v>3079</v>
      </c>
    </row>
    <row r="319" spans="1:27" x14ac:dyDescent="0.3">
      <c r="A319" t="s">
        <v>3038</v>
      </c>
      <c r="B319" s="7">
        <v>45924</v>
      </c>
      <c r="C319" t="s">
        <v>40</v>
      </c>
      <c r="D319" t="s">
        <v>31</v>
      </c>
      <c r="E319" t="s">
        <v>2040</v>
      </c>
      <c r="F319" t="s">
        <v>103</v>
      </c>
      <c r="G319" t="s">
        <v>92</v>
      </c>
      <c r="H319" t="s">
        <v>109</v>
      </c>
      <c r="I319" t="s">
        <v>2034</v>
      </c>
      <c r="J319">
        <v>5</v>
      </c>
      <c r="K319">
        <v>31384</v>
      </c>
      <c r="L319">
        <v>0.01</v>
      </c>
      <c r="M319">
        <v>31070.16</v>
      </c>
      <c r="N319">
        <v>155350.79999999999</v>
      </c>
      <c r="O319">
        <v>0.15</v>
      </c>
      <c r="P319">
        <v>23302.62</v>
      </c>
      <c r="Q319" t="s">
        <v>51</v>
      </c>
      <c r="R319" t="s">
        <v>48</v>
      </c>
      <c r="S319">
        <v>7</v>
      </c>
      <c r="T319">
        <v>2025</v>
      </c>
      <c r="U319" t="s">
        <v>3097</v>
      </c>
      <c r="V319">
        <v>9</v>
      </c>
      <c r="W319" t="s">
        <v>3110</v>
      </c>
      <c r="X319">
        <v>132048.18</v>
      </c>
      <c r="Y319" t="s">
        <v>3062</v>
      </c>
      <c r="Z319" t="s">
        <v>3063</v>
      </c>
      <c r="AA319" t="s">
        <v>3079</v>
      </c>
    </row>
    <row r="320" spans="1:27" x14ac:dyDescent="0.3">
      <c r="A320" t="s">
        <v>2859</v>
      </c>
      <c r="B320" s="7">
        <v>45745</v>
      </c>
      <c r="C320" t="s">
        <v>63</v>
      </c>
      <c r="D320" t="s">
        <v>56</v>
      </c>
      <c r="E320" t="s">
        <v>2042</v>
      </c>
      <c r="F320" t="s">
        <v>68</v>
      </c>
      <c r="G320" t="s">
        <v>34</v>
      </c>
      <c r="H320" t="s">
        <v>71</v>
      </c>
      <c r="I320" t="s">
        <v>1689</v>
      </c>
      <c r="J320">
        <v>6</v>
      </c>
      <c r="K320">
        <v>1341</v>
      </c>
      <c r="L320">
        <v>0.21</v>
      </c>
      <c r="M320">
        <v>1059.3900000000001</v>
      </c>
      <c r="N320">
        <v>6356.34</v>
      </c>
      <c r="O320">
        <v>0.4</v>
      </c>
      <c r="P320">
        <v>2542.54</v>
      </c>
      <c r="Q320" t="s">
        <v>47</v>
      </c>
      <c r="R320" t="s">
        <v>48</v>
      </c>
      <c r="S320">
        <v>7</v>
      </c>
      <c r="T320">
        <v>2025</v>
      </c>
      <c r="U320" t="s">
        <v>3069</v>
      </c>
      <c r="V320">
        <v>3</v>
      </c>
      <c r="W320" t="s">
        <v>3070</v>
      </c>
      <c r="X320">
        <v>3813.8</v>
      </c>
      <c r="Y320" t="s">
        <v>3062</v>
      </c>
      <c r="Z320" t="s">
        <v>3063</v>
      </c>
      <c r="AA320" t="s">
        <v>3079</v>
      </c>
    </row>
    <row r="321" spans="1:27" x14ac:dyDescent="0.3">
      <c r="A321" t="s">
        <v>2550</v>
      </c>
      <c r="B321" s="7">
        <v>45436</v>
      </c>
      <c r="C321" t="s">
        <v>20</v>
      </c>
      <c r="D321" t="s">
        <v>56</v>
      </c>
      <c r="E321" t="s">
        <v>2040</v>
      </c>
      <c r="F321" t="s">
        <v>23</v>
      </c>
      <c r="G321" t="s">
        <v>92</v>
      </c>
      <c r="H321" t="s">
        <v>93</v>
      </c>
      <c r="I321" t="s">
        <v>1083</v>
      </c>
      <c r="J321">
        <v>3</v>
      </c>
      <c r="K321">
        <v>65099</v>
      </c>
      <c r="L321">
        <v>0.21</v>
      </c>
      <c r="M321">
        <v>51428.21</v>
      </c>
      <c r="N321">
        <v>154284.63</v>
      </c>
      <c r="O321">
        <v>0.15</v>
      </c>
      <c r="P321">
        <v>23142.69</v>
      </c>
      <c r="Q321" t="s">
        <v>51</v>
      </c>
      <c r="R321" t="s">
        <v>28</v>
      </c>
      <c r="S321">
        <v>8</v>
      </c>
      <c r="T321">
        <v>2024</v>
      </c>
      <c r="U321" t="s">
        <v>3091</v>
      </c>
      <c r="V321">
        <v>5</v>
      </c>
      <c r="W321" t="s">
        <v>3105</v>
      </c>
      <c r="X321">
        <v>131141.94</v>
      </c>
      <c r="Y321" t="s">
        <v>3077</v>
      </c>
      <c r="Z321" t="s">
        <v>3063</v>
      </c>
      <c r="AA321" t="s">
        <v>3079</v>
      </c>
    </row>
    <row r="322" spans="1:27" x14ac:dyDescent="0.3">
      <c r="A322" t="s">
        <v>2807</v>
      </c>
      <c r="B322" s="7">
        <v>45693</v>
      </c>
      <c r="C322" t="s">
        <v>96</v>
      </c>
      <c r="D322" t="s">
        <v>56</v>
      </c>
      <c r="E322" t="s">
        <v>2042</v>
      </c>
      <c r="F322" t="s">
        <v>43</v>
      </c>
      <c r="G322" t="s">
        <v>57</v>
      </c>
      <c r="H322" t="s">
        <v>183</v>
      </c>
      <c r="I322" t="s">
        <v>1454</v>
      </c>
      <c r="J322">
        <v>9</v>
      </c>
      <c r="K322">
        <v>16871</v>
      </c>
      <c r="L322">
        <v>0.24</v>
      </c>
      <c r="M322">
        <v>12821.96</v>
      </c>
      <c r="N322">
        <v>115397.64</v>
      </c>
      <c r="O322">
        <v>0.2</v>
      </c>
      <c r="P322">
        <v>23079.53</v>
      </c>
      <c r="Q322" t="s">
        <v>27</v>
      </c>
      <c r="R322" t="s">
        <v>48</v>
      </c>
      <c r="S322">
        <v>7</v>
      </c>
      <c r="T322">
        <v>2025</v>
      </c>
      <c r="U322" t="s">
        <v>3084</v>
      </c>
      <c r="V322">
        <v>2</v>
      </c>
      <c r="W322" t="s">
        <v>3090</v>
      </c>
      <c r="X322">
        <v>92318.11</v>
      </c>
      <c r="Y322" t="s">
        <v>3062</v>
      </c>
      <c r="Z322" t="s">
        <v>3063</v>
      </c>
      <c r="AA322" t="s">
        <v>3079</v>
      </c>
    </row>
    <row r="323" spans="1:27" x14ac:dyDescent="0.3">
      <c r="A323" t="s">
        <v>2956</v>
      </c>
      <c r="B323" s="7">
        <v>45842</v>
      </c>
      <c r="C323" t="s">
        <v>55</v>
      </c>
      <c r="D323" t="s">
        <v>56</v>
      </c>
      <c r="E323" t="s">
        <v>2042</v>
      </c>
      <c r="F323" t="s">
        <v>97</v>
      </c>
      <c r="G323" t="s">
        <v>34</v>
      </c>
      <c r="H323" t="s">
        <v>141</v>
      </c>
      <c r="I323" t="s">
        <v>608</v>
      </c>
      <c r="J323">
        <v>7</v>
      </c>
      <c r="K323">
        <v>1052</v>
      </c>
      <c r="L323">
        <v>0.13</v>
      </c>
      <c r="M323">
        <v>915.24</v>
      </c>
      <c r="N323">
        <v>6406.68</v>
      </c>
      <c r="O323">
        <v>0.4</v>
      </c>
      <c r="P323">
        <v>2562.67</v>
      </c>
      <c r="Q323" t="s">
        <v>37</v>
      </c>
      <c r="R323" t="s">
        <v>48</v>
      </c>
      <c r="S323">
        <v>4</v>
      </c>
      <c r="T323">
        <v>2025</v>
      </c>
      <c r="U323" t="s">
        <v>3088</v>
      </c>
      <c r="V323">
        <v>7</v>
      </c>
      <c r="W323" t="s">
        <v>3094</v>
      </c>
      <c r="X323">
        <v>3844.01</v>
      </c>
      <c r="Y323" t="s">
        <v>3062</v>
      </c>
      <c r="Z323" t="s">
        <v>3063</v>
      </c>
      <c r="AA323" t="s">
        <v>3079</v>
      </c>
    </row>
    <row r="324" spans="1:27" x14ac:dyDescent="0.3">
      <c r="A324" t="s">
        <v>2800</v>
      </c>
      <c r="B324" s="7">
        <v>45686</v>
      </c>
      <c r="C324" t="s">
        <v>63</v>
      </c>
      <c r="D324" t="s">
        <v>56</v>
      </c>
      <c r="E324" t="s">
        <v>2042</v>
      </c>
      <c r="F324" t="s">
        <v>97</v>
      </c>
      <c r="G324" t="s">
        <v>57</v>
      </c>
      <c r="H324" t="s">
        <v>58</v>
      </c>
      <c r="I324" t="s">
        <v>1573</v>
      </c>
      <c r="J324">
        <v>9</v>
      </c>
      <c r="K324">
        <v>14087</v>
      </c>
      <c r="L324">
        <v>0.09</v>
      </c>
      <c r="M324">
        <v>12819.17</v>
      </c>
      <c r="N324">
        <v>115372.53</v>
      </c>
      <c r="O324">
        <v>0.2</v>
      </c>
      <c r="P324">
        <v>23074.51</v>
      </c>
      <c r="Q324" t="s">
        <v>51</v>
      </c>
      <c r="R324" t="s">
        <v>48</v>
      </c>
      <c r="S324">
        <v>6</v>
      </c>
      <c r="T324">
        <v>2025</v>
      </c>
      <c r="U324" t="s">
        <v>3071</v>
      </c>
      <c r="V324">
        <v>1</v>
      </c>
      <c r="W324" t="s">
        <v>3072</v>
      </c>
      <c r="X324">
        <v>92298.02</v>
      </c>
      <c r="Y324" t="s">
        <v>3062</v>
      </c>
      <c r="Z324" t="s">
        <v>3063</v>
      </c>
      <c r="AA324" t="s">
        <v>3079</v>
      </c>
    </row>
    <row r="325" spans="1:27" x14ac:dyDescent="0.3">
      <c r="A325" t="s">
        <v>2865</v>
      </c>
      <c r="B325" s="7">
        <v>45751</v>
      </c>
      <c r="C325" t="s">
        <v>55</v>
      </c>
      <c r="D325" t="s">
        <v>41</v>
      </c>
      <c r="E325" t="s">
        <v>67</v>
      </c>
      <c r="F325" t="s">
        <v>103</v>
      </c>
      <c r="G325" t="s">
        <v>92</v>
      </c>
      <c r="H325" t="s">
        <v>243</v>
      </c>
      <c r="I325" t="s">
        <v>1701</v>
      </c>
      <c r="J325">
        <v>5</v>
      </c>
      <c r="K325">
        <v>40447</v>
      </c>
      <c r="L325">
        <v>0.25</v>
      </c>
      <c r="M325">
        <v>30335.25</v>
      </c>
      <c r="N325">
        <v>151676.25</v>
      </c>
      <c r="O325">
        <v>0.15</v>
      </c>
      <c r="P325">
        <v>22751.439999999999</v>
      </c>
      <c r="Q325" t="s">
        <v>47</v>
      </c>
      <c r="R325" t="s">
        <v>48</v>
      </c>
      <c r="S325">
        <v>6</v>
      </c>
      <c r="T325">
        <v>2025</v>
      </c>
      <c r="U325" t="s">
        <v>3080</v>
      </c>
      <c r="V325">
        <v>4</v>
      </c>
      <c r="W325" t="s">
        <v>3096</v>
      </c>
      <c r="X325">
        <v>128924.81</v>
      </c>
      <c r="Y325" t="s">
        <v>3062</v>
      </c>
      <c r="Z325" t="s">
        <v>3063</v>
      </c>
      <c r="AA325" t="s">
        <v>3079</v>
      </c>
    </row>
    <row r="326" spans="1:27" x14ac:dyDescent="0.3">
      <c r="A326" t="s">
        <v>2765</v>
      </c>
      <c r="B326" s="7">
        <v>45651</v>
      </c>
      <c r="C326" t="s">
        <v>96</v>
      </c>
      <c r="D326" t="s">
        <v>56</v>
      </c>
      <c r="E326" t="s">
        <v>67</v>
      </c>
      <c r="F326" t="s">
        <v>103</v>
      </c>
      <c r="G326" t="s">
        <v>92</v>
      </c>
      <c r="H326" t="s">
        <v>243</v>
      </c>
      <c r="I326" t="s">
        <v>1505</v>
      </c>
      <c r="J326">
        <v>8</v>
      </c>
      <c r="K326">
        <v>18706</v>
      </c>
      <c r="L326">
        <v>0</v>
      </c>
      <c r="M326">
        <v>18706</v>
      </c>
      <c r="N326">
        <v>149648</v>
      </c>
      <c r="O326">
        <v>0.15</v>
      </c>
      <c r="P326">
        <v>22447.200000000001</v>
      </c>
      <c r="Q326" t="s">
        <v>37</v>
      </c>
      <c r="R326" t="s">
        <v>48</v>
      </c>
      <c r="S326">
        <v>4</v>
      </c>
      <c r="T326">
        <v>2024</v>
      </c>
      <c r="U326" t="s">
        <v>3086</v>
      </c>
      <c r="V326">
        <v>12</v>
      </c>
      <c r="W326" t="s">
        <v>3087</v>
      </c>
      <c r="X326">
        <v>127200.8</v>
      </c>
      <c r="Y326" t="s">
        <v>3062</v>
      </c>
      <c r="Z326" t="s">
        <v>3063</v>
      </c>
      <c r="AA326" t="s">
        <v>3079</v>
      </c>
    </row>
    <row r="327" spans="1:27" x14ac:dyDescent="0.3">
      <c r="A327" t="s">
        <v>2535</v>
      </c>
      <c r="B327" s="7">
        <v>45421</v>
      </c>
      <c r="C327" t="s">
        <v>20</v>
      </c>
      <c r="D327" t="s">
        <v>41</v>
      </c>
      <c r="E327" t="s">
        <v>42</v>
      </c>
      <c r="F327" t="s">
        <v>97</v>
      </c>
      <c r="G327" t="s">
        <v>34</v>
      </c>
      <c r="H327" t="s">
        <v>141</v>
      </c>
      <c r="I327" t="s">
        <v>1054</v>
      </c>
      <c r="J327">
        <v>7</v>
      </c>
      <c r="K327">
        <v>1098</v>
      </c>
      <c r="L327">
        <v>0.16</v>
      </c>
      <c r="M327">
        <v>922.32</v>
      </c>
      <c r="N327">
        <v>6456.24</v>
      </c>
      <c r="O327">
        <v>0.4</v>
      </c>
      <c r="P327">
        <v>2582.5</v>
      </c>
      <c r="Q327" t="s">
        <v>47</v>
      </c>
      <c r="R327" t="s">
        <v>48</v>
      </c>
      <c r="S327">
        <v>8</v>
      </c>
      <c r="T327">
        <v>2024</v>
      </c>
      <c r="U327" t="s">
        <v>3091</v>
      </c>
      <c r="V327">
        <v>5</v>
      </c>
      <c r="W327" t="s">
        <v>3105</v>
      </c>
      <c r="X327">
        <v>3873.74</v>
      </c>
      <c r="Y327" t="s">
        <v>3077</v>
      </c>
      <c r="Z327" t="s">
        <v>3063</v>
      </c>
      <c r="AA327" t="s">
        <v>3079</v>
      </c>
    </row>
    <row r="328" spans="1:27" x14ac:dyDescent="0.3">
      <c r="A328" t="s">
        <v>2279</v>
      </c>
      <c r="B328" s="7">
        <v>45165</v>
      </c>
      <c r="C328" t="s">
        <v>96</v>
      </c>
      <c r="D328" t="s">
        <v>56</v>
      </c>
      <c r="E328" t="s">
        <v>42</v>
      </c>
      <c r="F328" t="s">
        <v>103</v>
      </c>
      <c r="G328" t="s">
        <v>34</v>
      </c>
      <c r="H328" t="s">
        <v>141</v>
      </c>
      <c r="I328" t="s">
        <v>548</v>
      </c>
      <c r="J328">
        <v>9</v>
      </c>
      <c r="K328">
        <v>910</v>
      </c>
      <c r="L328">
        <v>0.21</v>
      </c>
      <c r="M328">
        <v>718.9</v>
      </c>
      <c r="N328">
        <v>6470.1</v>
      </c>
      <c r="O328">
        <v>0.4</v>
      </c>
      <c r="P328">
        <v>2588.04</v>
      </c>
      <c r="Q328" t="s">
        <v>27</v>
      </c>
      <c r="R328" t="s">
        <v>48</v>
      </c>
      <c r="S328">
        <v>6</v>
      </c>
      <c r="T328">
        <v>2023</v>
      </c>
      <c r="U328" t="s">
        <v>3075</v>
      </c>
      <c r="V328">
        <v>8</v>
      </c>
      <c r="W328" t="s">
        <v>3109</v>
      </c>
      <c r="X328">
        <v>3882.0600000000004</v>
      </c>
      <c r="Y328" t="s">
        <v>3062</v>
      </c>
      <c r="Z328" t="s">
        <v>3063</v>
      </c>
      <c r="AA328" t="s">
        <v>3079</v>
      </c>
    </row>
    <row r="329" spans="1:27" x14ac:dyDescent="0.3">
      <c r="A329" t="s">
        <v>2370</v>
      </c>
      <c r="B329" s="7">
        <v>45256</v>
      </c>
      <c r="C329" t="s">
        <v>20</v>
      </c>
      <c r="D329" t="s">
        <v>41</v>
      </c>
      <c r="E329" t="s">
        <v>2040</v>
      </c>
      <c r="F329" t="s">
        <v>103</v>
      </c>
      <c r="G329" t="s">
        <v>57</v>
      </c>
      <c r="H329" t="s">
        <v>58</v>
      </c>
      <c r="I329" t="s">
        <v>728</v>
      </c>
      <c r="J329">
        <v>8</v>
      </c>
      <c r="K329">
        <v>18393</v>
      </c>
      <c r="L329">
        <v>0.24</v>
      </c>
      <c r="M329">
        <v>13978.68</v>
      </c>
      <c r="N329">
        <v>111829.44</v>
      </c>
      <c r="O329">
        <v>0.2</v>
      </c>
      <c r="P329">
        <v>22365.89</v>
      </c>
      <c r="Q329" t="s">
        <v>37</v>
      </c>
      <c r="R329" t="s">
        <v>48</v>
      </c>
      <c r="S329">
        <v>6</v>
      </c>
      <c r="T329">
        <v>2023</v>
      </c>
      <c r="U329" t="s">
        <v>3060</v>
      </c>
      <c r="V329">
        <v>11</v>
      </c>
      <c r="W329" t="s">
        <v>3061</v>
      </c>
      <c r="X329">
        <v>89463.55</v>
      </c>
      <c r="Y329" t="s">
        <v>3062</v>
      </c>
      <c r="Z329" t="s">
        <v>3063</v>
      </c>
      <c r="AA329" t="s">
        <v>3079</v>
      </c>
    </row>
    <row r="330" spans="1:27" x14ac:dyDescent="0.3">
      <c r="A330" t="s">
        <v>2804</v>
      </c>
      <c r="B330" s="7">
        <v>45690</v>
      </c>
      <c r="C330" t="s">
        <v>40</v>
      </c>
      <c r="D330" t="s">
        <v>56</v>
      </c>
      <c r="E330" t="s">
        <v>2040</v>
      </c>
      <c r="F330" t="s">
        <v>103</v>
      </c>
      <c r="G330" t="s">
        <v>34</v>
      </c>
      <c r="H330" t="s">
        <v>71</v>
      </c>
      <c r="I330" t="s">
        <v>1581</v>
      </c>
      <c r="J330">
        <v>5</v>
      </c>
      <c r="K330">
        <v>1355</v>
      </c>
      <c r="L330">
        <v>0.04</v>
      </c>
      <c r="M330">
        <v>1300.8</v>
      </c>
      <c r="N330">
        <v>6504</v>
      </c>
      <c r="O330">
        <v>0.4</v>
      </c>
      <c r="P330">
        <v>2601.6</v>
      </c>
      <c r="Q330" t="s">
        <v>47</v>
      </c>
      <c r="R330" t="s">
        <v>48</v>
      </c>
      <c r="S330">
        <v>5</v>
      </c>
      <c r="T330">
        <v>2025</v>
      </c>
      <c r="U330" t="s">
        <v>3084</v>
      </c>
      <c r="V330">
        <v>2</v>
      </c>
      <c r="W330" t="s">
        <v>3090</v>
      </c>
      <c r="X330">
        <v>3902.4</v>
      </c>
      <c r="Y330" t="s">
        <v>3062</v>
      </c>
      <c r="Z330" t="s">
        <v>3063</v>
      </c>
      <c r="AA330" t="s">
        <v>3079</v>
      </c>
    </row>
    <row r="331" spans="1:27" x14ac:dyDescent="0.3">
      <c r="A331" t="s">
        <v>2579</v>
      </c>
      <c r="B331" s="7">
        <v>45465</v>
      </c>
      <c r="C331" t="s">
        <v>30</v>
      </c>
      <c r="D331" t="s">
        <v>21</v>
      </c>
      <c r="E331" t="s">
        <v>2040</v>
      </c>
      <c r="F331" t="s">
        <v>68</v>
      </c>
      <c r="G331" t="s">
        <v>57</v>
      </c>
      <c r="H331" t="s">
        <v>58</v>
      </c>
      <c r="I331" t="s">
        <v>824</v>
      </c>
      <c r="J331">
        <v>7</v>
      </c>
      <c r="K331">
        <v>16083</v>
      </c>
      <c r="L331">
        <v>0.01</v>
      </c>
      <c r="M331">
        <v>15922.17</v>
      </c>
      <c r="N331">
        <v>111455.19</v>
      </c>
      <c r="O331">
        <v>0.2</v>
      </c>
      <c r="P331">
        <v>22291.040000000001</v>
      </c>
      <c r="Q331" t="s">
        <v>47</v>
      </c>
      <c r="R331" t="s">
        <v>48</v>
      </c>
      <c r="S331">
        <v>2</v>
      </c>
      <c r="T331">
        <v>2024</v>
      </c>
      <c r="U331" t="s">
        <v>3073</v>
      </c>
      <c r="V331">
        <v>6</v>
      </c>
      <c r="W331" t="s">
        <v>3074</v>
      </c>
      <c r="X331">
        <v>89164.15</v>
      </c>
      <c r="Y331" t="s">
        <v>3067</v>
      </c>
      <c r="Z331" t="s">
        <v>3063</v>
      </c>
      <c r="AA331" t="s">
        <v>3079</v>
      </c>
    </row>
    <row r="332" spans="1:27" x14ac:dyDescent="0.3">
      <c r="A332" t="s">
        <v>2915</v>
      </c>
      <c r="B332" s="7">
        <v>45801</v>
      </c>
      <c r="C332" t="s">
        <v>20</v>
      </c>
      <c r="D332" t="s">
        <v>41</v>
      </c>
      <c r="E332" t="s">
        <v>67</v>
      </c>
      <c r="F332" t="s">
        <v>97</v>
      </c>
      <c r="G332" t="s">
        <v>92</v>
      </c>
      <c r="H332" t="s">
        <v>178</v>
      </c>
      <c r="I332" t="s">
        <v>1799</v>
      </c>
      <c r="J332">
        <v>9</v>
      </c>
      <c r="K332">
        <v>19557</v>
      </c>
      <c r="L332">
        <v>0.17</v>
      </c>
      <c r="M332">
        <v>16232.31</v>
      </c>
      <c r="N332">
        <v>146090.79</v>
      </c>
      <c r="O332">
        <v>0.15</v>
      </c>
      <c r="P332">
        <v>21913.62</v>
      </c>
      <c r="Q332" t="s">
        <v>51</v>
      </c>
      <c r="R332" t="s">
        <v>48</v>
      </c>
      <c r="S332">
        <v>1</v>
      </c>
      <c r="T332">
        <v>2025</v>
      </c>
      <c r="U332" t="s">
        <v>3091</v>
      </c>
      <c r="V332">
        <v>5</v>
      </c>
      <c r="W332" t="s">
        <v>3106</v>
      </c>
      <c r="X332">
        <v>124177.17000000001</v>
      </c>
      <c r="Y332" t="s">
        <v>3067</v>
      </c>
      <c r="Z332" t="s">
        <v>3063</v>
      </c>
      <c r="AA332" t="s">
        <v>3079</v>
      </c>
    </row>
    <row r="333" spans="1:27" x14ac:dyDescent="0.3">
      <c r="A333" t="s">
        <v>3031</v>
      </c>
      <c r="B333" s="7">
        <v>45917</v>
      </c>
      <c r="C333" t="s">
        <v>63</v>
      </c>
      <c r="D333" t="s">
        <v>21</v>
      </c>
      <c r="E333" t="s">
        <v>2042</v>
      </c>
      <c r="F333" t="s">
        <v>43</v>
      </c>
      <c r="G333" t="s">
        <v>57</v>
      </c>
      <c r="H333" t="s">
        <v>183</v>
      </c>
      <c r="I333" t="s">
        <v>2021</v>
      </c>
      <c r="J333">
        <v>2</v>
      </c>
      <c r="K333">
        <v>8411</v>
      </c>
      <c r="L333">
        <v>0.22</v>
      </c>
      <c r="M333">
        <v>6560.58</v>
      </c>
      <c r="N333">
        <v>13121.16</v>
      </c>
      <c r="O333">
        <v>0.2</v>
      </c>
      <c r="P333">
        <v>2624.23</v>
      </c>
      <c r="Q333" t="s">
        <v>51</v>
      </c>
      <c r="R333" t="s">
        <v>38</v>
      </c>
      <c r="S333">
        <v>3</v>
      </c>
      <c r="T333">
        <v>2025</v>
      </c>
      <c r="U333" t="s">
        <v>3097</v>
      </c>
      <c r="V333">
        <v>9</v>
      </c>
      <c r="W333" t="s">
        <v>3110</v>
      </c>
      <c r="X333">
        <v>10496.93</v>
      </c>
      <c r="Y333" t="s">
        <v>3067</v>
      </c>
      <c r="Z333" t="s">
        <v>3063</v>
      </c>
      <c r="AA333" t="s">
        <v>3079</v>
      </c>
    </row>
    <row r="334" spans="1:27" x14ac:dyDescent="0.3">
      <c r="A334" t="s">
        <v>2431</v>
      </c>
      <c r="B334" s="7">
        <v>45317</v>
      </c>
      <c r="C334" t="s">
        <v>30</v>
      </c>
      <c r="D334" t="s">
        <v>41</v>
      </c>
      <c r="E334" t="s">
        <v>67</v>
      </c>
      <c r="F334" t="s">
        <v>103</v>
      </c>
      <c r="G334" t="s">
        <v>92</v>
      </c>
      <c r="H334" t="s">
        <v>178</v>
      </c>
      <c r="I334" t="s">
        <v>848</v>
      </c>
      <c r="J334">
        <v>2</v>
      </c>
      <c r="K334">
        <v>74315</v>
      </c>
      <c r="L334">
        <v>0.02</v>
      </c>
      <c r="M334">
        <v>72828.7</v>
      </c>
      <c r="N334">
        <v>145657.4</v>
      </c>
      <c r="O334">
        <v>0.15</v>
      </c>
      <c r="P334">
        <v>21848.61</v>
      </c>
      <c r="Q334" t="s">
        <v>51</v>
      </c>
      <c r="R334" t="s">
        <v>48</v>
      </c>
      <c r="S334">
        <v>3</v>
      </c>
      <c r="T334">
        <v>2024</v>
      </c>
      <c r="U334" t="s">
        <v>3071</v>
      </c>
      <c r="V334">
        <v>1</v>
      </c>
      <c r="W334" t="s">
        <v>3078</v>
      </c>
      <c r="X334">
        <v>123808.79</v>
      </c>
      <c r="Y334" t="s">
        <v>3067</v>
      </c>
      <c r="Z334" t="s">
        <v>3063</v>
      </c>
      <c r="AA334" t="s">
        <v>3079</v>
      </c>
    </row>
    <row r="335" spans="1:27" x14ac:dyDescent="0.3">
      <c r="A335" t="s">
        <v>2361</v>
      </c>
      <c r="B335" s="7">
        <v>45247</v>
      </c>
      <c r="C335" t="s">
        <v>63</v>
      </c>
      <c r="D335" t="s">
        <v>41</v>
      </c>
      <c r="E335" t="s">
        <v>67</v>
      </c>
      <c r="F335" t="s">
        <v>68</v>
      </c>
      <c r="G335" t="s">
        <v>57</v>
      </c>
      <c r="H335" t="s">
        <v>183</v>
      </c>
      <c r="I335" t="s">
        <v>710</v>
      </c>
      <c r="J335">
        <v>7</v>
      </c>
      <c r="K335">
        <v>15673</v>
      </c>
      <c r="L335">
        <v>0.02</v>
      </c>
      <c r="M335">
        <v>15359.54</v>
      </c>
      <c r="N335">
        <v>107516.78</v>
      </c>
      <c r="O335">
        <v>0.2</v>
      </c>
      <c r="P335">
        <v>21503.360000000001</v>
      </c>
      <c r="Q335" t="s">
        <v>51</v>
      </c>
      <c r="R335" t="s">
        <v>48</v>
      </c>
      <c r="S335">
        <v>2</v>
      </c>
      <c r="T335">
        <v>2023</v>
      </c>
      <c r="U335" t="s">
        <v>3060</v>
      </c>
      <c r="V335">
        <v>11</v>
      </c>
      <c r="W335" t="s">
        <v>3061</v>
      </c>
      <c r="X335">
        <v>86013.42</v>
      </c>
      <c r="Y335" t="s">
        <v>3067</v>
      </c>
      <c r="Z335" t="s">
        <v>3063</v>
      </c>
      <c r="AA335" t="s">
        <v>3079</v>
      </c>
    </row>
    <row r="336" spans="1:27" x14ac:dyDescent="0.3">
      <c r="A336" t="s">
        <v>2637</v>
      </c>
      <c r="B336" s="7">
        <v>45523</v>
      </c>
      <c r="C336" t="s">
        <v>63</v>
      </c>
      <c r="D336" t="s">
        <v>31</v>
      </c>
      <c r="E336" t="s">
        <v>2042</v>
      </c>
      <c r="F336" t="s">
        <v>23</v>
      </c>
      <c r="G336" t="s">
        <v>34</v>
      </c>
      <c r="H336" t="s">
        <v>141</v>
      </c>
      <c r="I336" t="s">
        <v>1255</v>
      </c>
      <c r="J336">
        <v>9</v>
      </c>
      <c r="K336">
        <v>943</v>
      </c>
      <c r="L336">
        <v>0.21</v>
      </c>
      <c r="M336">
        <v>744.97</v>
      </c>
      <c r="N336">
        <v>6704.73</v>
      </c>
      <c r="O336">
        <v>0.4</v>
      </c>
      <c r="P336">
        <v>2681.89</v>
      </c>
      <c r="Q336" t="s">
        <v>37</v>
      </c>
      <c r="R336" t="s">
        <v>48</v>
      </c>
      <c r="S336">
        <v>2</v>
      </c>
      <c r="T336">
        <v>2024</v>
      </c>
      <c r="U336" t="s">
        <v>3075</v>
      </c>
      <c r="V336">
        <v>8</v>
      </c>
      <c r="W336" t="s">
        <v>3093</v>
      </c>
      <c r="X336">
        <v>4022.8399999999997</v>
      </c>
      <c r="Y336" t="s">
        <v>3067</v>
      </c>
      <c r="Z336" t="s">
        <v>3063</v>
      </c>
      <c r="AA336" t="s">
        <v>3079</v>
      </c>
    </row>
    <row r="337" spans="1:27" x14ac:dyDescent="0.3">
      <c r="A337" t="s">
        <v>2894</v>
      </c>
      <c r="B337" s="7">
        <v>45780</v>
      </c>
      <c r="C337" t="s">
        <v>96</v>
      </c>
      <c r="D337" t="s">
        <v>21</v>
      </c>
      <c r="E337" t="s">
        <v>42</v>
      </c>
      <c r="F337" t="s">
        <v>97</v>
      </c>
      <c r="G337" t="s">
        <v>57</v>
      </c>
      <c r="H337" t="s">
        <v>58</v>
      </c>
      <c r="I337" t="s">
        <v>1758</v>
      </c>
      <c r="J337">
        <v>1</v>
      </c>
      <c r="K337">
        <v>17078</v>
      </c>
      <c r="L337">
        <v>0.21</v>
      </c>
      <c r="M337">
        <v>13491.62</v>
      </c>
      <c r="N337">
        <v>13491.62</v>
      </c>
      <c r="O337">
        <v>0.2</v>
      </c>
      <c r="P337">
        <v>2698.32</v>
      </c>
      <c r="Q337" t="s">
        <v>37</v>
      </c>
      <c r="R337" t="s">
        <v>48</v>
      </c>
      <c r="S337">
        <v>2</v>
      </c>
      <c r="T337">
        <v>2025</v>
      </c>
      <c r="U337" t="s">
        <v>3091</v>
      </c>
      <c r="V337">
        <v>5</v>
      </c>
      <c r="W337" t="s">
        <v>3106</v>
      </c>
      <c r="X337">
        <v>10793.300000000001</v>
      </c>
      <c r="Y337" t="s">
        <v>3067</v>
      </c>
      <c r="Z337" t="s">
        <v>3063</v>
      </c>
      <c r="AA337" t="s">
        <v>3079</v>
      </c>
    </row>
    <row r="338" spans="1:27" x14ac:dyDescent="0.3">
      <c r="A338" t="s">
        <v>2362</v>
      </c>
      <c r="B338" s="7">
        <v>45248</v>
      </c>
      <c r="C338" t="s">
        <v>55</v>
      </c>
      <c r="D338" t="s">
        <v>21</v>
      </c>
      <c r="E338" t="s">
        <v>2040</v>
      </c>
      <c r="F338" t="s">
        <v>103</v>
      </c>
      <c r="G338" t="s">
        <v>57</v>
      </c>
      <c r="H338" t="s">
        <v>183</v>
      </c>
      <c r="I338" t="s">
        <v>712</v>
      </c>
      <c r="J338">
        <v>9</v>
      </c>
      <c r="K338">
        <v>13130</v>
      </c>
      <c r="L338">
        <v>0.1</v>
      </c>
      <c r="M338">
        <v>11817</v>
      </c>
      <c r="N338">
        <v>106353</v>
      </c>
      <c r="O338">
        <v>0.2</v>
      </c>
      <c r="P338">
        <v>21270.6</v>
      </c>
      <c r="Q338" t="s">
        <v>51</v>
      </c>
      <c r="R338" t="s">
        <v>28</v>
      </c>
      <c r="S338">
        <v>2</v>
      </c>
      <c r="T338">
        <v>2023</v>
      </c>
      <c r="U338" t="s">
        <v>3060</v>
      </c>
      <c r="V338">
        <v>11</v>
      </c>
      <c r="W338" t="s">
        <v>3061</v>
      </c>
      <c r="X338">
        <v>85082.4</v>
      </c>
      <c r="Y338" t="s">
        <v>3067</v>
      </c>
      <c r="Z338" t="s">
        <v>3063</v>
      </c>
      <c r="AA338" t="s">
        <v>3079</v>
      </c>
    </row>
    <row r="339" spans="1:27" x14ac:dyDescent="0.3">
      <c r="A339" t="s">
        <v>2206</v>
      </c>
      <c r="B339" s="7">
        <v>45092</v>
      </c>
      <c r="C339" t="s">
        <v>63</v>
      </c>
      <c r="D339" t="s">
        <v>31</v>
      </c>
      <c r="E339" t="s">
        <v>2040</v>
      </c>
      <c r="F339" t="s">
        <v>43</v>
      </c>
      <c r="G339" t="s">
        <v>57</v>
      </c>
      <c r="H339" t="s">
        <v>58</v>
      </c>
      <c r="I339" t="s">
        <v>402</v>
      </c>
      <c r="J339">
        <v>4</v>
      </c>
      <c r="K339">
        <v>4289</v>
      </c>
      <c r="L339">
        <v>0.2</v>
      </c>
      <c r="M339">
        <v>3431.2</v>
      </c>
      <c r="N339">
        <v>13724.8</v>
      </c>
      <c r="O339">
        <v>0.2</v>
      </c>
      <c r="P339">
        <v>2744.96</v>
      </c>
      <c r="Q339" t="s">
        <v>47</v>
      </c>
      <c r="R339" t="s">
        <v>48</v>
      </c>
      <c r="S339">
        <v>3</v>
      </c>
      <c r="T339">
        <v>2023</v>
      </c>
      <c r="U339" t="s">
        <v>3073</v>
      </c>
      <c r="V339">
        <v>6</v>
      </c>
      <c r="W339" t="s">
        <v>3103</v>
      </c>
      <c r="X339">
        <v>10979.84</v>
      </c>
      <c r="Y339" t="s">
        <v>3067</v>
      </c>
      <c r="Z339" t="s">
        <v>3063</v>
      </c>
      <c r="AA339" t="s">
        <v>3079</v>
      </c>
    </row>
    <row r="340" spans="1:27" x14ac:dyDescent="0.3">
      <c r="A340" t="s">
        <v>2850</v>
      </c>
      <c r="B340" s="7">
        <v>45736</v>
      </c>
      <c r="C340" t="s">
        <v>96</v>
      </c>
      <c r="D340" t="s">
        <v>56</v>
      </c>
      <c r="E340" t="s">
        <v>2040</v>
      </c>
      <c r="F340" t="s">
        <v>43</v>
      </c>
      <c r="G340" t="s">
        <v>34</v>
      </c>
      <c r="H340" t="s">
        <v>35</v>
      </c>
      <c r="I340" t="s">
        <v>1671</v>
      </c>
      <c r="J340">
        <v>8</v>
      </c>
      <c r="K340">
        <v>1030</v>
      </c>
      <c r="L340">
        <v>0.16</v>
      </c>
      <c r="M340">
        <v>865.2</v>
      </c>
      <c r="N340">
        <v>6921.6</v>
      </c>
      <c r="O340">
        <v>0.4</v>
      </c>
      <c r="P340">
        <v>2768.64</v>
      </c>
      <c r="Q340" t="s">
        <v>27</v>
      </c>
      <c r="R340" t="s">
        <v>48</v>
      </c>
      <c r="S340">
        <v>9</v>
      </c>
      <c r="T340">
        <v>2025</v>
      </c>
      <c r="U340" t="s">
        <v>3069</v>
      </c>
      <c r="V340">
        <v>3</v>
      </c>
      <c r="W340" t="s">
        <v>3070</v>
      </c>
      <c r="X340">
        <v>4152.9600000000009</v>
      </c>
      <c r="Y340" t="s">
        <v>3077</v>
      </c>
      <c r="Z340" t="s">
        <v>3063</v>
      </c>
      <c r="AA340" t="s">
        <v>3079</v>
      </c>
    </row>
    <row r="341" spans="1:27" x14ac:dyDescent="0.3">
      <c r="A341" t="s">
        <v>2759</v>
      </c>
      <c r="B341" s="7">
        <v>45645</v>
      </c>
      <c r="C341" t="s">
        <v>63</v>
      </c>
      <c r="D341" t="s">
        <v>31</v>
      </c>
      <c r="E341" t="s">
        <v>67</v>
      </c>
      <c r="F341" t="s">
        <v>103</v>
      </c>
      <c r="G341" t="s">
        <v>57</v>
      </c>
      <c r="H341" t="s">
        <v>183</v>
      </c>
      <c r="I341" t="s">
        <v>1493</v>
      </c>
      <c r="J341">
        <v>9</v>
      </c>
      <c r="K341">
        <v>12517</v>
      </c>
      <c r="L341">
        <v>0.06</v>
      </c>
      <c r="M341">
        <v>11765.98</v>
      </c>
      <c r="N341">
        <v>105893.82</v>
      </c>
      <c r="O341">
        <v>0.2</v>
      </c>
      <c r="P341">
        <v>21178.76</v>
      </c>
      <c r="Q341" t="s">
        <v>37</v>
      </c>
      <c r="R341" t="s">
        <v>38</v>
      </c>
      <c r="S341">
        <v>3</v>
      </c>
      <c r="T341">
        <v>2024</v>
      </c>
      <c r="U341" t="s">
        <v>3086</v>
      </c>
      <c r="V341">
        <v>12</v>
      </c>
      <c r="W341" t="s">
        <v>3087</v>
      </c>
      <c r="X341">
        <v>84715.060000000012</v>
      </c>
      <c r="Y341" t="s">
        <v>3067</v>
      </c>
      <c r="Z341" t="s">
        <v>3063</v>
      </c>
      <c r="AA341" t="s">
        <v>3079</v>
      </c>
    </row>
    <row r="342" spans="1:27" x14ac:dyDescent="0.3">
      <c r="A342" t="s">
        <v>2969</v>
      </c>
      <c r="B342" s="7">
        <v>45855</v>
      </c>
      <c r="C342" t="s">
        <v>40</v>
      </c>
      <c r="D342" t="s">
        <v>31</v>
      </c>
      <c r="E342" t="s">
        <v>2040</v>
      </c>
      <c r="F342" t="s">
        <v>97</v>
      </c>
      <c r="G342" t="s">
        <v>92</v>
      </c>
      <c r="H342" t="s">
        <v>93</v>
      </c>
      <c r="I342" t="s">
        <v>1901</v>
      </c>
      <c r="J342">
        <v>9</v>
      </c>
      <c r="K342">
        <v>17521</v>
      </c>
      <c r="L342">
        <v>0.11</v>
      </c>
      <c r="M342">
        <v>15593.69</v>
      </c>
      <c r="N342">
        <v>140343.21</v>
      </c>
      <c r="O342">
        <v>0.15</v>
      </c>
      <c r="P342">
        <v>21051.48</v>
      </c>
      <c r="Q342" t="s">
        <v>47</v>
      </c>
      <c r="R342" t="s">
        <v>48</v>
      </c>
      <c r="S342">
        <v>5</v>
      </c>
      <c r="T342">
        <v>2025</v>
      </c>
      <c r="U342" t="s">
        <v>3088</v>
      </c>
      <c r="V342">
        <v>7</v>
      </c>
      <c r="W342" t="s">
        <v>3094</v>
      </c>
      <c r="X342">
        <v>119291.73</v>
      </c>
      <c r="Y342" t="s">
        <v>3062</v>
      </c>
      <c r="Z342" t="s">
        <v>3063</v>
      </c>
      <c r="AA342" t="s">
        <v>3079</v>
      </c>
    </row>
    <row r="343" spans="1:27" x14ac:dyDescent="0.3">
      <c r="A343" t="s">
        <v>2612</v>
      </c>
      <c r="B343" s="7">
        <v>45498</v>
      </c>
      <c r="C343" t="s">
        <v>20</v>
      </c>
      <c r="D343" t="s">
        <v>56</v>
      </c>
      <c r="E343" t="s">
        <v>2042</v>
      </c>
      <c r="F343" t="s">
        <v>68</v>
      </c>
      <c r="G343" t="s">
        <v>57</v>
      </c>
      <c r="H343" t="s">
        <v>100</v>
      </c>
      <c r="I343" t="s">
        <v>1206</v>
      </c>
      <c r="J343">
        <v>2</v>
      </c>
      <c r="K343">
        <v>7542</v>
      </c>
      <c r="L343">
        <v>0.06</v>
      </c>
      <c r="M343">
        <v>7089.48</v>
      </c>
      <c r="N343">
        <v>14178.96</v>
      </c>
      <c r="O343">
        <v>0.2</v>
      </c>
      <c r="P343">
        <v>2835.79</v>
      </c>
      <c r="Q343" t="s">
        <v>51</v>
      </c>
      <c r="R343" t="s">
        <v>38</v>
      </c>
      <c r="S343">
        <v>6</v>
      </c>
      <c r="T343">
        <v>2024</v>
      </c>
      <c r="U343" t="s">
        <v>3088</v>
      </c>
      <c r="V343">
        <v>7</v>
      </c>
      <c r="W343" t="s">
        <v>3089</v>
      </c>
      <c r="X343">
        <v>11343.169999999998</v>
      </c>
      <c r="Y343" t="s">
        <v>3062</v>
      </c>
      <c r="Z343" t="s">
        <v>3063</v>
      </c>
      <c r="AA343" t="s">
        <v>3079</v>
      </c>
    </row>
    <row r="344" spans="1:27" x14ac:dyDescent="0.3">
      <c r="A344" t="s">
        <v>2649</v>
      </c>
      <c r="B344" s="7">
        <v>45535</v>
      </c>
      <c r="C344" t="s">
        <v>55</v>
      </c>
      <c r="D344" t="s">
        <v>21</v>
      </c>
      <c r="E344" t="s">
        <v>2040</v>
      </c>
      <c r="F344" t="s">
        <v>68</v>
      </c>
      <c r="G344" t="s">
        <v>57</v>
      </c>
      <c r="H344" t="s">
        <v>58</v>
      </c>
      <c r="I344" t="s">
        <v>1278</v>
      </c>
      <c r="J344">
        <v>1</v>
      </c>
      <c r="K344">
        <v>18955</v>
      </c>
      <c r="L344">
        <v>0.25</v>
      </c>
      <c r="M344">
        <v>14216.25</v>
      </c>
      <c r="N344">
        <v>14216.25</v>
      </c>
      <c r="O344">
        <v>0.2</v>
      </c>
      <c r="P344">
        <v>2843.25</v>
      </c>
      <c r="Q344" t="s">
        <v>47</v>
      </c>
      <c r="R344" t="s">
        <v>48</v>
      </c>
      <c r="S344">
        <v>5</v>
      </c>
      <c r="T344">
        <v>2024</v>
      </c>
      <c r="U344" t="s">
        <v>3075</v>
      </c>
      <c r="V344">
        <v>8</v>
      </c>
      <c r="W344" t="s">
        <v>3093</v>
      </c>
      <c r="X344">
        <v>11373</v>
      </c>
      <c r="Y344" t="s">
        <v>3062</v>
      </c>
      <c r="Z344" t="s">
        <v>3063</v>
      </c>
      <c r="AA344" t="s">
        <v>3079</v>
      </c>
    </row>
    <row r="345" spans="1:27" x14ac:dyDescent="0.3">
      <c r="A345" t="s">
        <v>2163</v>
      </c>
      <c r="B345" s="7">
        <v>45049</v>
      </c>
      <c r="C345" t="s">
        <v>63</v>
      </c>
      <c r="D345" t="s">
        <v>56</v>
      </c>
      <c r="E345" t="s">
        <v>42</v>
      </c>
      <c r="F345" t="s">
        <v>23</v>
      </c>
      <c r="G345" t="s">
        <v>34</v>
      </c>
      <c r="H345" t="s">
        <v>141</v>
      </c>
      <c r="I345" t="s">
        <v>316</v>
      </c>
      <c r="J345">
        <v>9</v>
      </c>
      <c r="K345">
        <v>791</v>
      </c>
      <c r="L345">
        <v>0</v>
      </c>
      <c r="M345">
        <v>791</v>
      </c>
      <c r="N345">
        <v>7119</v>
      </c>
      <c r="O345">
        <v>0.4</v>
      </c>
      <c r="P345">
        <v>2847.6</v>
      </c>
      <c r="Q345" t="s">
        <v>27</v>
      </c>
      <c r="R345" t="s">
        <v>38</v>
      </c>
      <c r="S345">
        <v>2</v>
      </c>
      <c r="T345">
        <v>2023</v>
      </c>
      <c r="U345" t="s">
        <v>3091</v>
      </c>
      <c r="V345">
        <v>5</v>
      </c>
      <c r="W345" t="s">
        <v>3092</v>
      </c>
      <c r="X345">
        <v>4271.3999999999996</v>
      </c>
      <c r="Y345" t="s">
        <v>3067</v>
      </c>
      <c r="Z345" t="s">
        <v>3063</v>
      </c>
      <c r="AA345" t="s">
        <v>3079</v>
      </c>
    </row>
    <row r="346" spans="1:27" x14ac:dyDescent="0.3">
      <c r="A346" t="s">
        <v>2135</v>
      </c>
      <c r="B346" s="7">
        <v>45021</v>
      </c>
      <c r="C346" t="s">
        <v>63</v>
      </c>
      <c r="D346" t="s">
        <v>41</v>
      </c>
      <c r="E346" t="s">
        <v>42</v>
      </c>
      <c r="F346" t="s">
        <v>97</v>
      </c>
      <c r="G346" t="s">
        <v>92</v>
      </c>
      <c r="H346" t="s">
        <v>178</v>
      </c>
      <c r="I346" t="s">
        <v>260</v>
      </c>
      <c r="J346">
        <v>5</v>
      </c>
      <c r="K346">
        <v>36916</v>
      </c>
      <c r="L346">
        <v>0.24</v>
      </c>
      <c r="M346">
        <v>28056.16</v>
      </c>
      <c r="N346">
        <v>140280.79999999999</v>
      </c>
      <c r="O346">
        <v>0.15</v>
      </c>
      <c r="P346">
        <v>21042.12</v>
      </c>
      <c r="Q346" t="s">
        <v>27</v>
      </c>
      <c r="R346" t="s">
        <v>48</v>
      </c>
      <c r="S346">
        <v>8</v>
      </c>
      <c r="T346">
        <v>2023</v>
      </c>
      <c r="U346" t="s">
        <v>3080</v>
      </c>
      <c r="V346">
        <v>4</v>
      </c>
      <c r="W346" t="s">
        <v>3081</v>
      </c>
      <c r="X346">
        <v>119238.68</v>
      </c>
      <c r="Y346" t="s">
        <v>3077</v>
      </c>
      <c r="Z346" t="s">
        <v>3063</v>
      </c>
      <c r="AA346" t="s">
        <v>3079</v>
      </c>
    </row>
    <row r="347" spans="1:27" x14ac:dyDescent="0.3">
      <c r="A347" t="s">
        <v>2869</v>
      </c>
      <c r="B347" s="7">
        <v>45755</v>
      </c>
      <c r="C347" t="s">
        <v>40</v>
      </c>
      <c r="D347" t="s">
        <v>41</v>
      </c>
      <c r="E347" t="s">
        <v>2042</v>
      </c>
      <c r="F347" t="s">
        <v>68</v>
      </c>
      <c r="G347" t="s">
        <v>57</v>
      </c>
      <c r="H347" t="s">
        <v>58</v>
      </c>
      <c r="I347" t="s">
        <v>1708</v>
      </c>
      <c r="J347">
        <v>7</v>
      </c>
      <c r="K347">
        <v>18230</v>
      </c>
      <c r="L347">
        <v>0.18</v>
      </c>
      <c r="M347">
        <v>14948.6</v>
      </c>
      <c r="N347">
        <v>104640.2</v>
      </c>
      <c r="O347">
        <v>0.2</v>
      </c>
      <c r="P347">
        <v>20928.04</v>
      </c>
      <c r="Q347" t="s">
        <v>51</v>
      </c>
      <c r="R347" t="s">
        <v>48</v>
      </c>
      <c r="S347">
        <v>2</v>
      </c>
      <c r="T347">
        <v>2025</v>
      </c>
      <c r="U347" t="s">
        <v>3080</v>
      </c>
      <c r="V347">
        <v>4</v>
      </c>
      <c r="W347" t="s">
        <v>3096</v>
      </c>
      <c r="X347">
        <v>83712.160000000003</v>
      </c>
      <c r="Y347" t="s">
        <v>3067</v>
      </c>
      <c r="Z347" t="s">
        <v>3063</v>
      </c>
      <c r="AA347" t="s">
        <v>3079</v>
      </c>
    </row>
    <row r="348" spans="1:27" x14ac:dyDescent="0.3">
      <c r="A348" t="s">
        <v>2157</v>
      </c>
      <c r="B348" s="7">
        <v>45043</v>
      </c>
      <c r="C348" t="s">
        <v>20</v>
      </c>
      <c r="D348" t="s">
        <v>56</v>
      </c>
      <c r="E348" t="s">
        <v>42</v>
      </c>
      <c r="F348" t="s">
        <v>23</v>
      </c>
      <c r="G348" t="s">
        <v>57</v>
      </c>
      <c r="H348" t="s">
        <v>100</v>
      </c>
      <c r="I348" t="s">
        <v>304</v>
      </c>
      <c r="J348">
        <v>9</v>
      </c>
      <c r="K348">
        <v>14588</v>
      </c>
      <c r="L348">
        <v>0.22</v>
      </c>
      <c r="M348">
        <v>11378.64</v>
      </c>
      <c r="N348">
        <v>102407.76</v>
      </c>
      <c r="O348">
        <v>0.2</v>
      </c>
      <c r="P348">
        <v>20481.55</v>
      </c>
      <c r="Q348" t="s">
        <v>27</v>
      </c>
      <c r="R348" t="s">
        <v>38</v>
      </c>
      <c r="S348">
        <v>5</v>
      </c>
      <c r="T348">
        <v>2023</v>
      </c>
      <c r="U348" t="s">
        <v>3080</v>
      </c>
      <c r="V348">
        <v>4</v>
      </c>
      <c r="W348" t="s">
        <v>3081</v>
      </c>
      <c r="X348">
        <v>81926.209999999992</v>
      </c>
      <c r="Y348" t="s">
        <v>3062</v>
      </c>
      <c r="Z348" t="s">
        <v>3063</v>
      </c>
      <c r="AA348" t="s">
        <v>3079</v>
      </c>
    </row>
    <row r="349" spans="1:27" x14ac:dyDescent="0.3">
      <c r="A349" t="s">
        <v>2354</v>
      </c>
      <c r="B349" s="7">
        <v>45240</v>
      </c>
      <c r="C349" t="s">
        <v>40</v>
      </c>
      <c r="D349" t="s">
        <v>21</v>
      </c>
      <c r="E349" t="s">
        <v>67</v>
      </c>
      <c r="F349" t="s">
        <v>68</v>
      </c>
      <c r="G349" t="s">
        <v>92</v>
      </c>
      <c r="H349" t="s">
        <v>243</v>
      </c>
      <c r="I349" t="s">
        <v>696</v>
      </c>
      <c r="J349">
        <v>9</v>
      </c>
      <c r="K349">
        <v>16441</v>
      </c>
      <c r="L349">
        <v>0.08</v>
      </c>
      <c r="M349">
        <v>15125.72</v>
      </c>
      <c r="N349">
        <v>136131.48000000001</v>
      </c>
      <c r="O349">
        <v>0.15</v>
      </c>
      <c r="P349">
        <v>20419.72</v>
      </c>
      <c r="Q349" t="s">
        <v>47</v>
      </c>
      <c r="R349" t="s">
        <v>48</v>
      </c>
      <c r="S349">
        <v>2</v>
      </c>
      <c r="T349">
        <v>2023</v>
      </c>
      <c r="U349" t="s">
        <v>3060</v>
      </c>
      <c r="V349">
        <v>11</v>
      </c>
      <c r="W349" t="s">
        <v>3061</v>
      </c>
      <c r="X349">
        <v>115711.76000000001</v>
      </c>
      <c r="Y349" t="s">
        <v>3067</v>
      </c>
      <c r="Z349" t="s">
        <v>3063</v>
      </c>
      <c r="AA349" t="s">
        <v>3079</v>
      </c>
    </row>
    <row r="350" spans="1:27" x14ac:dyDescent="0.3">
      <c r="A350" t="s">
        <v>2228</v>
      </c>
      <c r="B350" s="7">
        <v>45114</v>
      </c>
      <c r="C350" t="s">
        <v>40</v>
      </c>
      <c r="D350" t="s">
        <v>21</v>
      </c>
      <c r="E350" t="s">
        <v>2042</v>
      </c>
      <c r="F350" t="s">
        <v>23</v>
      </c>
      <c r="G350" t="s">
        <v>92</v>
      </c>
      <c r="H350" t="s">
        <v>178</v>
      </c>
      <c r="I350" t="s">
        <v>446</v>
      </c>
      <c r="J350">
        <v>5</v>
      </c>
      <c r="K350">
        <v>33196</v>
      </c>
      <c r="L350">
        <v>0.18</v>
      </c>
      <c r="M350">
        <v>27220.720000000001</v>
      </c>
      <c r="N350">
        <v>136103.6</v>
      </c>
      <c r="O350">
        <v>0.15</v>
      </c>
      <c r="P350">
        <v>20415.54</v>
      </c>
      <c r="Q350" t="s">
        <v>37</v>
      </c>
      <c r="R350" t="s">
        <v>28</v>
      </c>
      <c r="S350">
        <v>5</v>
      </c>
      <c r="T350">
        <v>2023</v>
      </c>
      <c r="U350" t="s">
        <v>3088</v>
      </c>
      <c r="V350">
        <v>7</v>
      </c>
      <c r="W350" t="s">
        <v>3111</v>
      </c>
      <c r="X350">
        <v>115688.06</v>
      </c>
      <c r="Y350" t="s">
        <v>3062</v>
      </c>
      <c r="Z350" t="s">
        <v>3063</v>
      </c>
      <c r="AA350" t="s">
        <v>3079</v>
      </c>
    </row>
    <row r="351" spans="1:27" x14ac:dyDescent="0.3">
      <c r="A351" t="s">
        <v>2925</v>
      </c>
      <c r="B351" s="7">
        <v>45811</v>
      </c>
      <c r="C351" t="s">
        <v>40</v>
      </c>
      <c r="D351" t="s">
        <v>21</v>
      </c>
      <c r="E351" t="s">
        <v>2040</v>
      </c>
      <c r="F351" t="s">
        <v>103</v>
      </c>
      <c r="G351" t="s">
        <v>92</v>
      </c>
      <c r="H351" t="s">
        <v>178</v>
      </c>
      <c r="I351" t="s">
        <v>1819</v>
      </c>
      <c r="J351">
        <v>7</v>
      </c>
      <c r="K351">
        <v>19833</v>
      </c>
      <c r="L351">
        <v>0.02</v>
      </c>
      <c r="M351">
        <v>19436.34</v>
      </c>
      <c r="N351">
        <v>136054.38</v>
      </c>
      <c r="O351">
        <v>0.15</v>
      </c>
      <c r="P351">
        <v>20408.16</v>
      </c>
      <c r="Q351" t="s">
        <v>51</v>
      </c>
      <c r="R351" t="s">
        <v>48</v>
      </c>
      <c r="S351">
        <v>1</v>
      </c>
      <c r="T351">
        <v>2025</v>
      </c>
      <c r="U351" t="s">
        <v>3073</v>
      </c>
      <c r="V351">
        <v>6</v>
      </c>
      <c r="W351" t="s">
        <v>3083</v>
      </c>
      <c r="X351">
        <v>115646.22</v>
      </c>
      <c r="Y351" t="s">
        <v>3067</v>
      </c>
      <c r="Z351" t="s">
        <v>3063</v>
      </c>
      <c r="AA351" t="s">
        <v>3079</v>
      </c>
    </row>
    <row r="352" spans="1:27" x14ac:dyDescent="0.3">
      <c r="A352" t="s">
        <v>2392</v>
      </c>
      <c r="B352" s="7">
        <v>45278</v>
      </c>
      <c r="C352" t="s">
        <v>55</v>
      </c>
      <c r="D352" t="s">
        <v>56</v>
      </c>
      <c r="E352" t="s">
        <v>42</v>
      </c>
      <c r="F352" t="s">
        <v>23</v>
      </c>
      <c r="G352" t="s">
        <v>57</v>
      </c>
      <c r="H352" t="s">
        <v>183</v>
      </c>
      <c r="I352" t="s">
        <v>771</v>
      </c>
      <c r="J352">
        <v>6</v>
      </c>
      <c r="K352">
        <v>19014</v>
      </c>
      <c r="L352">
        <v>0.12</v>
      </c>
      <c r="M352">
        <v>16732.32</v>
      </c>
      <c r="N352">
        <v>100393.92</v>
      </c>
      <c r="O352">
        <v>0.2</v>
      </c>
      <c r="P352">
        <v>20078.78</v>
      </c>
      <c r="Q352" t="s">
        <v>37</v>
      </c>
      <c r="R352" t="s">
        <v>48</v>
      </c>
      <c r="S352">
        <v>7</v>
      </c>
      <c r="T352">
        <v>2023</v>
      </c>
      <c r="U352" t="s">
        <v>3086</v>
      </c>
      <c r="V352">
        <v>12</v>
      </c>
      <c r="W352" t="s">
        <v>3099</v>
      </c>
      <c r="X352">
        <v>80315.14</v>
      </c>
      <c r="Y352" t="s">
        <v>3062</v>
      </c>
      <c r="Z352" t="s">
        <v>3063</v>
      </c>
      <c r="AA352" t="s">
        <v>3079</v>
      </c>
    </row>
    <row r="353" spans="1:27" x14ac:dyDescent="0.3">
      <c r="A353" t="s">
        <v>2366</v>
      </c>
      <c r="B353" s="7">
        <v>45252</v>
      </c>
      <c r="C353" t="s">
        <v>20</v>
      </c>
      <c r="D353" t="s">
        <v>21</v>
      </c>
      <c r="E353" t="s">
        <v>67</v>
      </c>
      <c r="F353" t="s">
        <v>103</v>
      </c>
      <c r="G353" t="s">
        <v>92</v>
      </c>
      <c r="H353" t="s">
        <v>243</v>
      </c>
      <c r="I353" t="s">
        <v>720</v>
      </c>
      <c r="J353">
        <v>3</v>
      </c>
      <c r="K353">
        <v>44068</v>
      </c>
      <c r="L353">
        <v>0.02</v>
      </c>
      <c r="M353">
        <v>43186.64</v>
      </c>
      <c r="N353">
        <v>129559.92</v>
      </c>
      <c r="O353">
        <v>0.15</v>
      </c>
      <c r="P353">
        <v>19433.990000000002</v>
      </c>
      <c r="Q353" t="s">
        <v>37</v>
      </c>
      <c r="R353" t="s">
        <v>48</v>
      </c>
      <c r="S353">
        <v>7</v>
      </c>
      <c r="T353">
        <v>2023</v>
      </c>
      <c r="U353" t="s">
        <v>3060</v>
      </c>
      <c r="V353">
        <v>11</v>
      </c>
      <c r="W353" t="s">
        <v>3061</v>
      </c>
      <c r="X353">
        <v>110125.93</v>
      </c>
      <c r="Y353" t="s">
        <v>3062</v>
      </c>
      <c r="Z353" t="s">
        <v>3063</v>
      </c>
      <c r="AA353" t="s">
        <v>3079</v>
      </c>
    </row>
    <row r="354" spans="1:27" x14ac:dyDescent="0.3">
      <c r="A354" t="s">
        <v>2873</v>
      </c>
      <c r="B354" s="7">
        <v>45759</v>
      </c>
      <c r="C354" t="s">
        <v>55</v>
      </c>
      <c r="D354" t="s">
        <v>31</v>
      </c>
      <c r="E354" t="s">
        <v>2042</v>
      </c>
      <c r="F354" t="s">
        <v>33</v>
      </c>
      <c r="G354" t="s">
        <v>57</v>
      </c>
      <c r="H354" t="s">
        <v>81</v>
      </c>
      <c r="I354" t="s">
        <v>1716</v>
      </c>
      <c r="J354">
        <v>9</v>
      </c>
      <c r="K354">
        <v>11028</v>
      </c>
      <c r="L354">
        <v>0.03</v>
      </c>
      <c r="M354">
        <v>10697.16</v>
      </c>
      <c r="N354">
        <v>96274.44</v>
      </c>
      <c r="O354">
        <v>0.2</v>
      </c>
      <c r="P354">
        <v>19254.89</v>
      </c>
      <c r="Q354" t="s">
        <v>47</v>
      </c>
      <c r="R354" t="s">
        <v>48</v>
      </c>
      <c r="S354">
        <v>8</v>
      </c>
      <c r="T354">
        <v>2025</v>
      </c>
      <c r="U354" t="s">
        <v>3080</v>
      </c>
      <c r="V354">
        <v>4</v>
      </c>
      <c r="W354" t="s">
        <v>3096</v>
      </c>
      <c r="X354">
        <v>77019.55</v>
      </c>
      <c r="Y354" t="s">
        <v>3077</v>
      </c>
      <c r="Z354" t="s">
        <v>3063</v>
      </c>
      <c r="AA354" t="s">
        <v>3079</v>
      </c>
    </row>
    <row r="355" spans="1:27" x14ac:dyDescent="0.3">
      <c r="A355" t="s">
        <v>2297</v>
      </c>
      <c r="B355" s="7">
        <v>45183</v>
      </c>
      <c r="C355" t="s">
        <v>96</v>
      </c>
      <c r="D355" t="s">
        <v>41</v>
      </c>
      <c r="E355" t="s">
        <v>2042</v>
      </c>
      <c r="F355" t="s">
        <v>23</v>
      </c>
      <c r="G355" t="s">
        <v>92</v>
      </c>
      <c r="H355" t="s">
        <v>93</v>
      </c>
      <c r="I355" t="s">
        <v>584</v>
      </c>
      <c r="J355">
        <v>8</v>
      </c>
      <c r="K355">
        <v>16471</v>
      </c>
      <c r="L355">
        <v>0.04</v>
      </c>
      <c r="M355">
        <v>15812.16</v>
      </c>
      <c r="N355">
        <v>126497.28</v>
      </c>
      <c r="O355">
        <v>0.15</v>
      </c>
      <c r="P355">
        <v>18974.59</v>
      </c>
      <c r="Q355" t="s">
        <v>47</v>
      </c>
      <c r="R355" t="s">
        <v>38</v>
      </c>
      <c r="S355">
        <v>5</v>
      </c>
      <c r="T355">
        <v>2023</v>
      </c>
      <c r="U355" t="s">
        <v>3097</v>
      </c>
      <c r="V355">
        <v>9</v>
      </c>
      <c r="W355" t="s">
        <v>3107</v>
      </c>
      <c r="X355">
        <v>107522.69</v>
      </c>
      <c r="Y355" t="s">
        <v>3062</v>
      </c>
      <c r="Z355" t="s">
        <v>3063</v>
      </c>
      <c r="AA355" t="s">
        <v>3079</v>
      </c>
    </row>
    <row r="356" spans="1:27" x14ac:dyDescent="0.3">
      <c r="A356" t="s">
        <v>3034</v>
      </c>
      <c r="B356" s="7">
        <v>45920</v>
      </c>
      <c r="C356" t="s">
        <v>96</v>
      </c>
      <c r="D356" t="s">
        <v>41</v>
      </c>
      <c r="E356" t="s">
        <v>67</v>
      </c>
      <c r="F356" t="s">
        <v>23</v>
      </c>
      <c r="G356" t="s">
        <v>57</v>
      </c>
      <c r="H356" t="s">
        <v>183</v>
      </c>
      <c r="I356" t="s">
        <v>2026</v>
      </c>
      <c r="J356">
        <v>6</v>
      </c>
      <c r="K356">
        <v>2475</v>
      </c>
      <c r="L356">
        <v>0.01</v>
      </c>
      <c r="M356">
        <v>2450.25</v>
      </c>
      <c r="N356">
        <v>14701.5</v>
      </c>
      <c r="O356">
        <v>0.2</v>
      </c>
      <c r="P356">
        <v>2940.3</v>
      </c>
      <c r="Q356" t="s">
        <v>37</v>
      </c>
      <c r="R356" t="s">
        <v>48</v>
      </c>
      <c r="S356">
        <v>2</v>
      </c>
      <c r="T356">
        <v>2025</v>
      </c>
      <c r="U356" t="s">
        <v>3097</v>
      </c>
      <c r="V356">
        <v>9</v>
      </c>
      <c r="W356" t="s">
        <v>3110</v>
      </c>
      <c r="X356">
        <v>11761.2</v>
      </c>
      <c r="Y356" t="s">
        <v>3067</v>
      </c>
      <c r="Z356" t="s">
        <v>3063</v>
      </c>
      <c r="AA356" t="s">
        <v>3079</v>
      </c>
    </row>
    <row r="357" spans="1:27" x14ac:dyDescent="0.3">
      <c r="A357" t="s">
        <v>2593</v>
      </c>
      <c r="B357" s="7">
        <v>45479</v>
      </c>
      <c r="C357" t="s">
        <v>30</v>
      </c>
      <c r="D357" t="s">
        <v>31</v>
      </c>
      <c r="E357" t="s">
        <v>67</v>
      </c>
      <c r="F357" t="s">
        <v>23</v>
      </c>
      <c r="G357" t="s">
        <v>57</v>
      </c>
      <c r="H357" t="s">
        <v>58</v>
      </c>
      <c r="I357" t="s">
        <v>1168</v>
      </c>
      <c r="J357">
        <v>9</v>
      </c>
      <c r="K357">
        <v>11700</v>
      </c>
      <c r="L357">
        <v>0.1</v>
      </c>
      <c r="M357">
        <v>10530</v>
      </c>
      <c r="N357">
        <v>94770</v>
      </c>
      <c r="O357">
        <v>0.2</v>
      </c>
      <c r="P357">
        <v>18954</v>
      </c>
      <c r="Q357" t="s">
        <v>47</v>
      </c>
      <c r="R357" t="s">
        <v>48</v>
      </c>
      <c r="S357">
        <v>9</v>
      </c>
      <c r="T357">
        <v>2024</v>
      </c>
      <c r="U357" t="s">
        <v>3088</v>
      </c>
      <c r="V357">
        <v>7</v>
      </c>
      <c r="W357" t="s">
        <v>3089</v>
      </c>
      <c r="X357">
        <v>75816</v>
      </c>
      <c r="Y357" t="s">
        <v>3077</v>
      </c>
      <c r="Z357" t="s">
        <v>3063</v>
      </c>
      <c r="AA357" t="s">
        <v>3079</v>
      </c>
    </row>
    <row r="358" spans="1:27" x14ac:dyDescent="0.3">
      <c r="A358" t="s">
        <v>2708</v>
      </c>
      <c r="B358" s="7">
        <v>45594</v>
      </c>
      <c r="C358" t="s">
        <v>30</v>
      </c>
      <c r="D358" t="s">
        <v>31</v>
      </c>
      <c r="E358" t="s">
        <v>42</v>
      </c>
      <c r="F358" t="s">
        <v>97</v>
      </c>
      <c r="G358" t="s">
        <v>92</v>
      </c>
      <c r="H358" t="s">
        <v>109</v>
      </c>
      <c r="I358" t="s">
        <v>1392</v>
      </c>
      <c r="J358">
        <v>4</v>
      </c>
      <c r="K358">
        <v>35227</v>
      </c>
      <c r="L358">
        <v>0.11</v>
      </c>
      <c r="M358">
        <v>31352.03</v>
      </c>
      <c r="N358">
        <v>125408.12</v>
      </c>
      <c r="O358">
        <v>0.15</v>
      </c>
      <c r="P358">
        <v>18811.22</v>
      </c>
      <c r="Q358" t="s">
        <v>37</v>
      </c>
      <c r="R358" t="s">
        <v>48</v>
      </c>
      <c r="S358">
        <v>4</v>
      </c>
      <c r="T358">
        <v>2024</v>
      </c>
      <c r="U358" t="s">
        <v>3065</v>
      </c>
      <c r="V358">
        <v>10</v>
      </c>
      <c r="W358" t="s">
        <v>3066</v>
      </c>
      <c r="X358">
        <v>106596.9</v>
      </c>
      <c r="Y358" t="s">
        <v>3062</v>
      </c>
      <c r="Z358" t="s">
        <v>3063</v>
      </c>
      <c r="AA358" t="s">
        <v>3079</v>
      </c>
    </row>
    <row r="359" spans="1:27" x14ac:dyDescent="0.3">
      <c r="A359" t="s">
        <v>2817</v>
      </c>
      <c r="B359" s="7">
        <v>45703</v>
      </c>
      <c r="C359" t="s">
        <v>96</v>
      </c>
      <c r="D359" t="s">
        <v>31</v>
      </c>
      <c r="E359" t="s">
        <v>42</v>
      </c>
      <c r="F359" t="s">
        <v>97</v>
      </c>
      <c r="G359" t="s">
        <v>57</v>
      </c>
      <c r="H359" t="s">
        <v>58</v>
      </c>
      <c r="I359" t="s">
        <v>1606</v>
      </c>
      <c r="J359">
        <v>6</v>
      </c>
      <c r="K359">
        <v>3080</v>
      </c>
      <c r="L359">
        <v>0.2</v>
      </c>
      <c r="M359">
        <v>2464</v>
      </c>
      <c r="N359">
        <v>14784</v>
      </c>
      <c r="O359">
        <v>0.2</v>
      </c>
      <c r="P359">
        <v>2956.8</v>
      </c>
      <c r="Q359" t="s">
        <v>27</v>
      </c>
      <c r="R359" t="s">
        <v>28</v>
      </c>
      <c r="S359">
        <v>6</v>
      </c>
      <c r="T359">
        <v>2025</v>
      </c>
      <c r="U359" t="s">
        <v>3084</v>
      </c>
      <c r="V359">
        <v>2</v>
      </c>
      <c r="W359" t="s">
        <v>3090</v>
      </c>
      <c r="X359">
        <v>11827.2</v>
      </c>
      <c r="Y359" t="s">
        <v>3062</v>
      </c>
      <c r="Z359" t="s">
        <v>3063</v>
      </c>
      <c r="AA359" t="s">
        <v>3079</v>
      </c>
    </row>
    <row r="360" spans="1:27" x14ac:dyDescent="0.3">
      <c r="A360" t="s">
        <v>2101</v>
      </c>
      <c r="B360" s="7">
        <v>44987</v>
      </c>
      <c r="C360" t="s">
        <v>55</v>
      </c>
      <c r="D360" t="s">
        <v>41</v>
      </c>
      <c r="E360" t="s">
        <v>67</v>
      </c>
      <c r="F360" t="s">
        <v>43</v>
      </c>
      <c r="G360" t="s">
        <v>57</v>
      </c>
      <c r="H360" t="s">
        <v>183</v>
      </c>
      <c r="I360" t="s">
        <v>191</v>
      </c>
      <c r="J360">
        <v>4</v>
      </c>
      <c r="K360">
        <v>4071</v>
      </c>
      <c r="L360">
        <v>0.09</v>
      </c>
      <c r="M360">
        <v>3704.61</v>
      </c>
      <c r="N360">
        <v>14818.44</v>
      </c>
      <c r="O360">
        <v>0.2</v>
      </c>
      <c r="P360">
        <v>2963.69</v>
      </c>
      <c r="Q360" t="s">
        <v>47</v>
      </c>
      <c r="R360" t="s">
        <v>48</v>
      </c>
      <c r="S360">
        <v>5</v>
      </c>
      <c r="T360">
        <v>2023</v>
      </c>
      <c r="U360" t="s">
        <v>3069</v>
      </c>
      <c r="V360">
        <v>3</v>
      </c>
      <c r="W360" t="s">
        <v>3082</v>
      </c>
      <c r="X360">
        <v>11854.75</v>
      </c>
      <c r="Y360" t="s">
        <v>3062</v>
      </c>
      <c r="Z360" t="s">
        <v>3063</v>
      </c>
      <c r="AA360" t="s">
        <v>3079</v>
      </c>
    </row>
    <row r="361" spans="1:27" x14ac:dyDescent="0.3">
      <c r="A361" t="s">
        <v>2525</v>
      </c>
      <c r="B361" s="7">
        <v>45411</v>
      </c>
      <c r="C361" t="s">
        <v>40</v>
      </c>
      <c r="D361" t="s">
        <v>41</v>
      </c>
      <c r="E361" t="s">
        <v>2042</v>
      </c>
      <c r="F361" t="s">
        <v>97</v>
      </c>
      <c r="G361" t="s">
        <v>92</v>
      </c>
      <c r="H361" t="s">
        <v>178</v>
      </c>
      <c r="I361" t="s">
        <v>1034</v>
      </c>
      <c r="J361">
        <v>8</v>
      </c>
      <c r="K361">
        <v>15656</v>
      </c>
      <c r="L361">
        <v>0.01</v>
      </c>
      <c r="M361">
        <v>15499.44</v>
      </c>
      <c r="N361">
        <v>123995.52</v>
      </c>
      <c r="O361">
        <v>0.15</v>
      </c>
      <c r="P361">
        <v>18599.330000000002</v>
      </c>
      <c r="Q361" t="s">
        <v>47</v>
      </c>
      <c r="R361" t="s">
        <v>48</v>
      </c>
      <c r="S361">
        <v>6</v>
      </c>
      <c r="T361">
        <v>2024</v>
      </c>
      <c r="U361" t="s">
        <v>3080</v>
      </c>
      <c r="V361">
        <v>4</v>
      </c>
      <c r="W361" t="s">
        <v>3095</v>
      </c>
      <c r="X361">
        <v>105396.19</v>
      </c>
      <c r="Y361" t="s">
        <v>3062</v>
      </c>
      <c r="Z361" t="s">
        <v>3063</v>
      </c>
      <c r="AA361" t="s">
        <v>3079</v>
      </c>
    </row>
    <row r="362" spans="1:27" x14ac:dyDescent="0.3">
      <c r="A362" t="s">
        <v>2490</v>
      </c>
      <c r="B362" s="7">
        <v>45376</v>
      </c>
      <c r="C362" t="s">
        <v>30</v>
      </c>
      <c r="D362" t="s">
        <v>56</v>
      </c>
      <c r="E362" t="s">
        <v>42</v>
      </c>
      <c r="F362" t="s">
        <v>97</v>
      </c>
      <c r="G362" t="s">
        <v>57</v>
      </c>
      <c r="H362" t="s">
        <v>81</v>
      </c>
      <c r="I362" t="s">
        <v>965</v>
      </c>
      <c r="J362">
        <v>1</v>
      </c>
      <c r="K362">
        <v>18724</v>
      </c>
      <c r="L362">
        <v>0.2</v>
      </c>
      <c r="M362">
        <v>14979.2</v>
      </c>
      <c r="N362">
        <v>14979.2</v>
      </c>
      <c r="O362">
        <v>0.2</v>
      </c>
      <c r="P362">
        <v>2995.84</v>
      </c>
      <c r="Q362" t="s">
        <v>37</v>
      </c>
      <c r="R362" t="s">
        <v>48</v>
      </c>
      <c r="S362">
        <v>5</v>
      </c>
      <c r="T362">
        <v>2024</v>
      </c>
      <c r="U362" t="s">
        <v>3069</v>
      </c>
      <c r="V362">
        <v>3</v>
      </c>
      <c r="W362" t="s">
        <v>3101</v>
      </c>
      <c r="X362">
        <v>11983.36</v>
      </c>
      <c r="Y362" t="s">
        <v>3062</v>
      </c>
      <c r="Z362" t="s">
        <v>3063</v>
      </c>
      <c r="AA362" t="s">
        <v>3079</v>
      </c>
    </row>
    <row r="363" spans="1:27" x14ac:dyDescent="0.3">
      <c r="A363" t="s">
        <v>2727</v>
      </c>
      <c r="B363" s="7">
        <v>45613</v>
      </c>
      <c r="C363" t="s">
        <v>20</v>
      </c>
      <c r="D363" t="s">
        <v>31</v>
      </c>
      <c r="E363" t="s">
        <v>67</v>
      </c>
      <c r="F363" t="s">
        <v>43</v>
      </c>
      <c r="G363" t="s">
        <v>34</v>
      </c>
      <c r="H363" t="s">
        <v>104</v>
      </c>
      <c r="I363" t="s">
        <v>1430</v>
      </c>
      <c r="J363">
        <v>6</v>
      </c>
      <c r="K363">
        <v>1395</v>
      </c>
      <c r="L363">
        <v>0.1</v>
      </c>
      <c r="M363">
        <v>1255.5</v>
      </c>
      <c r="N363">
        <v>7533</v>
      </c>
      <c r="O363">
        <v>0.4</v>
      </c>
      <c r="P363">
        <v>3013.2</v>
      </c>
      <c r="Q363" t="s">
        <v>47</v>
      </c>
      <c r="R363" t="s">
        <v>48</v>
      </c>
      <c r="S363">
        <v>3</v>
      </c>
      <c r="T363">
        <v>2024</v>
      </c>
      <c r="U363" t="s">
        <v>3060</v>
      </c>
      <c r="V363">
        <v>11</v>
      </c>
      <c r="W363" t="s">
        <v>3100</v>
      </c>
      <c r="X363">
        <v>4519.8</v>
      </c>
      <c r="Y363" t="s">
        <v>3067</v>
      </c>
      <c r="Z363" t="s">
        <v>3063</v>
      </c>
      <c r="AA363" t="s">
        <v>3079</v>
      </c>
    </row>
    <row r="364" spans="1:27" x14ac:dyDescent="0.3">
      <c r="A364" t="s">
        <v>2740</v>
      </c>
      <c r="B364" s="7">
        <v>45626</v>
      </c>
      <c r="C364" t="s">
        <v>55</v>
      </c>
      <c r="D364" t="s">
        <v>41</v>
      </c>
      <c r="E364" t="s">
        <v>2042</v>
      </c>
      <c r="F364" t="s">
        <v>103</v>
      </c>
      <c r="G364" t="s">
        <v>57</v>
      </c>
      <c r="H364" t="s">
        <v>100</v>
      </c>
      <c r="I364" t="s">
        <v>1456</v>
      </c>
      <c r="J364">
        <v>6</v>
      </c>
      <c r="K364">
        <v>17997</v>
      </c>
      <c r="L364">
        <v>0.14000000000000001</v>
      </c>
      <c r="M364">
        <v>15477.42</v>
      </c>
      <c r="N364">
        <v>92864.52</v>
      </c>
      <c r="O364">
        <v>0.2</v>
      </c>
      <c r="P364">
        <v>18572.900000000001</v>
      </c>
      <c r="Q364" t="s">
        <v>51</v>
      </c>
      <c r="R364" t="s">
        <v>48</v>
      </c>
      <c r="S364">
        <v>6</v>
      </c>
      <c r="T364">
        <v>2024</v>
      </c>
      <c r="U364" t="s">
        <v>3060</v>
      </c>
      <c r="V364">
        <v>11</v>
      </c>
      <c r="W364" t="s">
        <v>3100</v>
      </c>
      <c r="X364">
        <v>74291.62</v>
      </c>
      <c r="Y364" t="s">
        <v>3062</v>
      </c>
      <c r="Z364" t="s">
        <v>3063</v>
      </c>
      <c r="AA364" t="s">
        <v>3079</v>
      </c>
    </row>
    <row r="365" spans="1:27" x14ac:dyDescent="0.3">
      <c r="A365" t="s">
        <v>2103</v>
      </c>
      <c r="B365" s="7">
        <v>44989</v>
      </c>
      <c r="C365" t="s">
        <v>20</v>
      </c>
      <c r="D365" t="s">
        <v>41</v>
      </c>
      <c r="E365" t="s">
        <v>67</v>
      </c>
      <c r="F365" t="s">
        <v>23</v>
      </c>
      <c r="G365" t="s">
        <v>34</v>
      </c>
      <c r="H365" t="s">
        <v>141</v>
      </c>
      <c r="I365" t="s">
        <v>195</v>
      </c>
      <c r="J365">
        <v>9</v>
      </c>
      <c r="K365">
        <v>1004</v>
      </c>
      <c r="L365">
        <v>0.16</v>
      </c>
      <c r="M365">
        <v>843.36</v>
      </c>
      <c r="N365">
        <v>7590.24</v>
      </c>
      <c r="O365">
        <v>0.4</v>
      </c>
      <c r="P365">
        <v>3036.1</v>
      </c>
      <c r="Q365" t="s">
        <v>51</v>
      </c>
      <c r="R365" t="s">
        <v>48</v>
      </c>
      <c r="S365">
        <v>7</v>
      </c>
      <c r="T365">
        <v>2023</v>
      </c>
      <c r="U365" t="s">
        <v>3069</v>
      </c>
      <c r="V365">
        <v>3</v>
      </c>
      <c r="W365" t="s">
        <v>3082</v>
      </c>
      <c r="X365">
        <v>4554.1399999999994</v>
      </c>
      <c r="Y365" t="s">
        <v>3062</v>
      </c>
      <c r="Z365" t="s">
        <v>3063</v>
      </c>
      <c r="AA365" t="s">
        <v>3079</v>
      </c>
    </row>
    <row r="366" spans="1:27" x14ac:dyDescent="0.3">
      <c r="A366" t="s">
        <v>2567</v>
      </c>
      <c r="B366" s="7">
        <v>45453</v>
      </c>
      <c r="C366" t="s">
        <v>40</v>
      </c>
      <c r="D366" t="s">
        <v>21</v>
      </c>
      <c r="E366" t="s">
        <v>2040</v>
      </c>
      <c r="F366" t="s">
        <v>33</v>
      </c>
      <c r="G366" t="s">
        <v>34</v>
      </c>
      <c r="H366" t="s">
        <v>104</v>
      </c>
      <c r="I366" t="s">
        <v>1117</v>
      </c>
      <c r="J366">
        <v>7</v>
      </c>
      <c r="K366">
        <v>1279</v>
      </c>
      <c r="L366">
        <v>0.15</v>
      </c>
      <c r="M366">
        <v>1087.1500000000001</v>
      </c>
      <c r="N366">
        <v>7610.05</v>
      </c>
      <c r="O366">
        <v>0.4</v>
      </c>
      <c r="P366">
        <v>3044.02</v>
      </c>
      <c r="Q366" t="s">
        <v>37</v>
      </c>
      <c r="R366" t="s">
        <v>48</v>
      </c>
      <c r="S366">
        <v>5</v>
      </c>
      <c r="T366">
        <v>2024</v>
      </c>
      <c r="U366" t="s">
        <v>3073</v>
      </c>
      <c r="V366">
        <v>6</v>
      </c>
      <c r="W366" t="s">
        <v>3074</v>
      </c>
      <c r="X366">
        <v>4566.0300000000007</v>
      </c>
      <c r="Y366" t="s">
        <v>3062</v>
      </c>
      <c r="Z366" t="s">
        <v>3063</v>
      </c>
      <c r="AA366" t="s">
        <v>3079</v>
      </c>
    </row>
    <row r="367" spans="1:27" x14ac:dyDescent="0.3">
      <c r="A367" t="s">
        <v>2161</v>
      </c>
      <c r="B367" s="7">
        <v>45047</v>
      </c>
      <c r="C367" t="s">
        <v>20</v>
      </c>
      <c r="D367" t="s">
        <v>31</v>
      </c>
      <c r="E367" t="s">
        <v>42</v>
      </c>
      <c r="F367" t="s">
        <v>43</v>
      </c>
      <c r="G367" t="s">
        <v>57</v>
      </c>
      <c r="H367" t="s">
        <v>58</v>
      </c>
      <c r="I367" t="s">
        <v>312</v>
      </c>
      <c r="J367">
        <v>7</v>
      </c>
      <c r="K367">
        <v>2629</v>
      </c>
      <c r="L367">
        <v>0.17</v>
      </c>
      <c r="M367">
        <v>2182.0700000000002</v>
      </c>
      <c r="N367">
        <v>15274.49</v>
      </c>
      <c r="O367">
        <v>0.2</v>
      </c>
      <c r="P367">
        <v>3054.9</v>
      </c>
      <c r="Q367" t="s">
        <v>37</v>
      </c>
      <c r="R367" t="s">
        <v>48</v>
      </c>
      <c r="S367">
        <v>7</v>
      </c>
      <c r="T367">
        <v>2023</v>
      </c>
      <c r="U367" t="s">
        <v>3091</v>
      </c>
      <c r="V367">
        <v>5</v>
      </c>
      <c r="W367" t="s">
        <v>3092</v>
      </c>
      <c r="X367">
        <v>12219.59</v>
      </c>
      <c r="Y367" t="s">
        <v>3062</v>
      </c>
      <c r="Z367" t="s">
        <v>3063</v>
      </c>
      <c r="AA367" t="s">
        <v>3079</v>
      </c>
    </row>
    <row r="368" spans="1:27" x14ac:dyDescent="0.3">
      <c r="A368" t="s">
        <v>2793</v>
      </c>
      <c r="B368" s="7">
        <v>45679</v>
      </c>
      <c r="C368" t="s">
        <v>20</v>
      </c>
      <c r="D368" t="s">
        <v>41</v>
      </c>
      <c r="E368" t="s">
        <v>67</v>
      </c>
      <c r="F368" t="s">
        <v>97</v>
      </c>
      <c r="G368" t="s">
        <v>92</v>
      </c>
      <c r="H368" t="s">
        <v>93</v>
      </c>
      <c r="I368" t="s">
        <v>1559</v>
      </c>
      <c r="J368">
        <v>1</v>
      </c>
      <c r="K368">
        <v>20805</v>
      </c>
      <c r="L368">
        <v>0.02</v>
      </c>
      <c r="M368">
        <v>20388.900000000001</v>
      </c>
      <c r="N368">
        <v>20388.900000000001</v>
      </c>
      <c r="O368">
        <v>0.15</v>
      </c>
      <c r="P368">
        <v>3058.34</v>
      </c>
      <c r="Q368" t="s">
        <v>37</v>
      </c>
      <c r="R368" t="s">
        <v>48</v>
      </c>
      <c r="S368">
        <v>6</v>
      </c>
      <c r="T368">
        <v>2025</v>
      </c>
      <c r="U368" t="s">
        <v>3071</v>
      </c>
      <c r="V368">
        <v>1</v>
      </c>
      <c r="W368" t="s">
        <v>3072</v>
      </c>
      <c r="X368">
        <v>17330.560000000001</v>
      </c>
      <c r="Y368" t="s">
        <v>3062</v>
      </c>
      <c r="Z368" t="s">
        <v>3063</v>
      </c>
      <c r="AA368" t="s">
        <v>3079</v>
      </c>
    </row>
    <row r="369" spans="1:27" x14ac:dyDescent="0.3">
      <c r="A369" t="s">
        <v>2192</v>
      </c>
      <c r="B369" s="7">
        <v>45078</v>
      </c>
      <c r="C369" t="s">
        <v>30</v>
      </c>
      <c r="D369" t="s">
        <v>21</v>
      </c>
      <c r="E369" t="s">
        <v>67</v>
      </c>
      <c r="F369" t="s">
        <v>103</v>
      </c>
      <c r="G369" t="s">
        <v>92</v>
      </c>
      <c r="H369" t="s">
        <v>109</v>
      </c>
      <c r="I369" t="s">
        <v>374</v>
      </c>
      <c r="J369">
        <v>4</v>
      </c>
      <c r="K369">
        <v>37420</v>
      </c>
      <c r="L369">
        <v>0.18</v>
      </c>
      <c r="M369">
        <v>30684.400000000001</v>
      </c>
      <c r="N369">
        <v>122737.60000000001</v>
      </c>
      <c r="O369">
        <v>0.15</v>
      </c>
      <c r="P369">
        <v>18410.64</v>
      </c>
      <c r="Q369" t="s">
        <v>27</v>
      </c>
      <c r="R369" t="s">
        <v>48</v>
      </c>
      <c r="S369">
        <v>7</v>
      </c>
      <c r="T369">
        <v>2023</v>
      </c>
      <c r="U369" t="s">
        <v>3073</v>
      </c>
      <c r="V369">
        <v>6</v>
      </c>
      <c r="W369" t="s">
        <v>3103</v>
      </c>
      <c r="X369">
        <v>104326.96</v>
      </c>
      <c r="Y369" t="s">
        <v>3062</v>
      </c>
      <c r="Z369" t="s">
        <v>3063</v>
      </c>
      <c r="AA369" t="s">
        <v>3079</v>
      </c>
    </row>
    <row r="370" spans="1:27" x14ac:dyDescent="0.3">
      <c r="A370" t="s">
        <v>2698</v>
      </c>
      <c r="B370" s="7">
        <v>45584</v>
      </c>
      <c r="C370" t="s">
        <v>20</v>
      </c>
      <c r="D370" t="s">
        <v>21</v>
      </c>
      <c r="E370" t="s">
        <v>2042</v>
      </c>
      <c r="F370" t="s">
        <v>68</v>
      </c>
      <c r="G370" t="s">
        <v>57</v>
      </c>
      <c r="H370" t="s">
        <v>58</v>
      </c>
      <c r="I370" t="s">
        <v>1374</v>
      </c>
      <c r="J370">
        <v>7</v>
      </c>
      <c r="K370">
        <v>13824</v>
      </c>
      <c r="L370">
        <v>0.05</v>
      </c>
      <c r="M370">
        <v>13132.8</v>
      </c>
      <c r="N370">
        <v>91929.600000000006</v>
      </c>
      <c r="O370">
        <v>0.2</v>
      </c>
      <c r="P370">
        <v>18385.919999999998</v>
      </c>
      <c r="Q370" t="s">
        <v>51</v>
      </c>
      <c r="R370" t="s">
        <v>48</v>
      </c>
      <c r="S370">
        <v>9</v>
      </c>
      <c r="T370">
        <v>2024</v>
      </c>
      <c r="U370" t="s">
        <v>3065</v>
      </c>
      <c r="V370">
        <v>10</v>
      </c>
      <c r="W370" t="s">
        <v>3066</v>
      </c>
      <c r="X370">
        <v>73543.680000000008</v>
      </c>
      <c r="Y370" t="s">
        <v>3077</v>
      </c>
      <c r="Z370" t="s">
        <v>3063</v>
      </c>
      <c r="AA370" t="s">
        <v>3079</v>
      </c>
    </row>
    <row r="371" spans="1:27" x14ac:dyDescent="0.3">
      <c r="A371" t="s">
        <v>2523</v>
      </c>
      <c r="B371" s="7">
        <v>45409</v>
      </c>
      <c r="C371" t="s">
        <v>30</v>
      </c>
      <c r="D371" t="s">
        <v>21</v>
      </c>
      <c r="E371" t="s">
        <v>42</v>
      </c>
      <c r="F371" t="s">
        <v>103</v>
      </c>
      <c r="G371" t="s">
        <v>57</v>
      </c>
      <c r="H371" t="s">
        <v>81</v>
      </c>
      <c r="I371" t="s">
        <v>1030</v>
      </c>
      <c r="J371">
        <v>2</v>
      </c>
      <c r="K371">
        <v>9373</v>
      </c>
      <c r="L371">
        <v>0.18</v>
      </c>
      <c r="M371">
        <v>7685.86</v>
      </c>
      <c r="N371">
        <v>15371.72</v>
      </c>
      <c r="O371">
        <v>0.2</v>
      </c>
      <c r="P371">
        <v>3074.34</v>
      </c>
      <c r="Q371" t="s">
        <v>47</v>
      </c>
      <c r="R371" t="s">
        <v>48</v>
      </c>
      <c r="S371">
        <v>3</v>
      </c>
      <c r="T371">
        <v>2024</v>
      </c>
      <c r="U371" t="s">
        <v>3080</v>
      </c>
      <c r="V371">
        <v>4</v>
      </c>
      <c r="W371" t="s">
        <v>3095</v>
      </c>
      <c r="X371">
        <v>12297.38</v>
      </c>
      <c r="Y371" t="s">
        <v>3067</v>
      </c>
      <c r="Z371" t="s">
        <v>3063</v>
      </c>
      <c r="AA371" t="s">
        <v>3079</v>
      </c>
    </row>
    <row r="372" spans="1:27" x14ac:dyDescent="0.3">
      <c r="A372" t="s">
        <v>2388</v>
      </c>
      <c r="B372" s="7">
        <v>45274</v>
      </c>
      <c r="C372" t="s">
        <v>63</v>
      </c>
      <c r="D372" t="s">
        <v>56</v>
      </c>
      <c r="E372" t="s">
        <v>2042</v>
      </c>
      <c r="F372" t="s">
        <v>97</v>
      </c>
      <c r="G372" t="s">
        <v>92</v>
      </c>
      <c r="H372" t="s">
        <v>109</v>
      </c>
      <c r="I372" t="s">
        <v>764</v>
      </c>
      <c r="J372">
        <v>2</v>
      </c>
      <c r="K372">
        <v>74174</v>
      </c>
      <c r="L372">
        <v>0.18</v>
      </c>
      <c r="M372">
        <v>60822.68</v>
      </c>
      <c r="N372">
        <v>121645.36</v>
      </c>
      <c r="O372">
        <v>0.15</v>
      </c>
      <c r="P372">
        <v>18246.8</v>
      </c>
      <c r="Q372" t="s">
        <v>27</v>
      </c>
      <c r="R372" t="s">
        <v>48</v>
      </c>
      <c r="S372">
        <v>3</v>
      </c>
      <c r="T372">
        <v>2023</v>
      </c>
      <c r="U372" t="s">
        <v>3086</v>
      </c>
      <c r="V372">
        <v>12</v>
      </c>
      <c r="W372" t="s">
        <v>3099</v>
      </c>
      <c r="X372">
        <v>103398.56</v>
      </c>
      <c r="Y372" t="s">
        <v>3067</v>
      </c>
      <c r="Z372" t="s">
        <v>3063</v>
      </c>
      <c r="AA372" t="s">
        <v>3079</v>
      </c>
    </row>
    <row r="373" spans="1:27" x14ac:dyDescent="0.3">
      <c r="A373" t="s">
        <v>3027</v>
      </c>
      <c r="B373" s="7">
        <v>45913</v>
      </c>
      <c r="C373" t="s">
        <v>20</v>
      </c>
      <c r="D373" t="s">
        <v>56</v>
      </c>
      <c r="E373" t="s">
        <v>42</v>
      </c>
      <c r="F373" t="s">
        <v>97</v>
      </c>
      <c r="G373" t="s">
        <v>34</v>
      </c>
      <c r="H373" t="s">
        <v>35</v>
      </c>
      <c r="I373" t="s">
        <v>2013</v>
      </c>
      <c r="J373">
        <v>7</v>
      </c>
      <c r="K373">
        <v>1401</v>
      </c>
      <c r="L373">
        <v>0.21</v>
      </c>
      <c r="M373">
        <v>1106.79</v>
      </c>
      <c r="N373">
        <v>7747.53</v>
      </c>
      <c r="O373">
        <v>0.4</v>
      </c>
      <c r="P373">
        <v>3099.01</v>
      </c>
      <c r="Q373" t="s">
        <v>27</v>
      </c>
      <c r="R373" t="s">
        <v>48</v>
      </c>
      <c r="S373">
        <v>7</v>
      </c>
      <c r="T373">
        <v>2025</v>
      </c>
      <c r="U373" t="s">
        <v>3097</v>
      </c>
      <c r="V373">
        <v>9</v>
      </c>
      <c r="W373" t="s">
        <v>3110</v>
      </c>
      <c r="X373">
        <v>4648.5199999999995</v>
      </c>
      <c r="Y373" t="s">
        <v>3062</v>
      </c>
      <c r="Z373" t="s">
        <v>3063</v>
      </c>
      <c r="AA373" t="s">
        <v>3079</v>
      </c>
    </row>
    <row r="374" spans="1:27" x14ac:dyDescent="0.3">
      <c r="A374" t="s">
        <v>2322</v>
      </c>
      <c r="B374" s="7">
        <v>45208</v>
      </c>
      <c r="C374" t="s">
        <v>63</v>
      </c>
      <c r="D374" t="s">
        <v>21</v>
      </c>
      <c r="E374" t="s">
        <v>42</v>
      </c>
      <c r="F374" t="s">
        <v>68</v>
      </c>
      <c r="G374" t="s">
        <v>34</v>
      </c>
      <c r="H374" t="s">
        <v>141</v>
      </c>
      <c r="I374" t="s">
        <v>634</v>
      </c>
      <c r="J374">
        <v>9</v>
      </c>
      <c r="K374">
        <v>992</v>
      </c>
      <c r="L374">
        <v>0.13</v>
      </c>
      <c r="M374">
        <v>863.04</v>
      </c>
      <c r="N374">
        <v>7767.36</v>
      </c>
      <c r="O374">
        <v>0.4</v>
      </c>
      <c r="P374">
        <v>3106.94</v>
      </c>
      <c r="Q374" t="s">
        <v>47</v>
      </c>
      <c r="R374" t="s">
        <v>48</v>
      </c>
      <c r="S374">
        <v>5</v>
      </c>
      <c r="T374">
        <v>2023</v>
      </c>
      <c r="U374" t="s">
        <v>3065</v>
      </c>
      <c r="V374">
        <v>10</v>
      </c>
      <c r="W374" t="s">
        <v>3104</v>
      </c>
      <c r="X374">
        <v>4660.42</v>
      </c>
      <c r="Y374" t="s">
        <v>3062</v>
      </c>
      <c r="Z374" t="s">
        <v>3063</v>
      </c>
      <c r="AA374" t="s">
        <v>3079</v>
      </c>
    </row>
    <row r="375" spans="1:27" x14ac:dyDescent="0.3">
      <c r="A375" t="s">
        <v>2690</v>
      </c>
      <c r="B375" s="7">
        <v>45576</v>
      </c>
      <c r="C375" t="s">
        <v>20</v>
      </c>
      <c r="D375" t="s">
        <v>41</v>
      </c>
      <c r="E375" t="s">
        <v>67</v>
      </c>
      <c r="F375" t="s">
        <v>43</v>
      </c>
      <c r="G375" t="s">
        <v>57</v>
      </c>
      <c r="H375" t="s">
        <v>81</v>
      </c>
      <c r="I375" t="s">
        <v>588</v>
      </c>
      <c r="J375">
        <v>6</v>
      </c>
      <c r="K375">
        <v>16473</v>
      </c>
      <c r="L375">
        <v>0.09</v>
      </c>
      <c r="M375">
        <v>14990.43</v>
      </c>
      <c r="N375">
        <v>89942.58</v>
      </c>
      <c r="O375">
        <v>0.2</v>
      </c>
      <c r="P375">
        <v>17988.52</v>
      </c>
      <c r="Q375" t="s">
        <v>37</v>
      </c>
      <c r="R375" t="s">
        <v>48</v>
      </c>
      <c r="S375">
        <v>2</v>
      </c>
      <c r="T375">
        <v>2024</v>
      </c>
      <c r="U375" t="s">
        <v>3065</v>
      </c>
      <c r="V375">
        <v>10</v>
      </c>
      <c r="W375" t="s">
        <v>3066</v>
      </c>
      <c r="X375">
        <v>71954.06</v>
      </c>
      <c r="Y375" t="s">
        <v>3067</v>
      </c>
      <c r="Z375" t="s">
        <v>3063</v>
      </c>
      <c r="AA375" t="s">
        <v>3079</v>
      </c>
    </row>
    <row r="376" spans="1:27" x14ac:dyDescent="0.3">
      <c r="A376" t="s">
        <v>2194</v>
      </c>
      <c r="B376" s="7">
        <v>45080</v>
      </c>
      <c r="C376" t="s">
        <v>30</v>
      </c>
      <c r="D376" t="s">
        <v>56</v>
      </c>
      <c r="E376" t="s">
        <v>67</v>
      </c>
      <c r="F376" t="s">
        <v>68</v>
      </c>
      <c r="G376" t="s">
        <v>92</v>
      </c>
      <c r="H376" t="s">
        <v>243</v>
      </c>
      <c r="I376" t="s">
        <v>378</v>
      </c>
      <c r="J376">
        <v>2</v>
      </c>
      <c r="K376">
        <v>11058</v>
      </c>
      <c r="L376">
        <v>0.06</v>
      </c>
      <c r="M376">
        <v>10394.52</v>
      </c>
      <c r="N376">
        <v>20789.04</v>
      </c>
      <c r="O376">
        <v>0.15</v>
      </c>
      <c r="P376">
        <v>3118.36</v>
      </c>
      <c r="Q376" t="s">
        <v>47</v>
      </c>
      <c r="R376" t="s">
        <v>38</v>
      </c>
      <c r="S376">
        <v>9</v>
      </c>
      <c r="T376">
        <v>2023</v>
      </c>
      <c r="U376" t="s">
        <v>3073</v>
      </c>
      <c r="V376">
        <v>6</v>
      </c>
      <c r="W376" t="s">
        <v>3103</v>
      </c>
      <c r="X376">
        <v>17670.68</v>
      </c>
      <c r="Y376" t="s">
        <v>3077</v>
      </c>
      <c r="Z376" t="s">
        <v>3063</v>
      </c>
      <c r="AA376" t="s">
        <v>3079</v>
      </c>
    </row>
    <row r="377" spans="1:27" x14ac:dyDescent="0.3">
      <c r="A377" t="s">
        <v>2054</v>
      </c>
      <c r="B377" s="7">
        <v>44940</v>
      </c>
      <c r="C377" t="s">
        <v>63</v>
      </c>
      <c r="D377" t="s">
        <v>41</v>
      </c>
      <c r="E377" t="s">
        <v>2042</v>
      </c>
      <c r="F377" t="s">
        <v>33</v>
      </c>
      <c r="G377" t="s">
        <v>57</v>
      </c>
      <c r="H377" t="s">
        <v>81</v>
      </c>
      <c r="I377" t="s">
        <v>82</v>
      </c>
      <c r="J377">
        <v>7</v>
      </c>
      <c r="K377">
        <v>15629</v>
      </c>
      <c r="L377">
        <v>0.18</v>
      </c>
      <c r="M377">
        <v>12815.78</v>
      </c>
      <c r="N377">
        <v>89710.46</v>
      </c>
      <c r="O377">
        <v>0.2</v>
      </c>
      <c r="P377">
        <v>17942.09</v>
      </c>
      <c r="Q377" t="s">
        <v>27</v>
      </c>
      <c r="R377" t="s">
        <v>38</v>
      </c>
      <c r="S377">
        <v>6</v>
      </c>
      <c r="T377">
        <v>2023</v>
      </c>
      <c r="U377" t="s">
        <v>3071</v>
      </c>
      <c r="V377">
        <v>1</v>
      </c>
      <c r="W377" t="s">
        <v>3102</v>
      </c>
      <c r="X377">
        <v>71768.37000000001</v>
      </c>
      <c r="Y377" t="s">
        <v>3062</v>
      </c>
      <c r="Z377" t="s">
        <v>3063</v>
      </c>
      <c r="AA377" t="s">
        <v>3079</v>
      </c>
    </row>
    <row r="378" spans="1:27" x14ac:dyDescent="0.3">
      <c r="A378" t="s">
        <v>2323</v>
      </c>
      <c r="B378" s="7">
        <v>45209</v>
      </c>
      <c r="C378" t="s">
        <v>63</v>
      </c>
      <c r="D378" t="s">
        <v>41</v>
      </c>
      <c r="E378" t="s">
        <v>42</v>
      </c>
      <c r="F378" t="s">
        <v>97</v>
      </c>
      <c r="G378" t="s">
        <v>92</v>
      </c>
      <c r="H378" t="s">
        <v>243</v>
      </c>
      <c r="I378" t="s">
        <v>636</v>
      </c>
      <c r="J378">
        <v>7</v>
      </c>
      <c r="K378">
        <v>18906</v>
      </c>
      <c r="L378">
        <v>0.1</v>
      </c>
      <c r="M378">
        <v>17015.400000000001</v>
      </c>
      <c r="N378">
        <v>119107.8</v>
      </c>
      <c r="O378">
        <v>0.15</v>
      </c>
      <c r="P378">
        <v>17866.169999999998</v>
      </c>
      <c r="Q378" t="s">
        <v>27</v>
      </c>
      <c r="R378" t="s">
        <v>48</v>
      </c>
      <c r="S378">
        <v>5</v>
      </c>
      <c r="T378">
        <v>2023</v>
      </c>
      <c r="U378" t="s">
        <v>3065</v>
      </c>
      <c r="V378">
        <v>10</v>
      </c>
      <c r="W378" t="s">
        <v>3104</v>
      </c>
      <c r="X378">
        <v>101241.63</v>
      </c>
      <c r="Y378" t="s">
        <v>3062</v>
      </c>
      <c r="Z378" t="s">
        <v>3063</v>
      </c>
      <c r="AA378" t="s">
        <v>3079</v>
      </c>
    </row>
    <row r="379" spans="1:27" x14ac:dyDescent="0.3">
      <c r="A379" t="s">
        <v>2836</v>
      </c>
      <c r="B379" s="7">
        <v>45722</v>
      </c>
      <c r="C379" t="s">
        <v>55</v>
      </c>
      <c r="D379" t="s">
        <v>56</v>
      </c>
      <c r="E379" t="s">
        <v>2042</v>
      </c>
      <c r="F379" t="s">
        <v>43</v>
      </c>
      <c r="G379" t="s">
        <v>57</v>
      </c>
      <c r="H379" t="s">
        <v>100</v>
      </c>
      <c r="I379" t="s">
        <v>1643</v>
      </c>
      <c r="J379">
        <v>7</v>
      </c>
      <c r="K379">
        <v>13154</v>
      </c>
      <c r="L379">
        <v>0.03</v>
      </c>
      <c r="M379">
        <v>12759.38</v>
      </c>
      <c r="N379">
        <v>89315.66</v>
      </c>
      <c r="O379">
        <v>0.2</v>
      </c>
      <c r="P379">
        <v>17863.13</v>
      </c>
      <c r="Q379" t="s">
        <v>27</v>
      </c>
      <c r="R379" t="s">
        <v>38</v>
      </c>
      <c r="S379">
        <v>9</v>
      </c>
      <c r="T379">
        <v>2025</v>
      </c>
      <c r="U379" t="s">
        <v>3069</v>
      </c>
      <c r="V379">
        <v>3</v>
      </c>
      <c r="W379" t="s">
        <v>3070</v>
      </c>
      <c r="X379">
        <v>71452.53</v>
      </c>
      <c r="Y379" t="s">
        <v>3077</v>
      </c>
      <c r="Z379" t="s">
        <v>3063</v>
      </c>
      <c r="AA379" t="s">
        <v>3079</v>
      </c>
    </row>
    <row r="380" spans="1:27" x14ac:dyDescent="0.3">
      <c r="A380" t="s">
        <v>2493</v>
      </c>
      <c r="B380" s="7">
        <v>45379</v>
      </c>
      <c r="C380" t="s">
        <v>30</v>
      </c>
      <c r="D380" t="s">
        <v>56</v>
      </c>
      <c r="E380" t="s">
        <v>2040</v>
      </c>
      <c r="F380" t="s">
        <v>43</v>
      </c>
      <c r="G380" t="s">
        <v>34</v>
      </c>
      <c r="H380" t="s">
        <v>35</v>
      </c>
      <c r="I380" t="s">
        <v>971</v>
      </c>
      <c r="J380">
        <v>9</v>
      </c>
      <c r="K380">
        <v>1034</v>
      </c>
      <c r="L380">
        <v>0.16</v>
      </c>
      <c r="M380">
        <v>868.56</v>
      </c>
      <c r="N380">
        <v>7817.04</v>
      </c>
      <c r="O380">
        <v>0.4</v>
      </c>
      <c r="P380">
        <v>3126.82</v>
      </c>
      <c r="Q380" t="s">
        <v>27</v>
      </c>
      <c r="R380" t="s">
        <v>48</v>
      </c>
      <c r="S380">
        <v>5</v>
      </c>
      <c r="T380">
        <v>2024</v>
      </c>
      <c r="U380" t="s">
        <v>3069</v>
      </c>
      <c r="V380">
        <v>3</v>
      </c>
      <c r="W380" t="s">
        <v>3101</v>
      </c>
      <c r="X380">
        <v>4690.2199999999993</v>
      </c>
      <c r="Y380" t="s">
        <v>3062</v>
      </c>
      <c r="Z380" t="s">
        <v>3063</v>
      </c>
      <c r="AA380" t="s">
        <v>3079</v>
      </c>
    </row>
    <row r="381" spans="1:27" x14ac:dyDescent="0.3">
      <c r="A381" t="s">
        <v>2516</v>
      </c>
      <c r="B381" s="7">
        <v>45402</v>
      </c>
      <c r="C381" t="s">
        <v>20</v>
      </c>
      <c r="D381" t="s">
        <v>21</v>
      </c>
      <c r="E381" t="s">
        <v>2042</v>
      </c>
      <c r="F381" t="s">
        <v>97</v>
      </c>
      <c r="G381" t="s">
        <v>34</v>
      </c>
      <c r="H381" t="s">
        <v>104</v>
      </c>
      <c r="I381" t="s">
        <v>1016</v>
      </c>
      <c r="J381">
        <v>7</v>
      </c>
      <c r="K381">
        <v>1230</v>
      </c>
      <c r="L381">
        <v>0.09</v>
      </c>
      <c r="M381">
        <v>1119.3</v>
      </c>
      <c r="N381">
        <v>7835.1</v>
      </c>
      <c r="O381">
        <v>0.4</v>
      </c>
      <c r="P381">
        <v>3134.04</v>
      </c>
      <c r="Q381" t="s">
        <v>27</v>
      </c>
      <c r="R381" t="s">
        <v>48</v>
      </c>
      <c r="S381">
        <v>4</v>
      </c>
      <c r="T381">
        <v>2024</v>
      </c>
      <c r="U381" t="s">
        <v>3080</v>
      </c>
      <c r="V381">
        <v>4</v>
      </c>
      <c r="W381" t="s">
        <v>3095</v>
      </c>
      <c r="X381">
        <v>4701.0600000000004</v>
      </c>
      <c r="Y381" t="s">
        <v>3062</v>
      </c>
      <c r="Z381" t="s">
        <v>3063</v>
      </c>
      <c r="AA381" t="s">
        <v>3079</v>
      </c>
    </row>
    <row r="382" spans="1:27" x14ac:dyDescent="0.3">
      <c r="A382" t="s">
        <v>2797</v>
      </c>
      <c r="B382" s="7">
        <v>45683</v>
      </c>
      <c r="C382" t="s">
        <v>30</v>
      </c>
      <c r="D382" t="s">
        <v>31</v>
      </c>
      <c r="E382" t="s">
        <v>67</v>
      </c>
      <c r="F382" t="s">
        <v>33</v>
      </c>
      <c r="G382" t="s">
        <v>34</v>
      </c>
      <c r="H382" t="s">
        <v>35</v>
      </c>
      <c r="I382" t="s">
        <v>1567</v>
      </c>
      <c r="J382">
        <v>8</v>
      </c>
      <c r="K382">
        <v>1243</v>
      </c>
      <c r="L382">
        <v>0.21</v>
      </c>
      <c r="M382">
        <v>981.97</v>
      </c>
      <c r="N382">
        <v>7855.76</v>
      </c>
      <c r="O382">
        <v>0.4</v>
      </c>
      <c r="P382">
        <v>3142.3</v>
      </c>
      <c r="Q382" t="s">
        <v>27</v>
      </c>
      <c r="R382" t="s">
        <v>28</v>
      </c>
      <c r="S382">
        <v>8</v>
      </c>
      <c r="T382">
        <v>2025</v>
      </c>
      <c r="U382" t="s">
        <v>3071</v>
      </c>
      <c r="V382">
        <v>1</v>
      </c>
      <c r="W382" t="s">
        <v>3072</v>
      </c>
      <c r="X382">
        <v>4713.46</v>
      </c>
      <c r="Y382" t="s">
        <v>3077</v>
      </c>
      <c r="Z382" t="s">
        <v>3063</v>
      </c>
      <c r="AA382" t="s">
        <v>3079</v>
      </c>
    </row>
    <row r="383" spans="1:27" x14ac:dyDescent="0.3">
      <c r="A383" t="s">
        <v>2971</v>
      </c>
      <c r="B383" s="7">
        <v>45857</v>
      </c>
      <c r="C383" t="s">
        <v>55</v>
      </c>
      <c r="D383" t="s">
        <v>56</v>
      </c>
      <c r="E383" t="s">
        <v>2040</v>
      </c>
      <c r="F383" t="s">
        <v>68</v>
      </c>
      <c r="G383" t="s">
        <v>57</v>
      </c>
      <c r="H383" t="s">
        <v>100</v>
      </c>
      <c r="I383" t="s">
        <v>1905</v>
      </c>
      <c r="J383">
        <v>7</v>
      </c>
      <c r="K383">
        <v>15992</v>
      </c>
      <c r="L383">
        <v>0.21</v>
      </c>
      <c r="M383">
        <v>12633.68</v>
      </c>
      <c r="N383">
        <v>88435.76</v>
      </c>
      <c r="O383">
        <v>0.2</v>
      </c>
      <c r="P383">
        <v>17687.150000000001</v>
      </c>
      <c r="Q383" t="s">
        <v>51</v>
      </c>
      <c r="R383" t="s">
        <v>48</v>
      </c>
      <c r="S383">
        <v>3</v>
      </c>
      <c r="T383">
        <v>2025</v>
      </c>
      <c r="U383" t="s">
        <v>3088</v>
      </c>
      <c r="V383">
        <v>7</v>
      </c>
      <c r="W383" t="s">
        <v>3094</v>
      </c>
      <c r="X383">
        <v>70748.609999999986</v>
      </c>
      <c r="Y383" t="s">
        <v>3067</v>
      </c>
      <c r="Z383" t="s">
        <v>3063</v>
      </c>
      <c r="AA383" t="s">
        <v>3079</v>
      </c>
    </row>
    <row r="384" spans="1:27" x14ac:dyDescent="0.3">
      <c r="A384" t="s">
        <v>2576</v>
      </c>
      <c r="B384" s="7">
        <v>45462</v>
      </c>
      <c r="C384" t="s">
        <v>63</v>
      </c>
      <c r="D384" t="s">
        <v>31</v>
      </c>
      <c r="E384" t="s">
        <v>67</v>
      </c>
      <c r="F384" t="s">
        <v>97</v>
      </c>
      <c r="G384" t="s">
        <v>34</v>
      </c>
      <c r="H384" t="s">
        <v>71</v>
      </c>
      <c r="I384" t="s">
        <v>1135</v>
      </c>
      <c r="J384">
        <v>8</v>
      </c>
      <c r="K384">
        <v>1082</v>
      </c>
      <c r="L384">
        <v>7.0000000000000007E-2</v>
      </c>
      <c r="M384">
        <v>1006.26</v>
      </c>
      <c r="N384">
        <v>8050.08</v>
      </c>
      <c r="O384">
        <v>0.4</v>
      </c>
      <c r="P384">
        <v>3220.03</v>
      </c>
      <c r="Q384" t="s">
        <v>27</v>
      </c>
      <c r="R384" t="s">
        <v>48</v>
      </c>
      <c r="S384">
        <v>2</v>
      </c>
      <c r="T384">
        <v>2024</v>
      </c>
      <c r="U384" t="s">
        <v>3073</v>
      </c>
      <c r="V384">
        <v>6</v>
      </c>
      <c r="W384" t="s">
        <v>3074</v>
      </c>
      <c r="X384">
        <v>4830.0499999999993</v>
      </c>
      <c r="Y384" t="s">
        <v>3067</v>
      </c>
      <c r="Z384" t="s">
        <v>3063</v>
      </c>
      <c r="AA384" t="s">
        <v>3079</v>
      </c>
    </row>
    <row r="385" spans="1:27" x14ac:dyDescent="0.3">
      <c r="A385" t="s">
        <v>2243</v>
      </c>
      <c r="B385" s="7">
        <v>45129</v>
      </c>
      <c r="C385" t="s">
        <v>96</v>
      </c>
      <c r="D385" t="s">
        <v>21</v>
      </c>
      <c r="E385" t="s">
        <v>67</v>
      </c>
      <c r="F385" t="s">
        <v>23</v>
      </c>
      <c r="G385" t="s">
        <v>92</v>
      </c>
      <c r="H385" t="s">
        <v>178</v>
      </c>
      <c r="I385" t="s">
        <v>476</v>
      </c>
      <c r="J385">
        <v>2</v>
      </c>
      <c r="K385">
        <v>60138</v>
      </c>
      <c r="L385">
        <v>0.03</v>
      </c>
      <c r="M385">
        <v>58333.86</v>
      </c>
      <c r="N385">
        <v>116667.72</v>
      </c>
      <c r="O385">
        <v>0.15</v>
      </c>
      <c r="P385">
        <v>17500.16</v>
      </c>
      <c r="Q385" t="s">
        <v>51</v>
      </c>
      <c r="R385" t="s">
        <v>48</v>
      </c>
      <c r="S385">
        <v>8</v>
      </c>
      <c r="T385">
        <v>2023</v>
      </c>
      <c r="U385" t="s">
        <v>3088</v>
      </c>
      <c r="V385">
        <v>7</v>
      </c>
      <c r="W385" t="s">
        <v>3111</v>
      </c>
      <c r="X385">
        <v>99167.56</v>
      </c>
      <c r="Y385" t="s">
        <v>3077</v>
      </c>
      <c r="Z385" t="s">
        <v>3063</v>
      </c>
      <c r="AA385" t="s">
        <v>3079</v>
      </c>
    </row>
    <row r="386" spans="1:27" x14ac:dyDescent="0.3">
      <c r="A386" t="s">
        <v>2198</v>
      </c>
      <c r="B386" s="7">
        <v>45084</v>
      </c>
      <c r="C386" t="s">
        <v>63</v>
      </c>
      <c r="D386" t="s">
        <v>31</v>
      </c>
      <c r="E386" t="s">
        <v>2042</v>
      </c>
      <c r="F386" t="s">
        <v>23</v>
      </c>
      <c r="G386" t="s">
        <v>34</v>
      </c>
      <c r="H386" t="s">
        <v>71</v>
      </c>
      <c r="I386" t="s">
        <v>386</v>
      </c>
      <c r="J386">
        <v>8</v>
      </c>
      <c r="K386">
        <v>1036</v>
      </c>
      <c r="L386">
        <v>0.02</v>
      </c>
      <c r="M386">
        <v>1015.28</v>
      </c>
      <c r="N386">
        <v>8122.24</v>
      </c>
      <c r="O386">
        <v>0.4</v>
      </c>
      <c r="P386">
        <v>3248.9</v>
      </c>
      <c r="Q386" t="s">
        <v>51</v>
      </c>
      <c r="R386" t="s">
        <v>48</v>
      </c>
      <c r="S386">
        <v>6</v>
      </c>
      <c r="T386">
        <v>2023</v>
      </c>
      <c r="U386" t="s">
        <v>3073</v>
      </c>
      <c r="V386">
        <v>6</v>
      </c>
      <c r="W386" t="s">
        <v>3103</v>
      </c>
      <c r="X386">
        <v>4873.34</v>
      </c>
      <c r="Y386" t="s">
        <v>3062</v>
      </c>
      <c r="Z386" t="s">
        <v>3063</v>
      </c>
      <c r="AA386" t="s">
        <v>3079</v>
      </c>
    </row>
    <row r="387" spans="1:27" x14ac:dyDescent="0.3">
      <c r="A387" t="s">
        <v>2829</v>
      </c>
      <c r="B387" s="7">
        <v>45715</v>
      </c>
      <c r="C387" t="s">
        <v>30</v>
      </c>
      <c r="D387" t="s">
        <v>31</v>
      </c>
      <c r="E387" t="s">
        <v>2042</v>
      </c>
      <c r="F387" t="s">
        <v>33</v>
      </c>
      <c r="G387" t="s">
        <v>92</v>
      </c>
      <c r="H387" t="s">
        <v>243</v>
      </c>
      <c r="I387" t="s">
        <v>1629</v>
      </c>
      <c r="J387">
        <v>3</v>
      </c>
      <c r="K387">
        <v>46727</v>
      </c>
      <c r="L387">
        <v>0.17</v>
      </c>
      <c r="M387">
        <v>38783.410000000003</v>
      </c>
      <c r="N387">
        <v>116350.23</v>
      </c>
      <c r="O387">
        <v>0.15</v>
      </c>
      <c r="P387">
        <v>17452.53</v>
      </c>
      <c r="Q387" t="s">
        <v>51</v>
      </c>
      <c r="R387" t="s">
        <v>28</v>
      </c>
      <c r="S387">
        <v>9</v>
      </c>
      <c r="T387">
        <v>2025</v>
      </c>
      <c r="U387" t="s">
        <v>3084</v>
      </c>
      <c r="V387">
        <v>2</v>
      </c>
      <c r="W387" t="s">
        <v>3090</v>
      </c>
      <c r="X387">
        <v>98897.7</v>
      </c>
      <c r="Y387" t="s">
        <v>3077</v>
      </c>
      <c r="Z387" t="s">
        <v>3063</v>
      </c>
      <c r="AA387" t="s">
        <v>3079</v>
      </c>
    </row>
    <row r="388" spans="1:27" x14ac:dyDescent="0.3">
      <c r="A388" t="s">
        <v>2702</v>
      </c>
      <c r="B388" s="7">
        <v>45588</v>
      </c>
      <c r="C388" t="s">
        <v>40</v>
      </c>
      <c r="D388" t="s">
        <v>21</v>
      </c>
      <c r="E388" t="s">
        <v>67</v>
      </c>
      <c r="F388" t="s">
        <v>23</v>
      </c>
      <c r="G388" t="s">
        <v>57</v>
      </c>
      <c r="H388" t="s">
        <v>183</v>
      </c>
      <c r="I388" t="s">
        <v>1382</v>
      </c>
      <c r="J388">
        <v>6</v>
      </c>
      <c r="K388">
        <v>14504</v>
      </c>
      <c r="L388">
        <v>0</v>
      </c>
      <c r="M388">
        <v>14504</v>
      </c>
      <c r="N388">
        <v>87024</v>
      </c>
      <c r="O388">
        <v>0.2</v>
      </c>
      <c r="P388">
        <v>17404.8</v>
      </c>
      <c r="Q388" t="s">
        <v>47</v>
      </c>
      <c r="R388" t="s">
        <v>48</v>
      </c>
      <c r="S388">
        <v>9</v>
      </c>
      <c r="T388">
        <v>2024</v>
      </c>
      <c r="U388" t="s">
        <v>3065</v>
      </c>
      <c r="V388">
        <v>10</v>
      </c>
      <c r="W388" t="s">
        <v>3066</v>
      </c>
      <c r="X388">
        <v>69619.199999999997</v>
      </c>
      <c r="Y388" t="s">
        <v>3077</v>
      </c>
      <c r="Z388" t="s">
        <v>3063</v>
      </c>
      <c r="AA388" t="s">
        <v>3079</v>
      </c>
    </row>
    <row r="389" spans="1:27" x14ac:dyDescent="0.3">
      <c r="A389" t="s">
        <v>2391</v>
      </c>
      <c r="B389" s="7">
        <v>45277</v>
      </c>
      <c r="C389" t="s">
        <v>55</v>
      </c>
      <c r="D389" t="s">
        <v>56</v>
      </c>
      <c r="E389" t="s">
        <v>2040</v>
      </c>
      <c r="F389" t="s">
        <v>97</v>
      </c>
      <c r="G389" t="s">
        <v>57</v>
      </c>
      <c r="H389" t="s">
        <v>183</v>
      </c>
      <c r="I389" t="s">
        <v>769</v>
      </c>
      <c r="J389">
        <v>1</v>
      </c>
      <c r="K389">
        <v>19633</v>
      </c>
      <c r="L389">
        <v>0.17</v>
      </c>
      <c r="M389">
        <v>16295.39</v>
      </c>
      <c r="N389">
        <v>16295.39</v>
      </c>
      <c r="O389">
        <v>0.2</v>
      </c>
      <c r="P389">
        <v>3259.08</v>
      </c>
      <c r="Q389" t="s">
        <v>47</v>
      </c>
      <c r="R389" t="s">
        <v>48</v>
      </c>
      <c r="S389">
        <v>5</v>
      </c>
      <c r="T389">
        <v>2023</v>
      </c>
      <c r="U389" t="s">
        <v>3086</v>
      </c>
      <c r="V389">
        <v>12</v>
      </c>
      <c r="W389" t="s">
        <v>3099</v>
      </c>
      <c r="X389">
        <v>13036.31</v>
      </c>
      <c r="Y389" t="s">
        <v>3062</v>
      </c>
      <c r="Z389" t="s">
        <v>3063</v>
      </c>
      <c r="AA389" t="s">
        <v>3079</v>
      </c>
    </row>
    <row r="390" spans="1:27" x14ac:dyDescent="0.3">
      <c r="A390" t="s">
        <v>2457</v>
      </c>
      <c r="B390" s="7">
        <v>45343</v>
      </c>
      <c r="C390" t="s">
        <v>96</v>
      </c>
      <c r="D390" t="s">
        <v>21</v>
      </c>
      <c r="E390" t="s">
        <v>67</v>
      </c>
      <c r="F390" t="s">
        <v>33</v>
      </c>
      <c r="G390" t="s">
        <v>57</v>
      </c>
      <c r="H390" t="s">
        <v>58</v>
      </c>
      <c r="I390" t="s">
        <v>900</v>
      </c>
      <c r="J390">
        <v>8</v>
      </c>
      <c r="K390">
        <v>12060</v>
      </c>
      <c r="L390">
        <v>0.11</v>
      </c>
      <c r="M390">
        <v>10733.4</v>
      </c>
      <c r="N390">
        <v>85867.199999999997</v>
      </c>
      <c r="O390">
        <v>0.2</v>
      </c>
      <c r="P390">
        <v>17173.439999999999</v>
      </c>
      <c r="Q390" t="s">
        <v>37</v>
      </c>
      <c r="R390" t="s">
        <v>48</v>
      </c>
      <c r="S390">
        <v>8</v>
      </c>
      <c r="T390">
        <v>2024</v>
      </c>
      <c r="U390" t="s">
        <v>3084</v>
      </c>
      <c r="V390">
        <v>2</v>
      </c>
      <c r="W390" t="s">
        <v>3085</v>
      </c>
      <c r="X390">
        <v>68693.759999999995</v>
      </c>
      <c r="Y390" t="s">
        <v>3077</v>
      </c>
      <c r="Z390" t="s">
        <v>3063</v>
      </c>
      <c r="AA390" t="s">
        <v>3079</v>
      </c>
    </row>
    <row r="391" spans="1:27" x14ac:dyDescent="0.3">
      <c r="A391" t="s">
        <v>2619</v>
      </c>
      <c r="B391" s="7">
        <v>45505</v>
      </c>
      <c r="C391" t="s">
        <v>40</v>
      </c>
      <c r="D391" t="s">
        <v>21</v>
      </c>
      <c r="E391" t="s">
        <v>2040</v>
      </c>
      <c r="F391" t="s">
        <v>97</v>
      </c>
      <c r="G391" t="s">
        <v>57</v>
      </c>
      <c r="H391" t="s">
        <v>81</v>
      </c>
      <c r="I391" t="s">
        <v>1220</v>
      </c>
      <c r="J391">
        <v>1</v>
      </c>
      <c r="K391">
        <v>18052</v>
      </c>
      <c r="L391">
        <v>0.09</v>
      </c>
      <c r="M391">
        <v>16427.32</v>
      </c>
      <c r="N391">
        <v>16427.32</v>
      </c>
      <c r="O391">
        <v>0.2</v>
      </c>
      <c r="P391">
        <v>3285.46</v>
      </c>
      <c r="Q391" t="s">
        <v>27</v>
      </c>
      <c r="R391" t="s">
        <v>48</v>
      </c>
      <c r="S391">
        <v>7</v>
      </c>
      <c r="T391">
        <v>2024</v>
      </c>
      <c r="U391" t="s">
        <v>3075</v>
      </c>
      <c r="V391">
        <v>8</v>
      </c>
      <c r="W391" t="s">
        <v>3093</v>
      </c>
      <c r="X391">
        <v>13141.86</v>
      </c>
      <c r="Y391" t="s">
        <v>3062</v>
      </c>
      <c r="Z391" t="s">
        <v>3063</v>
      </c>
      <c r="AA391" t="s">
        <v>3079</v>
      </c>
    </row>
    <row r="392" spans="1:27" x14ac:dyDescent="0.3">
      <c r="A392" t="s">
        <v>2820</v>
      </c>
      <c r="B392" s="7">
        <v>45706</v>
      </c>
      <c r="C392" t="s">
        <v>30</v>
      </c>
      <c r="D392" t="s">
        <v>56</v>
      </c>
      <c r="E392" t="s">
        <v>42</v>
      </c>
      <c r="F392" t="s">
        <v>103</v>
      </c>
      <c r="G392" t="s">
        <v>92</v>
      </c>
      <c r="H392" t="s">
        <v>178</v>
      </c>
      <c r="I392" t="s">
        <v>1611</v>
      </c>
      <c r="J392">
        <v>3</v>
      </c>
      <c r="K392">
        <v>37766</v>
      </c>
      <c r="L392">
        <v>0</v>
      </c>
      <c r="M392">
        <v>37766</v>
      </c>
      <c r="N392">
        <v>113298</v>
      </c>
      <c r="O392">
        <v>0.15</v>
      </c>
      <c r="P392">
        <v>16994.7</v>
      </c>
      <c r="Q392" t="s">
        <v>47</v>
      </c>
      <c r="R392" t="s">
        <v>48</v>
      </c>
      <c r="S392">
        <v>1</v>
      </c>
      <c r="T392">
        <v>2025</v>
      </c>
      <c r="U392" t="s">
        <v>3084</v>
      </c>
      <c r="V392">
        <v>2</v>
      </c>
      <c r="W392" t="s">
        <v>3090</v>
      </c>
      <c r="X392">
        <v>96303.3</v>
      </c>
      <c r="Y392" t="s">
        <v>3067</v>
      </c>
      <c r="Z392" t="s">
        <v>3063</v>
      </c>
      <c r="AA392" t="s">
        <v>3079</v>
      </c>
    </row>
    <row r="393" spans="1:27" x14ac:dyDescent="0.3">
      <c r="A393" t="s">
        <v>2686</v>
      </c>
      <c r="B393" s="7">
        <v>45572</v>
      </c>
      <c r="C393" t="s">
        <v>96</v>
      </c>
      <c r="D393" t="s">
        <v>31</v>
      </c>
      <c r="E393" t="s">
        <v>42</v>
      </c>
      <c r="F393" t="s">
        <v>68</v>
      </c>
      <c r="G393" t="s">
        <v>57</v>
      </c>
      <c r="H393" t="s">
        <v>81</v>
      </c>
      <c r="I393" t="s">
        <v>1352</v>
      </c>
      <c r="J393">
        <v>9</v>
      </c>
      <c r="K393">
        <v>10964</v>
      </c>
      <c r="L393">
        <v>0.14000000000000001</v>
      </c>
      <c r="M393">
        <v>9429.0400000000009</v>
      </c>
      <c r="N393">
        <v>84861.36</v>
      </c>
      <c r="O393">
        <v>0.2</v>
      </c>
      <c r="P393">
        <v>16972.27</v>
      </c>
      <c r="Q393" t="s">
        <v>37</v>
      </c>
      <c r="R393" t="s">
        <v>48</v>
      </c>
      <c r="S393">
        <v>7</v>
      </c>
      <c r="T393">
        <v>2024</v>
      </c>
      <c r="U393" t="s">
        <v>3065</v>
      </c>
      <c r="V393">
        <v>10</v>
      </c>
      <c r="W393" t="s">
        <v>3066</v>
      </c>
      <c r="X393">
        <v>67889.09</v>
      </c>
      <c r="Y393" t="s">
        <v>3062</v>
      </c>
      <c r="Z393" t="s">
        <v>3063</v>
      </c>
      <c r="AA393" t="s">
        <v>3079</v>
      </c>
    </row>
    <row r="394" spans="1:27" x14ac:dyDescent="0.3">
      <c r="A394" t="s">
        <v>2128</v>
      </c>
      <c r="B394" s="7">
        <v>45014</v>
      </c>
      <c r="C394" t="s">
        <v>40</v>
      </c>
      <c r="D394" t="s">
        <v>21</v>
      </c>
      <c r="E394" t="s">
        <v>2040</v>
      </c>
      <c r="F394" t="s">
        <v>43</v>
      </c>
      <c r="G394" t="s">
        <v>92</v>
      </c>
      <c r="H394" t="s">
        <v>243</v>
      </c>
      <c r="I394" t="s">
        <v>246</v>
      </c>
      <c r="J394">
        <v>4</v>
      </c>
      <c r="K394">
        <v>29975</v>
      </c>
      <c r="L394">
        <v>7.0000000000000007E-2</v>
      </c>
      <c r="M394">
        <v>27876.75</v>
      </c>
      <c r="N394">
        <v>111507</v>
      </c>
      <c r="O394">
        <v>0.15</v>
      </c>
      <c r="P394">
        <v>16726.05</v>
      </c>
      <c r="Q394" t="s">
        <v>51</v>
      </c>
      <c r="R394" t="s">
        <v>48</v>
      </c>
      <c r="S394">
        <v>3</v>
      </c>
      <c r="T394">
        <v>2023</v>
      </c>
      <c r="U394" t="s">
        <v>3069</v>
      </c>
      <c r="V394">
        <v>3</v>
      </c>
      <c r="W394" t="s">
        <v>3082</v>
      </c>
      <c r="X394">
        <v>94780.95</v>
      </c>
      <c r="Y394" t="s">
        <v>3067</v>
      </c>
      <c r="Z394" t="s">
        <v>3063</v>
      </c>
      <c r="AA394" t="s">
        <v>3079</v>
      </c>
    </row>
    <row r="395" spans="1:27" x14ac:dyDescent="0.3">
      <c r="A395" t="s">
        <v>2980</v>
      </c>
      <c r="B395" s="7">
        <v>45866</v>
      </c>
      <c r="C395" t="s">
        <v>55</v>
      </c>
      <c r="D395" t="s">
        <v>41</v>
      </c>
      <c r="E395" t="s">
        <v>2040</v>
      </c>
      <c r="F395" t="s">
        <v>43</v>
      </c>
      <c r="G395" t="s">
        <v>92</v>
      </c>
      <c r="H395" t="s">
        <v>243</v>
      </c>
      <c r="I395" t="s">
        <v>1923</v>
      </c>
      <c r="J395">
        <v>6</v>
      </c>
      <c r="K395">
        <v>23140</v>
      </c>
      <c r="L395">
        <v>0.21</v>
      </c>
      <c r="M395">
        <v>18280.599999999999</v>
      </c>
      <c r="N395">
        <v>109683.6</v>
      </c>
      <c r="O395">
        <v>0.15</v>
      </c>
      <c r="P395">
        <v>16452.54</v>
      </c>
      <c r="Q395" t="s">
        <v>47</v>
      </c>
      <c r="R395" t="s">
        <v>38</v>
      </c>
      <c r="S395">
        <v>3</v>
      </c>
      <c r="T395">
        <v>2025</v>
      </c>
      <c r="U395" t="s">
        <v>3088</v>
      </c>
      <c r="V395">
        <v>7</v>
      </c>
      <c r="W395" t="s">
        <v>3094</v>
      </c>
      <c r="X395">
        <v>93231.06</v>
      </c>
      <c r="Y395" t="s">
        <v>3067</v>
      </c>
      <c r="Z395" t="s">
        <v>3063</v>
      </c>
      <c r="AA395" t="s">
        <v>3079</v>
      </c>
    </row>
    <row r="396" spans="1:27" x14ac:dyDescent="0.3">
      <c r="A396" t="s">
        <v>2724</v>
      </c>
      <c r="B396" s="7">
        <v>45610</v>
      </c>
      <c r="C396" t="s">
        <v>30</v>
      </c>
      <c r="D396" t="s">
        <v>56</v>
      </c>
      <c r="E396" t="s">
        <v>67</v>
      </c>
      <c r="F396" t="s">
        <v>97</v>
      </c>
      <c r="G396" t="s">
        <v>57</v>
      </c>
      <c r="H396" t="s">
        <v>58</v>
      </c>
      <c r="I396" t="s">
        <v>1424</v>
      </c>
      <c r="J396">
        <v>3</v>
      </c>
      <c r="K396">
        <v>6583</v>
      </c>
      <c r="L396">
        <v>0.15</v>
      </c>
      <c r="M396">
        <v>5595.55</v>
      </c>
      <c r="N396">
        <v>16786.650000000001</v>
      </c>
      <c r="O396">
        <v>0.2</v>
      </c>
      <c r="P396">
        <v>3357.33</v>
      </c>
      <c r="Q396" t="s">
        <v>27</v>
      </c>
      <c r="R396" t="s">
        <v>28</v>
      </c>
      <c r="S396">
        <v>1</v>
      </c>
      <c r="T396">
        <v>2024</v>
      </c>
      <c r="U396" t="s">
        <v>3060</v>
      </c>
      <c r="V396">
        <v>11</v>
      </c>
      <c r="W396" t="s">
        <v>3100</v>
      </c>
      <c r="X396">
        <v>13429.320000000002</v>
      </c>
      <c r="Y396" t="s">
        <v>3067</v>
      </c>
      <c r="Z396" t="s">
        <v>3063</v>
      </c>
      <c r="AA396" t="s">
        <v>3079</v>
      </c>
    </row>
    <row r="397" spans="1:27" x14ac:dyDescent="0.3">
      <c r="A397" t="s">
        <v>2094</v>
      </c>
      <c r="B397" s="7">
        <v>44980</v>
      </c>
      <c r="C397" t="s">
        <v>20</v>
      </c>
      <c r="D397" t="s">
        <v>56</v>
      </c>
      <c r="E397" t="s">
        <v>2040</v>
      </c>
      <c r="F397" t="s">
        <v>33</v>
      </c>
      <c r="G397" t="s">
        <v>34</v>
      </c>
      <c r="H397" t="s">
        <v>71</v>
      </c>
      <c r="I397" t="s">
        <v>174</v>
      </c>
      <c r="J397">
        <v>6</v>
      </c>
      <c r="K397">
        <v>1430</v>
      </c>
      <c r="L397">
        <v>0.02</v>
      </c>
      <c r="M397">
        <v>1401.4</v>
      </c>
      <c r="N397">
        <v>8408.4</v>
      </c>
      <c r="O397">
        <v>0.4</v>
      </c>
      <c r="P397">
        <v>3363.36</v>
      </c>
      <c r="Q397" t="s">
        <v>37</v>
      </c>
      <c r="R397" t="s">
        <v>48</v>
      </c>
      <c r="S397">
        <v>6</v>
      </c>
      <c r="T397">
        <v>2023</v>
      </c>
      <c r="U397" t="s">
        <v>3084</v>
      </c>
      <c r="V397">
        <v>2</v>
      </c>
      <c r="W397" t="s">
        <v>3108</v>
      </c>
      <c r="X397">
        <v>5045.0399999999991</v>
      </c>
      <c r="Y397" t="s">
        <v>3062</v>
      </c>
      <c r="Z397" t="s">
        <v>3063</v>
      </c>
      <c r="AA397" t="s">
        <v>3079</v>
      </c>
    </row>
    <row r="398" spans="1:27" x14ac:dyDescent="0.3">
      <c r="A398" t="s">
        <v>2908</v>
      </c>
      <c r="B398" s="7">
        <v>45794</v>
      </c>
      <c r="C398" t="s">
        <v>63</v>
      </c>
      <c r="D398" t="s">
        <v>21</v>
      </c>
      <c r="E398" t="s">
        <v>2042</v>
      </c>
      <c r="F398" t="s">
        <v>43</v>
      </c>
      <c r="G398" t="s">
        <v>34</v>
      </c>
      <c r="H398" t="s">
        <v>141</v>
      </c>
      <c r="I398" t="s">
        <v>1786</v>
      </c>
      <c r="J398">
        <v>9</v>
      </c>
      <c r="K398">
        <v>1184</v>
      </c>
      <c r="L398">
        <v>0.21</v>
      </c>
      <c r="M398">
        <v>935.36</v>
      </c>
      <c r="N398">
        <v>8418.24</v>
      </c>
      <c r="O398">
        <v>0.4</v>
      </c>
      <c r="P398">
        <v>3367.3</v>
      </c>
      <c r="Q398" t="s">
        <v>37</v>
      </c>
      <c r="R398" t="s">
        <v>38</v>
      </c>
      <c r="S398">
        <v>1</v>
      </c>
      <c r="T398">
        <v>2025</v>
      </c>
      <c r="U398" t="s">
        <v>3091</v>
      </c>
      <c r="V398">
        <v>5</v>
      </c>
      <c r="W398" t="s">
        <v>3106</v>
      </c>
      <c r="X398">
        <v>5050.9399999999996</v>
      </c>
      <c r="Y398" t="s">
        <v>3067</v>
      </c>
      <c r="Z398" t="s">
        <v>3063</v>
      </c>
      <c r="AA398" t="s">
        <v>3079</v>
      </c>
    </row>
    <row r="399" spans="1:27" x14ac:dyDescent="0.3">
      <c r="A399" t="s">
        <v>2223</v>
      </c>
      <c r="B399" s="7">
        <v>45109</v>
      </c>
      <c r="C399" t="s">
        <v>20</v>
      </c>
      <c r="D399" t="s">
        <v>31</v>
      </c>
      <c r="E399" t="s">
        <v>2042</v>
      </c>
      <c r="F399" t="s">
        <v>103</v>
      </c>
      <c r="G399" t="s">
        <v>92</v>
      </c>
      <c r="H399" t="s">
        <v>109</v>
      </c>
      <c r="I399" t="s">
        <v>436</v>
      </c>
      <c r="J399">
        <v>9</v>
      </c>
      <c r="K399">
        <v>14470</v>
      </c>
      <c r="L399">
        <v>0.17</v>
      </c>
      <c r="M399">
        <v>12010.1</v>
      </c>
      <c r="N399">
        <v>108090.9</v>
      </c>
      <c r="O399">
        <v>0.15</v>
      </c>
      <c r="P399">
        <v>16213.63</v>
      </c>
      <c r="Q399" t="s">
        <v>51</v>
      </c>
      <c r="R399" t="s">
        <v>48</v>
      </c>
      <c r="S399">
        <v>7</v>
      </c>
      <c r="T399">
        <v>2023</v>
      </c>
      <c r="U399" t="s">
        <v>3088</v>
      </c>
      <c r="V399">
        <v>7</v>
      </c>
      <c r="W399" t="s">
        <v>3111</v>
      </c>
      <c r="X399">
        <v>91877.26999999999</v>
      </c>
      <c r="Y399" t="s">
        <v>3062</v>
      </c>
      <c r="Z399" t="s">
        <v>3063</v>
      </c>
      <c r="AA399" t="s">
        <v>3079</v>
      </c>
    </row>
    <row r="400" spans="1:27" x14ac:dyDescent="0.3">
      <c r="A400" t="s">
        <v>2665</v>
      </c>
      <c r="B400" s="7">
        <v>45551</v>
      </c>
      <c r="C400" t="s">
        <v>55</v>
      </c>
      <c r="D400" t="s">
        <v>41</v>
      </c>
      <c r="E400" t="s">
        <v>2040</v>
      </c>
      <c r="F400" t="s">
        <v>103</v>
      </c>
      <c r="G400" t="s">
        <v>57</v>
      </c>
      <c r="H400" t="s">
        <v>183</v>
      </c>
      <c r="I400" t="s">
        <v>1310</v>
      </c>
      <c r="J400">
        <v>5</v>
      </c>
      <c r="K400">
        <v>16916</v>
      </c>
      <c r="L400">
        <v>0.05</v>
      </c>
      <c r="M400">
        <v>16070.2</v>
      </c>
      <c r="N400">
        <v>80351</v>
      </c>
      <c r="O400">
        <v>0.2</v>
      </c>
      <c r="P400">
        <v>16070.2</v>
      </c>
      <c r="Q400" t="s">
        <v>37</v>
      </c>
      <c r="R400" t="s">
        <v>48</v>
      </c>
      <c r="S400">
        <v>8</v>
      </c>
      <c r="T400">
        <v>2024</v>
      </c>
      <c r="U400" t="s">
        <v>3097</v>
      </c>
      <c r="V400">
        <v>9</v>
      </c>
      <c r="W400" t="s">
        <v>3098</v>
      </c>
      <c r="X400">
        <v>64280.800000000003</v>
      </c>
      <c r="Y400" t="s">
        <v>3077</v>
      </c>
      <c r="Z400" t="s">
        <v>3063</v>
      </c>
      <c r="AA400" t="s">
        <v>3079</v>
      </c>
    </row>
    <row r="401" spans="1:27" x14ac:dyDescent="0.3">
      <c r="A401" t="s">
        <v>2927</v>
      </c>
      <c r="B401" s="7">
        <v>45813</v>
      </c>
      <c r="C401" t="s">
        <v>96</v>
      </c>
      <c r="D401" t="s">
        <v>31</v>
      </c>
      <c r="E401" t="s">
        <v>67</v>
      </c>
      <c r="F401" t="s">
        <v>23</v>
      </c>
      <c r="G401" t="s">
        <v>57</v>
      </c>
      <c r="H401" t="s">
        <v>183</v>
      </c>
      <c r="I401" t="s">
        <v>1823</v>
      </c>
      <c r="J401">
        <v>8</v>
      </c>
      <c r="K401">
        <v>2204</v>
      </c>
      <c r="L401">
        <v>0.03</v>
      </c>
      <c r="M401">
        <v>2137.88</v>
      </c>
      <c r="N401">
        <v>17103.04</v>
      </c>
      <c r="O401">
        <v>0.2</v>
      </c>
      <c r="P401">
        <v>3420.61</v>
      </c>
      <c r="Q401" t="s">
        <v>47</v>
      </c>
      <c r="R401" t="s">
        <v>48</v>
      </c>
      <c r="S401">
        <v>1</v>
      </c>
      <c r="T401">
        <v>2025</v>
      </c>
      <c r="U401" t="s">
        <v>3073</v>
      </c>
      <c r="V401">
        <v>6</v>
      </c>
      <c r="W401" t="s">
        <v>3083</v>
      </c>
      <c r="X401">
        <v>13682.43</v>
      </c>
      <c r="Y401" t="s">
        <v>3067</v>
      </c>
      <c r="Z401" t="s">
        <v>3063</v>
      </c>
      <c r="AA401" t="s">
        <v>3079</v>
      </c>
    </row>
    <row r="402" spans="1:27" x14ac:dyDescent="0.3">
      <c r="A402" t="s">
        <v>2808</v>
      </c>
      <c r="B402" s="7">
        <v>45694</v>
      </c>
      <c r="C402" t="s">
        <v>96</v>
      </c>
      <c r="D402" t="s">
        <v>21</v>
      </c>
      <c r="E402" t="s">
        <v>2040</v>
      </c>
      <c r="F402" t="s">
        <v>103</v>
      </c>
      <c r="G402" t="s">
        <v>34</v>
      </c>
      <c r="H402" t="s">
        <v>104</v>
      </c>
      <c r="I402" t="s">
        <v>1588</v>
      </c>
      <c r="J402">
        <v>8</v>
      </c>
      <c r="K402">
        <v>1213</v>
      </c>
      <c r="L402">
        <v>0.11</v>
      </c>
      <c r="M402">
        <v>1079.57</v>
      </c>
      <c r="N402">
        <v>8636.56</v>
      </c>
      <c r="O402">
        <v>0.4</v>
      </c>
      <c r="P402">
        <v>3454.62</v>
      </c>
      <c r="Q402" t="s">
        <v>47</v>
      </c>
      <c r="R402" t="s">
        <v>48</v>
      </c>
      <c r="S402">
        <v>7</v>
      </c>
      <c r="T402">
        <v>2025</v>
      </c>
      <c r="U402" t="s">
        <v>3084</v>
      </c>
      <c r="V402">
        <v>2</v>
      </c>
      <c r="W402" t="s">
        <v>3090</v>
      </c>
      <c r="X402">
        <v>5181.9399999999996</v>
      </c>
      <c r="Y402" t="s">
        <v>3062</v>
      </c>
      <c r="Z402" t="s">
        <v>3063</v>
      </c>
      <c r="AA402" t="s">
        <v>3079</v>
      </c>
    </row>
    <row r="403" spans="1:27" x14ac:dyDescent="0.3">
      <c r="A403" t="s">
        <v>2653</v>
      </c>
      <c r="B403" s="7">
        <v>45539</v>
      </c>
      <c r="C403" t="s">
        <v>40</v>
      </c>
      <c r="D403" t="s">
        <v>56</v>
      </c>
      <c r="E403" t="s">
        <v>42</v>
      </c>
      <c r="F403" t="s">
        <v>68</v>
      </c>
      <c r="G403" t="s">
        <v>34</v>
      </c>
      <c r="H403" t="s">
        <v>104</v>
      </c>
      <c r="I403" t="s">
        <v>1286</v>
      </c>
      <c r="J403">
        <v>8</v>
      </c>
      <c r="K403">
        <v>1233</v>
      </c>
      <c r="L403">
        <v>0.12</v>
      </c>
      <c r="M403">
        <v>1085.04</v>
      </c>
      <c r="N403">
        <v>8680.32</v>
      </c>
      <c r="O403">
        <v>0.4</v>
      </c>
      <c r="P403">
        <v>3472.13</v>
      </c>
      <c r="Q403" t="s">
        <v>37</v>
      </c>
      <c r="R403" t="s">
        <v>48</v>
      </c>
      <c r="S403">
        <v>1</v>
      </c>
      <c r="T403">
        <v>2024</v>
      </c>
      <c r="U403" t="s">
        <v>3097</v>
      </c>
      <c r="V403">
        <v>9</v>
      </c>
      <c r="W403" t="s">
        <v>3098</v>
      </c>
      <c r="X403">
        <v>5208.1899999999996</v>
      </c>
      <c r="Y403" t="s">
        <v>3067</v>
      </c>
      <c r="Z403" t="s">
        <v>3063</v>
      </c>
      <c r="AA403" t="s">
        <v>3079</v>
      </c>
    </row>
    <row r="404" spans="1:27" x14ac:dyDescent="0.3">
      <c r="A404" t="s">
        <v>2308</v>
      </c>
      <c r="B404" s="7">
        <v>45194</v>
      </c>
      <c r="C404" t="s">
        <v>55</v>
      </c>
      <c r="D404" t="s">
        <v>31</v>
      </c>
      <c r="E404" t="s">
        <v>42</v>
      </c>
      <c r="F404" t="s">
        <v>43</v>
      </c>
      <c r="G404" t="s">
        <v>92</v>
      </c>
      <c r="H404" t="s">
        <v>93</v>
      </c>
      <c r="I404" t="s">
        <v>606</v>
      </c>
      <c r="J404">
        <v>2</v>
      </c>
      <c r="K404">
        <v>56819</v>
      </c>
      <c r="L404">
        <v>0.06</v>
      </c>
      <c r="M404">
        <v>53409.86</v>
      </c>
      <c r="N404">
        <v>106819.72</v>
      </c>
      <c r="O404">
        <v>0.15</v>
      </c>
      <c r="P404">
        <v>16022.96</v>
      </c>
      <c r="Q404" t="s">
        <v>51</v>
      </c>
      <c r="R404" t="s">
        <v>48</v>
      </c>
      <c r="S404">
        <v>6</v>
      </c>
      <c r="T404">
        <v>2023</v>
      </c>
      <c r="U404" t="s">
        <v>3097</v>
      </c>
      <c r="V404">
        <v>9</v>
      </c>
      <c r="W404" t="s">
        <v>3107</v>
      </c>
      <c r="X404">
        <v>90796.760000000009</v>
      </c>
      <c r="Y404" t="s">
        <v>3062</v>
      </c>
      <c r="Z404" t="s">
        <v>3063</v>
      </c>
      <c r="AA404" t="s">
        <v>3079</v>
      </c>
    </row>
    <row r="405" spans="1:27" x14ac:dyDescent="0.3">
      <c r="A405" t="s">
        <v>2676</v>
      </c>
      <c r="B405" s="7">
        <v>45562</v>
      </c>
      <c r="C405" t="s">
        <v>55</v>
      </c>
      <c r="D405" t="s">
        <v>31</v>
      </c>
      <c r="E405" t="s">
        <v>2040</v>
      </c>
      <c r="F405" t="s">
        <v>23</v>
      </c>
      <c r="G405" t="s">
        <v>92</v>
      </c>
      <c r="H405" t="s">
        <v>93</v>
      </c>
      <c r="I405" t="s">
        <v>1332</v>
      </c>
      <c r="J405">
        <v>2</v>
      </c>
      <c r="K405">
        <v>54857</v>
      </c>
      <c r="L405">
        <v>0.04</v>
      </c>
      <c r="M405">
        <v>52662.720000000001</v>
      </c>
      <c r="N405">
        <v>105325.44</v>
      </c>
      <c r="O405">
        <v>0.15</v>
      </c>
      <c r="P405">
        <v>15798.82</v>
      </c>
      <c r="Q405" t="s">
        <v>47</v>
      </c>
      <c r="R405" t="s">
        <v>48</v>
      </c>
      <c r="S405">
        <v>8</v>
      </c>
      <c r="T405">
        <v>2024</v>
      </c>
      <c r="U405" t="s">
        <v>3097</v>
      </c>
      <c r="V405">
        <v>9</v>
      </c>
      <c r="W405" t="s">
        <v>3098</v>
      </c>
      <c r="X405">
        <v>89526.62</v>
      </c>
      <c r="Y405" t="s">
        <v>3077</v>
      </c>
      <c r="Z405" t="s">
        <v>3063</v>
      </c>
      <c r="AA405" t="s">
        <v>3079</v>
      </c>
    </row>
    <row r="406" spans="1:27" x14ac:dyDescent="0.3">
      <c r="A406" t="s">
        <v>2845</v>
      </c>
      <c r="B406" s="7">
        <v>45731</v>
      </c>
      <c r="C406" t="s">
        <v>20</v>
      </c>
      <c r="D406" t="s">
        <v>31</v>
      </c>
      <c r="E406" t="s">
        <v>2040</v>
      </c>
      <c r="F406" t="s">
        <v>97</v>
      </c>
      <c r="G406" t="s">
        <v>57</v>
      </c>
      <c r="H406" t="s">
        <v>100</v>
      </c>
      <c r="I406" t="s">
        <v>1661</v>
      </c>
      <c r="J406">
        <v>1</v>
      </c>
      <c r="K406">
        <v>18044</v>
      </c>
      <c r="L406">
        <v>0.03</v>
      </c>
      <c r="M406">
        <v>17502.68</v>
      </c>
      <c r="N406">
        <v>17502.68</v>
      </c>
      <c r="O406">
        <v>0.2</v>
      </c>
      <c r="P406">
        <v>3500.54</v>
      </c>
      <c r="Q406" t="s">
        <v>37</v>
      </c>
      <c r="R406" t="s">
        <v>28</v>
      </c>
      <c r="S406">
        <v>8</v>
      </c>
      <c r="T406">
        <v>2025</v>
      </c>
      <c r="U406" t="s">
        <v>3069</v>
      </c>
      <c r="V406">
        <v>3</v>
      </c>
      <c r="W406" t="s">
        <v>3070</v>
      </c>
      <c r="X406">
        <v>14002.14</v>
      </c>
      <c r="Y406" t="s">
        <v>3077</v>
      </c>
      <c r="Z406" t="s">
        <v>3063</v>
      </c>
      <c r="AA406" t="s">
        <v>3079</v>
      </c>
    </row>
    <row r="407" spans="1:27" x14ac:dyDescent="0.3">
      <c r="A407" t="s">
        <v>2471</v>
      </c>
      <c r="B407" s="7">
        <v>45357</v>
      </c>
      <c r="C407" t="s">
        <v>63</v>
      </c>
      <c r="D407" t="s">
        <v>56</v>
      </c>
      <c r="E407" t="s">
        <v>67</v>
      </c>
      <c r="F407" t="s">
        <v>23</v>
      </c>
      <c r="G407" t="s">
        <v>57</v>
      </c>
      <c r="H407" t="s">
        <v>183</v>
      </c>
      <c r="I407" t="s">
        <v>928</v>
      </c>
      <c r="J407">
        <v>6</v>
      </c>
      <c r="K407">
        <v>17463</v>
      </c>
      <c r="L407">
        <v>0.25</v>
      </c>
      <c r="M407">
        <v>13097.25</v>
      </c>
      <c r="N407">
        <v>78583.5</v>
      </c>
      <c r="O407">
        <v>0.2</v>
      </c>
      <c r="P407">
        <v>15716.7</v>
      </c>
      <c r="Q407" t="s">
        <v>37</v>
      </c>
      <c r="R407" t="s">
        <v>48</v>
      </c>
      <c r="S407">
        <v>2</v>
      </c>
      <c r="T407">
        <v>2024</v>
      </c>
      <c r="U407" t="s">
        <v>3069</v>
      </c>
      <c r="V407">
        <v>3</v>
      </c>
      <c r="W407" t="s">
        <v>3101</v>
      </c>
      <c r="X407">
        <v>62866.8</v>
      </c>
      <c r="Y407" t="s">
        <v>3067</v>
      </c>
      <c r="Z407" t="s">
        <v>3063</v>
      </c>
      <c r="AA407" t="s">
        <v>3079</v>
      </c>
    </row>
    <row r="408" spans="1:27" x14ac:dyDescent="0.3">
      <c r="A408" t="s">
        <v>2899</v>
      </c>
      <c r="B408" s="7">
        <v>45785</v>
      </c>
      <c r="C408" t="s">
        <v>20</v>
      </c>
      <c r="D408" t="s">
        <v>41</v>
      </c>
      <c r="E408" t="s">
        <v>2042</v>
      </c>
      <c r="F408" t="s">
        <v>97</v>
      </c>
      <c r="G408" t="s">
        <v>92</v>
      </c>
      <c r="H408" t="s">
        <v>109</v>
      </c>
      <c r="I408" t="s">
        <v>1768</v>
      </c>
      <c r="J408">
        <v>2</v>
      </c>
      <c r="K408">
        <v>12839</v>
      </c>
      <c r="L408">
        <v>0.08</v>
      </c>
      <c r="M408">
        <v>11811.88</v>
      </c>
      <c r="N408">
        <v>23623.759999999998</v>
      </c>
      <c r="O408">
        <v>0.15</v>
      </c>
      <c r="P408">
        <v>3543.56</v>
      </c>
      <c r="Q408" t="s">
        <v>47</v>
      </c>
      <c r="R408" t="s">
        <v>48</v>
      </c>
      <c r="S408">
        <v>8</v>
      </c>
      <c r="T408">
        <v>2025</v>
      </c>
      <c r="U408" t="s">
        <v>3091</v>
      </c>
      <c r="V408">
        <v>5</v>
      </c>
      <c r="W408" t="s">
        <v>3106</v>
      </c>
      <c r="X408">
        <v>20080.199999999997</v>
      </c>
      <c r="Y408" t="s">
        <v>3077</v>
      </c>
      <c r="Z408" t="s">
        <v>3063</v>
      </c>
      <c r="AA408" t="s">
        <v>3079</v>
      </c>
    </row>
    <row r="409" spans="1:27" x14ac:dyDescent="0.3">
      <c r="A409" t="s">
        <v>2488</v>
      </c>
      <c r="B409" s="7">
        <v>45374</v>
      </c>
      <c r="C409" t="s">
        <v>63</v>
      </c>
      <c r="D409" t="s">
        <v>41</v>
      </c>
      <c r="E409" t="s">
        <v>2042</v>
      </c>
      <c r="F409" t="s">
        <v>68</v>
      </c>
      <c r="G409" t="s">
        <v>92</v>
      </c>
      <c r="H409" t="s">
        <v>109</v>
      </c>
      <c r="I409" t="s">
        <v>961</v>
      </c>
      <c r="J409">
        <v>4</v>
      </c>
      <c r="K409">
        <v>26163</v>
      </c>
      <c r="L409">
        <v>0.01</v>
      </c>
      <c r="M409">
        <v>25901.37</v>
      </c>
      <c r="N409">
        <v>103605.48</v>
      </c>
      <c r="O409">
        <v>0.15</v>
      </c>
      <c r="P409">
        <v>15540.82</v>
      </c>
      <c r="Q409" t="s">
        <v>27</v>
      </c>
      <c r="R409" t="s">
        <v>48</v>
      </c>
      <c r="S409">
        <v>1</v>
      </c>
      <c r="T409">
        <v>2024</v>
      </c>
      <c r="U409" t="s">
        <v>3069</v>
      </c>
      <c r="V409">
        <v>3</v>
      </c>
      <c r="W409" t="s">
        <v>3101</v>
      </c>
      <c r="X409">
        <v>88064.66</v>
      </c>
      <c r="Y409" t="s">
        <v>3067</v>
      </c>
      <c r="Z409" t="s">
        <v>3063</v>
      </c>
      <c r="AA409" t="s">
        <v>3079</v>
      </c>
    </row>
    <row r="410" spans="1:27" x14ac:dyDescent="0.3">
      <c r="A410" t="s">
        <v>2611</v>
      </c>
      <c r="B410" s="7">
        <v>45497</v>
      </c>
      <c r="C410" t="s">
        <v>40</v>
      </c>
      <c r="D410" t="s">
        <v>21</v>
      </c>
      <c r="E410" t="s">
        <v>67</v>
      </c>
      <c r="F410" t="s">
        <v>68</v>
      </c>
      <c r="G410" t="s">
        <v>57</v>
      </c>
      <c r="H410" t="s">
        <v>81</v>
      </c>
      <c r="I410" t="s">
        <v>1204</v>
      </c>
      <c r="J410">
        <v>8</v>
      </c>
      <c r="K410">
        <v>9993</v>
      </c>
      <c r="L410">
        <v>0.03</v>
      </c>
      <c r="M410">
        <v>9693.2099999999991</v>
      </c>
      <c r="N410">
        <v>77545.679999999993</v>
      </c>
      <c r="O410">
        <v>0.2</v>
      </c>
      <c r="P410">
        <v>15509.14</v>
      </c>
      <c r="Q410" t="s">
        <v>51</v>
      </c>
      <c r="R410" t="s">
        <v>38</v>
      </c>
      <c r="S410">
        <v>6</v>
      </c>
      <c r="T410">
        <v>2024</v>
      </c>
      <c r="U410" t="s">
        <v>3088</v>
      </c>
      <c r="V410">
        <v>7</v>
      </c>
      <c r="W410" t="s">
        <v>3089</v>
      </c>
      <c r="X410">
        <v>62036.539999999994</v>
      </c>
      <c r="Y410" t="s">
        <v>3062</v>
      </c>
      <c r="Z410" t="s">
        <v>3063</v>
      </c>
      <c r="AA410" t="s">
        <v>3079</v>
      </c>
    </row>
    <row r="411" spans="1:27" x14ac:dyDescent="0.3">
      <c r="A411" t="s">
        <v>2530</v>
      </c>
      <c r="B411" s="7">
        <v>45416</v>
      </c>
      <c r="C411" t="s">
        <v>96</v>
      </c>
      <c r="D411" t="s">
        <v>31</v>
      </c>
      <c r="E411" t="s">
        <v>2042</v>
      </c>
      <c r="F411" t="s">
        <v>103</v>
      </c>
      <c r="G411" t="s">
        <v>57</v>
      </c>
      <c r="H411" t="s">
        <v>100</v>
      </c>
      <c r="I411" t="s">
        <v>1044</v>
      </c>
      <c r="J411">
        <v>3</v>
      </c>
      <c r="K411">
        <v>7901</v>
      </c>
      <c r="L411">
        <v>0.24</v>
      </c>
      <c r="M411">
        <v>6004.76</v>
      </c>
      <c r="N411">
        <v>18014.28</v>
      </c>
      <c r="O411">
        <v>0.2</v>
      </c>
      <c r="P411">
        <v>3602.86</v>
      </c>
      <c r="Q411" t="s">
        <v>37</v>
      </c>
      <c r="R411" t="s">
        <v>48</v>
      </c>
      <c r="S411">
        <v>8</v>
      </c>
      <c r="T411">
        <v>2024</v>
      </c>
      <c r="U411" t="s">
        <v>3091</v>
      </c>
      <c r="V411">
        <v>5</v>
      </c>
      <c r="W411" t="s">
        <v>3105</v>
      </c>
      <c r="X411">
        <v>14411.419999999998</v>
      </c>
      <c r="Y411" t="s">
        <v>3077</v>
      </c>
      <c r="Z411" t="s">
        <v>3063</v>
      </c>
      <c r="AA411" t="s">
        <v>3079</v>
      </c>
    </row>
    <row r="412" spans="1:27" x14ac:dyDescent="0.3">
      <c r="A412" t="s">
        <v>2878</v>
      </c>
      <c r="B412" s="7">
        <v>45764</v>
      </c>
      <c r="C412" t="s">
        <v>96</v>
      </c>
      <c r="D412" t="s">
        <v>31</v>
      </c>
      <c r="E412" t="s">
        <v>2042</v>
      </c>
      <c r="F412" t="s">
        <v>43</v>
      </c>
      <c r="G412" t="s">
        <v>57</v>
      </c>
      <c r="H412" t="s">
        <v>81</v>
      </c>
      <c r="I412" t="s">
        <v>1726</v>
      </c>
      <c r="J412">
        <v>8</v>
      </c>
      <c r="K412">
        <v>12077</v>
      </c>
      <c r="L412">
        <v>0.2</v>
      </c>
      <c r="M412">
        <v>9661.6</v>
      </c>
      <c r="N412">
        <v>77292.800000000003</v>
      </c>
      <c r="O412">
        <v>0.2</v>
      </c>
      <c r="P412">
        <v>15458.56</v>
      </c>
      <c r="Q412" t="s">
        <v>47</v>
      </c>
      <c r="R412" t="s">
        <v>48</v>
      </c>
      <c r="S412">
        <v>1</v>
      </c>
      <c r="T412">
        <v>2025</v>
      </c>
      <c r="U412" t="s">
        <v>3080</v>
      </c>
      <c r="V412">
        <v>4</v>
      </c>
      <c r="W412" t="s">
        <v>3096</v>
      </c>
      <c r="X412">
        <v>61834.240000000005</v>
      </c>
      <c r="Y412" t="s">
        <v>3067</v>
      </c>
      <c r="Z412" t="s">
        <v>3063</v>
      </c>
      <c r="AA412" t="s">
        <v>3079</v>
      </c>
    </row>
    <row r="413" spans="1:27" x14ac:dyDescent="0.3">
      <c r="A413" t="s">
        <v>2838</v>
      </c>
      <c r="B413" s="7">
        <v>45724</v>
      </c>
      <c r="C413" t="s">
        <v>55</v>
      </c>
      <c r="D413" t="s">
        <v>41</v>
      </c>
      <c r="E413" t="s">
        <v>42</v>
      </c>
      <c r="F413" t="s">
        <v>23</v>
      </c>
      <c r="G413" t="s">
        <v>57</v>
      </c>
      <c r="H413" t="s">
        <v>183</v>
      </c>
      <c r="I413" t="s">
        <v>1647</v>
      </c>
      <c r="J413">
        <v>6</v>
      </c>
      <c r="K413">
        <v>14693</v>
      </c>
      <c r="L413">
        <v>0.13</v>
      </c>
      <c r="M413">
        <v>12782.91</v>
      </c>
      <c r="N413">
        <v>76697.460000000006</v>
      </c>
      <c r="O413">
        <v>0.2</v>
      </c>
      <c r="P413">
        <v>15339.49</v>
      </c>
      <c r="Q413" t="s">
        <v>27</v>
      </c>
      <c r="R413" t="s">
        <v>38</v>
      </c>
      <c r="S413">
        <v>5</v>
      </c>
      <c r="T413">
        <v>2025</v>
      </c>
      <c r="U413" t="s">
        <v>3069</v>
      </c>
      <c r="V413">
        <v>3</v>
      </c>
      <c r="W413" t="s">
        <v>3070</v>
      </c>
      <c r="X413">
        <v>61357.970000000008</v>
      </c>
      <c r="Y413" t="s">
        <v>3062</v>
      </c>
      <c r="Z413" t="s">
        <v>3063</v>
      </c>
      <c r="AA413" t="s">
        <v>3079</v>
      </c>
    </row>
    <row r="414" spans="1:27" x14ac:dyDescent="0.3">
      <c r="A414" t="s">
        <v>2430</v>
      </c>
      <c r="B414" s="7">
        <v>45316</v>
      </c>
      <c r="C414" t="s">
        <v>63</v>
      </c>
      <c r="D414" t="s">
        <v>31</v>
      </c>
      <c r="E414" t="s">
        <v>2042</v>
      </c>
      <c r="F414" t="s">
        <v>33</v>
      </c>
      <c r="G414" t="s">
        <v>57</v>
      </c>
      <c r="H414" t="s">
        <v>100</v>
      </c>
      <c r="I414" t="s">
        <v>846</v>
      </c>
      <c r="J414">
        <v>1</v>
      </c>
      <c r="K414">
        <v>19091</v>
      </c>
      <c r="L414">
        <v>0.05</v>
      </c>
      <c r="M414">
        <v>18136.45</v>
      </c>
      <c r="N414">
        <v>18136.45</v>
      </c>
      <c r="O414">
        <v>0.2</v>
      </c>
      <c r="P414">
        <v>3627.29</v>
      </c>
      <c r="Q414" t="s">
        <v>51</v>
      </c>
      <c r="R414" t="s">
        <v>48</v>
      </c>
      <c r="S414">
        <v>3</v>
      </c>
      <c r="T414">
        <v>2024</v>
      </c>
      <c r="U414" t="s">
        <v>3071</v>
      </c>
      <c r="V414">
        <v>1</v>
      </c>
      <c r="W414" t="s">
        <v>3078</v>
      </c>
      <c r="X414">
        <v>14509.16</v>
      </c>
      <c r="Y414" t="s">
        <v>3067</v>
      </c>
      <c r="Z414" t="s">
        <v>3063</v>
      </c>
      <c r="AA414" t="s">
        <v>3079</v>
      </c>
    </row>
    <row r="415" spans="1:27" x14ac:dyDescent="0.3">
      <c r="A415" t="s">
        <v>2502</v>
      </c>
      <c r="B415" s="7">
        <v>45388</v>
      </c>
      <c r="C415" t="s">
        <v>96</v>
      </c>
      <c r="D415" t="s">
        <v>41</v>
      </c>
      <c r="E415" t="s">
        <v>42</v>
      </c>
      <c r="F415" t="s">
        <v>68</v>
      </c>
      <c r="G415" t="s">
        <v>57</v>
      </c>
      <c r="H415" t="s">
        <v>100</v>
      </c>
      <c r="I415" t="s">
        <v>989</v>
      </c>
      <c r="J415">
        <v>7</v>
      </c>
      <c r="K415">
        <v>12382</v>
      </c>
      <c r="L415">
        <v>0.14000000000000001</v>
      </c>
      <c r="M415">
        <v>10648.52</v>
      </c>
      <c r="N415">
        <v>74539.64</v>
      </c>
      <c r="O415">
        <v>0.2</v>
      </c>
      <c r="P415">
        <v>14907.93</v>
      </c>
      <c r="Q415" t="s">
        <v>27</v>
      </c>
      <c r="R415" t="s">
        <v>38</v>
      </c>
      <c r="S415">
        <v>8</v>
      </c>
      <c r="T415">
        <v>2024</v>
      </c>
      <c r="U415" t="s">
        <v>3080</v>
      </c>
      <c r="V415">
        <v>4</v>
      </c>
      <c r="W415" t="s">
        <v>3095</v>
      </c>
      <c r="X415">
        <v>59631.71</v>
      </c>
      <c r="Y415" t="s">
        <v>3077</v>
      </c>
      <c r="Z415" t="s">
        <v>3063</v>
      </c>
      <c r="AA415" t="s">
        <v>3079</v>
      </c>
    </row>
    <row r="416" spans="1:27" x14ac:dyDescent="0.3">
      <c r="A416" t="s">
        <v>2542</v>
      </c>
      <c r="B416" s="7">
        <v>45428</v>
      </c>
      <c r="C416" t="s">
        <v>96</v>
      </c>
      <c r="D416" t="s">
        <v>41</v>
      </c>
      <c r="E416" t="s">
        <v>2040</v>
      </c>
      <c r="F416" t="s">
        <v>33</v>
      </c>
      <c r="G416" t="s">
        <v>92</v>
      </c>
      <c r="H416" t="s">
        <v>243</v>
      </c>
      <c r="I416" t="s">
        <v>1067</v>
      </c>
      <c r="J416">
        <v>1</v>
      </c>
      <c r="K416">
        <v>27347</v>
      </c>
      <c r="L416">
        <v>0.11</v>
      </c>
      <c r="M416">
        <v>24338.83</v>
      </c>
      <c r="N416">
        <v>24338.83</v>
      </c>
      <c r="O416">
        <v>0.15</v>
      </c>
      <c r="P416">
        <v>3650.82</v>
      </c>
      <c r="Q416" t="s">
        <v>51</v>
      </c>
      <c r="R416" t="s">
        <v>48</v>
      </c>
      <c r="S416">
        <v>5</v>
      </c>
      <c r="T416">
        <v>2024</v>
      </c>
      <c r="U416" t="s">
        <v>3091</v>
      </c>
      <c r="V416">
        <v>5</v>
      </c>
      <c r="W416" t="s">
        <v>3105</v>
      </c>
      <c r="X416">
        <v>20688.010000000002</v>
      </c>
      <c r="Y416" t="s">
        <v>3062</v>
      </c>
      <c r="Z416" t="s">
        <v>3063</v>
      </c>
      <c r="AA416" t="s">
        <v>3079</v>
      </c>
    </row>
    <row r="417" spans="1:27" x14ac:dyDescent="0.3">
      <c r="A417" t="s">
        <v>2227</v>
      </c>
      <c r="B417" s="7">
        <v>45113</v>
      </c>
      <c r="C417" t="s">
        <v>96</v>
      </c>
      <c r="D417" t="s">
        <v>56</v>
      </c>
      <c r="E417" t="s">
        <v>42</v>
      </c>
      <c r="F417" t="s">
        <v>97</v>
      </c>
      <c r="G417" t="s">
        <v>34</v>
      </c>
      <c r="H417" t="s">
        <v>35</v>
      </c>
      <c r="I417" t="s">
        <v>444</v>
      </c>
      <c r="J417">
        <v>8</v>
      </c>
      <c r="K417">
        <v>1214</v>
      </c>
      <c r="L417">
        <v>0.06</v>
      </c>
      <c r="M417">
        <v>1141.1600000000001</v>
      </c>
      <c r="N417">
        <v>9129.2800000000007</v>
      </c>
      <c r="O417">
        <v>0.4</v>
      </c>
      <c r="P417">
        <v>3651.71</v>
      </c>
      <c r="Q417" t="s">
        <v>37</v>
      </c>
      <c r="R417" t="s">
        <v>48</v>
      </c>
      <c r="S417">
        <v>5</v>
      </c>
      <c r="T417">
        <v>2023</v>
      </c>
      <c r="U417" t="s">
        <v>3088</v>
      </c>
      <c r="V417">
        <v>7</v>
      </c>
      <c r="W417" t="s">
        <v>3111</v>
      </c>
      <c r="X417">
        <v>5477.5700000000006</v>
      </c>
      <c r="Y417" t="s">
        <v>3062</v>
      </c>
      <c r="Z417" t="s">
        <v>3063</v>
      </c>
      <c r="AA417" t="s">
        <v>3079</v>
      </c>
    </row>
    <row r="418" spans="1:27" x14ac:dyDescent="0.3">
      <c r="A418" t="s">
        <v>2477</v>
      </c>
      <c r="B418" s="7">
        <v>45363</v>
      </c>
      <c r="C418" t="s">
        <v>63</v>
      </c>
      <c r="D418" t="s">
        <v>56</v>
      </c>
      <c r="E418" t="s">
        <v>42</v>
      </c>
      <c r="F418" t="s">
        <v>23</v>
      </c>
      <c r="G418" t="s">
        <v>57</v>
      </c>
      <c r="H418" t="s">
        <v>183</v>
      </c>
      <c r="I418" t="s">
        <v>940</v>
      </c>
      <c r="J418">
        <v>1</v>
      </c>
      <c r="K418">
        <v>18669</v>
      </c>
      <c r="L418">
        <v>0.02</v>
      </c>
      <c r="M418">
        <v>18295.62</v>
      </c>
      <c r="N418">
        <v>18295.62</v>
      </c>
      <c r="O418">
        <v>0.2</v>
      </c>
      <c r="P418">
        <v>3659.12</v>
      </c>
      <c r="Q418" t="s">
        <v>47</v>
      </c>
      <c r="R418" t="s">
        <v>48</v>
      </c>
      <c r="S418">
        <v>4</v>
      </c>
      <c r="T418">
        <v>2024</v>
      </c>
      <c r="U418" t="s">
        <v>3069</v>
      </c>
      <c r="V418">
        <v>3</v>
      </c>
      <c r="W418" t="s">
        <v>3101</v>
      </c>
      <c r="X418">
        <v>14636.5</v>
      </c>
      <c r="Y418" t="s">
        <v>3062</v>
      </c>
      <c r="Z418" t="s">
        <v>3063</v>
      </c>
      <c r="AA418" t="s">
        <v>3079</v>
      </c>
    </row>
    <row r="419" spans="1:27" x14ac:dyDescent="0.3">
      <c r="A419" t="s">
        <v>2358</v>
      </c>
      <c r="B419" s="7">
        <v>45244</v>
      </c>
      <c r="C419" t="s">
        <v>40</v>
      </c>
      <c r="D419" t="s">
        <v>21</v>
      </c>
      <c r="E419" t="s">
        <v>67</v>
      </c>
      <c r="F419" t="s">
        <v>97</v>
      </c>
      <c r="G419" t="s">
        <v>57</v>
      </c>
      <c r="H419" t="s">
        <v>58</v>
      </c>
      <c r="I419" t="s">
        <v>704</v>
      </c>
      <c r="J419">
        <v>2</v>
      </c>
      <c r="K419">
        <v>11600</v>
      </c>
      <c r="L419">
        <v>0.21</v>
      </c>
      <c r="M419">
        <v>9164</v>
      </c>
      <c r="N419">
        <v>18328</v>
      </c>
      <c r="O419">
        <v>0.2</v>
      </c>
      <c r="P419">
        <v>3665.6</v>
      </c>
      <c r="Q419" t="s">
        <v>27</v>
      </c>
      <c r="R419" t="s">
        <v>48</v>
      </c>
      <c r="S419">
        <v>1</v>
      </c>
      <c r="T419">
        <v>2023</v>
      </c>
      <c r="U419" t="s">
        <v>3060</v>
      </c>
      <c r="V419">
        <v>11</v>
      </c>
      <c r="W419" t="s">
        <v>3061</v>
      </c>
      <c r="X419">
        <v>14662.4</v>
      </c>
      <c r="Y419" t="s">
        <v>3067</v>
      </c>
      <c r="Z419" t="s">
        <v>3063</v>
      </c>
      <c r="AA419" t="s">
        <v>3079</v>
      </c>
    </row>
    <row r="420" spans="1:27" x14ac:dyDescent="0.3">
      <c r="A420" t="s">
        <v>2963</v>
      </c>
      <c r="B420" s="7">
        <v>45849</v>
      </c>
      <c r="C420" t="s">
        <v>40</v>
      </c>
      <c r="D420" t="s">
        <v>21</v>
      </c>
      <c r="E420" t="s">
        <v>67</v>
      </c>
      <c r="F420" t="s">
        <v>97</v>
      </c>
      <c r="G420" t="s">
        <v>34</v>
      </c>
      <c r="H420" t="s">
        <v>104</v>
      </c>
      <c r="I420" t="s">
        <v>1891</v>
      </c>
      <c r="J420">
        <v>9</v>
      </c>
      <c r="K420">
        <v>1216</v>
      </c>
      <c r="L420">
        <v>0.16</v>
      </c>
      <c r="M420">
        <v>1021.44</v>
      </c>
      <c r="N420">
        <v>9192.9599999999991</v>
      </c>
      <c r="O420">
        <v>0.4</v>
      </c>
      <c r="P420">
        <v>3677.18</v>
      </c>
      <c r="Q420" t="s">
        <v>47</v>
      </c>
      <c r="R420" t="s">
        <v>48</v>
      </c>
      <c r="S420">
        <v>1</v>
      </c>
      <c r="T420">
        <v>2025</v>
      </c>
      <c r="U420" t="s">
        <v>3088</v>
      </c>
      <c r="V420">
        <v>7</v>
      </c>
      <c r="W420" t="s">
        <v>3094</v>
      </c>
      <c r="X420">
        <v>5515.7799999999988</v>
      </c>
      <c r="Y420" t="s">
        <v>3067</v>
      </c>
      <c r="Z420" t="s">
        <v>3063</v>
      </c>
      <c r="AA420" t="s">
        <v>3079</v>
      </c>
    </row>
    <row r="421" spans="1:27" x14ac:dyDescent="0.3">
      <c r="A421" t="s">
        <v>2127</v>
      </c>
      <c r="B421" s="7">
        <v>45013</v>
      </c>
      <c r="C421" t="s">
        <v>20</v>
      </c>
      <c r="D421" t="s">
        <v>21</v>
      </c>
      <c r="E421" t="s">
        <v>42</v>
      </c>
      <c r="F421" t="s">
        <v>43</v>
      </c>
      <c r="G421" t="s">
        <v>92</v>
      </c>
      <c r="H421" t="s">
        <v>243</v>
      </c>
      <c r="I421" t="s">
        <v>244</v>
      </c>
      <c r="J421">
        <v>3</v>
      </c>
      <c r="K421">
        <v>37490</v>
      </c>
      <c r="L421">
        <v>0.12</v>
      </c>
      <c r="M421">
        <v>32991.199999999997</v>
      </c>
      <c r="N421">
        <v>98973.6</v>
      </c>
      <c r="O421">
        <v>0.15</v>
      </c>
      <c r="P421">
        <v>14846.04</v>
      </c>
      <c r="Q421" t="s">
        <v>47</v>
      </c>
      <c r="R421" t="s">
        <v>48</v>
      </c>
      <c r="S421">
        <v>8</v>
      </c>
      <c r="T421">
        <v>2023</v>
      </c>
      <c r="U421" t="s">
        <v>3069</v>
      </c>
      <c r="V421">
        <v>3</v>
      </c>
      <c r="W421" t="s">
        <v>3082</v>
      </c>
      <c r="X421">
        <v>84127.56</v>
      </c>
      <c r="Y421" t="s">
        <v>3077</v>
      </c>
      <c r="Z421" t="s">
        <v>3063</v>
      </c>
      <c r="AA421" t="s">
        <v>3079</v>
      </c>
    </row>
    <row r="422" spans="1:27" x14ac:dyDescent="0.3">
      <c r="A422" t="s">
        <v>2532</v>
      </c>
      <c r="B422" s="7">
        <v>45418</v>
      </c>
      <c r="C422" t="s">
        <v>30</v>
      </c>
      <c r="D422" t="s">
        <v>31</v>
      </c>
      <c r="E422" t="s">
        <v>2042</v>
      </c>
      <c r="F422" t="s">
        <v>97</v>
      </c>
      <c r="G422" t="s">
        <v>34</v>
      </c>
      <c r="H422" t="s">
        <v>141</v>
      </c>
      <c r="I422" t="s">
        <v>1048</v>
      </c>
      <c r="J422">
        <v>8</v>
      </c>
      <c r="K422">
        <v>1333</v>
      </c>
      <c r="L422">
        <v>0.13</v>
      </c>
      <c r="M422">
        <v>1159.71</v>
      </c>
      <c r="N422">
        <v>9277.68</v>
      </c>
      <c r="O422">
        <v>0.4</v>
      </c>
      <c r="P422">
        <v>3711.07</v>
      </c>
      <c r="Q422" t="s">
        <v>47</v>
      </c>
      <c r="R422" t="s">
        <v>48</v>
      </c>
      <c r="S422">
        <v>6</v>
      </c>
      <c r="T422">
        <v>2024</v>
      </c>
      <c r="U422" t="s">
        <v>3091</v>
      </c>
      <c r="V422">
        <v>5</v>
      </c>
      <c r="W422" t="s">
        <v>3105</v>
      </c>
      <c r="X422">
        <v>5566.6100000000006</v>
      </c>
      <c r="Y422" t="s">
        <v>3062</v>
      </c>
      <c r="Z422" t="s">
        <v>3063</v>
      </c>
      <c r="AA422" t="s">
        <v>3079</v>
      </c>
    </row>
    <row r="423" spans="1:27" x14ac:dyDescent="0.3">
      <c r="A423" t="s">
        <v>2088</v>
      </c>
      <c r="B423" s="7">
        <v>44974</v>
      </c>
      <c r="C423" t="s">
        <v>40</v>
      </c>
      <c r="D423" t="s">
        <v>41</v>
      </c>
      <c r="E423" t="s">
        <v>2042</v>
      </c>
      <c r="F423" t="s">
        <v>33</v>
      </c>
      <c r="G423" t="s">
        <v>34</v>
      </c>
      <c r="H423" t="s">
        <v>141</v>
      </c>
      <c r="I423" t="s">
        <v>162</v>
      </c>
      <c r="J423">
        <v>9</v>
      </c>
      <c r="K423">
        <v>1123</v>
      </c>
      <c r="L423">
        <v>0.08</v>
      </c>
      <c r="M423">
        <v>1033.1600000000001</v>
      </c>
      <c r="N423">
        <v>9298.44</v>
      </c>
      <c r="O423">
        <v>0.4</v>
      </c>
      <c r="P423">
        <v>3719.38</v>
      </c>
      <c r="Q423" t="s">
        <v>51</v>
      </c>
      <c r="R423" t="s">
        <v>48</v>
      </c>
      <c r="S423">
        <v>4</v>
      </c>
      <c r="T423">
        <v>2023</v>
      </c>
      <c r="U423" t="s">
        <v>3084</v>
      </c>
      <c r="V423">
        <v>2</v>
      </c>
      <c r="W423" t="s">
        <v>3108</v>
      </c>
      <c r="X423">
        <v>5579.06</v>
      </c>
      <c r="Y423" t="s">
        <v>3062</v>
      </c>
      <c r="Z423" t="s">
        <v>3063</v>
      </c>
      <c r="AA423" t="s">
        <v>3079</v>
      </c>
    </row>
    <row r="424" spans="1:27" x14ac:dyDescent="0.3">
      <c r="A424" t="s">
        <v>2689</v>
      </c>
      <c r="B424" s="7">
        <v>45575</v>
      </c>
      <c r="C424" t="s">
        <v>55</v>
      </c>
      <c r="D424" t="s">
        <v>56</v>
      </c>
      <c r="E424" t="s">
        <v>2042</v>
      </c>
      <c r="F424" t="s">
        <v>23</v>
      </c>
      <c r="G424" t="s">
        <v>92</v>
      </c>
      <c r="H424" t="s">
        <v>93</v>
      </c>
      <c r="I424" t="s">
        <v>1358</v>
      </c>
      <c r="J424">
        <v>8</v>
      </c>
      <c r="K424">
        <v>15439</v>
      </c>
      <c r="L424">
        <v>0.2</v>
      </c>
      <c r="M424">
        <v>12351.2</v>
      </c>
      <c r="N424">
        <v>98809.600000000006</v>
      </c>
      <c r="O424">
        <v>0.15</v>
      </c>
      <c r="P424">
        <v>14821.44</v>
      </c>
      <c r="Q424" t="s">
        <v>51</v>
      </c>
      <c r="R424" t="s">
        <v>48</v>
      </c>
      <c r="S424">
        <v>4</v>
      </c>
      <c r="T424">
        <v>2024</v>
      </c>
      <c r="U424" t="s">
        <v>3065</v>
      </c>
      <c r="V424">
        <v>10</v>
      </c>
      <c r="W424" t="s">
        <v>3066</v>
      </c>
      <c r="X424">
        <v>83988.160000000003</v>
      </c>
      <c r="Y424" t="s">
        <v>3062</v>
      </c>
      <c r="Z424" t="s">
        <v>3063</v>
      </c>
      <c r="AA424" t="s">
        <v>3079</v>
      </c>
    </row>
    <row r="425" spans="1:27" x14ac:dyDescent="0.3">
      <c r="A425" t="s">
        <v>2107</v>
      </c>
      <c r="B425" s="7">
        <v>44993</v>
      </c>
      <c r="C425" t="s">
        <v>40</v>
      </c>
      <c r="D425" t="s">
        <v>31</v>
      </c>
      <c r="E425" t="s">
        <v>67</v>
      </c>
      <c r="F425" t="s">
        <v>68</v>
      </c>
      <c r="G425" t="s">
        <v>57</v>
      </c>
      <c r="H425" t="s">
        <v>58</v>
      </c>
      <c r="I425" t="s">
        <v>203</v>
      </c>
      <c r="J425">
        <v>7</v>
      </c>
      <c r="K425">
        <v>2955</v>
      </c>
      <c r="L425">
        <v>0.1</v>
      </c>
      <c r="M425">
        <v>2659.5</v>
      </c>
      <c r="N425">
        <v>18616.5</v>
      </c>
      <c r="O425">
        <v>0.2</v>
      </c>
      <c r="P425">
        <v>3723.3</v>
      </c>
      <c r="Q425" t="s">
        <v>47</v>
      </c>
      <c r="R425" t="s">
        <v>48</v>
      </c>
      <c r="S425">
        <v>3</v>
      </c>
      <c r="T425">
        <v>2023</v>
      </c>
      <c r="U425" t="s">
        <v>3069</v>
      </c>
      <c r="V425">
        <v>3</v>
      </c>
      <c r="W425" t="s">
        <v>3082</v>
      </c>
      <c r="X425">
        <v>14893.2</v>
      </c>
      <c r="Y425" t="s">
        <v>3067</v>
      </c>
      <c r="Z425" t="s">
        <v>3063</v>
      </c>
      <c r="AA425" t="s">
        <v>3079</v>
      </c>
    </row>
    <row r="426" spans="1:27" x14ac:dyDescent="0.3">
      <c r="A426" t="s">
        <v>2877</v>
      </c>
      <c r="B426" s="7">
        <v>45763</v>
      </c>
      <c r="C426" t="s">
        <v>20</v>
      </c>
      <c r="D426" t="s">
        <v>56</v>
      </c>
      <c r="E426" t="s">
        <v>2040</v>
      </c>
      <c r="F426" t="s">
        <v>43</v>
      </c>
      <c r="G426" t="s">
        <v>57</v>
      </c>
      <c r="H426" t="s">
        <v>58</v>
      </c>
      <c r="I426" t="s">
        <v>1724</v>
      </c>
      <c r="J426">
        <v>6</v>
      </c>
      <c r="K426">
        <v>15930</v>
      </c>
      <c r="L426">
        <v>0.23</v>
      </c>
      <c r="M426">
        <v>12266.1</v>
      </c>
      <c r="N426">
        <v>73596.600000000006</v>
      </c>
      <c r="O426">
        <v>0.2</v>
      </c>
      <c r="P426">
        <v>14719.32</v>
      </c>
      <c r="Q426" t="s">
        <v>37</v>
      </c>
      <c r="R426" t="s">
        <v>48</v>
      </c>
      <c r="S426">
        <v>2</v>
      </c>
      <c r="T426">
        <v>2025</v>
      </c>
      <c r="U426" t="s">
        <v>3080</v>
      </c>
      <c r="V426">
        <v>4</v>
      </c>
      <c r="W426" t="s">
        <v>3096</v>
      </c>
      <c r="X426">
        <v>58877.280000000006</v>
      </c>
      <c r="Y426" t="s">
        <v>3067</v>
      </c>
      <c r="Z426" t="s">
        <v>3063</v>
      </c>
      <c r="AA426" t="s">
        <v>3079</v>
      </c>
    </row>
    <row r="427" spans="1:27" x14ac:dyDescent="0.3">
      <c r="A427" t="s">
        <v>2821</v>
      </c>
      <c r="B427" s="7">
        <v>45707</v>
      </c>
      <c r="C427" t="s">
        <v>55</v>
      </c>
      <c r="D427" t="s">
        <v>41</v>
      </c>
      <c r="E427" t="s">
        <v>67</v>
      </c>
      <c r="F427" t="s">
        <v>97</v>
      </c>
      <c r="G427" t="s">
        <v>57</v>
      </c>
      <c r="H427" t="s">
        <v>100</v>
      </c>
      <c r="I427" t="s">
        <v>1613</v>
      </c>
      <c r="J427">
        <v>6</v>
      </c>
      <c r="K427">
        <v>12822</v>
      </c>
      <c r="L427">
        <v>0.05</v>
      </c>
      <c r="M427">
        <v>12180.9</v>
      </c>
      <c r="N427">
        <v>73085.399999999994</v>
      </c>
      <c r="O427">
        <v>0.2</v>
      </c>
      <c r="P427">
        <v>14617.08</v>
      </c>
      <c r="Q427" t="s">
        <v>27</v>
      </c>
      <c r="R427" t="s">
        <v>48</v>
      </c>
      <c r="S427">
        <v>5</v>
      </c>
      <c r="T427">
        <v>2025</v>
      </c>
      <c r="U427" t="s">
        <v>3084</v>
      </c>
      <c r="V427">
        <v>2</v>
      </c>
      <c r="W427" t="s">
        <v>3090</v>
      </c>
      <c r="X427">
        <v>58468.319999999992</v>
      </c>
      <c r="Y427" t="s">
        <v>3062</v>
      </c>
      <c r="Z427" t="s">
        <v>3063</v>
      </c>
      <c r="AA427" t="s">
        <v>3079</v>
      </c>
    </row>
    <row r="428" spans="1:27" x14ac:dyDescent="0.3">
      <c r="A428" t="s">
        <v>2467</v>
      </c>
      <c r="B428" s="7">
        <v>45353</v>
      </c>
      <c r="C428" t="s">
        <v>30</v>
      </c>
      <c r="D428" t="s">
        <v>56</v>
      </c>
      <c r="E428" t="s">
        <v>2040</v>
      </c>
      <c r="F428" t="s">
        <v>23</v>
      </c>
      <c r="G428" t="s">
        <v>92</v>
      </c>
      <c r="H428" t="s">
        <v>93</v>
      </c>
      <c r="I428" t="s">
        <v>920</v>
      </c>
      <c r="J428">
        <v>6</v>
      </c>
      <c r="K428">
        <v>20754</v>
      </c>
      <c r="L428">
        <v>0.22</v>
      </c>
      <c r="M428">
        <v>16188.12</v>
      </c>
      <c r="N428">
        <v>97128.72</v>
      </c>
      <c r="O428">
        <v>0.15</v>
      </c>
      <c r="P428">
        <v>14569.31</v>
      </c>
      <c r="Q428" t="s">
        <v>27</v>
      </c>
      <c r="R428" t="s">
        <v>38</v>
      </c>
      <c r="S428">
        <v>5</v>
      </c>
      <c r="T428">
        <v>2024</v>
      </c>
      <c r="U428" t="s">
        <v>3069</v>
      </c>
      <c r="V428">
        <v>3</v>
      </c>
      <c r="W428" t="s">
        <v>3101</v>
      </c>
      <c r="X428">
        <v>82559.41</v>
      </c>
      <c r="Y428" t="s">
        <v>3062</v>
      </c>
      <c r="Z428" t="s">
        <v>3063</v>
      </c>
      <c r="AA428" t="s">
        <v>3079</v>
      </c>
    </row>
    <row r="429" spans="1:27" x14ac:dyDescent="0.3">
      <c r="A429" t="s">
        <v>2866</v>
      </c>
      <c r="B429" s="7">
        <v>45752</v>
      </c>
      <c r="C429" t="s">
        <v>30</v>
      </c>
      <c r="D429" t="s">
        <v>41</v>
      </c>
      <c r="E429" t="s">
        <v>42</v>
      </c>
      <c r="F429" t="s">
        <v>68</v>
      </c>
      <c r="G429" t="s">
        <v>34</v>
      </c>
      <c r="H429" t="s">
        <v>141</v>
      </c>
      <c r="I429" t="s">
        <v>1703</v>
      </c>
      <c r="J429">
        <v>8</v>
      </c>
      <c r="K429">
        <v>1270</v>
      </c>
      <c r="L429">
        <v>0.05</v>
      </c>
      <c r="M429">
        <v>1206.5</v>
      </c>
      <c r="N429">
        <v>9652</v>
      </c>
      <c r="O429">
        <v>0.4</v>
      </c>
      <c r="P429">
        <v>3860.8</v>
      </c>
      <c r="Q429" t="s">
        <v>37</v>
      </c>
      <c r="R429" t="s">
        <v>48</v>
      </c>
      <c r="S429">
        <v>5</v>
      </c>
      <c r="T429">
        <v>2025</v>
      </c>
      <c r="U429" t="s">
        <v>3080</v>
      </c>
      <c r="V429">
        <v>4</v>
      </c>
      <c r="W429" t="s">
        <v>3096</v>
      </c>
      <c r="X429">
        <v>5791.2</v>
      </c>
      <c r="Y429" t="s">
        <v>3062</v>
      </c>
      <c r="Z429" t="s">
        <v>3063</v>
      </c>
      <c r="AA429" t="s">
        <v>3079</v>
      </c>
    </row>
    <row r="430" spans="1:27" x14ac:dyDescent="0.3">
      <c r="A430" t="s">
        <v>2232</v>
      </c>
      <c r="B430" s="7">
        <v>45118</v>
      </c>
      <c r="C430" t="s">
        <v>20</v>
      </c>
      <c r="D430" t="s">
        <v>21</v>
      </c>
      <c r="E430" t="s">
        <v>2040</v>
      </c>
      <c r="F430" t="s">
        <v>23</v>
      </c>
      <c r="G430" t="s">
        <v>34</v>
      </c>
      <c r="H430" t="s">
        <v>141</v>
      </c>
      <c r="I430" t="s">
        <v>454</v>
      </c>
      <c r="J430">
        <v>9</v>
      </c>
      <c r="K430">
        <v>1398</v>
      </c>
      <c r="L430">
        <v>0.23</v>
      </c>
      <c r="M430">
        <v>1076.46</v>
      </c>
      <c r="N430">
        <v>9688.14</v>
      </c>
      <c r="O430">
        <v>0.4</v>
      </c>
      <c r="P430">
        <v>3875.26</v>
      </c>
      <c r="Q430" t="s">
        <v>27</v>
      </c>
      <c r="R430" t="s">
        <v>48</v>
      </c>
      <c r="S430">
        <v>5</v>
      </c>
      <c r="T430">
        <v>2023</v>
      </c>
      <c r="U430" t="s">
        <v>3088</v>
      </c>
      <c r="V430">
        <v>7</v>
      </c>
      <c r="W430" t="s">
        <v>3111</v>
      </c>
      <c r="X430">
        <v>5812.8799999999992</v>
      </c>
      <c r="Y430" t="s">
        <v>3062</v>
      </c>
      <c r="Z430" t="s">
        <v>3063</v>
      </c>
      <c r="AA430" t="s">
        <v>3079</v>
      </c>
    </row>
    <row r="431" spans="1:27" x14ac:dyDescent="0.3">
      <c r="A431" t="s">
        <v>2351</v>
      </c>
      <c r="B431" s="7">
        <v>45237</v>
      </c>
      <c r="C431" t="s">
        <v>63</v>
      </c>
      <c r="D431" t="s">
        <v>21</v>
      </c>
      <c r="E431" t="s">
        <v>42</v>
      </c>
      <c r="F431" t="s">
        <v>23</v>
      </c>
      <c r="G431" t="s">
        <v>92</v>
      </c>
      <c r="H431" t="s">
        <v>93</v>
      </c>
      <c r="I431" t="s">
        <v>690</v>
      </c>
      <c r="J431">
        <v>9</v>
      </c>
      <c r="K431">
        <v>13654</v>
      </c>
      <c r="L431">
        <v>0.21</v>
      </c>
      <c r="M431">
        <v>10786.66</v>
      </c>
      <c r="N431">
        <v>97079.94</v>
      </c>
      <c r="O431">
        <v>0.15</v>
      </c>
      <c r="P431">
        <v>14561.99</v>
      </c>
      <c r="Q431" t="s">
        <v>47</v>
      </c>
      <c r="R431" t="s">
        <v>48</v>
      </c>
      <c r="S431">
        <v>9</v>
      </c>
      <c r="T431">
        <v>2023</v>
      </c>
      <c r="U431" t="s">
        <v>3060</v>
      </c>
      <c r="V431">
        <v>11</v>
      </c>
      <c r="W431" t="s">
        <v>3061</v>
      </c>
      <c r="X431">
        <v>82517.95</v>
      </c>
      <c r="Y431" t="s">
        <v>3077</v>
      </c>
      <c r="Z431" t="s">
        <v>3063</v>
      </c>
      <c r="AA431" t="s">
        <v>3079</v>
      </c>
    </row>
    <row r="432" spans="1:27" x14ac:dyDescent="0.3">
      <c r="A432" t="s">
        <v>2056</v>
      </c>
      <c r="B432" s="7">
        <v>44942</v>
      </c>
      <c r="C432" t="s">
        <v>20</v>
      </c>
      <c r="D432" t="s">
        <v>41</v>
      </c>
      <c r="E432" t="s">
        <v>2042</v>
      </c>
      <c r="F432" t="s">
        <v>68</v>
      </c>
      <c r="G432" t="s">
        <v>57</v>
      </c>
      <c r="H432" t="s">
        <v>58</v>
      </c>
      <c r="I432" t="s">
        <v>86</v>
      </c>
      <c r="J432">
        <v>5</v>
      </c>
      <c r="K432">
        <v>4430</v>
      </c>
      <c r="L432">
        <v>0.11</v>
      </c>
      <c r="M432">
        <v>3942.7</v>
      </c>
      <c r="N432">
        <v>19713.5</v>
      </c>
      <c r="O432">
        <v>0.2</v>
      </c>
      <c r="P432">
        <v>3942.7</v>
      </c>
      <c r="Q432" t="s">
        <v>47</v>
      </c>
      <c r="R432" t="s">
        <v>48</v>
      </c>
      <c r="S432">
        <v>1</v>
      </c>
      <c r="T432">
        <v>2023</v>
      </c>
      <c r="U432" t="s">
        <v>3071</v>
      </c>
      <c r="V432">
        <v>1</v>
      </c>
      <c r="W432" t="s">
        <v>3102</v>
      </c>
      <c r="X432">
        <v>15770.8</v>
      </c>
      <c r="Y432" t="s">
        <v>3067</v>
      </c>
      <c r="Z432" t="s">
        <v>3063</v>
      </c>
      <c r="AA432" t="s">
        <v>3079</v>
      </c>
    </row>
    <row r="433" spans="1:27" x14ac:dyDescent="0.3">
      <c r="A433" t="s">
        <v>2179</v>
      </c>
      <c r="B433" s="7">
        <v>45065</v>
      </c>
      <c r="C433" t="s">
        <v>55</v>
      </c>
      <c r="D433" t="s">
        <v>21</v>
      </c>
      <c r="E433" t="s">
        <v>42</v>
      </c>
      <c r="F433" t="s">
        <v>97</v>
      </c>
      <c r="G433" t="s">
        <v>57</v>
      </c>
      <c r="H433" t="s">
        <v>183</v>
      </c>
      <c r="I433" t="s">
        <v>348</v>
      </c>
      <c r="J433">
        <v>4</v>
      </c>
      <c r="K433">
        <v>5568</v>
      </c>
      <c r="L433">
        <v>0.11</v>
      </c>
      <c r="M433">
        <v>4955.5200000000004</v>
      </c>
      <c r="N433">
        <v>19822.080000000002</v>
      </c>
      <c r="O433">
        <v>0.2</v>
      </c>
      <c r="P433">
        <v>3964.42</v>
      </c>
      <c r="Q433" t="s">
        <v>51</v>
      </c>
      <c r="R433" t="s">
        <v>38</v>
      </c>
      <c r="S433">
        <v>4</v>
      </c>
      <c r="T433">
        <v>2023</v>
      </c>
      <c r="U433" t="s">
        <v>3091</v>
      </c>
      <c r="V433">
        <v>5</v>
      </c>
      <c r="W433" t="s">
        <v>3092</v>
      </c>
      <c r="X433">
        <v>15857.660000000002</v>
      </c>
      <c r="Y433" t="s">
        <v>3062</v>
      </c>
      <c r="Z433" t="s">
        <v>3063</v>
      </c>
      <c r="AA433" t="s">
        <v>3079</v>
      </c>
    </row>
    <row r="434" spans="1:27" x14ac:dyDescent="0.3">
      <c r="A434" t="s">
        <v>2513</v>
      </c>
      <c r="B434" s="7">
        <v>45399</v>
      </c>
      <c r="C434" t="s">
        <v>20</v>
      </c>
      <c r="D434" t="s">
        <v>41</v>
      </c>
      <c r="E434" t="s">
        <v>67</v>
      </c>
      <c r="F434" t="s">
        <v>97</v>
      </c>
      <c r="G434" t="s">
        <v>57</v>
      </c>
      <c r="H434" t="s">
        <v>81</v>
      </c>
      <c r="I434" t="s">
        <v>726</v>
      </c>
      <c r="J434">
        <v>6</v>
      </c>
      <c r="K434">
        <v>14265</v>
      </c>
      <c r="L434">
        <v>0.15</v>
      </c>
      <c r="M434">
        <v>12125.25</v>
      </c>
      <c r="N434">
        <v>72751.5</v>
      </c>
      <c r="O434">
        <v>0.2</v>
      </c>
      <c r="P434">
        <v>14550.3</v>
      </c>
      <c r="Q434" t="s">
        <v>37</v>
      </c>
      <c r="R434" t="s">
        <v>48</v>
      </c>
      <c r="S434">
        <v>5</v>
      </c>
      <c r="T434">
        <v>2024</v>
      </c>
      <c r="U434" t="s">
        <v>3080</v>
      </c>
      <c r="V434">
        <v>4</v>
      </c>
      <c r="W434" t="s">
        <v>3095</v>
      </c>
      <c r="X434">
        <v>58201.2</v>
      </c>
      <c r="Y434" t="s">
        <v>3062</v>
      </c>
      <c r="Z434" t="s">
        <v>3063</v>
      </c>
      <c r="AA434" t="s">
        <v>3079</v>
      </c>
    </row>
    <row r="435" spans="1:27" x14ac:dyDescent="0.3">
      <c r="A435" t="s">
        <v>2739</v>
      </c>
      <c r="B435" s="7">
        <v>45625</v>
      </c>
      <c r="C435" t="s">
        <v>55</v>
      </c>
      <c r="D435" t="s">
        <v>56</v>
      </c>
      <c r="E435" t="s">
        <v>2042</v>
      </c>
      <c r="F435" t="s">
        <v>68</v>
      </c>
      <c r="G435" t="s">
        <v>57</v>
      </c>
      <c r="H435" t="s">
        <v>183</v>
      </c>
      <c r="I435" t="s">
        <v>1454</v>
      </c>
      <c r="J435">
        <v>8</v>
      </c>
      <c r="K435">
        <v>9165</v>
      </c>
      <c r="L435">
        <v>0.01</v>
      </c>
      <c r="M435">
        <v>9073.35</v>
      </c>
      <c r="N435">
        <v>72586.8</v>
      </c>
      <c r="O435">
        <v>0.2</v>
      </c>
      <c r="P435">
        <v>14517.36</v>
      </c>
      <c r="Q435" t="s">
        <v>47</v>
      </c>
      <c r="R435" t="s">
        <v>38</v>
      </c>
      <c r="S435">
        <v>2</v>
      </c>
      <c r="T435">
        <v>2024</v>
      </c>
      <c r="U435" t="s">
        <v>3060</v>
      </c>
      <c r="V435">
        <v>11</v>
      </c>
      <c r="W435" t="s">
        <v>3100</v>
      </c>
      <c r="X435">
        <v>58069.440000000002</v>
      </c>
      <c r="Y435" t="s">
        <v>3067</v>
      </c>
      <c r="Z435" t="s">
        <v>3063</v>
      </c>
      <c r="AA435" t="s">
        <v>3079</v>
      </c>
    </row>
    <row r="436" spans="1:27" x14ac:dyDescent="0.3">
      <c r="A436" t="s">
        <v>2216</v>
      </c>
      <c r="B436" s="7">
        <v>45102</v>
      </c>
      <c r="C436" t="s">
        <v>63</v>
      </c>
      <c r="D436" t="s">
        <v>56</v>
      </c>
      <c r="E436" t="s">
        <v>42</v>
      </c>
      <c r="F436" t="s">
        <v>97</v>
      </c>
      <c r="G436" t="s">
        <v>57</v>
      </c>
      <c r="H436" t="s">
        <v>58</v>
      </c>
      <c r="I436" t="s">
        <v>422</v>
      </c>
      <c r="J436">
        <v>2</v>
      </c>
      <c r="K436">
        <v>11110</v>
      </c>
      <c r="L436">
        <v>0.09</v>
      </c>
      <c r="M436">
        <v>10110.1</v>
      </c>
      <c r="N436">
        <v>20220.2</v>
      </c>
      <c r="O436">
        <v>0.2</v>
      </c>
      <c r="P436">
        <v>4044.04</v>
      </c>
      <c r="Q436" t="s">
        <v>27</v>
      </c>
      <c r="R436" t="s">
        <v>48</v>
      </c>
      <c r="S436">
        <v>4</v>
      </c>
      <c r="T436">
        <v>2023</v>
      </c>
      <c r="U436" t="s">
        <v>3073</v>
      </c>
      <c r="V436">
        <v>6</v>
      </c>
      <c r="W436" t="s">
        <v>3103</v>
      </c>
      <c r="X436">
        <v>16176.16</v>
      </c>
      <c r="Y436" t="s">
        <v>3062</v>
      </c>
      <c r="Z436" t="s">
        <v>3063</v>
      </c>
      <c r="AA436" t="s">
        <v>3079</v>
      </c>
    </row>
    <row r="437" spans="1:27" x14ac:dyDescent="0.3">
      <c r="A437" t="s">
        <v>2368</v>
      </c>
      <c r="B437" s="7">
        <v>45254</v>
      </c>
      <c r="C437" t="s">
        <v>55</v>
      </c>
      <c r="D437" t="s">
        <v>21</v>
      </c>
      <c r="E437" t="s">
        <v>2040</v>
      </c>
      <c r="F437" t="s">
        <v>103</v>
      </c>
      <c r="G437" t="s">
        <v>34</v>
      </c>
      <c r="H437" t="s">
        <v>104</v>
      </c>
      <c r="I437" t="s">
        <v>724</v>
      </c>
      <c r="J437">
        <v>9</v>
      </c>
      <c r="K437">
        <v>1249</v>
      </c>
      <c r="L437">
        <v>0.1</v>
      </c>
      <c r="M437">
        <v>1124.0999999999999</v>
      </c>
      <c r="N437">
        <v>10116.9</v>
      </c>
      <c r="O437">
        <v>0.4</v>
      </c>
      <c r="P437">
        <v>4046.76</v>
      </c>
      <c r="Q437" t="s">
        <v>51</v>
      </c>
      <c r="R437" t="s">
        <v>48</v>
      </c>
      <c r="S437">
        <v>3</v>
      </c>
      <c r="T437">
        <v>2023</v>
      </c>
      <c r="U437" t="s">
        <v>3060</v>
      </c>
      <c r="V437">
        <v>11</v>
      </c>
      <c r="W437" t="s">
        <v>3061</v>
      </c>
      <c r="X437">
        <v>6070.1399999999994</v>
      </c>
      <c r="Y437" t="s">
        <v>3067</v>
      </c>
      <c r="Z437" t="s">
        <v>3063</v>
      </c>
      <c r="AA437" t="s">
        <v>3079</v>
      </c>
    </row>
    <row r="438" spans="1:27" x14ac:dyDescent="0.3">
      <c r="A438" t="s">
        <v>2247</v>
      </c>
      <c r="B438" s="7">
        <v>45133</v>
      </c>
      <c r="C438" t="s">
        <v>63</v>
      </c>
      <c r="D438" t="s">
        <v>56</v>
      </c>
      <c r="E438" t="s">
        <v>2042</v>
      </c>
      <c r="F438" t="s">
        <v>68</v>
      </c>
      <c r="G438" t="s">
        <v>34</v>
      </c>
      <c r="H438" t="s">
        <v>71</v>
      </c>
      <c r="I438" t="s">
        <v>484</v>
      </c>
      <c r="J438">
        <v>8</v>
      </c>
      <c r="K438">
        <v>1370</v>
      </c>
      <c r="L438">
        <v>7.0000000000000007E-2</v>
      </c>
      <c r="M438">
        <v>1274.0999999999999</v>
      </c>
      <c r="N438">
        <v>10192.799999999999</v>
      </c>
      <c r="O438">
        <v>0.4</v>
      </c>
      <c r="P438">
        <v>4077.12</v>
      </c>
      <c r="Q438" t="s">
        <v>27</v>
      </c>
      <c r="R438" t="s">
        <v>48</v>
      </c>
      <c r="S438">
        <v>8</v>
      </c>
      <c r="T438">
        <v>2023</v>
      </c>
      <c r="U438" t="s">
        <v>3088</v>
      </c>
      <c r="V438">
        <v>7</v>
      </c>
      <c r="W438" t="s">
        <v>3111</v>
      </c>
      <c r="X438">
        <v>6115.6799999999994</v>
      </c>
      <c r="Y438" t="s">
        <v>3077</v>
      </c>
      <c r="Z438" t="s">
        <v>3063</v>
      </c>
      <c r="AA438" t="s">
        <v>3079</v>
      </c>
    </row>
    <row r="439" spans="1:27" x14ac:dyDescent="0.3">
      <c r="A439" t="s">
        <v>2632</v>
      </c>
      <c r="B439" s="7">
        <v>45518</v>
      </c>
      <c r="C439" t="s">
        <v>40</v>
      </c>
      <c r="D439" t="s">
        <v>31</v>
      </c>
      <c r="E439" t="s">
        <v>67</v>
      </c>
      <c r="F439" t="s">
        <v>33</v>
      </c>
      <c r="G439" t="s">
        <v>92</v>
      </c>
      <c r="H439" t="s">
        <v>243</v>
      </c>
      <c r="I439" t="s">
        <v>1245</v>
      </c>
      <c r="J439">
        <v>5</v>
      </c>
      <c r="K439">
        <v>20749</v>
      </c>
      <c r="L439">
        <v>7.0000000000000007E-2</v>
      </c>
      <c r="M439">
        <v>19296.57</v>
      </c>
      <c r="N439">
        <v>96482.85</v>
      </c>
      <c r="O439">
        <v>0.15</v>
      </c>
      <c r="P439">
        <v>14472.43</v>
      </c>
      <c r="Q439" t="s">
        <v>37</v>
      </c>
      <c r="R439" t="s">
        <v>48</v>
      </c>
      <c r="S439">
        <v>2</v>
      </c>
      <c r="T439">
        <v>2024</v>
      </c>
      <c r="U439" t="s">
        <v>3075</v>
      </c>
      <c r="V439">
        <v>8</v>
      </c>
      <c r="W439" t="s">
        <v>3093</v>
      </c>
      <c r="X439">
        <v>82010.420000000013</v>
      </c>
      <c r="Y439" t="s">
        <v>3067</v>
      </c>
      <c r="Z439" t="s">
        <v>3063</v>
      </c>
      <c r="AA439" t="s">
        <v>3079</v>
      </c>
    </row>
    <row r="440" spans="1:27" x14ac:dyDescent="0.3">
      <c r="A440" t="s">
        <v>2446</v>
      </c>
      <c r="B440" s="7">
        <v>45332</v>
      </c>
      <c r="C440" t="s">
        <v>96</v>
      </c>
      <c r="D440" t="s">
        <v>41</v>
      </c>
      <c r="E440" t="s">
        <v>42</v>
      </c>
      <c r="F440" t="s">
        <v>97</v>
      </c>
      <c r="G440" t="s">
        <v>34</v>
      </c>
      <c r="H440" t="s">
        <v>104</v>
      </c>
      <c r="I440" t="s">
        <v>878</v>
      </c>
      <c r="J440">
        <v>8</v>
      </c>
      <c r="K440">
        <v>1353</v>
      </c>
      <c r="L440">
        <v>0.05</v>
      </c>
      <c r="M440">
        <v>1285.3499999999999</v>
      </c>
      <c r="N440">
        <v>10282.799999999999</v>
      </c>
      <c r="O440">
        <v>0.4</v>
      </c>
      <c r="P440">
        <v>4113.12</v>
      </c>
      <c r="Q440" t="s">
        <v>47</v>
      </c>
      <c r="R440" t="s">
        <v>48</v>
      </c>
      <c r="S440">
        <v>4</v>
      </c>
      <c r="T440">
        <v>2024</v>
      </c>
      <c r="U440" t="s">
        <v>3084</v>
      </c>
      <c r="V440">
        <v>2</v>
      </c>
      <c r="W440" t="s">
        <v>3085</v>
      </c>
      <c r="X440">
        <v>6169.6799999999994</v>
      </c>
      <c r="Y440" t="s">
        <v>3062</v>
      </c>
      <c r="Z440" t="s">
        <v>3063</v>
      </c>
      <c r="AA440" t="s">
        <v>3079</v>
      </c>
    </row>
    <row r="441" spans="1:27" x14ac:dyDescent="0.3">
      <c r="A441" t="s">
        <v>2715</v>
      </c>
      <c r="B441" s="7">
        <v>45601</v>
      </c>
      <c r="C441" t="s">
        <v>55</v>
      </c>
      <c r="D441" t="s">
        <v>41</v>
      </c>
      <c r="E441" t="s">
        <v>2040</v>
      </c>
      <c r="F441" t="s">
        <v>103</v>
      </c>
      <c r="G441" t="s">
        <v>92</v>
      </c>
      <c r="H441" t="s">
        <v>178</v>
      </c>
      <c r="I441" t="s">
        <v>1406</v>
      </c>
      <c r="J441">
        <v>5</v>
      </c>
      <c r="K441">
        <v>19503</v>
      </c>
      <c r="L441">
        <v>0.05</v>
      </c>
      <c r="M441">
        <v>18527.849999999999</v>
      </c>
      <c r="N441">
        <v>92639.25</v>
      </c>
      <c r="O441">
        <v>0.15</v>
      </c>
      <c r="P441">
        <v>13895.89</v>
      </c>
      <c r="Q441" t="s">
        <v>51</v>
      </c>
      <c r="R441" t="s">
        <v>48</v>
      </c>
      <c r="S441">
        <v>6</v>
      </c>
      <c r="T441">
        <v>2024</v>
      </c>
      <c r="U441" t="s">
        <v>3060</v>
      </c>
      <c r="V441">
        <v>11</v>
      </c>
      <c r="W441" t="s">
        <v>3100</v>
      </c>
      <c r="X441">
        <v>78743.360000000001</v>
      </c>
      <c r="Y441" t="s">
        <v>3062</v>
      </c>
      <c r="Z441" t="s">
        <v>3063</v>
      </c>
      <c r="AA441" t="s">
        <v>3079</v>
      </c>
    </row>
    <row r="442" spans="1:27" x14ac:dyDescent="0.3">
      <c r="A442" t="s">
        <v>2799</v>
      </c>
      <c r="B442" s="7">
        <v>45685</v>
      </c>
      <c r="C442" t="s">
        <v>55</v>
      </c>
      <c r="D442" t="s">
        <v>21</v>
      </c>
      <c r="E442" t="s">
        <v>2042</v>
      </c>
      <c r="F442" t="s">
        <v>43</v>
      </c>
      <c r="G442" t="s">
        <v>34</v>
      </c>
      <c r="H442" t="s">
        <v>35</v>
      </c>
      <c r="I442" t="s">
        <v>1571</v>
      </c>
      <c r="J442">
        <v>9</v>
      </c>
      <c r="K442">
        <v>1214</v>
      </c>
      <c r="L442">
        <v>0.05</v>
      </c>
      <c r="M442">
        <v>1153.3</v>
      </c>
      <c r="N442">
        <v>10379.700000000001</v>
      </c>
      <c r="O442">
        <v>0.4</v>
      </c>
      <c r="P442">
        <v>4151.88</v>
      </c>
      <c r="Q442" t="s">
        <v>37</v>
      </c>
      <c r="R442" t="s">
        <v>48</v>
      </c>
      <c r="S442">
        <v>2</v>
      </c>
      <c r="T442">
        <v>2025</v>
      </c>
      <c r="U442" t="s">
        <v>3071</v>
      </c>
      <c r="V442">
        <v>1</v>
      </c>
      <c r="W442" t="s">
        <v>3072</v>
      </c>
      <c r="X442">
        <v>6227.8200000000006</v>
      </c>
      <c r="Y442" t="s">
        <v>3067</v>
      </c>
      <c r="Z442" t="s">
        <v>3063</v>
      </c>
      <c r="AA442" t="s">
        <v>3079</v>
      </c>
    </row>
    <row r="443" spans="1:27" x14ac:dyDescent="0.3">
      <c r="A443" t="s">
        <v>2913</v>
      </c>
      <c r="B443" s="7">
        <v>45799</v>
      </c>
      <c r="C443" t="s">
        <v>63</v>
      </c>
      <c r="D443" t="s">
        <v>31</v>
      </c>
      <c r="E443" t="s">
        <v>2042</v>
      </c>
      <c r="F443" t="s">
        <v>33</v>
      </c>
      <c r="G443" t="s">
        <v>92</v>
      </c>
      <c r="H443" t="s">
        <v>93</v>
      </c>
      <c r="I443" t="s">
        <v>1795</v>
      </c>
      <c r="J443">
        <v>2</v>
      </c>
      <c r="K443">
        <v>47481</v>
      </c>
      <c r="L443">
        <v>0.03</v>
      </c>
      <c r="M443">
        <v>46056.57</v>
      </c>
      <c r="N443">
        <v>92113.14</v>
      </c>
      <c r="O443">
        <v>0.15</v>
      </c>
      <c r="P443">
        <v>13816.97</v>
      </c>
      <c r="Q443" t="s">
        <v>51</v>
      </c>
      <c r="R443" t="s">
        <v>48</v>
      </c>
      <c r="S443">
        <v>5</v>
      </c>
      <c r="T443">
        <v>2025</v>
      </c>
      <c r="U443" t="s">
        <v>3091</v>
      </c>
      <c r="V443">
        <v>5</v>
      </c>
      <c r="W443" t="s">
        <v>3106</v>
      </c>
      <c r="X443">
        <v>78296.17</v>
      </c>
      <c r="Y443" t="s">
        <v>3062</v>
      </c>
      <c r="Z443" t="s">
        <v>3063</v>
      </c>
      <c r="AA443" t="s">
        <v>3079</v>
      </c>
    </row>
    <row r="444" spans="1:27" x14ac:dyDescent="0.3">
      <c r="A444" t="s">
        <v>2583</v>
      </c>
      <c r="B444" s="7">
        <v>45469</v>
      </c>
      <c r="C444" t="s">
        <v>55</v>
      </c>
      <c r="D444" t="s">
        <v>21</v>
      </c>
      <c r="E444" t="s">
        <v>2042</v>
      </c>
      <c r="F444" t="s">
        <v>97</v>
      </c>
      <c r="G444" t="s">
        <v>57</v>
      </c>
      <c r="H444" t="s">
        <v>81</v>
      </c>
      <c r="I444" t="s">
        <v>1148</v>
      </c>
      <c r="J444">
        <v>7</v>
      </c>
      <c r="K444">
        <v>3382</v>
      </c>
      <c r="L444">
        <v>0.12</v>
      </c>
      <c r="M444">
        <v>2976.16</v>
      </c>
      <c r="N444">
        <v>20833.12</v>
      </c>
      <c r="O444">
        <v>0.2</v>
      </c>
      <c r="P444">
        <v>4166.62</v>
      </c>
      <c r="Q444" t="s">
        <v>51</v>
      </c>
      <c r="R444" t="s">
        <v>48</v>
      </c>
      <c r="S444">
        <v>1</v>
      </c>
      <c r="T444">
        <v>2024</v>
      </c>
      <c r="U444" t="s">
        <v>3073</v>
      </c>
      <c r="V444">
        <v>6</v>
      </c>
      <c r="W444" t="s">
        <v>3074</v>
      </c>
      <c r="X444">
        <v>16666.5</v>
      </c>
      <c r="Y444" t="s">
        <v>3067</v>
      </c>
      <c r="Z444" t="s">
        <v>3063</v>
      </c>
      <c r="AA444" t="s">
        <v>3079</v>
      </c>
    </row>
    <row r="445" spans="1:27" x14ac:dyDescent="0.3">
      <c r="A445" t="s">
        <v>2423</v>
      </c>
      <c r="B445" s="7">
        <v>45309</v>
      </c>
      <c r="C445" t="s">
        <v>96</v>
      </c>
      <c r="D445" t="s">
        <v>21</v>
      </c>
      <c r="E445" t="s">
        <v>42</v>
      </c>
      <c r="F445" t="s">
        <v>68</v>
      </c>
      <c r="G445" t="s">
        <v>92</v>
      </c>
      <c r="H445" t="s">
        <v>243</v>
      </c>
      <c r="I445" t="s">
        <v>832</v>
      </c>
      <c r="J445">
        <v>4</v>
      </c>
      <c r="K445">
        <v>24210</v>
      </c>
      <c r="L445">
        <v>0.05</v>
      </c>
      <c r="M445">
        <v>22999.5</v>
      </c>
      <c r="N445">
        <v>91998</v>
      </c>
      <c r="O445">
        <v>0.15</v>
      </c>
      <c r="P445">
        <v>13799.7</v>
      </c>
      <c r="Q445" t="s">
        <v>51</v>
      </c>
      <c r="R445" t="s">
        <v>48</v>
      </c>
      <c r="S445">
        <v>5</v>
      </c>
      <c r="T445">
        <v>2024</v>
      </c>
      <c r="U445" t="s">
        <v>3071</v>
      </c>
      <c r="V445">
        <v>1</v>
      </c>
      <c r="W445" t="s">
        <v>3078</v>
      </c>
      <c r="X445">
        <v>78198.3</v>
      </c>
      <c r="Y445" t="s">
        <v>3062</v>
      </c>
      <c r="Z445" t="s">
        <v>3063</v>
      </c>
      <c r="AA445" t="s">
        <v>3079</v>
      </c>
    </row>
    <row r="446" spans="1:27" x14ac:dyDescent="0.3">
      <c r="A446" t="s">
        <v>2565</v>
      </c>
      <c r="B446" s="7">
        <v>45451</v>
      </c>
      <c r="C446" t="s">
        <v>20</v>
      </c>
      <c r="D446" t="s">
        <v>41</v>
      </c>
      <c r="E446" t="s">
        <v>2040</v>
      </c>
      <c r="F446" t="s">
        <v>43</v>
      </c>
      <c r="G446" t="s">
        <v>34</v>
      </c>
      <c r="H446" t="s">
        <v>104</v>
      </c>
      <c r="I446" t="s">
        <v>1113</v>
      </c>
      <c r="J446">
        <v>8</v>
      </c>
      <c r="K446">
        <v>1476</v>
      </c>
      <c r="L446">
        <v>0.11</v>
      </c>
      <c r="M446">
        <v>1313.64</v>
      </c>
      <c r="N446">
        <v>10509.12</v>
      </c>
      <c r="O446">
        <v>0.4</v>
      </c>
      <c r="P446">
        <v>4203.6499999999996</v>
      </c>
      <c r="Q446" t="s">
        <v>47</v>
      </c>
      <c r="R446" t="s">
        <v>48</v>
      </c>
      <c r="S446">
        <v>5</v>
      </c>
      <c r="T446">
        <v>2024</v>
      </c>
      <c r="U446" t="s">
        <v>3073</v>
      </c>
      <c r="V446">
        <v>6</v>
      </c>
      <c r="W446" t="s">
        <v>3074</v>
      </c>
      <c r="X446">
        <v>6305.4700000000012</v>
      </c>
      <c r="Y446" t="s">
        <v>3062</v>
      </c>
      <c r="Z446" t="s">
        <v>3063</v>
      </c>
      <c r="AA446" t="s">
        <v>3079</v>
      </c>
    </row>
    <row r="447" spans="1:27" x14ac:dyDescent="0.3">
      <c r="A447" t="s">
        <v>2538</v>
      </c>
      <c r="B447" s="7">
        <v>45424</v>
      </c>
      <c r="C447" t="s">
        <v>30</v>
      </c>
      <c r="D447" t="s">
        <v>31</v>
      </c>
      <c r="E447" t="s">
        <v>67</v>
      </c>
      <c r="F447" t="s">
        <v>68</v>
      </c>
      <c r="G447" t="s">
        <v>92</v>
      </c>
      <c r="H447" t="s">
        <v>93</v>
      </c>
      <c r="I447" t="s">
        <v>602</v>
      </c>
      <c r="J447">
        <v>1</v>
      </c>
      <c r="K447">
        <v>33429</v>
      </c>
      <c r="L447">
        <v>0.16</v>
      </c>
      <c r="M447">
        <v>28080.36</v>
      </c>
      <c r="N447">
        <v>28080.36</v>
      </c>
      <c r="O447">
        <v>0.15</v>
      </c>
      <c r="P447">
        <v>4212.05</v>
      </c>
      <c r="Q447" t="s">
        <v>27</v>
      </c>
      <c r="R447" t="s">
        <v>48</v>
      </c>
      <c r="S447">
        <v>7</v>
      </c>
      <c r="T447">
        <v>2024</v>
      </c>
      <c r="U447" t="s">
        <v>3091</v>
      </c>
      <c r="V447">
        <v>5</v>
      </c>
      <c r="W447" t="s">
        <v>3105</v>
      </c>
      <c r="X447">
        <v>23868.31</v>
      </c>
      <c r="Y447" t="s">
        <v>3062</v>
      </c>
      <c r="Z447" t="s">
        <v>3063</v>
      </c>
      <c r="AA447" t="s">
        <v>3079</v>
      </c>
    </row>
    <row r="448" spans="1:27" x14ac:dyDescent="0.3">
      <c r="A448" t="s">
        <v>2363</v>
      </c>
      <c r="B448" s="7">
        <v>45249</v>
      </c>
      <c r="C448" t="s">
        <v>30</v>
      </c>
      <c r="D448" t="s">
        <v>31</v>
      </c>
      <c r="E448" t="s">
        <v>67</v>
      </c>
      <c r="F448" t="s">
        <v>43</v>
      </c>
      <c r="G448" t="s">
        <v>57</v>
      </c>
      <c r="H448" t="s">
        <v>100</v>
      </c>
      <c r="I448" t="s">
        <v>714</v>
      </c>
      <c r="J448">
        <v>5</v>
      </c>
      <c r="K448">
        <v>17222</v>
      </c>
      <c r="L448">
        <v>0.2</v>
      </c>
      <c r="M448">
        <v>13777.6</v>
      </c>
      <c r="N448">
        <v>68888</v>
      </c>
      <c r="O448">
        <v>0.2</v>
      </c>
      <c r="P448">
        <v>13777.6</v>
      </c>
      <c r="Q448" t="s">
        <v>37</v>
      </c>
      <c r="R448" t="s">
        <v>48</v>
      </c>
      <c r="S448">
        <v>9</v>
      </c>
      <c r="T448">
        <v>2023</v>
      </c>
      <c r="U448" t="s">
        <v>3060</v>
      </c>
      <c r="V448">
        <v>11</v>
      </c>
      <c r="W448" t="s">
        <v>3061</v>
      </c>
      <c r="X448">
        <v>55110.400000000001</v>
      </c>
      <c r="Y448" t="s">
        <v>3077</v>
      </c>
      <c r="Z448" t="s">
        <v>3063</v>
      </c>
      <c r="AA448" t="s">
        <v>3079</v>
      </c>
    </row>
    <row r="449" spans="1:27" x14ac:dyDescent="0.3">
      <c r="A449" t="s">
        <v>2902</v>
      </c>
      <c r="B449" s="7">
        <v>45788</v>
      </c>
      <c r="C449" t="s">
        <v>96</v>
      </c>
      <c r="D449" t="s">
        <v>41</v>
      </c>
      <c r="E449" t="s">
        <v>2040</v>
      </c>
      <c r="F449" t="s">
        <v>68</v>
      </c>
      <c r="G449" t="s">
        <v>57</v>
      </c>
      <c r="H449" t="s">
        <v>81</v>
      </c>
      <c r="I449" t="s">
        <v>1774</v>
      </c>
      <c r="J449">
        <v>2</v>
      </c>
      <c r="K449">
        <v>12053</v>
      </c>
      <c r="L449">
        <v>0.12</v>
      </c>
      <c r="M449">
        <v>10606.64</v>
      </c>
      <c r="N449">
        <v>21213.279999999999</v>
      </c>
      <c r="O449">
        <v>0.2</v>
      </c>
      <c r="P449">
        <v>4242.66</v>
      </c>
      <c r="Q449" t="s">
        <v>37</v>
      </c>
      <c r="R449" t="s">
        <v>48</v>
      </c>
      <c r="S449">
        <v>8</v>
      </c>
      <c r="T449">
        <v>2025</v>
      </c>
      <c r="U449" t="s">
        <v>3091</v>
      </c>
      <c r="V449">
        <v>5</v>
      </c>
      <c r="W449" t="s">
        <v>3106</v>
      </c>
      <c r="X449">
        <v>16970.62</v>
      </c>
      <c r="Y449" t="s">
        <v>3077</v>
      </c>
      <c r="Z449" t="s">
        <v>3063</v>
      </c>
      <c r="AA449" t="s">
        <v>3079</v>
      </c>
    </row>
    <row r="450" spans="1:27" x14ac:dyDescent="0.3">
      <c r="A450" t="s">
        <v>2300</v>
      </c>
      <c r="B450" s="7">
        <v>45186</v>
      </c>
      <c r="C450" t="s">
        <v>55</v>
      </c>
      <c r="D450" t="s">
        <v>21</v>
      </c>
      <c r="E450" t="s">
        <v>2040</v>
      </c>
      <c r="F450" t="s">
        <v>23</v>
      </c>
      <c r="G450" t="s">
        <v>57</v>
      </c>
      <c r="H450" t="s">
        <v>58</v>
      </c>
      <c r="I450" t="s">
        <v>590</v>
      </c>
      <c r="J450">
        <v>7</v>
      </c>
      <c r="K450">
        <v>3177</v>
      </c>
      <c r="L450">
        <v>0.04</v>
      </c>
      <c r="M450">
        <v>3049.92</v>
      </c>
      <c r="N450">
        <v>21349.439999999999</v>
      </c>
      <c r="O450">
        <v>0.2</v>
      </c>
      <c r="P450">
        <v>4269.8900000000003</v>
      </c>
      <c r="Q450" t="s">
        <v>51</v>
      </c>
      <c r="R450" t="s">
        <v>48</v>
      </c>
      <c r="S450">
        <v>3</v>
      </c>
      <c r="T450">
        <v>2023</v>
      </c>
      <c r="U450" t="s">
        <v>3097</v>
      </c>
      <c r="V450">
        <v>9</v>
      </c>
      <c r="W450" t="s">
        <v>3107</v>
      </c>
      <c r="X450">
        <v>17079.55</v>
      </c>
      <c r="Y450" t="s">
        <v>3067</v>
      </c>
      <c r="Z450" t="s">
        <v>3063</v>
      </c>
      <c r="AA450" t="s">
        <v>3079</v>
      </c>
    </row>
    <row r="451" spans="1:27" x14ac:dyDescent="0.3">
      <c r="A451" t="s">
        <v>2343</v>
      </c>
      <c r="B451" s="7">
        <v>45229</v>
      </c>
      <c r="C451" t="s">
        <v>30</v>
      </c>
      <c r="D451" t="s">
        <v>41</v>
      </c>
      <c r="E451" t="s">
        <v>67</v>
      </c>
      <c r="F451" t="s">
        <v>97</v>
      </c>
      <c r="G451" t="s">
        <v>92</v>
      </c>
      <c r="H451" t="s">
        <v>93</v>
      </c>
      <c r="I451" t="s">
        <v>675</v>
      </c>
      <c r="J451">
        <v>1</v>
      </c>
      <c r="K451">
        <v>33171</v>
      </c>
      <c r="L451">
        <v>0.14000000000000001</v>
      </c>
      <c r="M451">
        <v>28527.06</v>
      </c>
      <c r="N451">
        <v>28527.06</v>
      </c>
      <c r="O451">
        <v>0.15</v>
      </c>
      <c r="P451">
        <v>4279.0600000000004</v>
      </c>
      <c r="Q451" t="s">
        <v>51</v>
      </c>
      <c r="R451" t="s">
        <v>48</v>
      </c>
      <c r="S451">
        <v>1</v>
      </c>
      <c r="T451">
        <v>2023</v>
      </c>
      <c r="U451" t="s">
        <v>3065</v>
      </c>
      <c r="V451">
        <v>10</v>
      </c>
      <c r="W451" t="s">
        <v>3104</v>
      </c>
      <c r="X451">
        <v>24248</v>
      </c>
      <c r="Y451" t="s">
        <v>3067</v>
      </c>
      <c r="Z451" t="s">
        <v>3063</v>
      </c>
      <c r="AA451" t="s">
        <v>3079</v>
      </c>
    </row>
    <row r="452" spans="1:27" x14ac:dyDescent="0.3">
      <c r="A452" t="s">
        <v>2781</v>
      </c>
      <c r="B452" s="7">
        <v>45667</v>
      </c>
      <c r="C452" t="s">
        <v>20</v>
      </c>
      <c r="D452" t="s">
        <v>41</v>
      </c>
      <c r="E452" t="s">
        <v>42</v>
      </c>
      <c r="F452" t="s">
        <v>68</v>
      </c>
      <c r="G452" t="s">
        <v>57</v>
      </c>
      <c r="H452" t="s">
        <v>183</v>
      </c>
      <c r="I452" t="s">
        <v>1536</v>
      </c>
      <c r="J452">
        <v>2</v>
      </c>
      <c r="K452">
        <v>13754</v>
      </c>
      <c r="L452">
        <v>0.22</v>
      </c>
      <c r="M452">
        <v>10728.12</v>
      </c>
      <c r="N452">
        <v>21456.240000000002</v>
      </c>
      <c r="O452">
        <v>0.2</v>
      </c>
      <c r="P452">
        <v>4291.25</v>
      </c>
      <c r="Q452" t="s">
        <v>51</v>
      </c>
      <c r="R452" t="s">
        <v>48</v>
      </c>
      <c r="S452">
        <v>2</v>
      </c>
      <c r="T452">
        <v>2025</v>
      </c>
      <c r="U452" t="s">
        <v>3071</v>
      </c>
      <c r="V452">
        <v>1</v>
      </c>
      <c r="W452" t="s">
        <v>3072</v>
      </c>
      <c r="X452">
        <v>17164.990000000002</v>
      </c>
      <c r="Y452" t="s">
        <v>3067</v>
      </c>
      <c r="Z452" t="s">
        <v>3063</v>
      </c>
      <c r="AA452" t="s">
        <v>3079</v>
      </c>
    </row>
    <row r="453" spans="1:27" x14ac:dyDescent="0.3">
      <c r="A453" t="s">
        <v>2124</v>
      </c>
      <c r="B453" s="7">
        <v>45010</v>
      </c>
      <c r="C453" t="s">
        <v>96</v>
      </c>
      <c r="D453" t="s">
        <v>31</v>
      </c>
      <c r="E453" t="s">
        <v>2040</v>
      </c>
      <c r="F453" t="s">
        <v>68</v>
      </c>
      <c r="G453" t="s">
        <v>34</v>
      </c>
      <c r="H453" t="s">
        <v>104</v>
      </c>
      <c r="I453" t="s">
        <v>237</v>
      </c>
      <c r="J453">
        <v>8</v>
      </c>
      <c r="K453">
        <v>1491</v>
      </c>
      <c r="L453">
        <v>0.1</v>
      </c>
      <c r="M453">
        <v>1341.9</v>
      </c>
      <c r="N453">
        <v>10735.2</v>
      </c>
      <c r="O453">
        <v>0.4</v>
      </c>
      <c r="P453">
        <v>4294.08</v>
      </c>
      <c r="Q453" t="s">
        <v>47</v>
      </c>
      <c r="R453" t="s">
        <v>48</v>
      </c>
      <c r="S453">
        <v>8</v>
      </c>
      <c r="T453">
        <v>2023</v>
      </c>
      <c r="U453" t="s">
        <v>3069</v>
      </c>
      <c r="V453">
        <v>3</v>
      </c>
      <c r="W453" t="s">
        <v>3082</v>
      </c>
      <c r="X453">
        <v>6441.1200000000008</v>
      </c>
      <c r="Y453" t="s">
        <v>3077</v>
      </c>
      <c r="Z453" t="s">
        <v>3063</v>
      </c>
      <c r="AA453" t="s">
        <v>3079</v>
      </c>
    </row>
    <row r="454" spans="1:27" x14ac:dyDescent="0.3">
      <c r="A454" t="s">
        <v>2271</v>
      </c>
      <c r="B454" s="7">
        <v>45157</v>
      </c>
      <c r="C454" t="s">
        <v>20</v>
      </c>
      <c r="D454" t="s">
        <v>21</v>
      </c>
      <c r="E454" t="s">
        <v>2042</v>
      </c>
      <c r="F454" t="s">
        <v>33</v>
      </c>
      <c r="G454" t="s">
        <v>57</v>
      </c>
      <c r="H454" t="s">
        <v>100</v>
      </c>
      <c r="I454" t="s">
        <v>532</v>
      </c>
      <c r="J454">
        <v>4</v>
      </c>
      <c r="K454">
        <v>19772</v>
      </c>
      <c r="L454">
        <v>0.13</v>
      </c>
      <c r="M454">
        <v>17201.64</v>
      </c>
      <c r="N454">
        <v>68806.559999999998</v>
      </c>
      <c r="O454">
        <v>0.2</v>
      </c>
      <c r="P454">
        <v>13761.31</v>
      </c>
      <c r="Q454" t="s">
        <v>47</v>
      </c>
      <c r="R454" t="s">
        <v>48</v>
      </c>
      <c r="S454">
        <v>9</v>
      </c>
      <c r="T454">
        <v>2023</v>
      </c>
      <c r="U454" t="s">
        <v>3075</v>
      </c>
      <c r="V454">
        <v>8</v>
      </c>
      <c r="W454" t="s">
        <v>3109</v>
      </c>
      <c r="X454">
        <v>55045.25</v>
      </c>
      <c r="Y454" t="s">
        <v>3077</v>
      </c>
      <c r="Z454" t="s">
        <v>3063</v>
      </c>
      <c r="AA454" t="s">
        <v>3079</v>
      </c>
    </row>
    <row r="455" spans="1:27" x14ac:dyDescent="0.3">
      <c r="A455" t="s">
        <v>2160</v>
      </c>
      <c r="B455" s="7">
        <v>45046</v>
      </c>
      <c r="C455" t="s">
        <v>40</v>
      </c>
      <c r="D455" t="s">
        <v>41</v>
      </c>
      <c r="E455" t="s">
        <v>2042</v>
      </c>
      <c r="F455" t="s">
        <v>43</v>
      </c>
      <c r="G455" t="s">
        <v>57</v>
      </c>
      <c r="H455" t="s">
        <v>58</v>
      </c>
      <c r="I455" t="s">
        <v>310</v>
      </c>
      <c r="J455">
        <v>6</v>
      </c>
      <c r="K455">
        <v>13970</v>
      </c>
      <c r="L455">
        <v>0.18</v>
      </c>
      <c r="M455">
        <v>11455.4</v>
      </c>
      <c r="N455">
        <v>68732.399999999994</v>
      </c>
      <c r="O455">
        <v>0.2</v>
      </c>
      <c r="P455">
        <v>13746.48</v>
      </c>
      <c r="Q455" t="s">
        <v>37</v>
      </c>
      <c r="R455" t="s">
        <v>48</v>
      </c>
      <c r="S455">
        <v>6</v>
      </c>
      <c r="T455">
        <v>2023</v>
      </c>
      <c r="U455" t="s">
        <v>3080</v>
      </c>
      <c r="V455">
        <v>4</v>
      </c>
      <c r="W455" t="s">
        <v>3081</v>
      </c>
      <c r="X455">
        <v>54985.919999999998</v>
      </c>
      <c r="Y455" t="s">
        <v>3062</v>
      </c>
      <c r="Z455" t="s">
        <v>3063</v>
      </c>
      <c r="AA455" t="s">
        <v>3079</v>
      </c>
    </row>
    <row r="456" spans="1:27" x14ac:dyDescent="0.3">
      <c r="A456" t="s">
        <v>2395</v>
      </c>
      <c r="B456" s="7">
        <v>45281</v>
      </c>
      <c r="C456" t="s">
        <v>30</v>
      </c>
      <c r="D456" t="s">
        <v>41</v>
      </c>
      <c r="E456" t="s">
        <v>2040</v>
      </c>
      <c r="F456" t="s">
        <v>97</v>
      </c>
      <c r="G456" t="s">
        <v>57</v>
      </c>
      <c r="H456" t="s">
        <v>58</v>
      </c>
      <c r="I456" t="s">
        <v>777</v>
      </c>
      <c r="J456">
        <v>2</v>
      </c>
      <c r="K456">
        <v>13695</v>
      </c>
      <c r="L456">
        <v>0.19</v>
      </c>
      <c r="M456">
        <v>11092.95</v>
      </c>
      <c r="N456">
        <v>22185.9</v>
      </c>
      <c r="O456">
        <v>0.2</v>
      </c>
      <c r="P456">
        <v>4437.18</v>
      </c>
      <c r="Q456" t="s">
        <v>51</v>
      </c>
      <c r="R456" t="s">
        <v>48</v>
      </c>
      <c r="S456">
        <v>6</v>
      </c>
      <c r="T456">
        <v>2023</v>
      </c>
      <c r="U456" t="s">
        <v>3086</v>
      </c>
      <c r="V456">
        <v>12</v>
      </c>
      <c r="W456" t="s">
        <v>3099</v>
      </c>
      <c r="X456">
        <v>17748.72</v>
      </c>
      <c r="Y456" t="s">
        <v>3062</v>
      </c>
      <c r="Z456" t="s">
        <v>3063</v>
      </c>
      <c r="AA456" t="s">
        <v>3079</v>
      </c>
    </row>
    <row r="457" spans="1:27" x14ac:dyDescent="0.3">
      <c r="A457" t="s">
        <v>2303</v>
      </c>
      <c r="B457" s="7">
        <v>45189</v>
      </c>
      <c r="C457" t="s">
        <v>96</v>
      </c>
      <c r="D457" t="s">
        <v>31</v>
      </c>
      <c r="E457" t="s">
        <v>67</v>
      </c>
      <c r="F457" t="s">
        <v>68</v>
      </c>
      <c r="G457" t="s">
        <v>34</v>
      </c>
      <c r="H457" t="s">
        <v>35</v>
      </c>
      <c r="I457" t="s">
        <v>596</v>
      </c>
      <c r="J457">
        <v>9</v>
      </c>
      <c r="K457">
        <v>1356</v>
      </c>
      <c r="L457">
        <v>0.09</v>
      </c>
      <c r="M457">
        <v>1233.96</v>
      </c>
      <c r="N457">
        <v>11105.64</v>
      </c>
      <c r="O457">
        <v>0.4</v>
      </c>
      <c r="P457">
        <v>4442.26</v>
      </c>
      <c r="Q457" t="s">
        <v>51</v>
      </c>
      <c r="R457" t="s">
        <v>28</v>
      </c>
      <c r="S457">
        <v>8</v>
      </c>
      <c r="T457">
        <v>2023</v>
      </c>
      <c r="U457" t="s">
        <v>3097</v>
      </c>
      <c r="V457">
        <v>9</v>
      </c>
      <c r="W457" t="s">
        <v>3107</v>
      </c>
      <c r="X457">
        <v>6663.3799999999992</v>
      </c>
      <c r="Y457" t="s">
        <v>3077</v>
      </c>
      <c r="Z457" t="s">
        <v>3063</v>
      </c>
      <c r="AA457" t="s">
        <v>3079</v>
      </c>
    </row>
    <row r="458" spans="1:27" x14ac:dyDescent="0.3">
      <c r="A458" t="s">
        <v>2178</v>
      </c>
      <c r="B458" s="7">
        <v>45064</v>
      </c>
      <c r="C458" t="s">
        <v>20</v>
      </c>
      <c r="D458" t="s">
        <v>41</v>
      </c>
      <c r="E458" t="s">
        <v>2040</v>
      </c>
      <c r="F458" t="s">
        <v>23</v>
      </c>
      <c r="G458" t="s">
        <v>57</v>
      </c>
      <c r="H458" t="s">
        <v>183</v>
      </c>
      <c r="I458" t="s">
        <v>346</v>
      </c>
      <c r="J458">
        <v>5</v>
      </c>
      <c r="K458">
        <v>17563</v>
      </c>
      <c r="L458">
        <v>0.23</v>
      </c>
      <c r="M458">
        <v>13523.51</v>
      </c>
      <c r="N458">
        <v>67617.55</v>
      </c>
      <c r="O458">
        <v>0.2</v>
      </c>
      <c r="P458">
        <v>13523.51</v>
      </c>
      <c r="Q458" t="s">
        <v>27</v>
      </c>
      <c r="R458" t="s">
        <v>48</v>
      </c>
      <c r="S458">
        <v>9</v>
      </c>
      <c r="T458">
        <v>2023</v>
      </c>
      <c r="U458" t="s">
        <v>3091</v>
      </c>
      <c r="V458">
        <v>5</v>
      </c>
      <c r="W458" t="s">
        <v>3092</v>
      </c>
      <c r="X458">
        <v>54094.04</v>
      </c>
      <c r="Y458" t="s">
        <v>3077</v>
      </c>
      <c r="Z458" t="s">
        <v>3063</v>
      </c>
      <c r="AA458" t="s">
        <v>3079</v>
      </c>
    </row>
    <row r="459" spans="1:27" x14ac:dyDescent="0.3">
      <c r="A459" t="s">
        <v>2853</v>
      </c>
      <c r="B459" s="7">
        <v>45739</v>
      </c>
      <c r="C459" t="s">
        <v>96</v>
      </c>
      <c r="D459" t="s">
        <v>31</v>
      </c>
      <c r="E459" t="s">
        <v>42</v>
      </c>
      <c r="F459" t="s">
        <v>23</v>
      </c>
      <c r="G459" t="s">
        <v>92</v>
      </c>
      <c r="H459" t="s">
        <v>109</v>
      </c>
      <c r="I459" t="s">
        <v>1677</v>
      </c>
      <c r="J459">
        <v>1</v>
      </c>
      <c r="K459">
        <v>35051</v>
      </c>
      <c r="L459">
        <v>0.14000000000000001</v>
      </c>
      <c r="M459">
        <v>30143.86</v>
      </c>
      <c r="N459">
        <v>30143.86</v>
      </c>
      <c r="O459">
        <v>0.15</v>
      </c>
      <c r="P459">
        <v>4521.58</v>
      </c>
      <c r="Q459" t="s">
        <v>47</v>
      </c>
      <c r="R459" t="s">
        <v>48</v>
      </c>
      <c r="S459">
        <v>4</v>
      </c>
      <c r="T459">
        <v>2025</v>
      </c>
      <c r="U459" t="s">
        <v>3069</v>
      </c>
      <c r="V459">
        <v>3</v>
      </c>
      <c r="W459" t="s">
        <v>3070</v>
      </c>
      <c r="X459">
        <v>25622.28</v>
      </c>
      <c r="Y459" t="s">
        <v>3062</v>
      </c>
      <c r="Z459" t="s">
        <v>3063</v>
      </c>
      <c r="AA459" t="s">
        <v>3079</v>
      </c>
    </row>
    <row r="460" spans="1:27" x14ac:dyDescent="0.3">
      <c r="A460" t="s">
        <v>2967</v>
      </c>
      <c r="B460" s="7">
        <v>45853</v>
      </c>
      <c r="C460" t="s">
        <v>55</v>
      </c>
      <c r="D460" t="s">
        <v>31</v>
      </c>
      <c r="E460" t="s">
        <v>67</v>
      </c>
      <c r="F460" t="s">
        <v>103</v>
      </c>
      <c r="G460" t="s">
        <v>57</v>
      </c>
      <c r="H460" t="s">
        <v>183</v>
      </c>
      <c r="I460" t="s">
        <v>1897</v>
      </c>
      <c r="J460">
        <v>6</v>
      </c>
      <c r="K460">
        <v>4336</v>
      </c>
      <c r="L460">
        <v>0.13</v>
      </c>
      <c r="M460">
        <v>3772.32</v>
      </c>
      <c r="N460">
        <v>22633.919999999998</v>
      </c>
      <c r="O460">
        <v>0.2</v>
      </c>
      <c r="P460">
        <v>4526.78</v>
      </c>
      <c r="Q460" t="s">
        <v>37</v>
      </c>
      <c r="R460" t="s">
        <v>38</v>
      </c>
      <c r="S460">
        <v>3</v>
      </c>
      <c r="T460">
        <v>2025</v>
      </c>
      <c r="U460" t="s">
        <v>3088</v>
      </c>
      <c r="V460">
        <v>7</v>
      </c>
      <c r="W460" t="s">
        <v>3094</v>
      </c>
      <c r="X460">
        <v>18107.14</v>
      </c>
      <c r="Y460" t="s">
        <v>3067</v>
      </c>
      <c r="Z460" t="s">
        <v>3063</v>
      </c>
      <c r="AA460" t="s">
        <v>3079</v>
      </c>
    </row>
    <row r="461" spans="1:27" x14ac:dyDescent="0.3">
      <c r="A461" t="s">
        <v>2726</v>
      </c>
      <c r="B461" s="7">
        <v>45612</v>
      </c>
      <c r="C461" t="s">
        <v>96</v>
      </c>
      <c r="D461" t="s">
        <v>21</v>
      </c>
      <c r="E461" t="s">
        <v>2040</v>
      </c>
      <c r="F461" t="s">
        <v>33</v>
      </c>
      <c r="G461" t="s">
        <v>92</v>
      </c>
      <c r="H461" t="s">
        <v>243</v>
      </c>
      <c r="I461" t="s">
        <v>1428</v>
      </c>
      <c r="J461">
        <v>3</v>
      </c>
      <c r="K461">
        <v>12461</v>
      </c>
      <c r="L461">
        <v>0.19</v>
      </c>
      <c r="M461">
        <v>10093.41</v>
      </c>
      <c r="N461">
        <v>30280.23</v>
      </c>
      <c r="O461">
        <v>0.15</v>
      </c>
      <c r="P461">
        <v>4542.03</v>
      </c>
      <c r="Q461" t="s">
        <v>47</v>
      </c>
      <c r="R461" t="s">
        <v>48</v>
      </c>
      <c r="S461">
        <v>1</v>
      </c>
      <c r="T461">
        <v>2024</v>
      </c>
      <c r="U461" t="s">
        <v>3060</v>
      </c>
      <c r="V461">
        <v>11</v>
      </c>
      <c r="W461" t="s">
        <v>3100</v>
      </c>
      <c r="X461">
        <v>25738.2</v>
      </c>
      <c r="Y461" t="s">
        <v>3067</v>
      </c>
      <c r="Z461" t="s">
        <v>3063</v>
      </c>
      <c r="AA461" t="s">
        <v>3079</v>
      </c>
    </row>
    <row r="462" spans="1:27" x14ac:dyDescent="0.3">
      <c r="A462" t="s">
        <v>2142</v>
      </c>
      <c r="B462" s="7">
        <v>45028</v>
      </c>
      <c r="C462" t="s">
        <v>40</v>
      </c>
      <c r="D462" t="s">
        <v>21</v>
      </c>
      <c r="E462" t="s">
        <v>2042</v>
      </c>
      <c r="F462" t="s">
        <v>97</v>
      </c>
      <c r="G462" t="s">
        <v>92</v>
      </c>
      <c r="H462" t="s">
        <v>109</v>
      </c>
      <c r="I462" t="s">
        <v>274</v>
      </c>
      <c r="J462">
        <v>2</v>
      </c>
      <c r="K462">
        <v>45046</v>
      </c>
      <c r="L462">
        <v>0</v>
      </c>
      <c r="M462">
        <v>45046</v>
      </c>
      <c r="N462">
        <v>90092</v>
      </c>
      <c r="O462">
        <v>0.15</v>
      </c>
      <c r="P462">
        <v>13513.8</v>
      </c>
      <c r="Q462" t="s">
        <v>37</v>
      </c>
      <c r="R462" t="s">
        <v>48</v>
      </c>
      <c r="S462">
        <v>7</v>
      </c>
      <c r="T462">
        <v>2023</v>
      </c>
      <c r="U462" t="s">
        <v>3080</v>
      </c>
      <c r="V462">
        <v>4</v>
      </c>
      <c r="W462" t="s">
        <v>3081</v>
      </c>
      <c r="X462">
        <v>76578.2</v>
      </c>
      <c r="Y462" t="s">
        <v>3062</v>
      </c>
      <c r="Z462" t="s">
        <v>3063</v>
      </c>
      <c r="AA462" t="s">
        <v>3079</v>
      </c>
    </row>
    <row r="463" spans="1:27" x14ac:dyDescent="0.3">
      <c r="A463" t="s">
        <v>2766</v>
      </c>
      <c r="B463" s="7">
        <v>45652</v>
      </c>
      <c r="C463" t="s">
        <v>30</v>
      </c>
      <c r="D463" t="s">
        <v>21</v>
      </c>
      <c r="E463" t="s">
        <v>2042</v>
      </c>
      <c r="F463" t="s">
        <v>68</v>
      </c>
      <c r="G463" t="s">
        <v>92</v>
      </c>
      <c r="H463" t="s">
        <v>93</v>
      </c>
      <c r="I463" t="s">
        <v>1507</v>
      </c>
      <c r="J463">
        <v>6</v>
      </c>
      <c r="K463">
        <v>18894</v>
      </c>
      <c r="L463">
        <v>0.21</v>
      </c>
      <c r="M463">
        <v>14926.26</v>
      </c>
      <c r="N463">
        <v>89557.56</v>
      </c>
      <c r="O463">
        <v>0.15</v>
      </c>
      <c r="P463">
        <v>13433.63</v>
      </c>
      <c r="Q463" t="s">
        <v>27</v>
      </c>
      <c r="R463" t="s">
        <v>48</v>
      </c>
      <c r="S463">
        <v>4</v>
      </c>
      <c r="T463">
        <v>2024</v>
      </c>
      <c r="U463" t="s">
        <v>3086</v>
      </c>
      <c r="V463">
        <v>12</v>
      </c>
      <c r="W463" t="s">
        <v>3087</v>
      </c>
      <c r="X463">
        <v>76123.929999999993</v>
      </c>
      <c r="Y463" t="s">
        <v>3062</v>
      </c>
      <c r="Z463" t="s">
        <v>3063</v>
      </c>
      <c r="AA463" t="s">
        <v>3079</v>
      </c>
    </row>
    <row r="464" spans="1:27" x14ac:dyDescent="0.3">
      <c r="A464" t="s">
        <v>2814</v>
      </c>
      <c r="B464" s="7">
        <v>45700</v>
      </c>
      <c r="C464" t="s">
        <v>55</v>
      </c>
      <c r="D464" t="s">
        <v>56</v>
      </c>
      <c r="E464" t="s">
        <v>42</v>
      </c>
      <c r="F464" t="s">
        <v>33</v>
      </c>
      <c r="G464" t="s">
        <v>57</v>
      </c>
      <c r="H464" t="s">
        <v>81</v>
      </c>
      <c r="I464" t="s">
        <v>1600</v>
      </c>
      <c r="J464">
        <v>5</v>
      </c>
      <c r="K464">
        <v>16537</v>
      </c>
      <c r="L464">
        <v>0.19</v>
      </c>
      <c r="M464">
        <v>13394.97</v>
      </c>
      <c r="N464">
        <v>66974.850000000006</v>
      </c>
      <c r="O464">
        <v>0.2</v>
      </c>
      <c r="P464">
        <v>13394.97</v>
      </c>
      <c r="Q464" t="s">
        <v>37</v>
      </c>
      <c r="R464" t="s">
        <v>48</v>
      </c>
      <c r="S464">
        <v>7</v>
      </c>
      <c r="T464">
        <v>2025</v>
      </c>
      <c r="U464" t="s">
        <v>3084</v>
      </c>
      <c r="V464">
        <v>2</v>
      </c>
      <c r="W464" t="s">
        <v>3090</v>
      </c>
      <c r="X464">
        <v>53579.880000000005</v>
      </c>
      <c r="Y464" t="s">
        <v>3062</v>
      </c>
      <c r="Z464" t="s">
        <v>3063</v>
      </c>
      <c r="AA464" t="s">
        <v>3079</v>
      </c>
    </row>
    <row r="465" spans="1:27" x14ac:dyDescent="0.3">
      <c r="A465" t="s">
        <v>2386</v>
      </c>
      <c r="B465" s="7">
        <v>45272</v>
      </c>
      <c r="C465" t="s">
        <v>20</v>
      </c>
      <c r="D465" t="s">
        <v>56</v>
      </c>
      <c r="E465" t="s">
        <v>2040</v>
      </c>
      <c r="F465" t="s">
        <v>68</v>
      </c>
      <c r="G465" t="s">
        <v>57</v>
      </c>
      <c r="H465" t="s">
        <v>183</v>
      </c>
      <c r="I465" t="s">
        <v>760</v>
      </c>
      <c r="J465">
        <v>4</v>
      </c>
      <c r="K465">
        <v>7010</v>
      </c>
      <c r="L465">
        <v>0.18</v>
      </c>
      <c r="M465">
        <v>5748.2</v>
      </c>
      <c r="N465">
        <v>22992.799999999999</v>
      </c>
      <c r="O465">
        <v>0.2</v>
      </c>
      <c r="P465">
        <v>4598.5600000000004</v>
      </c>
      <c r="Q465" t="s">
        <v>37</v>
      </c>
      <c r="R465" t="s">
        <v>48</v>
      </c>
      <c r="S465">
        <v>7</v>
      </c>
      <c r="T465">
        <v>2023</v>
      </c>
      <c r="U465" t="s">
        <v>3086</v>
      </c>
      <c r="V465">
        <v>12</v>
      </c>
      <c r="W465" t="s">
        <v>3099</v>
      </c>
      <c r="X465">
        <v>18394.239999999998</v>
      </c>
      <c r="Y465" t="s">
        <v>3062</v>
      </c>
      <c r="Z465" t="s">
        <v>3063</v>
      </c>
      <c r="AA465" t="s">
        <v>3079</v>
      </c>
    </row>
    <row r="466" spans="1:27" x14ac:dyDescent="0.3">
      <c r="A466" t="s">
        <v>2909</v>
      </c>
      <c r="B466" s="7">
        <v>45795</v>
      </c>
      <c r="C466" t="s">
        <v>96</v>
      </c>
      <c r="D466" t="s">
        <v>21</v>
      </c>
      <c r="E466" t="s">
        <v>67</v>
      </c>
      <c r="F466" t="s">
        <v>43</v>
      </c>
      <c r="G466" t="s">
        <v>57</v>
      </c>
      <c r="H466" t="s">
        <v>100</v>
      </c>
      <c r="I466" t="s">
        <v>101</v>
      </c>
      <c r="J466">
        <v>5</v>
      </c>
      <c r="K466">
        <v>14835</v>
      </c>
      <c r="L466">
        <v>0.1</v>
      </c>
      <c r="M466">
        <v>13351.5</v>
      </c>
      <c r="N466">
        <v>66757.5</v>
      </c>
      <c r="O466">
        <v>0.2</v>
      </c>
      <c r="P466">
        <v>13351.5</v>
      </c>
      <c r="Q466" t="s">
        <v>51</v>
      </c>
      <c r="R466" t="s">
        <v>48</v>
      </c>
      <c r="S466">
        <v>2</v>
      </c>
      <c r="T466">
        <v>2025</v>
      </c>
      <c r="U466" t="s">
        <v>3091</v>
      </c>
      <c r="V466">
        <v>5</v>
      </c>
      <c r="W466" t="s">
        <v>3106</v>
      </c>
      <c r="X466">
        <v>53406</v>
      </c>
      <c r="Y466" t="s">
        <v>3067</v>
      </c>
      <c r="Z466" t="s">
        <v>3063</v>
      </c>
      <c r="AA466" t="s">
        <v>3079</v>
      </c>
    </row>
    <row r="467" spans="1:27" x14ac:dyDescent="0.3">
      <c r="A467" t="s">
        <v>2359</v>
      </c>
      <c r="B467" s="7">
        <v>45245</v>
      </c>
      <c r="C467" t="s">
        <v>55</v>
      </c>
      <c r="D467" t="s">
        <v>21</v>
      </c>
      <c r="E467" t="s">
        <v>2042</v>
      </c>
      <c r="F467" t="s">
        <v>43</v>
      </c>
      <c r="G467" t="s">
        <v>57</v>
      </c>
      <c r="H467" t="s">
        <v>100</v>
      </c>
      <c r="I467" t="s">
        <v>706</v>
      </c>
      <c r="J467">
        <v>4</v>
      </c>
      <c r="K467">
        <v>7495</v>
      </c>
      <c r="L467">
        <v>0.22</v>
      </c>
      <c r="M467">
        <v>5846.1</v>
      </c>
      <c r="N467">
        <v>23384.400000000001</v>
      </c>
      <c r="O467">
        <v>0.2</v>
      </c>
      <c r="P467">
        <v>4676.88</v>
      </c>
      <c r="Q467" t="s">
        <v>51</v>
      </c>
      <c r="R467" t="s">
        <v>48</v>
      </c>
      <c r="S467">
        <v>5</v>
      </c>
      <c r="T467">
        <v>2023</v>
      </c>
      <c r="U467" t="s">
        <v>3060</v>
      </c>
      <c r="V467">
        <v>11</v>
      </c>
      <c r="W467" t="s">
        <v>3061</v>
      </c>
      <c r="X467">
        <v>18707.52</v>
      </c>
      <c r="Y467" t="s">
        <v>3062</v>
      </c>
      <c r="Z467" t="s">
        <v>3063</v>
      </c>
      <c r="AA467" t="s">
        <v>3079</v>
      </c>
    </row>
    <row r="468" spans="1:27" x14ac:dyDescent="0.3">
      <c r="A468" t="s">
        <v>2509</v>
      </c>
      <c r="B468" s="7">
        <v>45395</v>
      </c>
      <c r="C468" t="s">
        <v>55</v>
      </c>
      <c r="D468" t="s">
        <v>31</v>
      </c>
      <c r="E468" t="s">
        <v>67</v>
      </c>
      <c r="F468" t="s">
        <v>68</v>
      </c>
      <c r="G468" t="s">
        <v>92</v>
      </c>
      <c r="H468" t="s">
        <v>93</v>
      </c>
      <c r="I468" t="s">
        <v>1003</v>
      </c>
      <c r="J468">
        <v>1</v>
      </c>
      <c r="K468">
        <v>35169</v>
      </c>
      <c r="L468">
        <v>0.11</v>
      </c>
      <c r="M468">
        <v>31300.41</v>
      </c>
      <c r="N468">
        <v>31300.41</v>
      </c>
      <c r="O468">
        <v>0.15</v>
      </c>
      <c r="P468">
        <v>4695.0600000000004</v>
      </c>
      <c r="Q468" t="s">
        <v>37</v>
      </c>
      <c r="R468" t="s">
        <v>48</v>
      </c>
      <c r="S468">
        <v>5</v>
      </c>
      <c r="T468">
        <v>2024</v>
      </c>
      <c r="U468" t="s">
        <v>3080</v>
      </c>
      <c r="V468">
        <v>4</v>
      </c>
      <c r="W468" t="s">
        <v>3095</v>
      </c>
      <c r="X468">
        <v>26605.35</v>
      </c>
      <c r="Y468" t="s">
        <v>3062</v>
      </c>
      <c r="Z468" t="s">
        <v>3063</v>
      </c>
      <c r="AA468" t="s">
        <v>3079</v>
      </c>
    </row>
    <row r="469" spans="1:27" x14ac:dyDescent="0.3">
      <c r="A469" t="s">
        <v>2757</v>
      </c>
      <c r="B469" s="7">
        <v>45643</v>
      </c>
      <c r="C469" t="s">
        <v>55</v>
      </c>
      <c r="D469" t="s">
        <v>21</v>
      </c>
      <c r="E469" t="s">
        <v>42</v>
      </c>
      <c r="F469" t="s">
        <v>68</v>
      </c>
      <c r="G469" t="s">
        <v>57</v>
      </c>
      <c r="H469" t="s">
        <v>81</v>
      </c>
      <c r="I469" t="s">
        <v>1489</v>
      </c>
      <c r="J469">
        <v>4</v>
      </c>
      <c r="K469">
        <v>6082</v>
      </c>
      <c r="L469">
        <v>0.03</v>
      </c>
      <c r="M469">
        <v>5899.54</v>
      </c>
      <c r="N469">
        <v>23598.16</v>
      </c>
      <c r="O469">
        <v>0.2</v>
      </c>
      <c r="P469">
        <v>4719.63</v>
      </c>
      <c r="Q469" t="s">
        <v>47</v>
      </c>
      <c r="R469" t="s">
        <v>48</v>
      </c>
      <c r="S469">
        <v>6</v>
      </c>
      <c r="T469">
        <v>2024</v>
      </c>
      <c r="U469" t="s">
        <v>3086</v>
      </c>
      <c r="V469">
        <v>12</v>
      </c>
      <c r="W469" t="s">
        <v>3087</v>
      </c>
      <c r="X469">
        <v>18878.53</v>
      </c>
      <c r="Y469" t="s">
        <v>3062</v>
      </c>
      <c r="Z469" t="s">
        <v>3063</v>
      </c>
      <c r="AA469" t="s">
        <v>3079</v>
      </c>
    </row>
    <row r="470" spans="1:27" x14ac:dyDescent="0.3">
      <c r="A470" t="s">
        <v>2732</v>
      </c>
      <c r="B470" s="7">
        <v>45618</v>
      </c>
      <c r="C470" t="s">
        <v>96</v>
      </c>
      <c r="D470" t="s">
        <v>56</v>
      </c>
      <c r="E470" t="s">
        <v>42</v>
      </c>
      <c r="F470" t="s">
        <v>97</v>
      </c>
      <c r="G470" t="s">
        <v>34</v>
      </c>
      <c r="H470" t="s">
        <v>35</v>
      </c>
      <c r="I470" t="s">
        <v>1440</v>
      </c>
      <c r="J470">
        <v>9</v>
      </c>
      <c r="K470">
        <v>1445</v>
      </c>
      <c r="L470">
        <v>0.09</v>
      </c>
      <c r="M470">
        <v>1314.95</v>
      </c>
      <c r="N470">
        <v>11834.55</v>
      </c>
      <c r="O470">
        <v>0.4</v>
      </c>
      <c r="P470">
        <v>4733.82</v>
      </c>
      <c r="Q470" t="s">
        <v>27</v>
      </c>
      <c r="R470" t="s">
        <v>48</v>
      </c>
      <c r="S470">
        <v>1</v>
      </c>
      <c r="T470">
        <v>2024</v>
      </c>
      <c r="U470" t="s">
        <v>3060</v>
      </c>
      <c r="V470">
        <v>11</v>
      </c>
      <c r="W470" t="s">
        <v>3100</v>
      </c>
      <c r="X470">
        <v>7100.73</v>
      </c>
      <c r="Y470" t="s">
        <v>3067</v>
      </c>
      <c r="Z470" t="s">
        <v>3063</v>
      </c>
      <c r="AA470" t="s">
        <v>3079</v>
      </c>
    </row>
    <row r="471" spans="1:27" x14ac:dyDescent="0.3">
      <c r="A471" t="s">
        <v>2068</v>
      </c>
      <c r="B471" s="7">
        <v>44954</v>
      </c>
      <c r="C471" t="s">
        <v>20</v>
      </c>
      <c r="D471" t="s">
        <v>56</v>
      </c>
      <c r="E471" t="s">
        <v>2042</v>
      </c>
      <c r="F471" t="s">
        <v>43</v>
      </c>
      <c r="G471" t="s">
        <v>57</v>
      </c>
      <c r="H471" t="s">
        <v>58</v>
      </c>
      <c r="I471" t="s">
        <v>119</v>
      </c>
      <c r="J471">
        <v>2</v>
      </c>
      <c r="K471">
        <v>13787</v>
      </c>
      <c r="L471">
        <v>0.14000000000000001</v>
      </c>
      <c r="M471">
        <v>11856.82</v>
      </c>
      <c r="N471">
        <v>23713.64</v>
      </c>
      <c r="O471">
        <v>0.2</v>
      </c>
      <c r="P471">
        <v>4742.7299999999996</v>
      </c>
      <c r="Q471" t="s">
        <v>51</v>
      </c>
      <c r="R471" t="s">
        <v>48</v>
      </c>
      <c r="S471">
        <v>3</v>
      </c>
      <c r="T471">
        <v>2023</v>
      </c>
      <c r="U471" t="s">
        <v>3071</v>
      </c>
      <c r="V471">
        <v>1</v>
      </c>
      <c r="W471" t="s">
        <v>3102</v>
      </c>
      <c r="X471">
        <v>18970.91</v>
      </c>
      <c r="Y471" t="s">
        <v>3067</v>
      </c>
      <c r="Z471" t="s">
        <v>3063</v>
      </c>
      <c r="AA471" t="s">
        <v>3079</v>
      </c>
    </row>
    <row r="472" spans="1:27" x14ac:dyDescent="0.3">
      <c r="A472" t="s">
        <v>2810</v>
      </c>
      <c r="B472" s="7">
        <v>45696</v>
      </c>
      <c r="C472" t="s">
        <v>30</v>
      </c>
      <c r="D472" t="s">
        <v>21</v>
      </c>
      <c r="E472" t="s">
        <v>2040</v>
      </c>
      <c r="F472" t="s">
        <v>43</v>
      </c>
      <c r="G472" t="s">
        <v>92</v>
      </c>
      <c r="H472" t="s">
        <v>243</v>
      </c>
      <c r="I472" t="s">
        <v>1592</v>
      </c>
      <c r="J472">
        <v>1</v>
      </c>
      <c r="K472">
        <v>33705</v>
      </c>
      <c r="L472">
        <v>0.06</v>
      </c>
      <c r="M472">
        <v>31682.7</v>
      </c>
      <c r="N472">
        <v>31682.7</v>
      </c>
      <c r="O472">
        <v>0.15</v>
      </c>
      <c r="P472">
        <v>4752.3999999999996</v>
      </c>
      <c r="Q472" t="s">
        <v>47</v>
      </c>
      <c r="R472" t="s">
        <v>48</v>
      </c>
      <c r="S472">
        <v>7</v>
      </c>
      <c r="T472">
        <v>2025</v>
      </c>
      <c r="U472" t="s">
        <v>3084</v>
      </c>
      <c r="V472">
        <v>2</v>
      </c>
      <c r="W472" t="s">
        <v>3090</v>
      </c>
      <c r="X472">
        <v>26930.300000000003</v>
      </c>
      <c r="Y472" t="s">
        <v>3062</v>
      </c>
      <c r="Z472" t="s">
        <v>3063</v>
      </c>
      <c r="AA472" t="s">
        <v>3079</v>
      </c>
    </row>
    <row r="473" spans="1:27" x14ac:dyDescent="0.3">
      <c r="A473" t="s">
        <v>2261</v>
      </c>
      <c r="B473" s="7">
        <v>45147</v>
      </c>
      <c r="C473" t="s">
        <v>63</v>
      </c>
      <c r="D473" t="s">
        <v>56</v>
      </c>
      <c r="E473" t="s">
        <v>2042</v>
      </c>
      <c r="F473" t="s">
        <v>103</v>
      </c>
      <c r="G473" t="s">
        <v>57</v>
      </c>
      <c r="H473" t="s">
        <v>81</v>
      </c>
      <c r="I473" t="s">
        <v>512</v>
      </c>
      <c r="J473">
        <v>3</v>
      </c>
      <c r="K473">
        <v>9114</v>
      </c>
      <c r="L473">
        <v>0.13</v>
      </c>
      <c r="M473">
        <v>7929.18</v>
      </c>
      <c r="N473">
        <v>23787.54</v>
      </c>
      <c r="O473">
        <v>0.2</v>
      </c>
      <c r="P473">
        <v>4757.51</v>
      </c>
      <c r="Q473" t="s">
        <v>47</v>
      </c>
      <c r="R473" t="s">
        <v>48</v>
      </c>
      <c r="S473">
        <v>9</v>
      </c>
      <c r="T473">
        <v>2023</v>
      </c>
      <c r="U473" t="s">
        <v>3075</v>
      </c>
      <c r="V473">
        <v>8</v>
      </c>
      <c r="W473" t="s">
        <v>3109</v>
      </c>
      <c r="X473">
        <v>19030.03</v>
      </c>
      <c r="Y473" t="s">
        <v>3077</v>
      </c>
      <c r="Z473" t="s">
        <v>3063</v>
      </c>
      <c r="AA473" t="s">
        <v>3079</v>
      </c>
    </row>
    <row r="474" spans="1:27" x14ac:dyDescent="0.3">
      <c r="A474" t="s">
        <v>2411</v>
      </c>
      <c r="B474" s="7">
        <v>45297</v>
      </c>
      <c r="C474" t="s">
        <v>40</v>
      </c>
      <c r="D474" t="s">
        <v>41</v>
      </c>
      <c r="E474" t="s">
        <v>2040</v>
      </c>
      <c r="F474" t="s">
        <v>43</v>
      </c>
      <c r="G474" t="s">
        <v>57</v>
      </c>
      <c r="H474" t="s">
        <v>183</v>
      </c>
      <c r="I474" t="s">
        <v>808</v>
      </c>
      <c r="J474">
        <v>6</v>
      </c>
      <c r="K474">
        <v>13543</v>
      </c>
      <c r="L474">
        <v>0.19</v>
      </c>
      <c r="M474">
        <v>10969.83</v>
      </c>
      <c r="N474">
        <v>65818.98</v>
      </c>
      <c r="O474">
        <v>0.2</v>
      </c>
      <c r="P474">
        <v>13163.8</v>
      </c>
      <c r="Q474" t="s">
        <v>51</v>
      </c>
      <c r="R474" t="s">
        <v>48</v>
      </c>
      <c r="S474">
        <v>3</v>
      </c>
      <c r="T474">
        <v>2024</v>
      </c>
      <c r="U474" t="s">
        <v>3071</v>
      </c>
      <c r="V474">
        <v>1</v>
      </c>
      <c r="W474" t="s">
        <v>3078</v>
      </c>
      <c r="X474">
        <v>52655.179999999993</v>
      </c>
      <c r="Y474" t="s">
        <v>3067</v>
      </c>
      <c r="Z474" t="s">
        <v>3063</v>
      </c>
      <c r="AA474" t="s">
        <v>3079</v>
      </c>
    </row>
    <row r="475" spans="1:27" x14ac:dyDescent="0.3">
      <c r="A475" t="s">
        <v>2586</v>
      </c>
      <c r="B475" s="7">
        <v>45472</v>
      </c>
      <c r="C475" t="s">
        <v>40</v>
      </c>
      <c r="D475" t="s">
        <v>31</v>
      </c>
      <c r="E475" t="s">
        <v>2040</v>
      </c>
      <c r="F475" t="s">
        <v>97</v>
      </c>
      <c r="G475" t="s">
        <v>34</v>
      </c>
      <c r="H475" t="s">
        <v>35</v>
      </c>
      <c r="I475" t="s">
        <v>1154</v>
      </c>
      <c r="J475">
        <v>9</v>
      </c>
      <c r="K475">
        <v>1444</v>
      </c>
      <c r="L475">
        <v>0.08</v>
      </c>
      <c r="M475">
        <v>1328.48</v>
      </c>
      <c r="N475">
        <v>11956.32</v>
      </c>
      <c r="O475">
        <v>0.4</v>
      </c>
      <c r="P475">
        <v>4782.53</v>
      </c>
      <c r="Q475" t="s">
        <v>47</v>
      </c>
      <c r="R475" t="s">
        <v>48</v>
      </c>
      <c r="S475">
        <v>1</v>
      </c>
      <c r="T475">
        <v>2024</v>
      </c>
      <c r="U475" t="s">
        <v>3073</v>
      </c>
      <c r="V475">
        <v>6</v>
      </c>
      <c r="W475" t="s">
        <v>3074</v>
      </c>
      <c r="X475">
        <v>7173.79</v>
      </c>
      <c r="Y475" t="s">
        <v>3067</v>
      </c>
      <c r="Z475" t="s">
        <v>3063</v>
      </c>
      <c r="AA475" t="s">
        <v>3079</v>
      </c>
    </row>
    <row r="476" spans="1:27" x14ac:dyDescent="0.3">
      <c r="A476" t="s">
        <v>2191</v>
      </c>
      <c r="B476" s="7">
        <v>45077</v>
      </c>
      <c r="C476" t="s">
        <v>55</v>
      </c>
      <c r="D476" t="s">
        <v>56</v>
      </c>
      <c r="E476" t="s">
        <v>42</v>
      </c>
      <c r="F476" t="s">
        <v>23</v>
      </c>
      <c r="G476" t="s">
        <v>92</v>
      </c>
      <c r="H476" t="s">
        <v>243</v>
      </c>
      <c r="I476" t="s">
        <v>372</v>
      </c>
      <c r="J476">
        <v>4</v>
      </c>
      <c r="K476">
        <v>10281</v>
      </c>
      <c r="L476">
        <v>0.22</v>
      </c>
      <c r="M476">
        <v>8019.18</v>
      </c>
      <c r="N476">
        <v>32076.720000000001</v>
      </c>
      <c r="O476">
        <v>0.15</v>
      </c>
      <c r="P476">
        <v>4811.51</v>
      </c>
      <c r="Q476" t="s">
        <v>51</v>
      </c>
      <c r="R476" t="s">
        <v>48</v>
      </c>
      <c r="S476">
        <v>1</v>
      </c>
      <c r="T476">
        <v>2023</v>
      </c>
      <c r="U476" t="s">
        <v>3091</v>
      </c>
      <c r="V476">
        <v>5</v>
      </c>
      <c r="W476" t="s">
        <v>3092</v>
      </c>
      <c r="X476">
        <v>27265.21</v>
      </c>
      <c r="Y476" t="s">
        <v>3067</v>
      </c>
      <c r="Z476" t="s">
        <v>3063</v>
      </c>
      <c r="AA476" t="s">
        <v>3079</v>
      </c>
    </row>
    <row r="477" spans="1:27" x14ac:dyDescent="0.3">
      <c r="A477" t="s">
        <v>2662</v>
      </c>
      <c r="B477" s="7">
        <v>45548</v>
      </c>
      <c r="C477" t="s">
        <v>63</v>
      </c>
      <c r="D477" t="s">
        <v>56</v>
      </c>
      <c r="E477" t="s">
        <v>2042</v>
      </c>
      <c r="F477" t="s">
        <v>23</v>
      </c>
      <c r="G477" t="s">
        <v>57</v>
      </c>
      <c r="H477" t="s">
        <v>81</v>
      </c>
      <c r="I477" t="s">
        <v>1304</v>
      </c>
      <c r="J477">
        <v>4</v>
      </c>
      <c r="K477">
        <v>18462</v>
      </c>
      <c r="L477">
        <v>0.11</v>
      </c>
      <c r="M477">
        <v>16431.18</v>
      </c>
      <c r="N477">
        <v>65724.72</v>
      </c>
      <c r="O477">
        <v>0.2</v>
      </c>
      <c r="P477">
        <v>13144.94</v>
      </c>
      <c r="Q477" t="s">
        <v>27</v>
      </c>
      <c r="R477" t="s">
        <v>48</v>
      </c>
      <c r="S477">
        <v>6</v>
      </c>
      <c r="T477">
        <v>2024</v>
      </c>
      <c r="U477" t="s">
        <v>3097</v>
      </c>
      <c r="V477">
        <v>9</v>
      </c>
      <c r="W477" t="s">
        <v>3098</v>
      </c>
      <c r="X477">
        <v>52579.78</v>
      </c>
      <c r="Y477" t="s">
        <v>3062</v>
      </c>
      <c r="Z477" t="s">
        <v>3063</v>
      </c>
      <c r="AA477" t="s">
        <v>3079</v>
      </c>
    </row>
    <row r="478" spans="1:27" x14ac:dyDescent="0.3">
      <c r="A478" t="s">
        <v>2973</v>
      </c>
      <c r="B478" s="7">
        <v>45859</v>
      </c>
      <c r="C478" t="s">
        <v>40</v>
      </c>
      <c r="D478" t="s">
        <v>21</v>
      </c>
      <c r="E478" t="s">
        <v>67</v>
      </c>
      <c r="F478" t="s">
        <v>103</v>
      </c>
      <c r="G478" t="s">
        <v>57</v>
      </c>
      <c r="H478" t="s">
        <v>81</v>
      </c>
      <c r="I478" t="s">
        <v>1909</v>
      </c>
      <c r="J478">
        <v>6</v>
      </c>
      <c r="K478">
        <v>13861</v>
      </c>
      <c r="L478">
        <v>0.21</v>
      </c>
      <c r="M478">
        <v>10950.19</v>
      </c>
      <c r="N478">
        <v>65701.14</v>
      </c>
      <c r="O478">
        <v>0.2</v>
      </c>
      <c r="P478">
        <v>13140.23</v>
      </c>
      <c r="Q478" t="s">
        <v>51</v>
      </c>
      <c r="R478" t="s">
        <v>48</v>
      </c>
      <c r="S478">
        <v>3</v>
      </c>
      <c r="T478">
        <v>2025</v>
      </c>
      <c r="U478" t="s">
        <v>3088</v>
      </c>
      <c r="V478">
        <v>7</v>
      </c>
      <c r="W478" t="s">
        <v>3094</v>
      </c>
      <c r="X478">
        <v>52560.91</v>
      </c>
      <c r="Y478" t="s">
        <v>3067</v>
      </c>
      <c r="Z478" t="s">
        <v>3063</v>
      </c>
      <c r="AA478" t="s">
        <v>3079</v>
      </c>
    </row>
    <row r="479" spans="1:27" x14ac:dyDescent="0.3">
      <c r="A479" t="s">
        <v>2306</v>
      </c>
      <c r="B479" s="7">
        <v>45192</v>
      </c>
      <c r="C479" t="s">
        <v>20</v>
      </c>
      <c r="D479" t="s">
        <v>21</v>
      </c>
      <c r="E479" t="s">
        <v>2042</v>
      </c>
      <c r="F479" t="s">
        <v>33</v>
      </c>
      <c r="G479" t="s">
        <v>92</v>
      </c>
      <c r="H479" t="s">
        <v>93</v>
      </c>
      <c r="I479" t="s">
        <v>602</v>
      </c>
      <c r="J479">
        <v>1</v>
      </c>
      <c r="K479">
        <v>37598</v>
      </c>
      <c r="L479">
        <v>0.13</v>
      </c>
      <c r="M479">
        <v>32710.26</v>
      </c>
      <c r="N479">
        <v>32710.26</v>
      </c>
      <c r="O479">
        <v>0.15</v>
      </c>
      <c r="P479">
        <v>4906.54</v>
      </c>
      <c r="Q479" t="s">
        <v>47</v>
      </c>
      <c r="R479" t="s">
        <v>48</v>
      </c>
      <c r="S479">
        <v>9</v>
      </c>
      <c r="T479">
        <v>2023</v>
      </c>
      <c r="U479" t="s">
        <v>3097</v>
      </c>
      <c r="V479">
        <v>9</v>
      </c>
      <c r="W479" t="s">
        <v>3107</v>
      </c>
      <c r="X479">
        <v>27803.719999999998</v>
      </c>
      <c r="Y479" t="s">
        <v>3077</v>
      </c>
      <c r="Z479" t="s">
        <v>3063</v>
      </c>
      <c r="AA479" t="s">
        <v>3079</v>
      </c>
    </row>
    <row r="480" spans="1:27" x14ac:dyDescent="0.3">
      <c r="A480" t="s">
        <v>2321</v>
      </c>
      <c r="B480" s="7">
        <v>45207</v>
      </c>
      <c r="C480" t="s">
        <v>63</v>
      </c>
      <c r="D480" t="s">
        <v>31</v>
      </c>
      <c r="E480" t="s">
        <v>2040</v>
      </c>
      <c r="F480" t="s">
        <v>43</v>
      </c>
      <c r="G480" t="s">
        <v>57</v>
      </c>
      <c r="H480" t="s">
        <v>81</v>
      </c>
      <c r="I480" t="s">
        <v>632</v>
      </c>
      <c r="J480">
        <v>3</v>
      </c>
      <c r="K480">
        <v>8542</v>
      </c>
      <c r="L480">
        <v>0.04</v>
      </c>
      <c r="M480">
        <v>8200.32</v>
      </c>
      <c r="N480">
        <v>24600.959999999999</v>
      </c>
      <c r="O480">
        <v>0.2</v>
      </c>
      <c r="P480">
        <v>4920.1899999999996</v>
      </c>
      <c r="Q480" t="s">
        <v>51</v>
      </c>
      <c r="R480" t="s">
        <v>48</v>
      </c>
      <c r="S480">
        <v>7</v>
      </c>
      <c r="T480">
        <v>2023</v>
      </c>
      <c r="U480" t="s">
        <v>3065</v>
      </c>
      <c r="V480">
        <v>10</v>
      </c>
      <c r="W480" t="s">
        <v>3104</v>
      </c>
      <c r="X480">
        <v>19680.77</v>
      </c>
      <c r="Y480" t="s">
        <v>3062</v>
      </c>
      <c r="Z480" t="s">
        <v>3063</v>
      </c>
      <c r="AA480" t="s">
        <v>3079</v>
      </c>
    </row>
    <row r="481" spans="1:27" x14ac:dyDescent="0.3">
      <c r="A481" t="s">
        <v>2858</v>
      </c>
      <c r="B481" s="7">
        <v>45744</v>
      </c>
      <c r="C481" t="s">
        <v>63</v>
      </c>
      <c r="D481" t="s">
        <v>31</v>
      </c>
      <c r="E481" t="s">
        <v>42</v>
      </c>
      <c r="F481" t="s">
        <v>68</v>
      </c>
      <c r="G481" t="s">
        <v>92</v>
      </c>
      <c r="H481" t="s">
        <v>178</v>
      </c>
      <c r="I481" t="s">
        <v>1687</v>
      </c>
      <c r="J481">
        <v>2</v>
      </c>
      <c r="K481">
        <v>43787</v>
      </c>
      <c r="L481">
        <v>0</v>
      </c>
      <c r="M481">
        <v>43787</v>
      </c>
      <c r="N481">
        <v>87574</v>
      </c>
      <c r="O481">
        <v>0.15</v>
      </c>
      <c r="P481">
        <v>13136.1</v>
      </c>
      <c r="Q481" t="s">
        <v>27</v>
      </c>
      <c r="R481" t="s">
        <v>48</v>
      </c>
      <c r="S481">
        <v>7</v>
      </c>
      <c r="T481">
        <v>2025</v>
      </c>
      <c r="U481" t="s">
        <v>3069</v>
      </c>
      <c r="V481">
        <v>3</v>
      </c>
      <c r="W481" t="s">
        <v>3070</v>
      </c>
      <c r="X481">
        <v>74437.899999999994</v>
      </c>
      <c r="Y481" t="s">
        <v>3062</v>
      </c>
      <c r="Z481" t="s">
        <v>3063</v>
      </c>
      <c r="AA481" t="s">
        <v>3079</v>
      </c>
    </row>
    <row r="482" spans="1:27" x14ac:dyDescent="0.3">
      <c r="A482" t="s">
        <v>2221</v>
      </c>
      <c r="B482" s="7">
        <v>45107</v>
      </c>
      <c r="C482" t="s">
        <v>63</v>
      </c>
      <c r="D482" t="s">
        <v>56</v>
      </c>
      <c r="E482" t="s">
        <v>2040</v>
      </c>
      <c r="F482" t="s">
        <v>97</v>
      </c>
      <c r="G482" t="s">
        <v>92</v>
      </c>
      <c r="H482" t="s">
        <v>93</v>
      </c>
      <c r="I482" t="s">
        <v>432</v>
      </c>
      <c r="J482">
        <v>8</v>
      </c>
      <c r="K482">
        <v>11969</v>
      </c>
      <c r="L482">
        <v>0.09</v>
      </c>
      <c r="M482">
        <v>10891.79</v>
      </c>
      <c r="N482">
        <v>87134.32</v>
      </c>
      <c r="O482">
        <v>0.15</v>
      </c>
      <c r="P482">
        <v>13070.15</v>
      </c>
      <c r="Q482" t="s">
        <v>47</v>
      </c>
      <c r="R482" t="s">
        <v>48</v>
      </c>
      <c r="S482">
        <v>5</v>
      </c>
      <c r="T482">
        <v>2023</v>
      </c>
      <c r="U482" t="s">
        <v>3073</v>
      </c>
      <c r="V482">
        <v>6</v>
      </c>
      <c r="W482" t="s">
        <v>3103</v>
      </c>
      <c r="X482">
        <v>74064.170000000013</v>
      </c>
      <c r="Y482" t="s">
        <v>3062</v>
      </c>
      <c r="Z482" t="s">
        <v>3063</v>
      </c>
      <c r="AA482" t="s">
        <v>3079</v>
      </c>
    </row>
    <row r="483" spans="1:27" x14ac:dyDescent="0.3">
      <c r="A483" t="s">
        <v>2046</v>
      </c>
      <c r="B483" s="7">
        <v>44932</v>
      </c>
      <c r="C483" t="s">
        <v>55</v>
      </c>
      <c r="D483" t="s">
        <v>56</v>
      </c>
      <c r="E483" t="s">
        <v>42</v>
      </c>
      <c r="F483" t="s">
        <v>33</v>
      </c>
      <c r="G483" t="s">
        <v>57</v>
      </c>
      <c r="H483" t="s">
        <v>58</v>
      </c>
      <c r="I483" t="s">
        <v>59</v>
      </c>
      <c r="J483">
        <v>7</v>
      </c>
      <c r="K483">
        <v>3925</v>
      </c>
      <c r="L483">
        <v>0.1</v>
      </c>
      <c r="M483">
        <v>3532.5</v>
      </c>
      <c r="N483">
        <v>24727.5</v>
      </c>
      <c r="O483">
        <v>0.2</v>
      </c>
      <c r="P483">
        <v>4945.5</v>
      </c>
      <c r="Q483" t="s">
        <v>27</v>
      </c>
      <c r="R483" t="s">
        <v>48</v>
      </c>
      <c r="S483">
        <v>8</v>
      </c>
      <c r="T483">
        <v>2023</v>
      </c>
      <c r="U483" t="s">
        <v>3071</v>
      </c>
      <c r="V483">
        <v>1</v>
      </c>
      <c r="W483" t="s">
        <v>3102</v>
      </c>
      <c r="X483">
        <v>19782</v>
      </c>
      <c r="Y483" t="s">
        <v>3077</v>
      </c>
      <c r="Z483" t="s">
        <v>3063</v>
      </c>
      <c r="AA483" t="s">
        <v>3079</v>
      </c>
    </row>
    <row r="484" spans="1:27" x14ac:dyDescent="0.3">
      <c r="A484" t="s">
        <v>2489</v>
      </c>
      <c r="B484" s="7">
        <v>45375</v>
      </c>
      <c r="C484" t="s">
        <v>96</v>
      </c>
      <c r="D484" t="s">
        <v>41</v>
      </c>
      <c r="E484" t="s">
        <v>42</v>
      </c>
      <c r="F484" t="s">
        <v>97</v>
      </c>
      <c r="G484" t="s">
        <v>92</v>
      </c>
      <c r="H484" t="s">
        <v>93</v>
      </c>
      <c r="I484" t="s">
        <v>963</v>
      </c>
      <c r="J484">
        <v>6</v>
      </c>
      <c r="K484">
        <v>15782</v>
      </c>
      <c r="L484">
        <v>0.09</v>
      </c>
      <c r="M484">
        <v>14361.62</v>
      </c>
      <c r="N484">
        <v>86169.72</v>
      </c>
      <c r="O484">
        <v>0.15</v>
      </c>
      <c r="P484">
        <v>12925.46</v>
      </c>
      <c r="Q484" t="s">
        <v>27</v>
      </c>
      <c r="R484" t="s">
        <v>48</v>
      </c>
      <c r="S484">
        <v>5</v>
      </c>
      <c r="T484">
        <v>2024</v>
      </c>
      <c r="U484" t="s">
        <v>3069</v>
      </c>
      <c r="V484">
        <v>3</v>
      </c>
      <c r="W484" t="s">
        <v>3101</v>
      </c>
      <c r="X484">
        <v>73244.260000000009</v>
      </c>
      <c r="Y484" t="s">
        <v>3062</v>
      </c>
      <c r="Z484" t="s">
        <v>3063</v>
      </c>
      <c r="AA484" t="s">
        <v>3079</v>
      </c>
    </row>
    <row r="485" spans="1:27" x14ac:dyDescent="0.3">
      <c r="A485" t="s">
        <v>2165</v>
      </c>
      <c r="B485" s="7">
        <v>45051</v>
      </c>
      <c r="C485" t="s">
        <v>30</v>
      </c>
      <c r="D485" t="s">
        <v>21</v>
      </c>
      <c r="E485" t="s">
        <v>42</v>
      </c>
      <c r="F485" t="s">
        <v>43</v>
      </c>
      <c r="G485" t="s">
        <v>92</v>
      </c>
      <c r="H485" t="s">
        <v>178</v>
      </c>
      <c r="I485" t="s">
        <v>320</v>
      </c>
      <c r="J485">
        <v>3</v>
      </c>
      <c r="K485">
        <v>29816</v>
      </c>
      <c r="L485">
        <v>0.06</v>
      </c>
      <c r="M485">
        <v>28027.040000000001</v>
      </c>
      <c r="N485">
        <v>84081.12</v>
      </c>
      <c r="O485">
        <v>0.15</v>
      </c>
      <c r="P485">
        <v>12612.17</v>
      </c>
      <c r="Q485" t="s">
        <v>37</v>
      </c>
      <c r="R485" t="s">
        <v>48</v>
      </c>
      <c r="S485">
        <v>8</v>
      </c>
      <c r="T485">
        <v>2023</v>
      </c>
      <c r="U485" t="s">
        <v>3091</v>
      </c>
      <c r="V485">
        <v>5</v>
      </c>
      <c r="W485" t="s">
        <v>3092</v>
      </c>
      <c r="X485">
        <v>71468.95</v>
      </c>
      <c r="Y485" t="s">
        <v>3077</v>
      </c>
      <c r="Z485" t="s">
        <v>3063</v>
      </c>
      <c r="AA485" t="s">
        <v>3079</v>
      </c>
    </row>
    <row r="486" spans="1:27" x14ac:dyDescent="0.3">
      <c r="A486" t="s">
        <v>2139</v>
      </c>
      <c r="B486" s="7">
        <v>45025</v>
      </c>
      <c r="C486" t="s">
        <v>20</v>
      </c>
      <c r="D486" t="s">
        <v>31</v>
      </c>
      <c r="E486" t="s">
        <v>2040</v>
      </c>
      <c r="F486" t="s">
        <v>43</v>
      </c>
      <c r="G486" t="s">
        <v>57</v>
      </c>
      <c r="H486" t="s">
        <v>183</v>
      </c>
      <c r="I486" t="s">
        <v>268</v>
      </c>
      <c r="J486">
        <v>7</v>
      </c>
      <c r="K486">
        <v>4365</v>
      </c>
      <c r="L486">
        <v>0.16</v>
      </c>
      <c r="M486">
        <v>3666.6</v>
      </c>
      <c r="N486">
        <v>25666.2</v>
      </c>
      <c r="O486">
        <v>0.2</v>
      </c>
      <c r="P486">
        <v>5133.24</v>
      </c>
      <c r="Q486" t="s">
        <v>27</v>
      </c>
      <c r="R486" t="s">
        <v>38</v>
      </c>
      <c r="S486">
        <v>8</v>
      </c>
      <c r="T486">
        <v>2023</v>
      </c>
      <c r="U486" t="s">
        <v>3080</v>
      </c>
      <c r="V486">
        <v>4</v>
      </c>
      <c r="W486" t="s">
        <v>3081</v>
      </c>
      <c r="X486">
        <v>20532.96</v>
      </c>
      <c r="Y486" t="s">
        <v>3077</v>
      </c>
      <c r="Z486" t="s">
        <v>3063</v>
      </c>
      <c r="AA486" t="s">
        <v>3079</v>
      </c>
    </row>
    <row r="487" spans="1:27" x14ac:dyDescent="0.3">
      <c r="A487" t="s">
        <v>2590</v>
      </c>
      <c r="B487" s="7">
        <v>45476</v>
      </c>
      <c r="C487" t="s">
        <v>20</v>
      </c>
      <c r="D487" t="s">
        <v>21</v>
      </c>
      <c r="E487" t="s">
        <v>2042</v>
      </c>
      <c r="F487" t="s">
        <v>97</v>
      </c>
      <c r="G487" t="s">
        <v>57</v>
      </c>
      <c r="H487" t="s">
        <v>183</v>
      </c>
      <c r="I487" t="s">
        <v>1162</v>
      </c>
      <c r="J487">
        <v>5</v>
      </c>
      <c r="K487">
        <v>6517</v>
      </c>
      <c r="L487">
        <v>0.21</v>
      </c>
      <c r="M487">
        <v>5148.43</v>
      </c>
      <c r="N487">
        <v>25742.15</v>
      </c>
      <c r="O487">
        <v>0.2</v>
      </c>
      <c r="P487">
        <v>5148.43</v>
      </c>
      <c r="Q487" t="s">
        <v>47</v>
      </c>
      <c r="R487" t="s">
        <v>28</v>
      </c>
      <c r="S487">
        <v>7</v>
      </c>
      <c r="T487">
        <v>2024</v>
      </c>
      <c r="U487" t="s">
        <v>3088</v>
      </c>
      <c r="V487">
        <v>7</v>
      </c>
      <c r="W487" t="s">
        <v>3089</v>
      </c>
      <c r="X487">
        <v>20593.72</v>
      </c>
      <c r="Y487" t="s">
        <v>3062</v>
      </c>
      <c r="Z487" t="s">
        <v>3063</v>
      </c>
      <c r="AA487" t="s">
        <v>3079</v>
      </c>
    </row>
    <row r="488" spans="1:27" x14ac:dyDescent="0.3">
      <c r="A488" t="s">
        <v>3002</v>
      </c>
      <c r="B488" s="7">
        <v>45888</v>
      </c>
      <c r="C488" t="s">
        <v>96</v>
      </c>
      <c r="D488" t="s">
        <v>56</v>
      </c>
      <c r="E488" t="s">
        <v>2042</v>
      </c>
      <c r="F488" t="s">
        <v>103</v>
      </c>
      <c r="G488" t="s">
        <v>57</v>
      </c>
      <c r="H488" t="s">
        <v>100</v>
      </c>
      <c r="I488" t="s">
        <v>1964</v>
      </c>
      <c r="J488">
        <v>2</v>
      </c>
      <c r="K488">
        <v>15171</v>
      </c>
      <c r="L488">
        <v>0.15</v>
      </c>
      <c r="M488">
        <v>12895.35</v>
      </c>
      <c r="N488">
        <v>25790.7</v>
      </c>
      <c r="O488">
        <v>0.2</v>
      </c>
      <c r="P488">
        <v>5158.1400000000003</v>
      </c>
      <c r="Q488" t="s">
        <v>37</v>
      </c>
      <c r="R488" t="s">
        <v>48</v>
      </c>
      <c r="S488">
        <v>3</v>
      </c>
      <c r="T488">
        <v>2025</v>
      </c>
      <c r="U488" t="s">
        <v>3075</v>
      </c>
      <c r="V488">
        <v>8</v>
      </c>
      <c r="W488" t="s">
        <v>3076</v>
      </c>
      <c r="X488">
        <v>20632.560000000001</v>
      </c>
      <c r="Y488" t="s">
        <v>3067</v>
      </c>
      <c r="Z488" t="s">
        <v>3063</v>
      </c>
      <c r="AA488" t="s">
        <v>3079</v>
      </c>
    </row>
    <row r="489" spans="1:27" x14ac:dyDescent="0.3">
      <c r="A489" t="s">
        <v>2356</v>
      </c>
      <c r="B489" s="7">
        <v>45242</v>
      </c>
      <c r="C489" t="s">
        <v>96</v>
      </c>
      <c r="D489" t="s">
        <v>41</v>
      </c>
      <c r="E489" t="s">
        <v>67</v>
      </c>
      <c r="F489" t="s">
        <v>23</v>
      </c>
      <c r="G489" t="s">
        <v>57</v>
      </c>
      <c r="H489" t="s">
        <v>58</v>
      </c>
      <c r="I489" t="s">
        <v>700</v>
      </c>
      <c r="J489">
        <v>5</v>
      </c>
      <c r="K489">
        <v>14149</v>
      </c>
      <c r="L489">
        <v>0.11</v>
      </c>
      <c r="M489">
        <v>12592.61</v>
      </c>
      <c r="N489">
        <v>62963.05</v>
      </c>
      <c r="O489">
        <v>0.2</v>
      </c>
      <c r="P489">
        <v>12592.61</v>
      </c>
      <c r="Q489" t="s">
        <v>27</v>
      </c>
      <c r="R489" t="s">
        <v>48</v>
      </c>
      <c r="S489">
        <v>5</v>
      </c>
      <c r="T489">
        <v>2023</v>
      </c>
      <c r="U489" t="s">
        <v>3060</v>
      </c>
      <c r="V489">
        <v>11</v>
      </c>
      <c r="W489" t="s">
        <v>3061</v>
      </c>
      <c r="X489">
        <v>50370.44</v>
      </c>
      <c r="Y489" t="s">
        <v>3062</v>
      </c>
      <c r="Z489" t="s">
        <v>3063</v>
      </c>
      <c r="AA489" t="s">
        <v>3079</v>
      </c>
    </row>
    <row r="490" spans="1:27" x14ac:dyDescent="0.3">
      <c r="A490" t="s">
        <v>2926</v>
      </c>
      <c r="B490" s="7">
        <v>45812</v>
      </c>
      <c r="C490" t="s">
        <v>20</v>
      </c>
      <c r="D490" t="s">
        <v>31</v>
      </c>
      <c r="E490" t="s">
        <v>2042</v>
      </c>
      <c r="F490" t="s">
        <v>33</v>
      </c>
      <c r="G490" t="s">
        <v>57</v>
      </c>
      <c r="H490" t="s">
        <v>100</v>
      </c>
      <c r="I490" t="s">
        <v>1821</v>
      </c>
      <c r="J490">
        <v>7</v>
      </c>
      <c r="K490">
        <v>9896</v>
      </c>
      <c r="L490">
        <v>0.1</v>
      </c>
      <c r="M490">
        <v>8906.4</v>
      </c>
      <c r="N490">
        <v>62344.800000000003</v>
      </c>
      <c r="O490">
        <v>0.2</v>
      </c>
      <c r="P490">
        <v>12468.96</v>
      </c>
      <c r="Q490" t="s">
        <v>47</v>
      </c>
      <c r="R490" t="s">
        <v>48</v>
      </c>
      <c r="S490">
        <v>8</v>
      </c>
      <c r="T490">
        <v>2025</v>
      </c>
      <c r="U490" t="s">
        <v>3073</v>
      </c>
      <c r="V490">
        <v>6</v>
      </c>
      <c r="W490" t="s">
        <v>3083</v>
      </c>
      <c r="X490">
        <v>49875.840000000004</v>
      </c>
      <c r="Y490" t="s">
        <v>3077</v>
      </c>
      <c r="Z490" t="s">
        <v>3063</v>
      </c>
      <c r="AA490" t="s">
        <v>3079</v>
      </c>
    </row>
    <row r="491" spans="1:27" x14ac:dyDescent="0.3">
      <c r="A491" t="s">
        <v>2852</v>
      </c>
      <c r="B491" s="7">
        <v>45738</v>
      </c>
      <c r="C491" t="s">
        <v>40</v>
      </c>
      <c r="D491" t="s">
        <v>56</v>
      </c>
      <c r="E491" t="s">
        <v>2040</v>
      </c>
      <c r="F491" t="s">
        <v>103</v>
      </c>
      <c r="G491" t="s">
        <v>57</v>
      </c>
      <c r="H491" t="s">
        <v>58</v>
      </c>
      <c r="I491" t="s">
        <v>1675</v>
      </c>
      <c r="J491">
        <v>4</v>
      </c>
      <c r="K491">
        <v>19520</v>
      </c>
      <c r="L491">
        <v>0.21</v>
      </c>
      <c r="M491">
        <v>15420.8</v>
      </c>
      <c r="N491">
        <v>61683.199999999997</v>
      </c>
      <c r="O491">
        <v>0.2</v>
      </c>
      <c r="P491">
        <v>12336.64</v>
      </c>
      <c r="Q491" t="s">
        <v>51</v>
      </c>
      <c r="R491" t="s">
        <v>48</v>
      </c>
      <c r="S491">
        <v>6</v>
      </c>
      <c r="T491">
        <v>2025</v>
      </c>
      <c r="U491" t="s">
        <v>3069</v>
      </c>
      <c r="V491">
        <v>3</v>
      </c>
      <c r="W491" t="s">
        <v>3070</v>
      </c>
      <c r="X491">
        <v>49346.559999999998</v>
      </c>
      <c r="Y491" t="s">
        <v>3062</v>
      </c>
      <c r="Z491" t="s">
        <v>3063</v>
      </c>
      <c r="AA491" t="s">
        <v>3079</v>
      </c>
    </row>
    <row r="492" spans="1:27" x14ac:dyDescent="0.3">
      <c r="A492" t="s">
        <v>2295</v>
      </c>
      <c r="B492" s="7">
        <v>45181</v>
      </c>
      <c r="C492" t="s">
        <v>63</v>
      </c>
      <c r="D492" t="s">
        <v>21</v>
      </c>
      <c r="E492" t="s">
        <v>42</v>
      </c>
      <c r="F492" t="s">
        <v>103</v>
      </c>
      <c r="G492" t="s">
        <v>92</v>
      </c>
      <c r="H492" t="s">
        <v>178</v>
      </c>
      <c r="I492" t="s">
        <v>580</v>
      </c>
      <c r="J492">
        <v>3</v>
      </c>
      <c r="K492">
        <v>32612</v>
      </c>
      <c r="L492">
        <v>0.18</v>
      </c>
      <c r="M492">
        <v>26741.84</v>
      </c>
      <c r="N492">
        <v>80225.52</v>
      </c>
      <c r="O492">
        <v>0.15</v>
      </c>
      <c r="P492">
        <v>12033.83</v>
      </c>
      <c r="Q492" t="s">
        <v>47</v>
      </c>
      <c r="R492" t="s">
        <v>48</v>
      </c>
      <c r="S492">
        <v>9</v>
      </c>
      <c r="T492">
        <v>2023</v>
      </c>
      <c r="U492" t="s">
        <v>3097</v>
      </c>
      <c r="V492">
        <v>9</v>
      </c>
      <c r="W492" t="s">
        <v>3107</v>
      </c>
      <c r="X492">
        <v>68191.69</v>
      </c>
      <c r="Y492" t="s">
        <v>3077</v>
      </c>
      <c r="Z492" t="s">
        <v>3063</v>
      </c>
      <c r="AA492" t="s">
        <v>3079</v>
      </c>
    </row>
    <row r="493" spans="1:27" x14ac:dyDescent="0.3">
      <c r="A493" t="s">
        <v>2628</v>
      </c>
      <c r="B493" s="7">
        <v>45514</v>
      </c>
      <c r="C493" t="s">
        <v>63</v>
      </c>
      <c r="D493" t="s">
        <v>56</v>
      </c>
      <c r="E493" t="s">
        <v>2042</v>
      </c>
      <c r="F493" t="s">
        <v>103</v>
      </c>
      <c r="G493" t="s">
        <v>92</v>
      </c>
      <c r="H493" t="s">
        <v>178</v>
      </c>
      <c r="I493" t="s">
        <v>1238</v>
      </c>
      <c r="J493">
        <v>2</v>
      </c>
      <c r="K493">
        <v>20634</v>
      </c>
      <c r="L493">
        <v>0.15</v>
      </c>
      <c r="M493">
        <v>17538.900000000001</v>
      </c>
      <c r="N493">
        <v>35077.800000000003</v>
      </c>
      <c r="O493">
        <v>0.15</v>
      </c>
      <c r="P493">
        <v>5261.67</v>
      </c>
      <c r="Q493" t="s">
        <v>37</v>
      </c>
      <c r="R493" t="s">
        <v>48</v>
      </c>
      <c r="S493">
        <v>9</v>
      </c>
      <c r="T493">
        <v>2024</v>
      </c>
      <c r="U493" t="s">
        <v>3075</v>
      </c>
      <c r="V493">
        <v>8</v>
      </c>
      <c r="W493" t="s">
        <v>3093</v>
      </c>
      <c r="X493">
        <v>29816.130000000005</v>
      </c>
      <c r="Y493" t="s">
        <v>3077</v>
      </c>
      <c r="Z493" t="s">
        <v>3063</v>
      </c>
      <c r="AA493" t="s">
        <v>3079</v>
      </c>
    </row>
    <row r="494" spans="1:27" x14ac:dyDescent="0.3">
      <c r="A494" t="s">
        <v>2827</v>
      </c>
      <c r="B494" s="7">
        <v>45713</v>
      </c>
      <c r="C494" t="s">
        <v>40</v>
      </c>
      <c r="D494" t="s">
        <v>31</v>
      </c>
      <c r="E494" t="s">
        <v>2042</v>
      </c>
      <c r="F494" t="s">
        <v>103</v>
      </c>
      <c r="G494" t="s">
        <v>57</v>
      </c>
      <c r="H494" t="s">
        <v>58</v>
      </c>
      <c r="I494" t="s">
        <v>1625</v>
      </c>
      <c r="J494">
        <v>9</v>
      </c>
      <c r="K494">
        <v>8643</v>
      </c>
      <c r="L494">
        <v>0.23</v>
      </c>
      <c r="M494">
        <v>6655.11</v>
      </c>
      <c r="N494">
        <v>59895.99</v>
      </c>
      <c r="O494">
        <v>0.2</v>
      </c>
      <c r="P494">
        <v>11979.2</v>
      </c>
      <c r="Q494" t="s">
        <v>37</v>
      </c>
      <c r="R494" t="s">
        <v>48</v>
      </c>
      <c r="S494">
        <v>7</v>
      </c>
      <c r="T494">
        <v>2025</v>
      </c>
      <c r="U494" t="s">
        <v>3084</v>
      </c>
      <c r="V494">
        <v>2</v>
      </c>
      <c r="W494" t="s">
        <v>3090</v>
      </c>
      <c r="X494">
        <v>47916.789999999994</v>
      </c>
      <c r="Y494" t="s">
        <v>3062</v>
      </c>
      <c r="Z494" t="s">
        <v>3063</v>
      </c>
      <c r="AA494" t="s">
        <v>3079</v>
      </c>
    </row>
    <row r="495" spans="1:27" x14ac:dyDescent="0.3">
      <c r="A495" t="s">
        <v>2312</v>
      </c>
      <c r="B495" s="7">
        <v>45198</v>
      </c>
      <c r="C495" t="s">
        <v>30</v>
      </c>
      <c r="D495" t="s">
        <v>21</v>
      </c>
      <c r="E495" t="s">
        <v>67</v>
      </c>
      <c r="F495" t="s">
        <v>68</v>
      </c>
      <c r="G495" t="s">
        <v>92</v>
      </c>
      <c r="H495" t="s">
        <v>243</v>
      </c>
      <c r="I495" t="s">
        <v>614</v>
      </c>
      <c r="J495">
        <v>1</v>
      </c>
      <c r="K495">
        <v>36966</v>
      </c>
      <c r="L495">
        <v>0.05</v>
      </c>
      <c r="M495">
        <v>35117.699999999997</v>
      </c>
      <c r="N495">
        <v>35117.699999999997</v>
      </c>
      <c r="O495">
        <v>0.15</v>
      </c>
      <c r="P495">
        <v>5267.66</v>
      </c>
      <c r="Q495" t="s">
        <v>51</v>
      </c>
      <c r="R495" t="s">
        <v>48</v>
      </c>
      <c r="S495">
        <v>7</v>
      </c>
      <c r="T495">
        <v>2023</v>
      </c>
      <c r="U495" t="s">
        <v>3097</v>
      </c>
      <c r="V495">
        <v>9</v>
      </c>
      <c r="W495" t="s">
        <v>3107</v>
      </c>
      <c r="X495">
        <v>29850.039999999997</v>
      </c>
      <c r="Y495" t="s">
        <v>3062</v>
      </c>
      <c r="Z495" t="s">
        <v>3063</v>
      </c>
      <c r="AA495" t="s">
        <v>3079</v>
      </c>
    </row>
    <row r="496" spans="1:27" x14ac:dyDescent="0.3">
      <c r="A496" t="s">
        <v>2710</v>
      </c>
      <c r="B496" s="7">
        <v>45596</v>
      </c>
      <c r="C496" t="s">
        <v>55</v>
      </c>
      <c r="D496" t="s">
        <v>41</v>
      </c>
      <c r="E496" t="s">
        <v>67</v>
      </c>
      <c r="F496" t="s">
        <v>103</v>
      </c>
      <c r="G496" t="s">
        <v>92</v>
      </c>
      <c r="H496" t="s">
        <v>178</v>
      </c>
      <c r="I496" t="s">
        <v>1396</v>
      </c>
      <c r="J496">
        <v>3</v>
      </c>
      <c r="K496">
        <v>27153</v>
      </c>
      <c r="L496">
        <v>0.02</v>
      </c>
      <c r="M496">
        <v>26609.94</v>
      </c>
      <c r="N496">
        <v>79829.820000000007</v>
      </c>
      <c r="O496">
        <v>0.15</v>
      </c>
      <c r="P496">
        <v>11974.47</v>
      </c>
      <c r="Q496" t="s">
        <v>27</v>
      </c>
      <c r="R496" t="s">
        <v>48</v>
      </c>
      <c r="S496">
        <v>6</v>
      </c>
      <c r="T496">
        <v>2024</v>
      </c>
      <c r="U496" t="s">
        <v>3065</v>
      </c>
      <c r="V496">
        <v>10</v>
      </c>
      <c r="W496" t="s">
        <v>3066</v>
      </c>
      <c r="X496">
        <v>67855.350000000006</v>
      </c>
      <c r="Y496" t="s">
        <v>3062</v>
      </c>
      <c r="Z496" t="s">
        <v>3063</v>
      </c>
      <c r="AA496" t="s">
        <v>3079</v>
      </c>
    </row>
    <row r="497" spans="1:27" x14ac:dyDescent="0.3">
      <c r="A497" t="s">
        <v>2301</v>
      </c>
      <c r="B497" s="7">
        <v>45187</v>
      </c>
      <c r="C497" t="s">
        <v>63</v>
      </c>
      <c r="D497" t="s">
        <v>21</v>
      </c>
      <c r="E497" t="s">
        <v>2042</v>
      </c>
      <c r="F497" t="s">
        <v>68</v>
      </c>
      <c r="G497" t="s">
        <v>57</v>
      </c>
      <c r="H497" t="s">
        <v>183</v>
      </c>
      <c r="I497" t="s">
        <v>592</v>
      </c>
      <c r="J497">
        <v>5</v>
      </c>
      <c r="K497">
        <v>6760</v>
      </c>
      <c r="L497">
        <v>0.22</v>
      </c>
      <c r="M497">
        <v>5272.8</v>
      </c>
      <c r="N497">
        <v>26364</v>
      </c>
      <c r="O497">
        <v>0.2</v>
      </c>
      <c r="P497">
        <v>5272.8</v>
      </c>
      <c r="Q497" t="s">
        <v>27</v>
      </c>
      <c r="R497" t="s">
        <v>48</v>
      </c>
      <c r="S497">
        <v>6</v>
      </c>
      <c r="T497">
        <v>2023</v>
      </c>
      <c r="U497" t="s">
        <v>3097</v>
      </c>
      <c r="V497">
        <v>9</v>
      </c>
      <c r="W497" t="s">
        <v>3107</v>
      </c>
      <c r="X497">
        <v>21091.200000000001</v>
      </c>
      <c r="Y497" t="s">
        <v>3062</v>
      </c>
      <c r="Z497" t="s">
        <v>3063</v>
      </c>
      <c r="AA497" t="s">
        <v>3079</v>
      </c>
    </row>
    <row r="498" spans="1:27" x14ac:dyDescent="0.3">
      <c r="A498" t="s">
        <v>2531</v>
      </c>
      <c r="B498" s="7">
        <v>45417</v>
      </c>
      <c r="C498" t="s">
        <v>55</v>
      </c>
      <c r="D498" t="s">
        <v>31</v>
      </c>
      <c r="E498" t="s">
        <v>2040</v>
      </c>
      <c r="F498" t="s">
        <v>33</v>
      </c>
      <c r="G498" t="s">
        <v>92</v>
      </c>
      <c r="H498" t="s">
        <v>93</v>
      </c>
      <c r="I498" t="s">
        <v>1046</v>
      </c>
      <c r="J498">
        <v>2</v>
      </c>
      <c r="K498">
        <v>41552</v>
      </c>
      <c r="L498">
        <v>0.04</v>
      </c>
      <c r="M498">
        <v>39889.919999999998</v>
      </c>
      <c r="N498">
        <v>79779.839999999997</v>
      </c>
      <c r="O498">
        <v>0.15</v>
      </c>
      <c r="P498">
        <v>11966.98</v>
      </c>
      <c r="Q498" t="s">
        <v>51</v>
      </c>
      <c r="R498" t="s">
        <v>38</v>
      </c>
      <c r="S498">
        <v>4</v>
      </c>
      <c r="T498">
        <v>2024</v>
      </c>
      <c r="U498" t="s">
        <v>3091</v>
      </c>
      <c r="V498">
        <v>5</v>
      </c>
      <c r="W498" t="s">
        <v>3105</v>
      </c>
      <c r="X498">
        <v>67812.86</v>
      </c>
      <c r="Y498" t="s">
        <v>3062</v>
      </c>
      <c r="Z498" t="s">
        <v>3063</v>
      </c>
      <c r="AA498" t="s">
        <v>3079</v>
      </c>
    </row>
    <row r="499" spans="1:27" x14ac:dyDescent="0.3">
      <c r="A499" t="s">
        <v>2634</v>
      </c>
      <c r="B499" s="7">
        <v>45520</v>
      </c>
      <c r="C499" t="s">
        <v>96</v>
      </c>
      <c r="D499" t="s">
        <v>41</v>
      </c>
      <c r="E499" t="s">
        <v>2042</v>
      </c>
      <c r="F499" t="s">
        <v>43</v>
      </c>
      <c r="G499" t="s">
        <v>57</v>
      </c>
      <c r="H499" t="s">
        <v>81</v>
      </c>
      <c r="I499" t="s">
        <v>1249</v>
      </c>
      <c r="J499">
        <v>9</v>
      </c>
      <c r="K499">
        <v>6719</v>
      </c>
      <c r="L499">
        <v>0.02</v>
      </c>
      <c r="M499">
        <v>6584.62</v>
      </c>
      <c r="N499">
        <v>59261.58</v>
      </c>
      <c r="O499">
        <v>0.2</v>
      </c>
      <c r="P499">
        <v>11852.32</v>
      </c>
      <c r="Q499" t="s">
        <v>51</v>
      </c>
      <c r="R499" t="s">
        <v>48</v>
      </c>
      <c r="S499">
        <v>8</v>
      </c>
      <c r="T499">
        <v>2024</v>
      </c>
      <c r="U499" t="s">
        <v>3075</v>
      </c>
      <c r="V499">
        <v>8</v>
      </c>
      <c r="W499" t="s">
        <v>3093</v>
      </c>
      <c r="X499">
        <v>47409.26</v>
      </c>
      <c r="Y499" t="s">
        <v>3077</v>
      </c>
      <c r="Z499" t="s">
        <v>3063</v>
      </c>
      <c r="AA499" t="s">
        <v>3079</v>
      </c>
    </row>
    <row r="500" spans="1:27" x14ac:dyDescent="0.3">
      <c r="A500" t="s">
        <v>2064</v>
      </c>
      <c r="B500" s="7">
        <v>44950</v>
      </c>
      <c r="C500" t="s">
        <v>55</v>
      </c>
      <c r="D500" t="s">
        <v>41</v>
      </c>
      <c r="E500" t="s">
        <v>2040</v>
      </c>
      <c r="F500" t="s">
        <v>97</v>
      </c>
      <c r="G500" t="s">
        <v>92</v>
      </c>
      <c r="H500" t="s">
        <v>109</v>
      </c>
      <c r="I500" t="s">
        <v>110</v>
      </c>
      <c r="J500">
        <v>1</v>
      </c>
      <c r="K500">
        <v>43662</v>
      </c>
      <c r="L500">
        <v>0.18</v>
      </c>
      <c r="M500">
        <v>35802.839999999997</v>
      </c>
      <c r="N500">
        <v>35802.839999999997</v>
      </c>
      <c r="O500">
        <v>0.15</v>
      </c>
      <c r="P500">
        <v>5370.43</v>
      </c>
      <c r="Q500" t="s">
        <v>47</v>
      </c>
      <c r="R500" t="s">
        <v>48</v>
      </c>
      <c r="S500">
        <v>3</v>
      </c>
      <c r="T500">
        <v>2023</v>
      </c>
      <c r="U500" t="s">
        <v>3071</v>
      </c>
      <c r="V500">
        <v>1</v>
      </c>
      <c r="W500" t="s">
        <v>3102</v>
      </c>
      <c r="X500">
        <v>30432.409999999996</v>
      </c>
      <c r="Y500" t="s">
        <v>3067</v>
      </c>
      <c r="Z500" t="s">
        <v>3063</v>
      </c>
      <c r="AA500" t="s">
        <v>3079</v>
      </c>
    </row>
    <row r="501" spans="1:27" x14ac:dyDescent="0.3">
      <c r="A501" t="s">
        <v>2571</v>
      </c>
      <c r="B501" s="7">
        <v>45457</v>
      </c>
      <c r="C501" t="s">
        <v>40</v>
      </c>
      <c r="D501" t="s">
        <v>31</v>
      </c>
      <c r="E501" t="s">
        <v>2040</v>
      </c>
      <c r="F501" t="s">
        <v>68</v>
      </c>
      <c r="G501" t="s">
        <v>57</v>
      </c>
      <c r="H501" t="s">
        <v>81</v>
      </c>
      <c r="I501" t="s">
        <v>1125</v>
      </c>
      <c r="J501">
        <v>2</v>
      </c>
      <c r="K501">
        <v>14168</v>
      </c>
      <c r="L501">
        <v>0.05</v>
      </c>
      <c r="M501">
        <v>13459.6</v>
      </c>
      <c r="N501">
        <v>26919.200000000001</v>
      </c>
      <c r="O501">
        <v>0.2</v>
      </c>
      <c r="P501">
        <v>5383.84</v>
      </c>
      <c r="Q501" t="s">
        <v>51</v>
      </c>
      <c r="R501" t="s">
        <v>48</v>
      </c>
      <c r="S501">
        <v>2</v>
      </c>
      <c r="T501">
        <v>2024</v>
      </c>
      <c r="U501" t="s">
        <v>3073</v>
      </c>
      <c r="V501">
        <v>6</v>
      </c>
      <c r="W501" t="s">
        <v>3074</v>
      </c>
      <c r="X501">
        <v>21535.360000000001</v>
      </c>
      <c r="Y501" t="s">
        <v>3067</v>
      </c>
      <c r="Z501" t="s">
        <v>3063</v>
      </c>
      <c r="AA501" t="s">
        <v>3079</v>
      </c>
    </row>
    <row r="502" spans="1:27" x14ac:dyDescent="0.3">
      <c r="A502" t="s">
        <v>2617</v>
      </c>
      <c r="B502" s="7">
        <v>45503</v>
      </c>
      <c r="C502" t="s">
        <v>20</v>
      </c>
      <c r="D502" t="s">
        <v>41</v>
      </c>
      <c r="E502" t="s">
        <v>67</v>
      </c>
      <c r="F502" t="s">
        <v>23</v>
      </c>
      <c r="G502" t="s">
        <v>57</v>
      </c>
      <c r="H502" t="s">
        <v>183</v>
      </c>
      <c r="I502" t="s">
        <v>1216</v>
      </c>
      <c r="J502">
        <v>2</v>
      </c>
      <c r="K502">
        <v>16828</v>
      </c>
      <c r="L502">
        <v>0.2</v>
      </c>
      <c r="M502">
        <v>13462.4</v>
      </c>
      <c r="N502">
        <v>26924.799999999999</v>
      </c>
      <c r="O502">
        <v>0.2</v>
      </c>
      <c r="P502">
        <v>5384.96</v>
      </c>
      <c r="Q502" t="s">
        <v>37</v>
      </c>
      <c r="R502" t="s">
        <v>48</v>
      </c>
      <c r="S502">
        <v>2</v>
      </c>
      <c r="T502">
        <v>2024</v>
      </c>
      <c r="U502" t="s">
        <v>3088</v>
      </c>
      <c r="V502">
        <v>7</v>
      </c>
      <c r="W502" t="s">
        <v>3089</v>
      </c>
      <c r="X502">
        <v>21539.84</v>
      </c>
      <c r="Y502" t="s">
        <v>3067</v>
      </c>
      <c r="Z502" t="s">
        <v>3063</v>
      </c>
      <c r="AA502" t="s">
        <v>3079</v>
      </c>
    </row>
    <row r="503" spans="1:27" x14ac:dyDescent="0.3">
      <c r="A503" t="s">
        <v>3003</v>
      </c>
      <c r="B503" s="7">
        <v>45889</v>
      </c>
      <c r="C503" t="s">
        <v>20</v>
      </c>
      <c r="D503" t="s">
        <v>41</v>
      </c>
      <c r="E503" t="s">
        <v>2040</v>
      </c>
      <c r="F503" t="s">
        <v>43</v>
      </c>
      <c r="G503" t="s">
        <v>57</v>
      </c>
      <c r="H503" t="s">
        <v>58</v>
      </c>
      <c r="I503" t="s">
        <v>1966</v>
      </c>
      <c r="J503">
        <v>9</v>
      </c>
      <c r="K503">
        <v>7774</v>
      </c>
      <c r="L503">
        <v>0.16</v>
      </c>
      <c r="M503">
        <v>6530.16</v>
      </c>
      <c r="N503">
        <v>58771.44</v>
      </c>
      <c r="O503">
        <v>0.2</v>
      </c>
      <c r="P503">
        <v>11754.29</v>
      </c>
      <c r="Q503" t="s">
        <v>27</v>
      </c>
      <c r="R503" t="s">
        <v>38</v>
      </c>
      <c r="S503">
        <v>8</v>
      </c>
      <c r="T503">
        <v>2025</v>
      </c>
      <c r="U503" t="s">
        <v>3075</v>
      </c>
      <c r="V503">
        <v>8</v>
      </c>
      <c r="W503" t="s">
        <v>3076</v>
      </c>
      <c r="X503">
        <v>47017.15</v>
      </c>
      <c r="Y503" t="s">
        <v>3077</v>
      </c>
      <c r="Z503" t="s">
        <v>3063</v>
      </c>
      <c r="AA503" t="s">
        <v>3079</v>
      </c>
    </row>
    <row r="504" spans="1:27" x14ac:dyDescent="0.3">
      <c r="A504" t="s">
        <v>2282</v>
      </c>
      <c r="B504" s="7">
        <v>45168</v>
      </c>
      <c r="C504" t="s">
        <v>20</v>
      </c>
      <c r="D504" t="s">
        <v>41</v>
      </c>
      <c r="E504" t="s">
        <v>2042</v>
      </c>
      <c r="F504" t="s">
        <v>43</v>
      </c>
      <c r="G504" t="s">
        <v>92</v>
      </c>
      <c r="H504" t="s">
        <v>109</v>
      </c>
      <c r="I504" t="s">
        <v>554</v>
      </c>
      <c r="J504">
        <v>1</v>
      </c>
      <c r="K504">
        <v>45643</v>
      </c>
      <c r="L504">
        <v>0.21</v>
      </c>
      <c r="M504">
        <v>36057.97</v>
      </c>
      <c r="N504">
        <v>36057.97</v>
      </c>
      <c r="O504">
        <v>0.15</v>
      </c>
      <c r="P504">
        <v>5408.7</v>
      </c>
      <c r="Q504" t="s">
        <v>47</v>
      </c>
      <c r="R504" t="s">
        <v>48</v>
      </c>
      <c r="S504">
        <v>5</v>
      </c>
      <c r="T504">
        <v>2023</v>
      </c>
      <c r="U504" t="s">
        <v>3075</v>
      </c>
      <c r="V504">
        <v>8</v>
      </c>
      <c r="W504" t="s">
        <v>3109</v>
      </c>
      <c r="X504">
        <v>30649.27</v>
      </c>
      <c r="Y504" t="s">
        <v>3062</v>
      </c>
      <c r="Z504" t="s">
        <v>3063</v>
      </c>
      <c r="AA504" t="s">
        <v>3079</v>
      </c>
    </row>
    <row r="505" spans="1:27" x14ac:dyDescent="0.3">
      <c r="A505" t="s">
        <v>2389</v>
      </c>
      <c r="B505" s="7">
        <v>45275</v>
      </c>
      <c r="C505" t="s">
        <v>20</v>
      </c>
      <c r="D505" t="s">
        <v>56</v>
      </c>
      <c r="E505" t="s">
        <v>67</v>
      </c>
      <c r="F505" t="s">
        <v>43</v>
      </c>
      <c r="G505" t="s">
        <v>57</v>
      </c>
      <c r="H505" t="s">
        <v>81</v>
      </c>
      <c r="I505" t="s">
        <v>766</v>
      </c>
      <c r="J505">
        <v>3</v>
      </c>
      <c r="K505">
        <v>18866</v>
      </c>
      <c r="L505">
        <v>0</v>
      </c>
      <c r="M505">
        <v>18866</v>
      </c>
      <c r="N505">
        <v>56598</v>
      </c>
      <c r="O505">
        <v>0.2</v>
      </c>
      <c r="P505">
        <v>11319.6</v>
      </c>
      <c r="Q505" t="s">
        <v>37</v>
      </c>
      <c r="R505" t="s">
        <v>48</v>
      </c>
      <c r="S505">
        <v>1</v>
      </c>
      <c r="T505">
        <v>2023</v>
      </c>
      <c r="U505" t="s">
        <v>3086</v>
      </c>
      <c r="V505">
        <v>12</v>
      </c>
      <c r="W505" t="s">
        <v>3099</v>
      </c>
      <c r="X505">
        <v>45278.400000000001</v>
      </c>
      <c r="Y505" t="s">
        <v>3067</v>
      </c>
      <c r="Z505" t="s">
        <v>3063</v>
      </c>
      <c r="AA505" t="s">
        <v>3079</v>
      </c>
    </row>
    <row r="506" spans="1:27" x14ac:dyDescent="0.3">
      <c r="A506" t="s">
        <v>2763</v>
      </c>
      <c r="B506" s="7">
        <v>45649</v>
      </c>
      <c r="C506" t="s">
        <v>20</v>
      </c>
      <c r="D506" t="s">
        <v>21</v>
      </c>
      <c r="E506" t="s">
        <v>42</v>
      </c>
      <c r="F506" t="s">
        <v>97</v>
      </c>
      <c r="G506" t="s">
        <v>57</v>
      </c>
      <c r="H506" t="s">
        <v>81</v>
      </c>
      <c r="I506" t="s">
        <v>1501</v>
      </c>
      <c r="J506">
        <v>9</v>
      </c>
      <c r="K506">
        <v>3376</v>
      </c>
      <c r="L506">
        <v>0.1</v>
      </c>
      <c r="M506">
        <v>3038.4</v>
      </c>
      <c r="N506">
        <v>27345.599999999999</v>
      </c>
      <c r="O506">
        <v>0.2</v>
      </c>
      <c r="P506">
        <v>5469.12</v>
      </c>
      <c r="Q506" t="s">
        <v>51</v>
      </c>
      <c r="R506" t="s">
        <v>48</v>
      </c>
      <c r="S506">
        <v>3</v>
      </c>
      <c r="T506">
        <v>2024</v>
      </c>
      <c r="U506" t="s">
        <v>3086</v>
      </c>
      <c r="V506">
        <v>12</v>
      </c>
      <c r="W506" t="s">
        <v>3087</v>
      </c>
      <c r="X506">
        <v>21876.48</v>
      </c>
      <c r="Y506" t="s">
        <v>3067</v>
      </c>
      <c r="Z506" t="s">
        <v>3063</v>
      </c>
      <c r="AA506" t="s">
        <v>3079</v>
      </c>
    </row>
    <row r="507" spans="1:27" x14ac:dyDescent="0.3">
      <c r="A507" t="s">
        <v>2114</v>
      </c>
      <c r="B507" s="7">
        <v>45000</v>
      </c>
      <c r="C507" t="s">
        <v>63</v>
      </c>
      <c r="D507" t="s">
        <v>21</v>
      </c>
      <c r="E507" t="s">
        <v>2042</v>
      </c>
      <c r="F507" t="s">
        <v>33</v>
      </c>
      <c r="G507" t="s">
        <v>57</v>
      </c>
      <c r="H507" t="s">
        <v>183</v>
      </c>
      <c r="I507" t="s">
        <v>217</v>
      </c>
      <c r="J507">
        <v>2</v>
      </c>
      <c r="K507">
        <v>14003</v>
      </c>
      <c r="L507">
        <v>0.02</v>
      </c>
      <c r="M507">
        <v>13722.94</v>
      </c>
      <c r="N507">
        <v>27445.88</v>
      </c>
      <c r="O507">
        <v>0.2</v>
      </c>
      <c r="P507">
        <v>5489.18</v>
      </c>
      <c r="Q507" t="s">
        <v>37</v>
      </c>
      <c r="R507" t="s">
        <v>48</v>
      </c>
      <c r="S507">
        <v>5</v>
      </c>
      <c r="T507">
        <v>2023</v>
      </c>
      <c r="U507" t="s">
        <v>3069</v>
      </c>
      <c r="V507">
        <v>3</v>
      </c>
      <c r="W507" t="s">
        <v>3082</v>
      </c>
      <c r="X507">
        <v>21956.7</v>
      </c>
      <c r="Y507" t="s">
        <v>3062</v>
      </c>
      <c r="Z507" t="s">
        <v>3063</v>
      </c>
      <c r="AA507" t="s">
        <v>3079</v>
      </c>
    </row>
    <row r="508" spans="1:27" x14ac:dyDescent="0.3">
      <c r="A508" t="s">
        <v>2511</v>
      </c>
      <c r="B508" s="7">
        <v>45397</v>
      </c>
      <c r="C508" t="s">
        <v>63</v>
      </c>
      <c r="D508" t="s">
        <v>41</v>
      </c>
      <c r="E508" t="s">
        <v>42</v>
      </c>
      <c r="F508" t="s">
        <v>23</v>
      </c>
      <c r="G508" t="s">
        <v>57</v>
      </c>
      <c r="H508" t="s">
        <v>81</v>
      </c>
      <c r="I508" t="s">
        <v>1007</v>
      </c>
      <c r="J508">
        <v>8</v>
      </c>
      <c r="K508">
        <v>3826</v>
      </c>
      <c r="L508">
        <v>0.1</v>
      </c>
      <c r="M508">
        <v>3443.4</v>
      </c>
      <c r="N508">
        <v>27547.200000000001</v>
      </c>
      <c r="O508">
        <v>0.2</v>
      </c>
      <c r="P508">
        <v>5509.44</v>
      </c>
      <c r="Q508" t="s">
        <v>37</v>
      </c>
      <c r="R508" t="s">
        <v>38</v>
      </c>
      <c r="S508">
        <v>5</v>
      </c>
      <c r="T508">
        <v>2024</v>
      </c>
      <c r="U508" t="s">
        <v>3080</v>
      </c>
      <c r="V508">
        <v>4</v>
      </c>
      <c r="W508" t="s">
        <v>3095</v>
      </c>
      <c r="X508">
        <v>22037.760000000002</v>
      </c>
      <c r="Y508" t="s">
        <v>3062</v>
      </c>
      <c r="Z508" t="s">
        <v>3063</v>
      </c>
      <c r="AA508" t="s">
        <v>3079</v>
      </c>
    </row>
    <row r="509" spans="1:27" x14ac:dyDescent="0.3">
      <c r="A509" t="s">
        <v>2355</v>
      </c>
      <c r="B509" s="7">
        <v>45241</v>
      </c>
      <c r="C509" t="s">
        <v>55</v>
      </c>
      <c r="D509" t="s">
        <v>56</v>
      </c>
      <c r="E509" t="s">
        <v>42</v>
      </c>
      <c r="F509" t="s">
        <v>33</v>
      </c>
      <c r="G509" t="s">
        <v>57</v>
      </c>
      <c r="H509" t="s">
        <v>58</v>
      </c>
      <c r="I509" t="s">
        <v>698</v>
      </c>
      <c r="J509">
        <v>6</v>
      </c>
      <c r="K509">
        <v>11667</v>
      </c>
      <c r="L509">
        <v>0.2</v>
      </c>
      <c r="M509">
        <v>9333.6</v>
      </c>
      <c r="N509">
        <v>56001.599999999999</v>
      </c>
      <c r="O509">
        <v>0.2</v>
      </c>
      <c r="P509">
        <v>11200.32</v>
      </c>
      <c r="Q509" t="s">
        <v>47</v>
      </c>
      <c r="R509" t="s">
        <v>48</v>
      </c>
      <c r="S509">
        <v>8</v>
      </c>
      <c r="T509">
        <v>2023</v>
      </c>
      <c r="U509" t="s">
        <v>3060</v>
      </c>
      <c r="V509">
        <v>11</v>
      </c>
      <c r="W509" t="s">
        <v>3061</v>
      </c>
      <c r="X509">
        <v>44801.279999999999</v>
      </c>
      <c r="Y509" t="s">
        <v>3077</v>
      </c>
      <c r="Z509" t="s">
        <v>3063</v>
      </c>
      <c r="AA509" t="s">
        <v>3079</v>
      </c>
    </row>
    <row r="510" spans="1:27" x14ac:dyDescent="0.3">
      <c r="A510" t="s">
        <v>2666</v>
      </c>
      <c r="B510" s="7">
        <v>45552</v>
      </c>
      <c r="C510" t="s">
        <v>55</v>
      </c>
      <c r="D510" t="s">
        <v>31</v>
      </c>
      <c r="E510" t="s">
        <v>2042</v>
      </c>
      <c r="F510" t="s">
        <v>103</v>
      </c>
      <c r="G510" t="s">
        <v>57</v>
      </c>
      <c r="H510" t="s">
        <v>58</v>
      </c>
      <c r="I510" t="s">
        <v>1312</v>
      </c>
      <c r="J510">
        <v>4</v>
      </c>
      <c r="K510">
        <v>9083</v>
      </c>
      <c r="L510">
        <v>0.24</v>
      </c>
      <c r="M510">
        <v>6903.08</v>
      </c>
      <c r="N510">
        <v>27612.32</v>
      </c>
      <c r="O510">
        <v>0.2</v>
      </c>
      <c r="P510">
        <v>5522.46</v>
      </c>
      <c r="Q510" t="s">
        <v>47</v>
      </c>
      <c r="R510" t="s">
        <v>48</v>
      </c>
      <c r="S510">
        <v>8</v>
      </c>
      <c r="T510">
        <v>2024</v>
      </c>
      <c r="U510" t="s">
        <v>3097</v>
      </c>
      <c r="V510">
        <v>9</v>
      </c>
      <c r="W510" t="s">
        <v>3098</v>
      </c>
      <c r="X510">
        <v>22089.86</v>
      </c>
      <c r="Y510" t="s">
        <v>3077</v>
      </c>
      <c r="Z510" t="s">
        <v>3063</v>
      </c>
      <c r="AA510" t="s">
        <v>3079</v>
      </c>
    </row>
    <row r="511" spans="1:27" x14ac:dyDescent="0.3">
      <c r="A511" t="s">
        <v>2447</v>
      </c>
      <c r="B511" s="7">
        <v>45333</v>
      </c>
      <c r="C511" t="s">
        <v>55</v>
      </c>
      <c r="D511" t="s">
        <v>56</v>
      </c>
      <c r="E511" t="s">
        <v>2042</v>
      </c>
      <c r="F511" t="s">
        <v>68</v>
      </c>
      <c r="G511" t="s">
        <v>92</v>
      </c>
      <c r="H511" t="s">
        <v>109</v>
      </c>
      <c r="I511" t="s">
        <v>880</v>
      </c>
      <c r="J511">
        <v>3</v>
      </c>
      <c r="K511">
        <v>29201</v>
      </c>
      <c r="L511">
        <v>0.15</v>
      </c>
      <c r="M511">
        <v>24820.85</v>
      </c>
      <c r="N511">
        <v>74462.55</v>
      </c>
      <c r="O511">
        <v>0.15</v>
      </c>
      <c r="P511">
        <v>11169.38</v>
      </c>
      <c r="Q511" t="s">
        <v>47</v>
      </c>
      <c r="R511" t="s">
        <v>48</v>
      </c>
      <c r="S511">
        <v>8</v>
      </c>
      <c r="T511">
        <v>2024</v>
      </c>
      <c r="U511" t="s">
        <v>3084</v>
      </c>
      <c r="V511">
        <v>2</v>
      </c>
      <c r="W511" t="s">
        <v>3085</v>
      </c>
      <c r="X511">
        <v>63293.170000000006</v>
      </c>
      <c r="Y511" t="s">
        <v>3077</v>
      </c>
      <c r="Z511" t="s">
        <v>3063</v>
      </c>
      <c r="AA511" t="s">
        <v>3079</v>
      </c>
    </row>
    <row r="512" spans="1:27" x14ac:dyDescent="0.3">
      <c r="A512" t="s">
        <v>2798</v>
      </c>
      <c r="B512" s="7">
        <v>45684</v>
      </c>
      <c r="C512" t="s">
        <v>20</v>
      </c>
      <c r="D512" t="s">
        <v>41</v>
      </c>
      <c r="E512" t="s">
        <v>42</v>
      </c>
      <c r="F512" t="s">
        <v>97</v>
      </c>
      <c r="G512" t="s">
        <v>57</v>
      </c>
      <c r="H512" t="s">
        <v>100</v>
      </c>
      <c r="I512" t="s">
        <v>1569</v>
      </c>
      <c r="J512">
        <v>6</v>
      </c>
      <c r="K512">
        <v>5983</v>
      </c>
      <c r="L512">
        <v>0.23</v>
      </c>
      <c r="M512">
        <v>4606.91</v>
      </c>
      <c r="N512">
        <v>27641.46</v>
      </c>
      <c r="O512">
        <v>0.2</v>
      </c>
      <c r="P512">
        <v>5528.29</v>
      </c>
      <c r="Q512" t="s">
        <v>37</v>
      </c>
      <c r="R512" t="s">
        <v>48</v>
      </c>
      <c r="S512">
        <v>7</v>
      </c>
      <c r="T512">
        <v>2025</v>
      </c>
      <c r="U512" t="s">
        <v>3071</v>
      </c>
      <c r="V512">
        <v>1</v>
      </c>
      <c r="W512" t="s">
        <v>3072</v>
      </c>
      <c r="X512">
        <v>22113.17</v>
      </c>
      <c r="Y512" t="s">
        <v>3062</v>
      </c>
      <c r="Z512" t="s">
        <v>3063</v>
      </c>
      <c r="AA512" t="s">
        <v>3079</v>
      </c>
    </row>
    <row r="513" spans="1:27" x14ac:dyDescent="0.3">
      <c r="A513" t="s">
        <v>2650</v>
      </c>
      <c r="B513" s="7">
        <v>45536</v>
      </c>
      <c r="C513" t="s">
        <v>30</v>
      </c>
      <c r="D513" t="s">
        <v>56</v>
      </c>
      <c r="E513" t="s">
        <v>2042</v>
      </c>
      <c r="F513" t="s">
        <v>33</v>
      </c>
      <c r="G513" t="s">
        <v>92</v>
      </c>
      <c r="H513" t="s">
        <v>243</v>
      </c>
      <c r="I513" t="s">
        <v>1280</v>
      </c>
      <c r="J513">
        <v>7</v>
      </c>
      <c r="K513">
        <v>13631</v>
      </c>
      <c r="L513">
        <v>0.22</v>
      </c>
      <c r="M513">
        <v>10632.18</v>
      </c>
      <c r="N513">
        <v>74425.259999999995</v>
      </c>
      <c r="O513">
        <v>0.15</v>
      </c>
      <c r="P513">
        <v>11163.79</v>
      </c>
      <c r="Q513" t="s">
        <v>47</v>
      </c>
      <c r="R513" t="s">
        <v>48</v>
      </c>
      <c r="S513">
        <v>9</v>
      </c>
      <c r="T513">
        <v>2024</v>
      </c>
      <c r="U513" t="s">
        <v>3097</v>
      </c>
      <c r="V513">
        <v>9</v>
      </c>
      <c r="W513" t="s">
        <v>3098</v>
      </c>
      <c r="X513">
        <v>63261.469999999994</v>
      </c>
      <c r="Y513" t="s">
        <v>3077</v>
      </c>
      <c r="Z513" t="s">
        <v>3063</v>
      </c>
      <c r="AA513" t="s">
        <v>3079</v>
      </c>
    </row>
    <row r="514" spans="1:27" x14ac:dyDescent="0.3">
      <c r="A514" t="s">
        <v>2428</v>
      </c>
      <c r="B514" s="7">
        <v>45314</v>
      </c>
      <c r="C514" t="s">
        <v>30</v>
      </c>
      <c r="D514" t="s">
        <v>31</v>
      </c>
      <c r="E514" t="s">
        <v>2040</v>
      </c>
      <c r="F514" t="s">
        <v>103</v>
      </c>
      <c r="G514" t="s">
        <v>57</v>
      </c>
      <c r="H514" t="s">
        <v>183</v>
      </c>
      <c r="I514" t="s">
        <v>842</v>
      </c>
      <c r="J514">
        <v>5</v>
      </c>
      <c r="K514">
        <v>7189</v>
      </c>
      <c r="L514">
        <v>0.23</v>
      </c>
      <c r="M514">
        <v>5535.53</v>
      </c>
      <c r="N514">
        <v>27677.65</v>
      </c>
      <c r="O514">
        <v>0.2</v>
      </c>
      <c r="P514">
        <v>5535.53</v>
      </c>
      <c r="Q514" t="s">
        <v>27</v>
      </c>
      <c r="R514" t="s">
        <v>48</v>
      </c>
      <c r="S514">
        <v>2</v>
      </c>
      <c r="T514">
        <v>2024</v>
      </c>
      <c r="U514" t="s">
        <v>3071</v>
      </c>
      <c r="V514">
        <v>1</v>
      </c>
      <c r="W514" t="s">
        <v>3078</v>
      </c>
      <c r="X514">
        <v>22142.120000000003</v>
      </c>
      <c r="Y514" t="s">
        <v>3067</v>
      </c>
      <c r="Z514" t="s">
        <v>3063</v>
      </c>
      <c r="AA514" t="s">
        <v>3079</v>
      </c>
    </row>
    <row r="515" spans="1:27" x14ac:dyDescent="0.3">
      <c r="A515" t="s">
        <v>2234</v>
      </c>
      <c r="B515" s="7">
        <v>45120</v>
      </c>
      <c r="C515" t="s">
        <v>20</v>
      </c>
      <c r="D515" t="s">
        <v>21</v>
      </c>
      <c r="E515" t="s">
        <v>2040</v>
      </c>
      <c r="F515" t="s">
        <v>43</v>
      </c>
      <c r="G515" t="s">
        <v>57</v>
      </c>
      <c r="H515" t="s">
        <v>100</v>
      </c>
      <c r="I515" t="s">
        <v>458</v>
      </c>
      <c r="J515">
        <v>4</v>
      </c>
      <c r="K515">
        <v>17552</v>
      </c>
      <c r="L515">
        <v>0.21</v>
      </c>
      <c r="M515">
        <v>13866.08</v>
      </c>
      <c r="N515">
        <v>55464.32</v>
      </c>
      <c r="O515">
        <v>0.2</v>
      </c>
      <c r="P515">
        <v>11092.86</v>
      </c>
      <c r="Q515" t="s">
        <v>37</v>
      </c>
      <c r="R515" t="s">
        <v>48</v>
      </c>
      <c r="S515">
        <v>1</v>
      </c>
      <c r="T515">
        <v>2023</v>
      </c>
      <c r="U515" t="s">
        <v>3088</v>
      </c>
      <c r="V515">
        <v>7</v>
      </c>
      <c r="W515" t="s">
        <v>3111</v>
      </c>
      <c r="X515">
        <v>44371.46</v>
      </c>
      <c r="Y515" t="s">
        <v>3067</v>
      </c>
      <c r="Z515" t="s">
        <v>3063</v>
      </c>
      <c r="AA515" t="s">
        <v>3079</v>
      </c>
    </row>
    <row r="516" spans="1:27" x14ac:dyDescent="0.3">
      <c r="A516" t="s">
        <v>2918</v>
      </c>
      <c r="B516" s="7">
        <v>45804</v>
      </c>
      <c r="C516" t="s">
        <v>20</v>
      </c>
      <c r="D516" t="s">
        <v>21</v>
      </c>
      <c r="E516" t="s">
        <v>2040</v>
      </c>
      <c r="F516" t="s">
        <v>103</v>
      </c>
      <c r="G516" t="s">
        <v>57</v>
      </c>
      <c r="H516" t="s">
        <v>100</v>
      </c>
      <c r="I516" t="s">
        <v>1805</v>
      </c>
      <c r="J516">
        <v>8</v>
      </c>
      <c r="K516">
        <v>3974</v>
      </c>
      <c r="L516">
        <v>0.12</v>
      </c>
      <c r="M516">
        <v>3497.12</v>
      </c>
      <c r="N516">
        <v>27976.959999999999</v>
      </c>
      <c r="O516">
        <v>0.2</v>
      </c>
      <c r="P516">
        <v>5595.39</v>
      </c>
      <c r="Q516" t="s">
        <v>47</v>
      </c>
      <c r="R516" t="s">
        <v>48</v>
      </c>
      <c r="S516">
        <v>9</v>
      </c>
      <c r="T516">
        <v>2025</v>
      </c>
      <c r="U516" t="s">
        <v>3091</v>
      </c>
      <c r="V516">
        <v>5</v>
      </c>
      <c r="W516" t="s">
        <v>3106</v>
      </c>
      <c r="X516">
        <v>22381.57</v>
      </c>
      <c r="Y516" t="s">
        <v>3077</v>
      </c>
      <c r="Z516" t="s">
        <v>3063</v>
      </c>
      <c r="AA516" t="s">
        <v>3079</v>
      </c>
    </row>
    <row r="517" spans="1:27" x14ac:dyDescent="0.3">
      <c r="A517" t="s">
        <v>2419</v>
      </c>
      <c r="B517" s="7">
        <v>45305</v>
      </c>
      <c r="C517" t="s">
        <v>63</v>
      </c>
      <c r="D517" t="s">
        <v>41</v>
      </c>
      <c r="E517" t="s">
        <v>2040</v>
      </c>
      <c r="F517" t="s">
        <v>23</v>
      </c>
      <c r="G517" t="s">
        <v>57</v>
      </c>
      <c r="H517" t="s">
        <v>58</v>
      </c>
      <c r="I517" t="s">
        <v>824</v>
      </c>
      <c r="J517">
        <v>4</v>
      </c>
      <c r="K517">
        <v>14323</v>
      </c>
      <c r="L517">
        <v>0.04</v>
      </c>
      <c r="M517">
        <v>13750.08</v>
      </c>
      <c r="N517">
        <v>55000.32</v>
      </c>
      <c r="O517">
        <v>0.2</v>
      </c>
      <c r="P517">
        <v>11000.06</v>
      </c>
      <c r="Q517" t="s">
        <v>51</v>
      </c>
      <c r="R517" t="s">
        <v>48</v>
      </c>
      <c r="S517">
        <v>6</v>
      </c>
      <c r="T517">
        <v>2024</v>
      </c>
      <c r="U517" t="s">
        <v>3071</v>
      </c>
      <c r="V517">
        <v>1</v>
      </c>
      <c r="W517" t="s">
        <v>3078</v>
      </c>
      <c r="X517">
        <v>44000.26</v>
      </c>
      <c r="Y517" t="s">
        <v>3062</v>
      </c>
      <c r="Z517" t="s">
        <v>3063</v>
      </c>
      <c r="AA517" t="s">
        <v>3079</v>
      </c>
    </row>
    <row r="518" spans="1:27" x14ac:dyDescent="0.3">
      <c r="A518" t="s">
        <v>2267</v>
      </c>
      <c r="B518" s="7">
        <v>45153</v>
      </c>
      <c r="C518" t="s">
        <v>40</v>
      </c>
      <c r="D518" t="s">
        <v>31</v>
      </c>
      <c r="E518" t="s">
        <v>42</v>
      </c>
      <c r="F518" t="s">
        <v>68</v>
      </c>
      <c r="G518" t="s">
        <v>57</v>
      </c>
      <c r="H518" t="s">
        <v>183</v>
      </c>
      <c r="I518" t="s">
        <v>524</v>
      </c>
      <c r="J518">
        <v>6</v>
      </c>
      <c r="K518">
        <v>6114</v>
      </c>
      <c r="L518">
        <v>0.23</v>
      </c>
      <c r="M518">
        <v>4707.78</v>
      </c>
      <c r="N518">
        <v>28246.68</v>
      </c>
      <c r="O518">
        <v>0.2</v>
      </c>
      <c r="P518">
        <v>5649.34</v>
      </c>
      <c r="Q518" t="s">
        <v>27</v>
      </c>
      <c r="R518" t="s">
        <v>48</v>
      </c>
      <c r="S518">
        <v>5</v>
      </c>
      <c r="T518">
        <v>2023</v>
      </c>
      <c r="U518" t="s">
        <v>3075</v>
      </c>
      <c r="V518">
        <v>8</v>
      </c>
      <c r="W518" t="s">
        <v>3109</v>
      </c>
      <c r="X518">
        <v>22597.34</v>
      </c>
      <c r="Y518" t="s">
        <v>3062</v>
      </c>
      <c r="Z518" t="s">
        <v>3063</v>
      </c>
      <c r="AA518" t="s">
        <v>3079</v>
      </c>
    </row>
    <row r="519" spans="1:27" x14ac:dyDescent="0.3">
      <c r="A519" t="s">
        <v>2213</v>
      </c>
      <c r="B519" s="7">
        <v>45099</v>
      </c>
      <c r="C519" t="s">
        <v>96</v>
      </c>
      <c r="D519" t="s">
        <v>41</v>
      </c>
      <c r="E519" t="s">
        <v>2042</v>
      </c>
      <c r="F519" t="s">
        <v>43</v>
      </c>
      <c r="G519" t="s">
        <v>57</v>
      </c>
      <c r="H519" t="s">
        <v>58</v>
      </c>
      <c r="I519" t="s">
        <v>416</v>
      </c>
      <c r="J519">
        <v>4</v>
      </c>
      <c r="K519">
        <v>8638</v>
      </c>
      <c r="L519">
        <v>0.18</v>
      </c>
      <c r="M519">
        <v>7083.16</v>
      </c>
      <c r="N519">
        <v>28332.639999999999</v>
      </c>
      <c r="O519">
        <v>0.2</v>
      </c>
      <c r="P519">
        <v>5666.53</v>
      </c>
      <c r="Q519" t="s">
        <v>51</v>
      </c>
      <c r="R519" t="s">
        <v>48</v>
      </c>
      <c r="S519">
        <v>5</v>
      </c>
      <c r="T519">
        <v>2023</v>
      </c>
      <c r="U519" t="s">
        <v>3073</v>
      </c>
      <c r="V519">
        <v>6</v>
      </c>
      <c r="W519" t="s">
        <v>3103</v>
      </c>
      <c r="X519">
        <v>22666.11</v>
      </c>
      <c r="Y519" t="s">
        <v>3062</v>
      </c>
      <c r="Z519" t="s">
        <v>3063</v>
      </c>
      <c r="AA519" t="s">
        <v>3079</v>
      </c>
    </row>
    <row r="520" spans="1:27" x14ac:dyDescent="0.3">
      <c r="A520" t="s">
        <v>2712</v>
      </c>
      <c r="B520" s="7">
        <v>45598</v>
      </c>
      <c r="C520" t="s">
        <v>96</v>
      </c>
      <c r="D520" t="s">
        <v>31</v>
      </c>
      <c r="E520" t="s">
        <v>67</v>
      </c>
      <c r="F520" t="s">
        <v>68</v>
      </c>
      <c r="G520" t="s">
        <v>92</v>
      </c>
      <c r="H520" t="s">
        <v>243</v>
      </c>
      <c r="I520" t="s">
        <v>1400</v>
      </c>
      <c r="J520">
        <v>1</v>
      </c>
      <c r="K520">
        <v>49071</v>
      </c>
      <c r="L520">
        <v>0.23</v>
      </c>
      <c r="M520">
        <v>37784.67</v>
      </c>
      <c r="N520">
        <v>37784.67</v>
      </c>
      <c r="O520">
        <v>0.15</v>
      </c>
      <c r="P520">
        <v>5667.7</v>
      </c>
      <c r="Q520" t="s">
        <v>47</v>
      </c>
      <c r="R520" t="s">
        <v>48</v>
      </c>
      <c r="S520">
        <v>1</v>
      </c>
      <c r="T520">
        <v>2024</v>
      </c>
      <c r="U520" t="s">
        <v>3060</v>
      </c>
      <c r="V520">
        <v>11</v>
      </c>
      <c r="W520" t="s">
        <v>3100</v>
      </c>
      <c r="X520">
        <v>32116.969999999998</v>
      </c>
      <c r="Y520" t="s">
        <v>3067</v>
      </c>
      <c r="Z520" t="s">
        <v>3063</v>
      </c>
      <c r="AA520" t="s">
        <v>3079</v>
      </c>
    </row>
    <row r="521" spans="1:27" x14ac:dyDescent="0.3">
      <c r="A521" t="s">
        <v>2155</v>
      </c>
      <c r="B521" s="7">
        <v>45041</v>
      </c>
      <c r="C521" t="s">
        <v>40</v>
      </c>
      <c r="D521" t="s">
        <v>56</v>
      </c>
      <c r="E521" t="s">
        <v>2040</v>
      </c>
      <c r="F521" t="s">
        <v>103</v>
      </c>
      <c r="G521" t="s">
        <v>92</v>
      </c>
      <c r="H521" t="s">
        <v>109</v>
      </c>
      <c r="I521" t="s">
        <v>300</v>
      </c>
      <c r="J521">
        <v>4</v>
      </c>
      <c r="K521">
        <v>23760</v>
      </c>
      <c r="L521">
        <v>0.24</v>
      </c>
      <c r="M521">
        <v>18057.599999999999</v>
      </c>
      <c r="N521">
        <v>72230.399999999994</v>
      </c>
      <c r="O521">
        <v>0.15</v>
      </c>
      <c r="P521">
        <v>10834.56</v>
      </c>
      <c r="Q521" t="s">
        <v>27</v>
      </c>
      <c r="R521" t="s">
        <v>38</v>
      </c>
      <c r="S521">
        <v>7</v>
      </c>
      <c r="T521">
        <v>2023</v>
      </c>
      <c r="U521" t="s">
        <v>3080</v>
      </c>
      <c r="V521">
        <v>4</v>
      </c>
      <c r="W521" t="s">
        <v>3081</v>
      </c>
      <c r="X521">
        <v>61395.839999999997</v>
      </c>
      <c r="Y521" t="s">
        <v>3062</v>
      </c>
      <c r="Z521" t="s">
        <v>3063</v>
      </c>
      <c r="AA521" t="s">
        <v>3079</v>
      </c>
    </row>
    <row r="522" spans="1:27" x14ac:dyDescent="0.3">
      <c r="A522" t="s">
        <v>2834</v>
      </c>
      <c r="B522" s="7">
        <v>45720</v>
      </c>
      <c r="C522" t="s">
        <v>55</v>
      </c>
      <c r="D522" t="s">
        <v>21</v>
      </c>
      <c r="E522" t="s">
        <v>67</v>
      </c>
      <c r="F522" t="s">
        <v>97</v>
      </c>
      <c r="G522" t="s">
        <v>57</v>
      </c>
      <c r="H522" t="s">
        <v>183</v>
      </c>
      <c r="I522" t="s">
        <v>1639</v>
      </c>
      <c r="J522">
        <v>2</v>
      </c>
      <c r="K522">
        <v>16226</v>
      </c>
      <c r="L522">
        <v>0.11</v>
      </c>
      <c r="M522">
        <v>14441.14</v>
      </c>
      <c r="N522">
        <v>28882.28</v>
      </c>
      <c r="O522">
        <v>0.2</v>
      </c>
      <c r="P522">
        <v>5776.46</v>
      </c>
      <c r="Q522" t="s">
        <v>47</v>
      </c>
      <c r="R522" t="s">
        <v>48</v>
      </c>
      <c r="S522">
        <v>1</v>
      </c>
      <c r="T522">
        <v>2025</v>
      </c>
      <c r="U522" t="s">
        <v>3069</v>
      </c>
      <c r="V522">
        <v>3</v>
      </c>
      <c r="W522" t="s">
        <v>3070</v>
      </c>
      <c r="X522">
        <v>23105.82</v>
      </c>
      <c r="Y522" t="s">
        <v>3067</v>
      </c>
      <c r="Z522" t="s">
        <v>3063</v>
      </c>
      <c r="AA522" t="s">
        <v>3079</v>
      </c>
    </row>
    <row r="523" spans="1:27" x14ac:dyDescent="0.3">
      <c r="A523" t="s">
        <v>2668</v>
      </c>
      <c r="B523" s="7">
        <v>45554</v>
      </c>
      <c r="C523" t="s">
        <v>30</v>
      </c>
      <c r="D523" t="s">
        <v>31</v>
      </c>
      <c r="E523" t="s">
        <v>67</v>
      </c>
      <c r="F523" t="s">
        <v>103</v>
      </c>
      <c r="G523" t="s">
        <v>57</v>
      </c>
      <c r="H523" t="s">
        <v>81</v>
      </c>
      <c r="I523" t="s">
        <v>1316</v>
      </c>
      <c r="J523">
        <v>3</v>
      </c>
      <c r="K523">
        <v>11223</v>
      </c>
      <c r="L523">
        <v>0.14000000000000001</v>
      </c>
      <c r="M523">
        <v>9651.7800000000007</v>
      </c>
      <c r="N523">
        <v>28955.34</v>
      </c>
      <c r="O523">
        <v>0.2</v>
      </c>
      <c r="P523">
        <v>5791.07</v>
      </c>
      <c r="Q523" t="s">
        <v>51</v>
      </c>
      <c r="R523" t="s">
        <v>48</v>
      </c>
      <c r="S523">
        <v>8</v>
      </c>
      <c r="T523">
        <v>2024</v>
      </c>
      <c r="U523" t="s">
        <v>3097</v>
      </c>
      <c r="V523">
        <v>9</v>
      </c>
      <c r="W523" t="s">
        <v>3098</v>
      </c>
      <c r="X523">
        <v>23164.27</v>
      </c>
      <c r="Y523" t="s">
        <v>3077</v>
      </c>
      <c r="Z523" t="s">
        <v>3063</v>
      </c>
      <c r="AA523" t="s">
        <v>3079</v>
      </c>
    </row>
    <row r="524" spans="1:27" x14ac:dyDescent="0.3">
      <c r="A524" t="s">
        <v>2427</v>
      </c>
      <c r="B524" s="7">
        <v>45313</v>
      </c>
      <c r="C524" t="s">
        <v>30</v>
      </c>
      <c r="D524" t="s">
        <v>21</v>
      </c>
      <c r="E524" t="s">
        <v>2042</v>
      </c>
      <c r="F524" t="s">
        <v>103</v>
      </c>
      <c r="G524" t="s">
        <v>57</v>
      </c>
      <c r="H524" t="s">
        <v>81</v>
      </c>
      <c r="I524" t="s">
        <v>840</v>
      </c>
      <c r="J524">
        <v>5</v>
      </c>
      <c r="K524">
        <v>12106</v>
      </c>
      <c r="L524">
        <v>0.11</v>
      </c>
      <c r="M524">
        <v>10774.34</v>
      </c>
      <c r="N524">
        <v>53871.7</v>
      </c>
      <c r="O524">
        <v>0.2</v>
      </c>
      <c r="P524">
        <v>10774.34</v>
      </c>
      <c r="Q524" t="s">
        <v>51</v>
      </c>
      <c r="R524" t="s">
        <v>48</v>
      </c>
      <c r="S524">
        <v>2</v>
      </c>
      <c r="T524">
        <v>2024</v>
      </c>
      <c r="U524" t="s">
        <v>3071</v>
      </c>
      <c r="V524">
        <v>1</v>
      </c>
      <c r="W524" t="s">
        <v>3078</v>
      </c>
      <c r="X524">
        <v>43097.36</v>
      </c>
      <c r="Y524" t="s">
        <v>3067</v>
      </c>
      <c r="Z524" t="s">
        <v>3063</v>
      </c>
      <c r="AA524" t="s">
        <v>3079</v>
      </c>
    </row>
    <row r="525" spans="1:27" x14ac:dyDescent="0.3">
      <c r="A525" t="s">
        <v>2089</v>
      </c>
      <c r="B525" s="7">
        <v>44975</v>
      </c>
      <c r="C525" t="s">
        <v>55</v>
      </c>
      <c r="D525" t="s">
        <v>56</v>
      </c>
      <c r="E525" t="s">
        <v>2042</v>
      </c>
      <c r="F525" t="s">
        <v>23</v>
      </c>
      <c r="G525" t="s">
        <v>57</v>
      </c>
      <c r="H525" t="s">
        <v>100</v>
      </c>
      <c r="I525" t="s">
        <v>164</v>
      </c>
      <c r="J525">
        <v>2</v>
      </c>
      <c r="K525">
        <v>16025</v>
      </c>
      <c r="L525">
        <v>0.09</v>
      </c>
      <c r="M525">
        <v>14582.75</v>
      </c>
      <c r="N525">
        <v>29165.5</v>
      </c>
      <c r="O525">
        <v>0.2</v>
      </c>
      <c r="P525">
        <v>5833.1</v>
      </c>
      <c r="Q525" t="s">
        <v>51</v>
      </c>
      <c r="R525" t="s">
        <v>48</v>
      </c>
      <c r="S525">
        <v>6</v>
      </c>
      <c r="T525">
        <v>2023</v>
      </c>
      <c r="U525" t="s">
        <v>3084</v>
      </c>
      <c r="V525">
        <v>2</v>
      </c>
      <c r="W525" t="s">
        <v>3108</v>
      </c>
      <c r="X525">
        <v>23332.400000000001</v>
      </c>
      <c r="Y525" t="s">
        <v>3062</v>
      </c>
      <c r="Z525" t="s">
        <v>3063</v>
      </c>
      <c r="AA525" t="s">
        <v>3079</v>
      </c>
    </row>
    <row r="526" spans="1:27" x14ac:dyDescent="0.3">
      <c r="A526" t="s">
        <v>2481</v>
      </c>
      <c r="B526" s="7">
        <v>45367</v>
      </c>
      <c r="C526" t="s">
        <v>96</v>
      </c>
      <c r="D526" t="s">
        <v>41</v>
      </c>
      <c r="E526" t="s">
        <v>2042</v>
      </c>
      <c r="F526" t="s">
        <v>103</v>
      </c>
      <c r="G526" t="s">
        <v>92</v>
      </c>
      <c r="H526" t="s">
        <v>109</v>
      </c>
      <c r="I526" t="s">
        <v>947</v>
      </c>
      <c r="J526">
        <v>6</v>
      </c>
      <c r="K526">
        <v>14895</v>
      </c>
      <c r="L526">
        <v>0.2</v>
      </c>
      <c r="M526">
        <v>11916</v>
      </c>
      <c r="N526">
        <v>71496</v>
      </c>
      <c r="O526">
        <v>0.15</v>
      </c>
      <c r="P526">
        <v>10724.4</v>
      </c>
      <c r="Q526" t="s">
        <v>37</v>
      </c>
      <c r="R526" t="s">
        <v>38</v>
      </c>
      <c r="S526">
        <v>6</v>
      </c>
      <c r="T526">
        <v>2024</v>
      </c>
      <c r="U526" t="s">
        <v>3069</v>
      </c>
      <c r="V526">
        <v>3</v>
      </c>
      <c r="W526" t="s">
        <v>3101</v>
      </c>
      <c r="X526">
        <v>60771.6</v>
      </c>
      <c r="Y526" t="s">
        <v>3062</v>
      </c>
      <c r="Z526" t="s">
        <v>3063</v>
      </c>
      <c r="AA526" t="s">
        <v>3079</v>
      </c>
    </row>
    <row r="527" spans="1:27" x14ac:dyDescent="0.3">
      <c r="A527" t="s">
        <v>2867</v>
      </c>
      <c r="B527" s="7">
        <v>45753</v>
      </c>
      <c r="C527" t="s">
        <v>96</v>
      </c>
      <c r="D527" t="s">
        <v>41</v>
      </c>
      <c r="E527" t="s">
        <v>42</v>
      </c>
      <c r="F527" t="s">
        <v>97</v>
      </c>
      <c r="G527" t="s">
        <v>57</v>
      </c>
      <c r="H527" t="s">
        <v>58</v>
      </c>
      <c r="I527" t="s">
        <v>156</v>
      </c>
      <c r="J527">
        <v>8</v>
      </c>
      <c r="K527">
        <v>3733</v>
      </c>
      <c r="L527">
        <v>0.02</v>
      </c>
      <c r="M527">
        <v>3658.34</v>
      </c>
      <c r="N527">
        <v>29266.720000000001</v>
      </c>
      <c r="O527">
        <v>0.2</v>
      </c>
      <c r="P527">
        <v>5853.34</v>
      </c>
      <c r="Q527" t="s">
        <v>27</v>
      </c>
      <c r="R527" t="s">
        <v>48</v>
      </c>
      <c r="S527">
        <v>9</v>
      </c>
      <c r="T527">
        <v>2025</v>
      </c>
      <c r="U527" t="s">
        <v>3080</v>
      </c>
      <c r="V527">
        <v>4</v>
      </c>
      <c r="W527" t="s">
        <v>3096</v>
      </c>
      <c r="X527">
        <v>23413.38</v>
      </c>
      <c r="Y527" t="s">
        <v>3077</v>
      </c>
      <c r="Z527" t="s">
        <v>3063</v>
      </c>
      <c r="AA527" t="s">
        <v>3079</v>
      </c>
    </row>
    <row r="528" spans="1:27" x14ac:dyDescent="0.3">
      <c r="A528" t="s">
        <v>2946</v>
      </c>
      <c r="B528" s="7">
        <v>45832</v>
      </c>
      <c r="C528" t="s">
        <v>96</v>
      </c>
      <c r="D528" t="s">
        <v>21</v>
      </c>
      <c r="E528" t="s">
        <v>67</v>
      </c>
      <c r="F528" t="s">
        <v>103</v>
      </c>
      <c r="G528" t="s">
        <v>57</v>
      </c>
      <c r="H528" t="s">
        <v>183</v>
      </c>
      <c r="I528" t="s">
        <v>1860</v>
      </c>
      <c r="J528">
        <v>8</v>
      </c>
      <c r="K528">
        <v>7432</v>
      </c>
      <c r="L528">
        <v>0.1</v>
      </c>
      <c r="M528">
        <v>6688.8</v>
      </c>
      <c r="N528">
        <v>53510.400000000001</v>
      </c>
      <c r="O528">
        <v>0.2</v>
      </c>
      <c r="P528">
        <v>10702.08</v>
      </c>
      <c r="Q528" t="s">
        <v>51</v>
      </c>
      <c r="R528" t="s">
        <v>48</v>
      </c>
      <c r="S528">
        <v>8</v>
      </c>
      <c r="T528">
        <v>2025</v>
      </c>
      <c r="U528" t="s">
        <v>3073</v>
      </c>
      <c r="V528">
        <v>6</v>
      </c>
      <c r="W528" t="s">
        <v>3083</v>
      </c>
      <c r="X528">
        <v>42808.32</v>
      </c>
      <c r="Y528" t="s">
        <v>3077</v>
      </c>
      <c r="Z528" t="s">
        <v>3063</v>
      </c>
      <c r="AA528" t="s">
        <v>3079</v>
      </c>
    </row>
    <row r="529" spans="1:27" x14ac:dyDescent="0.3">
      <c r="A529" t="s">
        <v>2224</v>
      </c>
      <c r="B529" s="7">
        <v>45110</v>
      </c>
      <c r="C529" t="s">
        <v>40</v>
      </c>
      <c r="D529" t="s">
        <v>56</v>
      </c>
      <c r="E529" t="s">
        <v>42</v>
      </c>
      <c r="F529" t="s">
        <v>97</v>
      </c>
      <c r="G529" t="s">
        <v>57</v>
      </c>
      <c r="H529" t="s">
        <v>100</v>
      </c>
      <c r="I529" t="s">
        <v>438</v>
      </c>
      <c r="J529">
        <v>3</v>
      </c>
      <c r="K529">
        <v>12225</v>
      </c>
      <c r="L529">
        <v>0.2</v>
      </c>
      <c r="M529">
        <v>9780</v>
      </c>
      <c r="N529">
        <v>29340</v>
      </c>
      <c r="O529">
        <v>0.2</v>
      </c>
      <c r="P529">
        <v>5868</v>
      </c>
      <c r="Q529" t="s">
        <v>47</v>
      </c>
      <c r="R529" t="s">
        <v>48</v>
      </c>
      <c r="S529">
        <v>8</v>
      </c>
      <c r="T529">
        <v>2023</v>
      </c>
      <c r="U529" t="s">
        <v>3088</v>
      </c>
      <c r="V529">
        <v>7</v>
      </c>
      <c r="W529" t="s">
        <v>3111</v>
      </c>
      <c r="X529">
        <v>23472</v>
      </c>
      <c r="Y529" t="s">
        <v>3077</v>
      </c>
      <c r="Z529" t="s">
        <v>3063</v>
      </c>
      <c r="AA529" t="s">
        <v>3079</v>
      </c>
    </row>
    <row r="530" spans="1:27" x14ac:dyDescent="0.3">
      <c r="A530" t="s">
        <v>2266</v>
      </c>
      <c r="B530" s="7">
        <v>45152</v>
      </c>
      <c r="C530" t="s">
        <v>40</v>
      </c>
      <c r="D530" t="s">
        <v>21</v>
      </c>
      <c r="E530" t="s">
        <v>67</v>
      </c>
      <c r="F530" t="s">
        <v>103</v>
      </c>
      <c r="G530" t="s">
        <v>92</v>
      </c>
      <c r="H530" t="s">
        <v>109</v>
      </c>
      <c r="I530" t="s">
        <v>522</v>
      </c>
      <c r="J530">
        <v>1</v>
      </c>
      <c r="K530">
        <v>77203</v>
      </c>
      <c r="L530">
        <v>0.08</v>
      </c>
      <c r="M530">
        <v>71026.759999999995</v>
      </c>
      <c r="N530">
        <v>71026.759999999995</v>
      </c>
      <c r="O530">
        <v>0.15</v>
      </c>
      <c r="P530">
        <v>10654.01</v>
      </c>
      <c r="Q530" t="s">
        <v>27</v>
      </c>
      <c r="R530" t="s">
        <v>48</v>
      </c>
      <c r="S530">
        <v>7</v>
      </c>
      <c r="T530">
        <v>2023</v>
      </c>
      <c r="U530" t="s">
        <v>3075</v>
      </c>
      <c r="V530">
        <v>8</v>
      </c>
      <c r="W530" t="s">
        <v>3109</v>
      </c>
      <c r="X530">
        <v>60372.749999999993</v>
      </c>
      <c r="Y530" t="s">
        <v>3062</v>
      </c>
      <c r="Z530" t="s">
        <v>3063</v>
      </c>
      <c r="AA530" t="s">
        <v>3079</v>
      </c>
    </row>
    <row r="531" spans="1:27" x14ac:dyDescent="0.3">
      <c r="A531" t="s">
        <v>2458</v>
      </c>
      <c r="B531" s="7">
        <v>45344</v>
      </c>
      <c r="C531" t="s">
        <v>63</v>
      </c>
      <c r="D531" t="s">
        <v>56</v>
      </c>
      <c r="E531" t="s">
        <v>67</v>
      </c>
      <c r="F531" t="s">
        <v>33</v>
      </c>
      <c r="G531" t="s">
        <v>57</v>
      </c>
      <c r="H531" t="s">
        <v>58</v>
      </c>
      <c r="I531" t="s">
        <v>902</v>
      </c>
      <c r="J531">
        <v>3</v>
      </c>
      <c r="K531">
        <v>17836</v>
      </c>
      <c r="L531">
        <v>0.01</v>
      </c>
      <c r="M531">
        <v>17657.64</v>
      </c>
      <c r="N531">
        <v>52972.92</v>
      </c>
      <c r="O531">
        <v>0.2</v>
      </c>
      <c r="P531">
        <v>10594.58</v>
      </c>
      <c r="Q531" t="s">
        <v>27</v>
      </c>
      <c r="R531" t="s">
        <v>48</v>
      </c>
      <c r="S531">
        <v>5</v>
      </c>
      <c r="T531">
        <v>2024</v>
      </c>
      <c r="U531" t="s">
        <v>3084</v>
      </c>
      <c r="V531">
        <v>2</v>
      </c>
      <c r="W531" t="s">
        <v>3085</v>
      </c>
      <c r="X531">
        <v>42378.34</v>
      </c>
      <c r="Y531" t="s">
        <v>3062</v>
      </c>
      <c r="Z531" t="s">
        <v>3063</v>
      </c>
      <c r="AA531" t="s">
        <v>3079</v>
      </c>
    </row>
    <row r="532" spans="1:27" x14ac:dyDescent="0.3">
      <c r="A532" t="s">
        <v>2950</v>
      </c>
      <c r="B532" s="7">
        <v>45836</v>
      </c>
      <c r="C532" t="s">
        <v>30</v>
      </c>
      <c r="D532" t="s">
        <v>56</v>
      </c>
      <c r="E532" t="s">
        <v>67</v>
      </c>
      <c r="F532" t="s">
        <v>103</v>
      </c>
      <c r="G532" t="s">
        <v>57</v>
      </c>
      <c r="H532" t="s">
        <v>81</v>
      </c>
      <c r="I532" t="s">
        <v>1868</v>
      </c>
      <c r="J532">
        <v>8</v>
      </c>
      <c r="K532">
        <v>3753</v>
      </c>
      <c r="L532">
        <v>0.01</v>
      </c>
      <c r="M532">
        <v>3715.47</v>
      </c>
      <c r="N532">
        <v>29723.759999999998</v>
      </c>
      <c r="O532">
        <v>0.2</v>
      </c>
      <c r="P532">
        <v>5944.75</v>
      </c>
      <c r="Q532" t="s">
        <v>47</v>
      </c>
      <c r="R532" t="s">
        <v>48</v>
      </c>
      <c r="S532">
        <v>3</v>
      </c>
      <c r="T532">
        <v>2025</v>
      </c>
      <c r="U532" t="s">
        <v>3073</v>
      </c>
      <c r="V532">
        <v>6</v>
      </c>
      <c r="W532" t="s">
        <v>3083</v>
      </c>
      <c r="X532">
        <v>23779.01</v>
      </c>
      <c r="Y532" t="s">
        <v>3067</v>
      </c>
      <c r="Z532" t="s">
        <v>3063</v>
      </c>
      <c r="AA532" t="s">
        <v>3079</v>
      </c>
    </row>
    <row r="533" spans="1:27" x14ac:dyDescent="0.3">
      <c r="A533" t="s">
        <v>2981</v>
      </c>
      <c r="B533" s="7">
        <v>45867</v>
      </c>
      <c r="C533" t="s">
        <v>40</v>
      </c>
      <c r="D533" t="s">
        <v>21</v>
      </c>
      <c r="E533" t="s">
        <v>42</v>
      </c>
      <c r="F533" t="s">
        <v>68</v>
      </c>
      <c r="G533" t="s">
        <v>57</v>
      </c>
      <c r="H533" t="s">
        <v>100</v>
      </c>
      <c r="I533" t="s">
        <v>1925</v>
      </c>
      <c r="J533">
        <v>3</v>
      </c>
      <c r="K533">
        <v>19921</v>
      </c>
      <c r="L533">
        <v>0.12</v>
      </c>
      <c r="M533">
        <v>17530.48</v>
      </c>
      <c r="N533">
        <v>52591.44</v>
      </c>
      <c r="O533">
        <v>0.2</v>
      </c>
      <c r="P533">
        <v>10518.29</v>
      </c>
      <c r="Q533" t="s">
        <v>47</v>
      </c>
      <c r="R533" t="s">
        <v>48</v>
      </c>
      <c r="S533">
        <v>6</v>
      </c>
      <c r="T533">
        <v>2025</v>
      </c>
      <c r="U533" t="s">
        <v>3088</v>
      </c>
      <c r="V533">
        <v>7</v>
      </c>
      <c r="W533" t="s">
        <v>3094</v>
      </c>
      <c r="X533">
        <v>42073.15</v>
      </c>
      <c r="Y533" t="s">
        <v>3062</v>
      </c>
      <c r="Z533" t="s">
        <v>3063</v>
      </c>
      <c r="AA533" t="s">
        <v>3079</v>
      </c>
    </row>
    <row r="534" spans="1:27" x14ac:dyDescent="0.3">
      <c r="A534" t="s">
        <v>2692</v>
      </c>
      <c r="B534" s="7">
        <v>45578</v>
      </c>
      <c r="C534" t="s">
        <v>40</v>
      </c>
      <c r="D534" t="s">
        <v>21</v>
      </c>
      <c r="E534" t="s">
        <v>67</v>
      </c>
      <c r="F534" t="s">
        <v>97</v>
      </c>
      <c r="G534" t="s">
        <v>57</v>
      </c>
      <c r="H534" t="s">
        <v>183</v>
      </c>
      <c r="I534" t="s">
        <v>189</v>
      </c>
      <c r="J534">
        <v>4</v>
      </c>
      <c r="K534">
        <v>15279</v>
      </c>
      <c r="L534">
        <v>0.14000000000000001</v>
      </c>
      <c r="M534">
        <v>13139.94</v>
      </c>
      <c r="N534">
        <v>52559.76</v>
      </c>
      <c r="O534">
        <v>0.2</v>
      </c>
      <c r="P534">
        <v>10511.95</v>
      </c>
      <c r="Q534" t="s">
        <v>51</v>
      </c>
      <c r="R534" t="s">
        <v>48</v>
      </c>
      <c r="S534">
        <v>5</v>
      </c>
      <c r="T534">
        <v>2024</v>
      </c>
      <c r="U534" t="s">
        <v>3065</v>
      </c>
      <c r="V534">
        <v>10</v>
      </c>
      <c r="W534" t="s">
        <v>3066</v>
      </c>
      <c r="X534">
        <v>42047.81</v>
      </c>
      <c r="Y534" t="s">
        <v>3062</v>
      </c>
      <c r="Z534" t="s">
        <v>3063</v>
      </c>
      <c r="AA534" t="s">
        <v>3079</v>
      </c>
    </row>
    <row r="535" spans="1:27" x14ac:dyDescent="0.3">
      <c r="A535" t="s">
        <v>2080</v>
      </c>
      <c r="B535" s="7">
        <v>44966</v>
      </c>
      <c r="C535" t="s">
        <v>55</v>
      </c>
      <c r="D535" t="s">
        <v>41</v>
      </c>
      <c r="E535" t="s">
        <v>2042</v>
      </c>
      <c r="F535" t="s">
        <v>68</v>
      </c>
      <c r="G535" t="s">
        <v>57</v>
      </c>
      <c r="H535" t="s">
        <v>81</v>
      </c>
      <c r="I535" t="s">
        <v>146</v>
      </c>
      <c r="J535">
        <v>5</v>
      </c>
      <c r="K535">
        <v>12181</v>
      </c>
      <c r="L535">
        <v>0.14000000000000001</v>
      </c>
      <c r="M535">
        <v>10475.66</v>
      </c>
      <c r="N535">
        <v>52378.3</v>
      </c>
      <c r="O535">
        <v>0.2</v>
      </c>
      <c r="P535">
        <v>10475.66</v>
      </c>
      <c r="Q535" t="s">
        <v>37</v>
      </c>
      <c r="R535" t="s">
        <v>48</v>
      </c>
      <c r="S535">
        <v>7</v>
      </c>
      <c r="T535">
        <v>2023</v>
      </c>
      <c r="U535" t="s">
        <v>3084</v>
      </c>
      <c r="V535">
        <v>2</v>
      </c>
      <c r="W535" t="s">
        <v>3108</v>
      </c>
      <c r="X535">
        <v>41902.639999999999</v>
      </c>
      <c r="Y535" t="s">
        <v>3062</v>
      </c>
      <c r="Z535" t="s">
        <v>3063</v>
      </c>
      <c r="AA535" t="s">
        <v>3079</v>
      </c>
    </row>
    <row r="536" spans="1:27" x14ac:dyDescent="0.3">
      <c r="A536" t="s">
        <v>2504</v>
      </c>
      <c r="B536" s="7">
        <v>45390</v>
      </c>
      <c r="C536" t="s">
        <v>96</v>
      </c>
      <c r="D536" t="s">
        <v>56</v>
      </c>
      <c r="E536" t="s">
        <v>42</v>
      </c>
      <c r="F536" t="s">
        <v>43</v>
      </c>
      <c r="G536" t="s">
        <v>57</v>
      </c>
      <c r="H536" t="s">
        <v>81</v>
      </c>
      <c r="I536" t="s">
        <v>993</v>
      </c>
      <c r="J536">
        <v>9</v>
      </c>
      <c r="K536">
        <v>7435</v>
      </c>
      <c r="L536">
        <v>0.22</v>
      </c>
      <c r="M536">
        <v>5799.3</v>
      </c>
      <c r="N536">
        <v>52193.7</v>
      </c>
      <c r="O536">
        <v>0.2</v>
      </c>
      <c r="P536">
        <v>10438.74</v>
      </c>
      <c r="Q536" t="s">
        <v>47</v>
      </c>
      <c r="R536" t="s">
        <v>48</v>
      </c>
      <c r="S536">
        <v>4</v>
      </c>
      <c r="T536">
        <v>2024</v>
      </c>
      <c r="U536" t="s">
        <v>3080</v>
      </c>
      <c r="V536">
        <v>4</v>
      </c>
      <c r="W536" t="s">
        <v>3095</v>
      </c>
      <c r="X536">
        <v>41754.959999999999</v>
      </c>
      <c r="Y536" t="s">
        <v>3062</v>
      </c>
      <c r="Z536" t="s">
        <v>3063</v>
      </c>
      <c r="AA536" t="s">
        <v>3079</v>
      </c>
    </row>
    <row r="537" spans="1:27" x14ac:dyDescent="0.3">
      <c r="A537" t="s">
        <v>2573</v>
      </c>
      <c r="B537" s="7">
        <v>45459</v>
      </c>
      <c r="C537" t="s">
        <v>40</v>
      </c>
      <c r="D537" t="s">
        <v>31</v>
      </c>
      <c r="E537" t="s">
        <v>2040</v>
      </c>
      <c r="F537" t="s">
        <v>97</v>
      </c>
      <c r="G537" t="s">
        <v>57</v>
      </c>
      <c r="H537" t="s">
        <v>183</v>
      </c>
      <c r="I537" t="s">
        <v>1129</v>
      </c>
      <c r="J537">
        <v>2</v>
      </c>
      <c r="K537">
        <v>19563</v>
      </c>
      <c r="L537">
        <v>0.22</v>
      </c>
      <c r="M537">
        <v>15259.14</v>
      </c>
      <c r="N537">
        <v>30518.28</v>
      </c>
      <c r="O537">
        <v>0.2</v>
      </c>
      <c r="P537">
        <v>6103.66</v>
      </c>
      <c r="Q537" t="s">
        <v>37</v>
      </c>
      <c r="R537" t="s">
        <v>48</v>
      </c>
      <c r="S537">
        <v>9</v>
      </c>
      <c r="T537">
        <v>2024</v>
      </c>
      <c r="U537" t="s">
        <v>3073</v>
      </c>
      <c r="V537">
        <v>6</v>
      </c>
      <c r="W537" t="s">
        <v>3074</v>
      </c>
      <c r="X537">
        <v>24414.62</v>
      </c>
      <c r="Y537" t="s">
        <v>3077</v>
      </c>
      <c r="Z537" t="s">
        <v>3063</v>
      </c>
      <c r="AA537" t="s">
        <v>3079</v>
      </c>
    </row>
    <row r="538" spans="1:27" x14ac:dyDescent="0.3">
      <c r="A538" t="s">
        <v>2937</v>
      </c>
      <c r="B538" s="7">
        <v>45823</v>
      </c>
      <c r="C538" t="s">
        <v>55</v>
      </c>
      <c r="D538" t="s">
        <v>41</v>
      </c>
      <c r="E538" t="s">
        <v>2040</v>
      </c>
      <c r="F538" t="s">
        <v>103</v>
      </c>
      <c r="G538" t="s">
        <v>92</v>
      </c>
      <c r="H538" t="s">
        <v>178</v>
      </c>
      <c r="I538" t="s">
        <v>1842</v>
      </c>
      <c r="J538">
        <v>3</v>
      </c>
      <c r="K538">
        <v>27073</v>
      </c>
      <c r="L538">
        <v>0.15</v>
      </c>
      <c r="M538">
        <v>23012.05</v>
      </c>
      <c r="N538">
        <v>69036.149999999994</v>
      </c>
      <c r="O538">
        <v>0.15</v>
      </c>
      <c r="P538">
        <v>10355.42</v>
      </c>
      <c r="Q538" t="s">
        <v>37</v>
      </c>
      <c r="R538" t="s">
        <v>48</v>
      </c>
      <c r="S538">
        <v>5</v>
      </c>
      <c r="T538">
        <v>2025</v>
      </c>
      <c r="U538" t="s">
        <v>3073</v>
      </c>
      <c r="V538">
        <v>6</v>
      </c>
      <c r="W538" t="s">
        <v>3083</v>
      </c>
      <c r="X538">
        <v>58680.729999999996</v>
      </c>
      <c r="Y538" t="s">
        <v>3062</v>
      </c>
      <c r="Z538" t="s">
        <v>3063</v>
      </c>
      <c r="AA538" t="s">
        <v>3079</v>
      </c>
    </row>
    <row r="539" spans="1:27" x14ac:dyDescent="0.3">
      <c r="A539" t="s">
        <v>2823</v>
      </c>
      <c r="B539" s="7">
        <v>45709</v>
      </c>
      <c r="C539" t="s">
        <v>40</v>
      </c>
      <c r="D539" t="s">
        <v>21</v>
      </c>
      <c r="E539" t="s">
        <v>42</v>
      </c>
      <c r="F539" t="s">
        <v>97</v>
      </c>
      <c r="G539" t="s">
        <v>92</v>
      </c>
      <c r="H539" t="s">
        <v>243</v>
      </c>
      <c r="I539" t="s">
        <v>1617</v>
      </c>
      <c r="J539">
        <v>1</v>
      </c>
      <c r="K539">
        <v>46060</v>
      </c>
      <c r="L539">
        <v>0.1</v>
      </c>
      <c r="M539">
        <v>41454</v>
      </c>
      <c r="N539">
        <v>41454</v>
      </c>
      <c r="O539">
        <v>0.15</v>
      </c>
      <c r="P539">
        <v>6218.1</v>
      </c>
      <c r="Q539" t="s">
        <v>27</v>
      </c>
      <c r="R539" t="s">
        <v>48</v>
      </c>
      <c r="S539">
        <v>3</v>
      </c>
      <c r="T539">
        <v>2025</v>
      </c>
      <c r="U539" t="s">
        <v>3084</v>
      </c>
      <c r="V539">
        <v>2</v>
      </c>
      <c r="W539" t="s">
        <v>3090</v>
      </c>
      <c r="X539">
        <v>35235.9</v>
      </c>
      <c r="Y539" t="s">
        <v>3067</v>
      </c>
      <c r="Z539" t="s">
        <v>3063</v>
      </c>
      <c r="AA539" t="s">
        <v>3079</v>
      </c>
    </row>
    <row r="540" spans="1:27" x14ac:dyDescent="0.3">
      <c r="A540" t="s">
        <v>2413</v>
      </c>
      <c r="B540" s="7">
        <v>45299</v>
      </c>
      <c r="C540" t="s">
        <v>30</v>
      </c>
      <c r="D540" t="s">
        <v>56</v>
      </c>
      <c r="E540" t="s">
        <v>42</v>
      </c>
      <c r="F540" t="s">
        <v>103</v>
      </c>
      <c r="G540" t="s">
        <v>57</v>
      </c>
      <c r="H540" t="s">
        <v>58</v>
      </c>
      <c r="I540" t="s">
        <v>812</v>
      </c>
      <c r="J540">
        <v>5</v>
      </c>
      <c r="K540">
        <v>7699</v>
      </c>
      <c r="L540">
        <v>0.19</v>
      </c>
      <c r="M540">
        <v>6236.19</v>
      </c>
      <c r="N540">
        <v>31180.95</v>
      </c>
      <c r="O540">
        <v>0.2</v>
      </c>
      <c r="P540">
        <v>6236.19</v>
      </c>
      <c r="Q540" t="s">
        <v>37</v>
      </c>
      <c r="R540" t="s">
        <v>38</v>
      </c>
      <c r="S540">
        <v>8</v>
      </c>
      <c r="T540">
        <v>2024</v>
      </c>
      <c r="U540" t="s">
        <v>3071</v>
      </c>
      <c r="V540">
        <v>1</v>
      </c>
      <c r="W540" t="s">
        <v>3078</v>
      </c>
      <c r="X540">
        <v>24944.760000000002</v>
      </c>
      <c r="Y540" t="s">
        <v>3077</v>
      </c>
      <c r="Z540" t="s">
        <v>3063</v>
      </c>
      <c r="AA540" t="s">
        <v>3079</v>
      </c>
    </row>
    <row r="541" spans="1:27" x14ac:dyDescent="0.3">
      <c r="A541" t="s">
        <v>2181</v>
      </c>
      <c r="B541" s="7">
        <v>45067</v>
      </c>
      <c r="C541" t="s">
        <v>40</v>
      </c>
      <c r="D541" t="s">
        <v>56</v>
      </c>
      <c r="E541" t="s">
        <v>42</v>
      </c>
      <c r="F541" t="s">
        <v>97</v>
      </c>
      <c r="G541" t="s">
        <v>92</v>
      </c>
      <c r="H541" t="s">
        <v>109</v>
      </c>
      <c r="I541" t="s">
        <v>352</v>
      </c>
      <c r="J541">
        <v>1</v>
      </c>
      <c r="K541">
        <v>77278</v>
      </c>
      <c r="L541">
        <v>0.11</v>
      </c>
      <c r="M541">
        <v>68777.42</v>
      </c>
      <c r="N541">
        <v>68777.42</v>
      </c>
      <c r="O541">
        <v>0.15</v>
      </c>
      <c r="P541">
        <v>10316.61</v>
      </c>
      <c r="Q541" t="s">
        <v>51</v>
      </c>
      <c r="R541" t="s">
        <v>48</v>
      </c>
      <c r="S541">
        <v>8</v>
      </c>
      <c r="T541">
        <v>2023</v>
      </c>
      <c r="U541" t="s">
        <v>3091</v>
      </c>
      <c r="V541">
        <v>5</v>
      </c>
      <c r="W541" t="s">
        <v>3092</v>
      </c>
      <c r="X541">
        <v>58460.81</v>
      </c>
      <c r="Y541" t="s">
        <v>3077</v>
      </c>
      <c r="Z541" t="s">
        <v>3063</v>
      </c>
      <c r="AA541" t="s">
        <v>3079</v>
      </c>
    </row>
    <row r="542" spans="1:27" x14ac:dyDescent="0.3">
      <c r="A542" t="s">
        <v>2218</v>
      </c>
      <c r="B542" s="7">
        <v>45104</v>
      </c>
      <c r="C542" t="s">
        <v>55</v>
      </c>
      <c r="D542" t="s">
        <v>31</v>
      </c>
      <c r="E542" t="s">
        <v>42</v>
      </c>
      <c r="F542" t="s">
        <v>97</v>
      </c>
      <c r="G542" t="s">
        <v>92</v>
      </c>
      <c r="H542" t="s">
        <v>93</v>
      </c>
      <c r="I542" t="s">
        <v>426</v>
      </c>
      <c r="J542">
        <v>1</v>
      </c>
      <c r="K542">
        <v>49062</v>
      </c>
      <c r="L542">
        <v>0.15</v>
      </c>
      <c r="M542">
        <v>41702.699999999997</v>
      </c>
      <c r="N542">
        <v>41702.699999999997</v>
      </c>
      <c r="O542">
        <v>0.15</v>
      </c>
      <c r="P542">
        <v>6255.4</v>
      </c>
      <c r="Q542" t="s">
        <v>51</v>
      </c>
      <c r="R542" t="s">
        <v>48</v>
      </c>
      <c r="S542">
        <v>3</v>
      </c>
      <c r="T542">
        <v>2023</v>
      </c>
      <c r="U542" t="s">
        <v>3073</v>
      </c>
      <c r="V542">
        <v>6</v>
      </c>
      <c r="W542" t="s">
        <v>3103</v>
      </c>
      <c r="X542">
        <v>35447.299999999996</v>
      </c>
      <c r="Y542" t="s">
        <v>3067</v>
      </c>
      <c r="Z542" t="s">
        <v>3063</v>
      </c>
      <c r="AA542" t="s">
        <v>3079</v>
      </c>
    </row>
    <row r="543" spans="1:27" x14ac:dyDescent="0.3">
      <c r="A543" t="s">
        <v>2723</v>
      </c>
      <c r="B543" s="7">
        <v>45609</v>
      </c>
      <c r="C543" t="s">
        <v>20</v>
      </c>
      <c r="D543" t="s">
        <v>31</v>
      </c>
      <c r="E543" t="s">
        <v>2042</v>
      </c>
      <c r="F543" t="s">
        <v>68</v>
      </c>
      <c r="G543" t="s">
        <v>57</v>
      </c>
      <c r="H543" t="s">
        <v>100</v>
      </c>
      <c r="I543" t="s">
        <v>1422</v>
      </c>
      <c r="J543">
        <v>4</v>
      </c>
      <c r="K543">
        <v>14232</v>
      </c>
      <c r="L543">
        <v>0.11</v>
      </c>
      <c r="M543">
        <v>12666.48</v>
      </c>
      <c r="N543">
        <v>50665.919999999998</v>
      </c>
      <c r="O543">
        <v>0.2</v>
      </c>
      <c r="P543">
        <v>10133.18</v>
      </c>
      <c r="Q543" t="s">
        <v>27</v>
      </c>
      <c r="R543" t="s">
        <v>48</v>
      </c>
      <c r="S543">
        <v>5</v>
      </c>
      <c r="T543">
        <v>2024</v>
      </c>
      <c r="U543" t="s">
        <v>3060</v>
      </c>
      <c r="V543">
        <v>11</v>
      </c>
      <c r="W543" t="s">
        <v>3100</v>
      </c>
      <c r="X543">
        <v>40532.74</v>
      </c>
      <c r="Y543" t="s">
        <v>3062</v>
      </c>
      <c r="Z543" t="s">
        <v>3063</v>
      </c>
      <c r="AA543" t="s">
        <v>3079</v>
      </c>
    </row>
    <row r="544" spans="1:27" x14ac:dyDescent="0.3">
      <c r="A544" t="s">
        <v>2087</v>
      </c>
      <c r="B544" s="7">
        <v>44973</v>
      </c>
      <c r="C544" t="s">
        <v>55</v>
      </c>
      <c r="D544" t="s">
        <v>31</v>
      </c>
      <c r="E544" t="s">
        <v>42</v>
      </c>
      <c r="F544" t="s">
        <v>68</v>
      </c>
      <c r="G544" t="s">
        <v>57</v>
      </c>
      <c r="H544" t="s">
        <v>58</v>
      </c>
      <c r="I544" t="s">
        <v>160</v>
      </c>
      <c r="J544">
        <v>3</v>
      </c>
      <c r="K544">
        <v>18002</v>
      </c>
      <c r="L544">
        <v>7.0000000000000007E-2</v>
      </c>
      <c r="M544">
        <v>16741.86</v>
      </c>
      <c r="N544">
        <v>50225.58</v>
      </c>
      <c r="O544">
        <v>0.2</v>
      </c>
      <c r="P544">
        <v>10045.120000000001</v>
      </c>
      <c r="Q544" t="s">
        <v>37</v>
      </c>
      <c r="R544" t="s">
        <v>48</v>
      </c>
      <c r="S544">
        <v>9</v>
      </c>
      <c r="T544">
        <v>2023</v>
      </c>
      <c r="U544" t="s">
        <v>3084</v>
      </c>
      <c r="V544">
        <v>2</v>
      </c>
      <c r="W544" t="s">
        <v>3108</v>
      </c>
      <c r="X544">
        <v>40180.46</v>
      </c>
      <c r="Y544" t="s">
        <v>3077</v>
      </c>
      <c r="Z544" t="s">
        <v>3063</v>
      </c>
      <c r="AA544" t="s">
        <v>3079</v>
      </c>
    </row>
    <row r="545" spans="1:27" x14ac:dyDescent="0.3">
      <c r="A545" t="s">
        <v>2086</v>
      </c>
      <c r="B545" s="7">
        <v>44972</v>
      </c>
      <c r="C545" t="s">
        <v>30</v>
      </c>
      <c r="D545" t="s">
        <v>41</v>
      </c>
      <c r="E545" t="s">
        <v>42</v>
      </c>
      <c r="F545" t="s">
        <v>43</v>
      </c>
      <c r="G545" t="s">
        <v>92</v>
      </c>
      <c r="H545" t="s">
        <v>93</v>
      </c>
      <c r="I545" t="s">
        <v>158</v>
      </c>
      <c r="J545">
        <v>6</v>
      </c>
      <c r="K545">
        <v>12920</v>
      </c>
      <c r="L545">
        <v>0.14000000000000001</v>
      </c>
      <c r="M545">
        <v>11111.2</v>
      </c>
      <c r="N545">
        <v>66667.199999999997</v>
      </c>
      <c r="O545">
        <v>0.15</v>
      </c>
      <c r="P545">
        <v>10000.08</v>
      </c>
      <c r="Q545" t="s">
        <v>47</v>
      </c>
      <c r="R545" t="s">
        <v>48</v>
      </c>
      <c r="S545">
        <v>3</v>
      </c>
      <c r="T545">
        <v>2023</v>
      </c>
      <c r="U545" t="s">
        <v>3084</v>
      </c>
      <c r="V545">
        <v>2</v>
      </c>
      <c r="W545" t="s">
        <v>3108</v>
      </c>
      <c r="X545">
        <v>56667.119999999995</v>
      </c>
      <c r="Y545" t="s">
        <v>3067</v>
      </c>
      <c r="Z545" t="s">
        <v>3063</v>
      </c>
      <c r="AA545" t="s">
        <v>3079</v>
      </c>
    </row>
    <row r="546" spans="1:27" x14ac:dyDescent="0.3">
      <c r="A546" t="s">
        <v>2658</v>
      </c>
      <c r="B546" s="7">
        <v>45544</v>
      </c>
      <c r="C546" t="s">
        <v>40</v>
      </c>
      <c r="D546" t="s">
        <v>31</v>
      </c>
      <c r="E546" t="s">
        <v>67</v>
      </c>
      <c r="F546" t="s">
        <v>97</v>
      </c>
      <c r="G546" t="s">
        <v>57</v>
      </c>
      <c r="H546" t="s">
        <v>58</v>
      </c>
      <c r="I546" t="s">
        <v>1296</v>
      </c>
      <c r="J546">
        <v>5</v>
      </c>
      <c r="K546">
        <v>10906</v>
      </c>
      <c r="L546">
        <v>0.09</v>
      </c>
      <c r="M546">
        <v>9924.4599999999991</v>
      </c>
      <c r="N546">
        <v>49622.3</v>
      </c>
      <c r="O546">
        <v>0.2</v>
      </c>
      <c r="P546">
        <v>9924.4599999999991</v>
      </c>
      <c r="Q546" t="s">
        <v>37</v>
      </c>
      <c r="R546" t="s">
        <v>38</v>
      </c>
      <c r="S546">
        <v>4</v>
      </c>
      <c r="T546">
        <v>2024</v>
      </c>
      <c r="U546" t="s">
        <v>3097</v>
      </c>
      <c r="V546">
        <v>9</v>
      </c>
      <c r="W546" t="s">
        <v>3098</v>
      </c>
      <c r="X546">
        <v>39697.840000000004</v>
      </c>
      <c r="Y546" t="s">
        <v>3062</v>
      </c>
      <c r="Z546" t="s">
        <v>3063</v>
      </c>
      <c r="AA546" t="s">
        <v>3079</v>
      </c>
    </row>
    <row r="547" spans="1:27" x14ac:dyDescent="0.3">
      <c r="A547" t="s">
        <v>2260</v>
      </c>
      <c r="B547" s="7">
        <v>45146</v>
      </c>
      <c r="C547" t="s">
        <v>40</v>
      </c>
      <c r="D547" t="s">
        <v>21</v>
      </c>
      <c r="E547" t="s">
        <v>42</v>
      </c>
      <c r="F547" t="s">
        <v>33</v>
      </c>
      <c r="G547" t="s">
        <v>92</v>
      </c>
      <c r="H547" t="s">
        <v>93</v>
      </c>
      <c r="I547" t="s">
        <v>510</v>
      </c>
      <c r="J547">
        <v>1</v>
      </c>
      <c r="K547">
        <v>76024</v>
      </c>
      <c r="L547">
        <v>0.13</v>
      </c>
      <c r="M547">
        <v>66140.88</v>
      </c>
      <c r="N547">
        <v>66140.88</v>
      </c>
      <c r="O547">
        <v>0.15</v>
      </c>
      <c r="P547">
        <v>9921.1299999999992</v>
      </c>
      <c r="Q547" t="s">
        <v>27</v>
      </c>
      <c r="R547" t="s">
        <v>48</v>
      </c>
      <c r="S547">
        <v>4</v>
      </c>
      <c r="T547">
        <v>2023</v>
      </c>
      <c r="U547" t="s">
        <v>3075</v>
      </c>
      <c r="V547">
        <v>8</v>
      </c>
      <c r="W547" t="s">
        <v>3109</v>
      </c>
      <c r="X547">
        <v>56219.750000000007</v>
      </c>
      <c r="Y547" t="s">
        <v>3062</v>
      </c>
      <c r="Z547" t="s">
        <v>3063</v>
      </c>
      <c r="AA547" t="s">
        <v>3079</v>
      </c>
    </row>
    <row r="548" spans="1:27" x14ac:dyDescent="0.3">
      <c r="A548" t="s">
        <v>2377</v>
      </c>
      <c r="B548" s="7">
        <v>45263</v>
      </c>
      <c r="C548" t="s">
        <v>30</v>
      </c>
      <c r="D548" t="s">
        <v>31</v>
      </c>
      <c r="E548" t="s">
        <v>2042</v>
      </c>
      <c r="F548" t="s">
        <v>23</v>
      </c>
      <c r="G548" t="s">
        <v>92</v>
      </c>
      <c r="H548" t="s">
        <v>178</v>
      </c>
      <c r="I548" t="s">
        <v>742</v>
      </c>
      <c r="J548">
        <v>2</v>
      </c>
      <c r="K548">
        <v>44084</v>
      </c>
      <c r="L548">
        <v>0.25</v>
      </c>
      <c r="M548">
        <v>33063</v>
      </c>
      <c r="N548">
        <v>66126</v>
      </c>
      <c r="O548">
        <v>0.15</v>
      </c>
      <c r="P548">
        <v>9918.9</v>
      </c>
      <c r="Q548" t="s">
        <v>37</v>
      </c>
      <c r="R548" t="s">
        <v>48</v>
      </c>
      <c r="S548">
        <v>6</v>
      </c>
      <c r="T548">
        <v>2023</v>
      </c>
      <c r="U548" t="s">
        <v>3086</v>
      </c>
      <c r="V548">
        <v>12</v>
      </c>
      <c r="W548" t="s">
        <v>3099</v>
      </c>
      <c r="X548">
        <v>56207.1</v>
      </c>
      <c r="Y548" t="s">
        <v>3062</v>
      </c>
      <c r="Z548" t="s">
        <v>3063</v>
      </c>
      <c r="AA548" t="s">
        <v>3079</v>
      </c>
    </row>
    <row r="549" spans="1:27" x14ac:dyDescent="0.3">
      <c r="A549" t="s">
        <v>3036</v>
      </c>
      <c r="B549" s="7">
        <v>45922</v>
      </c>
      <c r="C549" t="s">
        <v>63</v>
      </c>
      <c r="D549" t="s">
        <v>41</v>
      </c>
      <c r="E549" t="s">
        <v>67</v>
      </c>
      <c r="F549" t="s">
        <v>33</v>
      </c>
      <c r="G549" t="s">
        <v>57</v>
      </c>
      <c r="H549" t="s">
        <v>183</v>
      </c>
      <c r="I549" t="s">
        <v>2030</v>
      </c>
      <c r="J549">
        <v>4</v>
      </c>
      <c r="K549">
        <v>9239</v>
      </c>
      <c r="L549">
        <v>0.14000000000000001</v>
      </c>
      <c r="M549">
        <v>7945.54</v>
      </c>
      <c r="N549">
        <v>31782.16</v>
      </c>
      <c r="O549">
        <v>0.2</v>
      </c>
      <c r="P549">
        <v>6356.43</v>
      </c>
      <c r="Q549" t="s">
        <v>51</v>
      </c>
      <c r="R549" t="s">
        <v>48</v>
      </c>
      <c r="S549">
        <v>5</v>
      </c>
      <c r="T549">
        <v>2025</v>
      </c>
      <c r="U549" t="s">
        <v>3097</v>
      </c>
      <c r="V549">
        <v>9</v>
      </c>
      <c r="W549" t="s">
        <v>3110</v>
      </c>
      <c r="X549">
        <v>25425.73</v>
      </c>
      <c r="Y549" t="s">
        <v>3062</v>
      </c>
      <c r="Z549" t="s">
        <v>3063</v>
      </c>
      <c r="AA549" t="s">
        <v>3079</v>
      </c>
    </row>
    <row r="550" spans="1:27" x14ac:dyDescent="0.3">
      <c r="A550" t="s">
        <v>2743</v>
      </c>
      <c r="B550" s="7">
        <v>45629</v>
      </c>
      <c r="C550" t="s">
        <v>63</v>
      </c>
      <c r="D550" t="s">
        <v>41</v>
      </c>
      <c r="E550" t="s">
        <v>2040</v>
      </c>
      <c r="F550" t="s">
        <v>23</v>
      </c>
      <c r="G550" t="s">
        <v>57</v>
      </c>
      <c r="H550" t="s">
        <v>100</v>
      </c>
      <c r="I550" t="s">
        <v>1462</v>
      </c>
      <c r="J550">
        <v>2</v>
      </c>
      <c r="K550">
        <v>16571</v>
      </c>
      <c r="L550">
        <v>0.04</v>
      </c>
      <c r="M550">
        <v>15908.16</v>
      </c>
      <c r="N550">
        <v>31816.32</v>
      </c>
      <c r="O550">
        <v>0.2</v>
      </c>
      <c r="P550">
        <v>6363.26</v>
      </c>
      <c r="Q550" t="s">
        <v>27</v>
      </c>
      <c r="R550" t="s">
        <v>48</v>
      </c>
      <c r="S550">
        <v>9</v>
      </c>
      <c r="T550">
        <v>2024</v>
      </c>
      <c r="U550" t="s">
        <v>3086</v>
      </c>
      <c r="V550">
        <v>12</v>
      </c>
      <c r="W550" t="s">
        <v>3087</v>
      </c>
      <c r="X550">
        <v>25453.059999999998</v>
      </c>
      <c r="Y550" t="s">
        <v>3077</v>
      </c>
      <c r="Z550" t="s">
        <v>3063</v>
      </c>
      <c r="AA550" t="s">
        <v>3079</v>
      </c>
    </row>
    <row r="551" spans="1:27" x14ac:dyDescent="0.3">
      <c r="A551" t="s">
        <v>2931</v>
      </c>
      <c r="B551" s="7">
        <v>45817</v>
      </c>
      <c r="C551" t="s">
        <v>55</v>
      </c>
      <c r="D551" t="s">
        <v>56</v>
      </c>
      <c r="E551" t="s">
        <v>2042</v>
      </c>
      <c r="F551" t="s">
        <v>43</v>
      </c>
      <c r="G551" t="s">
        <v>57</v>
      </c>
      <c r="H551" t="s">
        <v>58</v>
      </c>
      <c r="I551" t="s">
        <v>1831</v>
      </c>
      <c r="J551">
        <v>7</v>
      </c>
      <c r="K551">
        <v>4643</v>
      </c>
      <c r="L551">
        <v>0.02</v>
      </c>
      <c r="M551">
        <v>4550.1400000000003</v>
      </c>
      <c r="N551">
        <v>31850.98</v>
      </c>
      <c r="O551">
        <v>0.2</v>
      </c>
      <c r="P551">
        <v>6370.2</v>
      </c>
      <c r="Q551" t="s">
        <v>37</v>
      </c>
      <c r="R551" t="s">
        <v>48</v>
      </c>
      <c r="S551">
        <v>5</v>
      </c>
      <c r="T551">
        <v>2025</v>
      </c>
      <c r="U551" t="s">
        <v>3073</v>
      </c>
      <c r="V551">
        <v>6</v>
      </c>
      <c r="W551" t="s">
        <v>3083</v>
      </c>
      <c r="X551">
        <v>25480.78</v>
      </c>
      <c r="Y551" t="s">
        <v>3062</v>
      </c>
      <c r="Z551" t="s">
        <v>3063</v>
      </c>
      <c r="AA551" t="s">
        <v>3079</v>
      </c>
    </row>
    <row r="552" spans="1:27" x14ac:dyDescent="0.3">
      <c r="A552" t="s">
        <v>2675</v>
      </c>
      <c r="B552" s="7">
        <v>45561</v>
      </c>
      <c r="C552" t="s">
        <v>55</v>
      </c>
      <c r="D552" t="s">
        <v>31</v>
      </c>
      <c r="E552" t="s">
        <v>42</v>
      </c>
      <c r="F552" t="s">
        <v>103</v>
      </c>
      <c r="G552" t="s">
        <v>92</v>
      </c>
      <c r="H552" t="s">
        <v>109</v>
      </c>
      <c r="I552" t="s">
        <v>1330</v>
      </c>
      <c r="J552">
        <v>3</v>
      </c>
      <c r="K552">
        <v>26531</v>
      </c>
      <c r="L552">
        <v>0.17</v>
      </c>
      <c r="M552">
        <v>22020.73</v>
      </c>
      <c r="N552">
        <v>66062.19</v>
      </c>
      <c r="O552">
        <v>0.15</v>
      </c>
      <c r="P552">
        <v>9909.33</v>
      </c>
      <c r="Q552" t="s">
        <v>27</v>
      </c>
      <c r="R552" t="s">
        <v>48</v>
      </c>
      <c r="S552">
        <v>7</v>
      </c>
      <c r="T552">
        <v>2024</v>
      </c>
      <c r="U552" t="s">
        <v>3097</v>
      </c>
      <c r="V552">
        <v>9</v>
      </c>
      <c r="W552" t="s">
        <v>3098</v>
      </c>
      <c r="X552">
        <v>56152.86</v>
      </c>
      <c r="Y552" t="s">
        <v>3062</v>
      </c>
      <c r="Z552" t="s">
        <v>3063</v>
      </c>
      <c r="AA552" t="s">
        <v>3079</v>
      </c>
    </row>
    <row r="553" spans="1:27" x14ac:dyDescent="0.3">
      <c r="A553" t="s">
        <v>2846</v>
      </c>
      <c r="B553" s="7">
        <v>45732</v>
      </c>
      <c r="C553" t="s">
        <v>96</v>
      </c>
      <c r="D553" t="s">
        <v>21</v>
      </c>
      <c r="E553" t="s">
        <v>2042</v>
      </c>
      <c r="F553" t="s">
        <v>97</v>
      </c>
      <c r="G553" t="s">
        <v>57</v>
      </c>
      <c r="H553" t="s">
        <v>81</v>
      </c>
      <c r="I553" t="s">
        <v>1663</v>
      </c>
      <c r="J553">
        <v>5</v>
      </c>
      <c r="K553">
        <v>7469</v>
      </c>
      <c r="L553">
        <v>0.14000000000000001</v>
      </c>
      <c r="M553">
        <v>6423.34</v>
      </c>
      <c r="N553">
        <v>32116.7</v>
      </c>
      <c r="O553">
        <v>0.2</v>
      </c>
      <c r="P553">
        <v>6423.34</v>
      </c>
      <c r="Q553" t="s">
        <v>51</v>
      </c>
      <c r="R553" t="s">
        <v>48</v>
      </c>
      <c r="S553">
        <v>8</v>
      </c>
      <c r="T553">
        <v>2025</v>
      </c>
      <c r="U553" t="s">
        <v>3069</v>
      </c>
      <c r="V553">
        <v>3</v>
      </c>
      <c r="W553" t="s">
        <v>3070</v>
      </c>
      <c r="X553">
        <v>25693.360000000001</v>
      </c>
      <c r="Y553" t="s">
        <v>3077</v>
      </c>
      <c r="Z553" t="s">
        <v>3063</v>
      </c>
      <c r="AA553" t="s">
        <v>3079</v>
      </c>
    </row>
    <row r="554" spans="1:27" x14ac:dyDescent="0.3">
      <c r="A554" t="s">
        <v>2399</v>
      </c>
      <c r="B554" s="7">
        <v>45285</v>
      </c>
      <c r="C554" t="s">
        <v>30</v>
      </c>
      <c r="D554" t="s">
        <v>31</v>
      </c>
      <c r="E554" t="s">
        <v>2040</v>
      </c>
      <c r="F554" t="s">
        <v>97</v>
      </c>
      <c r="G554" t="s">
        <v>92</v>
      </c>
      <c r="H554" t="s">
        <v>178</v>
      </c>
      <c r="I554" t="s">
        <v>784</v>
      </c>
      <c r="J554">
        <v>1</v>
      </c>
      <c r="K554">
        <v>50390</v>
      </c>
      <c r="L554">
        <v>0.15</v>
      </c>
      <c r="M554">
        <v>42831.5</v>
      </c>
      <c r="N554">
        <v>42831.5</v>
      </c>
      <c r="O554">
        <v>0.15</v>
      </c>
      <c r="P554">
        <v>6424.72</v>
      </c>
      <c r="Q554" t="s">
        <v>37</v>
      </c>
      <c r="R554" t="s">
        <v>48</v>
      </c>
      <c r="S554">
        <v>6</v>
      </c>
      <c r="T554">
        <v>2023</v>
      </c>
      <c r="U554" t="s">
        <v>3086</v>
      </c>
      <c r="V554">
        <v>12</v>
      </c>
      <c r="W554" t="s">
        <v>3099</v>
      </c>
      <c r="X554">
        <v>36406.78</v>
      </c>
      <c r="Y554" t="s">
        <v>3062</v>
      </c>
      <c r="Z554" t="s">
        <v>3063</v>
      </c>
      <c r="AA554" t="s">
        <v>3079</v>
      </c>
    </row>
    <row r="555" spans="1:27" x14ac:dyDescent="0.3">
      <c r="A555" t="s">
        <v>2987</v>
      </c>
      <c r="B555" s="7">
        <v>45873</v>
      </c>
      <c r="C555" t="s">
        <v>30</v>
      </c>
      <c r="D555" t="s">
        <v>31</v>
      </c>
      <c r="E555" t="s">
        <v>67</v>
      </c>
      <c r="F555" t="s">
        <v>97</v>
      </c>
      <c r="G555" t="s">
        <v>57</v>
      </c>
      <c r="H555" t="s">
        <v>100</v>
      </c>
      <c r="I555" t="s">
        <v>1936</v>
      </c>
      <c r="J555">
        <v>5</v>
      </c>
      <c r="K555">
        <v>10535</v>
      </c>
      <c r="L555">
        <v>7.0000000000000007E-2</v>
      </c>
      <c r="M555">
        <v>9797.5499999999993</v>
      </c>
      <c r="N555">
        <v>48987.75</v>
      </c>
      <c r="O555">
        <v>0.2</v>
      </c>
      <c r="P555">
        <v>9797.5499999999993</v>
      </c>
      <c r="Q555" t="s">
        <v>47</v>
      </c>
      <c r="R555" t="s">
        <v>48</v>
      </c>
      <c r="S555">
        <v>6</v>
      </c>
      <c r="T555">
        <v>2025</v>
      </c>
      <c r="U555" t="s">
        <v>3075</v>
      </c>
      <c r="V555">
        <v>8</v>
      </c>
      <c r="W555" t="s">
        <v>3076</v>
      </c>
      <c r="X555">
        <v>39190.199999999997</v>
      </c>
      <c r="Y555" t="s">
        <v>3062</v>
      </c>
      <c r="Z555" t="s">
        <v>3063</v>
      </c>
      <c r="AA555" t="s">
        <v>3079</v>
      </c>
    </row>
    <row r="556" spans="1:27" x14ac:dyDescent="0.3">
      <c r="A556" t="s">
        <v>2774</v>
      </c>
      <c r="B556" s="7">
        <v>45660</v>
      </c>
      <c r="C556" t="s">
        <v>20</v>
      </c>
      <c r="D556" t="s">
        <v>31</v>
      </c>
      <c r="E556" t="s">
        <v>67</v>
      </c>
      <c r="F556" t="s">
        <v>97</v>
      </c>
      <c r="G556" t="s">
        <v>57</v>
      </c>
      <c r="H556" t="s">
        <v>58</v>
      </c>
      <c r="I556" t="s">
        <v>1522</v>
      </c>
      <c r="J556">
        <v>4</v>
      </c>
      <c r="K556">
        <v>10553</v>
      </c>
      <c r="L556">
        <v>0.23</v>
      </c>
      <c r="M556">
        <v>8125.81</v>
      </c>
      <c r="N556">
        <v>32503.24</v>
      </c>
      <c r="O556">
        <v>0.2</v>
      </c>
      <c r="P556">
        <v>6500.65</v>
      </c>
      <c r="Q556" t="s">
        <v>37</v>
      </c>
      <c r="R556" t="s">
        <v>38</v>
      </c>
      <c r="S556">
        <v>7</v>
      </c>
      <c r="T556">
        <v>2025</v>
      </c>
      <c r="U556" t="s">
        <v>3071</v>
      </c>
      <c r="V556">
        <v>1</v>
      </c>
      <c r="W556" t="s">
        <v>3072</v>
      </c>
      <c r="X556">
        <v>26002.590000000004</v>
      </c>
      <c r="Y556" t="s">
        <v>3062</v>
      </c>
      <c r="Z556" t="s">
        <v>3063</v>
      </c>
      <c r="AA556" t="s">
        <v>3079</v>
      </c>
    </row>
    <row r="557" spans="1:27" x14ac:dyDescent="0.3">
      <c r="A557" t="s">
        <v>2904</v>
      </c>
      <c r="B557" s="7">
        <v>45790</v>
      </c>
      <c r="C557" t="s">
        <v>55</v>
      </c>
      <c r="D557" t="s">
        <v>56</v>
      </c>
      <c r="E557" t="s">
        <v>42</v>
      </c>
      <c r="F557" t="s">
        <v>43</v>
      </c>
      <c r="G557" t="s">
        <v>57</v>
      </c>
      <c r="H557" t="s">
        <v>58</v>
      </c>
      <c r="I557" t="s">
        <v>1778</v>
      </c>
      <c r="J557">
        <v>4</v>
      </c>
      <c r="K557">
        <v>15493</v>
      </c>
      <c r="L557">
        <v>0.21</v>
      </c>
      <c r="M557">
        <v>12239.47</v>
      </c>
      <c r="N557">
        <v>48957.88</v>
      </c>
      <c r="O557">
        <v>0.2</v>
      </c>
      <c r="P557">
        <v>9791.58</v>
      </c>
      <c r="Q557" t="s">
        <v>51</v>
      </c>
      <c r="R557" t="s">
        <v>48</v>
      </c>
      <c r="S557">
        <v>5</v>
      </c>
      <c r="T557">
        <v>2025</v>
      </c>
      <c r="U557" t="s">
        <v>3091</v>
      </c>
      <c r="V557">
        <v>5</v>
      </c>
      <c r="W557" t="s">
        <v>3106</v>
      </c>
      <c r="X557">
        <v>39166.299999999996</v>
      </c>
      <c r="Y557" t="s">
        <v>3062</v>
      </c>
      <c r="Z557" t="s">
        <v>3063</v>
      </c>
      <c r="AA557" t="s">
        <v>3079</v>
      </c>
    </row>
    <row r="558" spans="1:27" x14ac:dyDescent="0.3">
      <c r="A558" t="s">
        <v>2084</v>
      </c>
      <c r="B558" s="7">
        <v>44970</v>
      </c>
      <c r="C558" t="s">
        <v>63</v>
      </c>
      <c r="D558" t="s">
        <v>31</v>
      </c>
      <c r="E558" t="s">
        <v>2042</v>
      </c>
      <c r="F558" t="s">
        <v>103</v>
      </c>
      <c r="G558" t="s">
        <v>57</v>
      </c>
      <c r="H558" t="s">
        <v>81</v>
      </c>
      <c r="I558" t="s">
        <v>154</v>
      </c>
      <c r="J558">
        <v>6</v>
      </c>
      <c r="K558">
        <v>6644</v>
      </c>
      <c r="L558">
        <v>0.17</v>
      </c>
      <c r="M558">
        <v>5514.52</v>
      </c>
      <c r="N558">
        <v>33087.120000000003</v>
      </c>
      <c r="O558">
        <v>0.2</v>
      </c>
      <c r="P558">
        <v>6617.42</v>
      </c>
      <c r="Q558" t="s">
        <v>47</v>
      </c>
      <c r="R558" t="s">
        <v>48</v>
      </c>
      <c r="S558">
        <v>3</v>
      </c>
      <c r="T558">
        <v>2023</v>
      </c>
      <c r="U558" t="s">
        <v>3084</v>
      </c>
      <c r="V558">
        <v>2</v>
      </c>
      <c r="W558" t="s">
        <v>3108</v>
      </c>
      <c r="X558">
        <v>26469.700000000004</v>
      </c>
      <c r="Y558" t="s">
        <v>3067</v>
      </c>
      <c r="Z558" t="s">
        <v>3063</v>
      </c>
      <c r="AA558" t="s">
        <v>3079</v>
      </c>
    </row>
    <row r="559" spans="1:27" x14ac:dyDescent="0.3">
      <c r="A559" t="s">
        <v>2933</v>
      </c>
      <c r="B559" s="7">
        <v>45819</v>
      </c>
      <c r="C559" t="s">
        <v>20</v>
      </c>
      <c r="D559" t="s">
        <v>21</v>
      </c>
      <c r="E559" t="s">
        <v>2042</v>
      </c>
      <c r="F559" t="s">
        <v>68</v>
      </c>
      <c r="G559" t="s">
        <v>57</v>
      </c>
      <c r="H559" t="s">
        <v>81</v>
      </c>
      <c r="I559" t="s">
        <v>1316</v>
      </c>
      <c r="J559">
        <v>2</v>
      </c>
      <c r="K559">
        <v>19258</v>
      </c>
      <c r="L559">
        <v>0.14000000000000001</v>
      </c>
      <c r="M559">
        <v>16561.88</v>
      </c>
      <c r="N559">
        <v>33123.760000000002</v>
      </c>
      <c r="O559">
        <v>0.2</v>
      </c>
      <c r="P559">
        <v>6624.75</v>
      </c>
      <c r="Q559" t="s">
        <v>37</v>
      </c>
      <c r="R559" t="s">
        <v>38</v>
      </c>
      <c r="S559">
        <v>1</v>
      </c>
      <c r="T559">
        <v>2025</v>
      </c>
      <c r="U559" t="s">
        <v>3073</v>
      </c>
      <c r="V559">
        <v>6</v>
      </c>
      <c r="W559" t="s">
        <v>3083</v>
      </c>
      <c r="X559">
        <v>26499.010000000002</v>
      </c>
      <c r="Y559" t="s">
        <v>3067</v>
      </c>
      <c r="Z559" t="s">
        <v>3063</v>
      </c>
      <c r="AA559" t="s">
        <v>3079</v>
      </c>
    </row>
    <row r="560" spans="1:27" x14ac:dyDescent="0.3">
      <c r="A560" t="s">
        <v>2231</v>
      </c>
      <c r="B560" s="7">
        <v>45117</v>
      </c>
      <c r="C560" t="s">
        <v>40</v>
      </c>
      <c r="D560" t="s">
        <v>31</v>
      </c>
      <c r="E560" t="s">
        <v>2042</v>
      </c>
      <c r="F560" t="s">
        <v>43</v>
      </c>
      <c r="G560" t="s">
        <v>57</v>
      </c>
      <c r="H560" t="s">
        <v>100</v>
      </c>
      <c r="I560" t="s">
        <v>452</v>
      </c>
      <c r="J560">
        <v>4</v>
      </c>
      <c r="K560">
        <v>14373</v>
      </c>
      <c r="L560">
        <v>0.16</v>
      </c>
      <c r="M560">
        <v>12073.32</v>
      </c>
      <c r="N560">
        <v>48293.279999999999</v>
      </c>
      <c r="O560">
        <v>0.2</v>
      </c>
      <c r="P560">
        <v>9658.66</v>
      </c>
      <c r="Q560" t="s">
        <v>37</v>
      </c>
      <c r="R560" t="s">
        <v>48</v>
      </c>
      <c r="S560">
        <v>7</v>
      </c>
      <c r="T560">
        <v>2023</v>
      </c>
      <c r="U560" t="s">
        <v>3088</v>
      </c>
      <c r="V560">
        <v>7</v>
      </c>
      <c r="W560" t="s">
        <v>3111</v>
      </c>
      <c r="X560">
        <v>38634.619999999995</v>
      </c>
      <c r="Y560" t="s">
        <v>3062</v>
      </c>
      <c r="Z560" t="s">
        <v>3063</v>
      </c>
      <c r="AA560" t="s">
        <v>3079</v>
      </c>
    </row>
    <row r="561" spans="1:27" x14ac:dyDescent="0.3">
      <c r="A561" t="s">
        <v>2365</v>
      </c>
      <c r="B561" s="7">
        <v>45251</v>
      </c>
      <c r="C561" t="s">
        <v>30</v>
      </c>
      <c r="D561" t="s">
        <v>41</v>
      </c>
      <c r="E561" t="s">
        <v>67</v>
      </c>
      <c r="F561" t="s">
        <v>43</v>
      </c>
      <c r="G561" t="s">
        <v>92</v>
      </c>
      <c r="H561" t="s">
        <v>178</v>
      </c>
      <c r="I561" t="s">
        <v>718</v>
      </c>
      <c r="J561">
        <v>2</v>
      </c>
      <c r="K561">
        <v>33669</v>
      </c>
      <c r="L561">
        <v>0.05</v>
      </c>
      <c r="M561">
        <v>31985.55</v>
      </c>
      <c r="N561">
        <v>63971.1</v>
      </c>
      <c r="O561">
        <v>0.15</v>
      </c>
      <c r="P561">
        <v>9595.66</v>
      </c>
      <c r="Q561" t="s">
        <v>27</v>
      </c>
      <c r="R561" t="s">
        <v>38</v>
      </c>
      <c r="S561">
        <v>4</v>
      </c>
      <c r="T561">
        <v>2023</v>
      </c>
      <c r="U561" t="s">
        <v>3060</v>
      </c>
      <c r="V561">
        <v>11</v>
      </c>
      <c r="W561" t="s">
        <v>3061</v>
      </c>
      <c r="X561">
        <v>54375.44</v>
      </c>
      <c r="Y561" t="s">
        <v>3062</v>
      </c>
      <c r="Z561" t="s">
        <v>3063</v>
      </c>
      <c r="AA561" t="s">
        <v>3079</v>
      </c>
    </row>
    <row r="562" spans="1:27" x14ac:dyDescent="0.3">
      <c r="A562" t="s">
        <v>3018</v>
      </c>
      <c r="B562" s="7">
        <v>45904</v>
      </c>
      <c r="C562" t="s">
        <v>20</v>
      </c>
      <c r="D562" t="s">
        <v>31</v>
      </c>
      <c r="E562" t="s">
        <v>2040</v>
      </c>
      <c r="F562" t="s">
        <v>103</v>
      </c>
      <c r="G562" t="s">
        <v>57</v>
      </c>
      <c r="H562" t="s">
        <v>58</v>
      </c>
      <c r="I562" t="s">
        <v>1995</v>
      </c>
      <c r="J562">
        <v>4</v>
      </c>
      <c r="K562">
        <v>12183</v>
      </c>
      <c r="L562">
        <v>0.02</v>
      </c>
      <c r="M562">
        <v>11939.34</v>
      </c>
      <c r="N562">
        <v>47757.36</v>
      </c>
      <c r="O562">
        <v>0.2</v>
      </c>
      <c r="P562">
        <v>9551.4699999999993</v>
      </c>
      <c r="Q562" t="s">
        <v>27</v>
      </c>
      <c r="R562" t="s">
        <v>48</v>
      </c>
      <c r="S562">
        <v>7</v>
      </c>
      <c r="T562">
        <v>2025</v>
      </c>
      <c r="U562" t="s">
        <v>3097</v>
      </c>
      <c r="V562">
        <v>9</v>
      </c>
      <c r="W562" t="s">
        <v>3110</v>
      </c>
      <c r="X562">
        <v>38205.89</v>
      </c>
      <c r="Y562" t="s">
        <v>3062</v>
      </c>
      <c r="Z562" t="s">
        <v>3063</v>
      </c>
      <c r="AA562" t="s">
        <v>3079</v>
      </c>
    </row>
    <row r="563" spans="1:27" x14ac:dyDescent="0.3">
      <c r="A563" t="s">
        <v>2229</v>
      </c>
      <c r="B563" s="7">
        <v>45115</v>
      </c>
      <c r="C563" t="s">
        <v>40</v>
      </c>
      <c r="D563" t="s">
        <v>56</v>
      </c>
      <c r="E563" t="s">
        <v>2042</v>
      </c>
      <c r="F563" t="s">
        <v>103</v>
      </c>
      <c r="G563" t="s">
        <v>92</v>
      </c>
      <c r="H563" t="s">
        <v>243</v>
      </c>
      <c r="I563" t="s">
        <v>448</v>
      </c>
      <c r="J563">
        <v>3</v>
      </c>
      <c r="K563">
        <v>23669</v>
      </c>
      <c r="L563">
        <v>0.11</v>
      </c>
      <c r="M563">
        <v>21065.41</v>
      </c>
      <c r="N563">
        <v>63196.23</v>
      </c>
      <c r="O563">
        <v>0.15</v>
      </c>
      <c r="P563">
        <v>9479.43</v>
      </c>
      <c r="Q563" t="s">
        <v>47</v>
      </c>
      <c r="R563" t="s">
        <v>48</v>
      </c>
      <c r="S563">
        <v>8</v>
      </c>
      <c r="T563">
        <v>2023</v>
      </c>
      <c r="U563" t="s">
        <v>3088</v>
      </c>
      <c r="V563">
        <v>7</v>
      </c>
      <c r="W563" t="s">
        <v>3111</v>
      </c>
      <c r="X563">
        <v>53716.800000000003</v>
      </c>
      <c r="Y563" t="s">
        <v>3077</v>
      </c>
      <c r="Z563" t="s">
        <v>3063</v>
      </c>
      <c r="AA563" t="s">
        <v>3079</v>
      </c>
    </row>
    <row r="564" spans="1:27" x14ac:dyDescent="0.3">
      <c r="A564" t="s">
        <v>2466</v>
      </c>
      <c r="B564" s="7">
        <v>45352</v>
      </c>
      <c r="C564" t="s">
        <v>20</v>
      </c>
      <c r="D564" t="s">
        <v>31</v>
      </c>
      <c r="E564" t="s">
        <v>2040</v>
      </c>
      <c r="F564" t="s">
        <v>68</v>
      </c>
      <c r="G564" t="s">
        <v>57</v>
      </c>
      <c r="H564" t="s">
        <v>183</v>
      </c>
      <c r="I564" t="s">
        <v>918</v>
      </c>
      <c r="J564">
        <v>4</v>
      </c>
      <c r="K564">
        <v>9123</v>
      </c>
      <c r="L564">
        <v>0.08</v>
      </c>
      <c r="M564">
        <v>8393.16</v>
      </c>
      <c r="N564">
        <v>33572.639999999999</v>
      </c>
      <c r="O564">
        <v>0.2</v>
      </c>
      <c r="P564">
        <v>6714.53</v>
      </c>
      <c r="Q564" t="s">
        <v>47</v>
      </c>
      <c r="R564" t="s">
        <v>48</v>
      </c>
      <c r="S564">
        <v>3</v>
      </c>
      <c r="T564">
        <v>2024</v>
      </c>
      <c r="U564" t="s">
        <v>3069</v>
      </c>
      <c r="V564">
        <v>3</v>
      </c>
      <c r="W564" t="s">
        <v>3101</v>
      </c>
      <c r="X564">
        <v>26858.11</v>
      </c>
      <c r="Y564" t="s">
        <v>3067</v>
      </c>
      <c r="Z564" t="s">
        <v>3063</v>
      </c>
      <c r="AA564" t="s">
        <v>3079</v>
      </c>
    </row>
    <row r="565" spans="1:27" x14ac:dyDescent="0.3">
      <c r="A565" t="s">
        <v>2815</v>
      </c>
      <c r="B565" s="7">
        <v>45701</v>
      </c>
      <c r="C565" t="s">
        <v>30</v>
      </c>
      <c r="D565" t="s">
        <v>41</v>
      </c>
      <c r="E565" t="s">
        <v>67</v>
      </c>
      <c r="F565" t="s">
        <v>97</v>
      </c>
      <c r="G565" t="s">
        <v>57</v>
      </c>
      <c r="H565" t="s">
        <v>183</v>
      </c>
      <c r="I565" t="s">
        <v>1602</v>
      </c>
      <c r="J565">
        <v>5</v>
      </c>
      <c r="K565">
        <v>7891</v>
      </c>
      <c r="L565">
        <v>0.14000000000000001</v>
      </c>
      <c r="M565">
        <v>6786.26</v>
      </c>
      <c r="N565">
        <v>33931.300000000003</v>
      </c>
      <c r="O565">
        <v>0.2</v>
      </c>
      <c r="P565">
        <v>6786.26</v>
      </c>
      <c r="Q565" t="s">
        <v>47</v>
      </c>
      <c r="R565" t="s">
        <v>48</v>
      </c>
      <c r="S565">
        <v>6</v>
      </c>
      <c r="T565">
        <v>2025</v>
      </c>
      <c r="U565" t="s">
        <v>3084</v>
      </c>
      <c r="V565">
        <v>2</v>
      </c>
      <c r="W565" t="s">
        <v>3090</v>
      </c>
      <c r="X565">
        <v>27145.040000000001</v>
      </c>
      <c r="Y565" t="s">
        <v>3062</v>
      </c>
      <c r="Z565" t="s">
        <v>3063</v>
      </c>
      <c r="AA565" t="s">
        <v>3079</v>
      </c>
    </row>
    <row r="566" spans="1:27" x14ac:dyDescent="0.3">
      <c r="A566" t="s">
        <v>2582</v>
      </c>
      <c r="B566" s="7">
        <v>45468</v>
      </c>
      <c r="C566" t="s">
        <v>63</v>
      </c>
      <c r="D566" t="s">
        <v>31</v>
      </c>
      <c r="E566" t="s">
        <v>2042</v>
      </c>
      <c r="F566" t="s">
        <v>23</v>
      </c>
      <c r="G566" t="s">
        <v>57</v>
      </c>
      <c r="H566" t="s">
        <v>58</v>
      </c>
      <c r="I566" t="s">
        <v>1146</v>
      </c>
      <c r="J566">
        <v>5</v>
      </c>
      <c r="K566">
        <v>12340</v>
      </c>
      <c r="L566">
        <v>0.24</v>
      </c>
      <c r="M566">
        <v>9378.4</v>
      </c>
      <c r="N566">
        <v>46892</v>
      </c>
      <c r="O566">
        <v>0.2</v>
      </c>
      <c r="P566">
        <v>9378.4</v>
      </c>
      <c r="Q566" t="s">
        <v>47</v>
      </c>
      <c r="R566" t="s">
        <v>48</v>
      </c>
      <c r="S566">
        <v>5</v>
      </c>
      <c r="T566">
        <v>2024</v>
      </c>
      <c r="U566" t="s">
        <v>3073</v>
      </c>
      <c r="V566">
        <v>6</v>
      </c>
      <c r="W566" t="s">
        <v>3074</v>
      </c>
      <c r="X566">
        <v>37513.599999999999</v>
      </c>
      <c r="Y566" t="s">
        <v>3062</v>
      </c>
      <c r="Z566" t="s">
        <v>3063</v>
      </c>
      <c r="AA566" t="s">
        <v>3079</v>
      </c>
    </row>
    <row r="567" spans="1:27" x14ac:dyDescent="0.3">
      <c r="A567" t="s">
        <v>2572</v>
      </c>
      <c r="B567" s="7">
        <v>45458</v>
      </c>
      <c r="C567" t="s">
        <v>40</v>
      </c>
      <c r="D567" t="s">
        <v>21</v>
      </c>
      <c r="E567" t="s">
        <v>42</v>
      </c>
      <c r="F567" t="s">
        <v>23</v>
      </c>
      <c r="G567" t="s">
        <v>57</v>
      </c>
      <c r="H567" t="s">
        <v>58</v>
      </c>
      <c r="I567" t="s">
        <v>1127</v>
      </c>
      <c r="J567">
        <v>8</v>
      </c>
      <c r="K567">
        <v>7448</v>
      </c>
      <c r="L567">
        <v>0.22</v>
      </c>
      <c r="M567">
        <v>5809.44</v>
      </c>
      <c r="N567">
        <v>46475.519999999997</v>
      </c>
      <c r="O567">
        <v>0.2</v>
      </c>
      <c r="P567">
        <v>9295.1</v>
      </c>
      <c r="Q567" t="s">
        <v>37</v>
      </c>
      <c r="R567" t="s">
        <v>48</v>
      </c>
      <c r="S567">
        <v>4</v>
      </c>
      <c r="T567">
        <v>2024</v>
      </c>
      <c r="U567" t="s">
        <v>3073</v>
      </c>
      <c r="V567">
        <v>6</v>
      </c>
      <c r="W567" t="s">
        <v>3074</v>
      </c>
      <c r="X567">
        <v>37180.42</v>
      </c>
      <c r="Y567" t="s">
        <v>3062</v>
      </c>
      <c r="Z567" t="s">
        <v>3063</v>
      </c>
      <c r="AA567" t="s">
        <v>3079</v>
      </c>
    </row>
    <row r="568" spans="1:27" x14ac:dyDescent="0.3">
      <c r="A568" t="s">
        <v>2736</v>
      </c>
      <c r="B568" s="7">
        <v>45622</v>
      </c>
      <c r="C568" t="s">
        <v>63</v>
      </c>
      <c r="D568" t="s">
        <v>31</v>
      </c>
      <c r="E568" t="s">
        <v>2040</v>
      </c>
      <c r="F568" t="s">
        <v>33</v>
      </c>
      <c r="G568" t="s">
        <v>57</v>
      </c>
      <c r="H568" t="s">
        <v>58</v>
      </c>
      <c r="I568" t="s">
        <v>1448</v>
      </c>
      <c r="J568">
        <v>4</v>
      </c>
      <c r="K568">
        <v>13182</v>
      </c>
      <c r="L568">
        <v>0.13</v>
      </c>
      <c r="M568">
        <v>11468.34</v>
      </c>
      <c r="N568">
        <v>45873.36</v>
      </c>
      <c r="O568">
        <v>0.2</v>
      </c>
      <c r="P568">
        <v>9174.67</v>
      </c>
      <c r="Q568" t="s">
        <v>51</v>
      </c>
      <c r="R568" t="s">
        <v>48</v>
      </c>
      <c r="S568">
        <v>2</v>
      </c>
      <c r="T568">
        <v>2024</v>
      </c>
      <c r="U568" t="s">
        <v>3060</v>
      </c>
      <c r="V568">
        <v>11</v>
      </c>
      <c r="W568" t="s">
        <v>3100</v>
      </c>
      <c r="X568">
        <v>36698.69</v>
      </c>
      <c r="Y568" t="s">
        <v>3067</v>
      </c>
      <c r="Z568" t="s">
        <v>3063</v>
      </c>
      <c r="AA568" t="s">
        <v>3079</v>
      </c>
    </row>
    <row r="569" spans="1:27" x14ac:dyDescent="0.3">
      <c r="A569" t="s">
        <v>3037</v>
      </c>
      <c r="B569" s="7">
        <v>45923</v>
      </c>
      <c r="C569" t="s">
        <v>30</v>
      </c>
      <c r="D569" t="s">
        <v>21</v>
      </c>
      <c r="E569" t="s">
        <v>2042</v>
      </c>
      <c r="F569" t="s">
        <v>68</v>
      </c>
      <c r="G569" t="s">
        <v>92</v>
      </c>
      <c r="H569" t="s">
        <v>243</v>
      </c>
      <c r="I569" t="s">
        <v>2032</v>
      </c>
      <c r="J569">
        <v>4</v>
      </c>
      <c r="K569">
        <v>16710</v>
      </c>
      <c r="L569">
        <v>0.1</v>
      </c>
      <c r="M569">
        <v>15039</v>
      </c>
      <c r="N569">
        <v>60156</v>
      </c>
      <c r="O569">
        <v>0.15</v>
      </c>
      <c r="P569">
        <v>9023.4</v>
      </c>
      <c r="Q569" t="s">
        <v>47</v>
      </c>
      <c r="R569" t="s">
        <v>38</v>
      </c>
      <c r="S569">
        <v>7</v>
      </c>
      <c r="T569">
        <v>2025</v>
      </c>
      <c r="U569" t="s">
        <v>3097</v>
      </c>
      <c r="V569">
        <v>9</v>
      </c>
      <c r="W569" t="s">
        <v>3110</v>
      </c>
      <c r="X569">
        <v>51132.6</v>
      </c>
      <c r="Y569" t="s">
        <v>3062</v>
      </c>
      <c r="Z569" t="s">
        <v>3063</v>
      </c>
      <c r="AA569" t="s">
        <v>3079</v>
      </c>
    </row>
    <row r="570" spans="1:27" x14ac:dyDescent="0.3">
      <c r="A570" t="s">
        <v>2735</v>
      </c>
      <c r="B570" s="7">
        <v>45621</v>
      </c>
      <c r="C570" t="s">
        <v>40</v>
      </c>
      <c r="D570" t="s">
        <v>31</v>
      </c>
      <c r="E570" t="s">
        <v>2040</v>
      </c>
      <c r="F570" t="s">
        <v>68</v>
      </c>
      <c r="G570" t="s">
        <v>92</v>
      </c>
      <c r="H570" t="s">
        <v>109</v>
      </c>
      <c r="I570" t="s">
        <v>1446</v>
      </c>
      <c r="J570">
        <v>1</v>
      </c>
      <c r="K570">
        <v>60408</v>
      </c>
      <c r="L570">
        <v>0.23</v>
      </c>
      <c r="M570">
        <v>46514.16</v>
      </c>
      <c r="N570">
        <v>46514.16</v>
      </c>
      <c r="O570">
        <v>0.15</v>
      </c>
      <c r="P570">
        <v>6977.12</v>
      </c>
      <c r="Q570" t="s">
        <v>47</v>
      </c>
      <c r="R570" t="s">
        <v>48</v>
      </c>
      <c r="S570">
        <v>5</v>
      </c>
      <c r="T570">
        <v>2024</v>
      </c>
      <c r="U570" t="s">
        <v>3060</v>
      </c>
      <c r="V570">
        <v>11</v>
      </c>
      <c r="W570" t="s">
        <v>3100</v>
      </c>
      <c r="X570">
        <v>39537.040000000001</v>
      </c>
      <c r="Y570" t="s">
        <v>3062</v>
      </c>
      <c r="Z570" t="s">
        <v>3063</v>
      </c>
      <c r="AA570" t="s">
        <v>3079</v>
      </c>
    </row>
    <row r="571" spans="1:27" x14ac:dyDescent="0.3">
      <c r="A571" t="s">
        <v>2812</v>
      </c>
      <c r="B571" s="7">
        <v>45698</v>
      </c>
      <c r="C571" t="s">
        <v>30</v>
      </c>
      <c r="D571" t="s">
        <v>31</v>
      </c>
      <c r="E571" t="s">
        <v>42</v>
      </c>
      <c r="F571" t="s">
        <v>33</v>
      </c>
      <c r="G571" t="s">
        <v>92</v>
      </c>
      <c r="H571" t="s">
        <v>178</v>
      </c>
      <c r="I571" t="s">
        <v>1596</v>
      </c>
      <c r="J571">
        <v>6</v>
      </c>
      <c r="K571">
        <v>12023</v>
      </c>
      <c r="L571">
        <v>0.17</v>
      </c>
      <c r="M571">
        <v>9979.09</v>
      </c>
      <c r="N571">
        <v>59874.54</v>
      </c>
      <c r="O571">
        <v>0.15</v>
      </c>
      <c r="P571">
        <v>8981.18</v>
      </c>
      <c r="Q571" t="s">
        <v>37</v>
      </c>
      <c r="R571" t="s">
        <v>38</v>
      </c>
      <c r="S571">
        <v>8</v>
      </c>
      <c r="T571">
        <v>2025</v>
      </c>
      <c r="U571" t="s">
        <v>3084</v>
      </c>
      <c r="V571">
        <v>2</v>
      </c>
      <c r="W571" t="s">
        <v>3090</v>
      </c>
      <c r="X571">
        <v>50893.36</v>
      </c>
      <c r="Y571" t="s">
        <v>3077</v>
      </c>
      <c r="Z571" t="s">
        <v>3063</v>
      </c>
      <c r="AA571" t="s">
        <v>3079</v>
      </c>
    </row>
    <row r="572" spans="1:27" x14ac:dyDescent="0.3">
      <c r="A572" t="s">
        <v>2085</v>
      </c>
      <c r="B572" s="7">
        <v>44971</v>
      </c>
      <c r="C572" t="s">
        <v>20</v>
      </c>
      <c r="D572" t="s">
        <v>21</v>
      </c>
      <c r="E572" t="s">
        <v>42</v>
      </c>
      <c r="F572" t="s">
        <v>103</v>
      </c>
      <c r="G572" t="s">
        <v>57</v>
      </c>
      <c r="H572" t="s">
        <v>58</v>
      </c>
      <c r="I572" t="s">
        <v>156</v>
      </c>
      <c r="J572">
        <v>2</v>
      </c>
      <c r="K572">
        <v>17711</v>
      </c>
      <c r="L572">
        <v>0.01</v>
      </c>
      <c r="M572">
        <v>17533.89</v>
      </c>
      <c r="N572">
        <v>35067.78</v>
      </c>
      <c r="O572">
        <v>0.2</v>
      </c>
      <c r="P572">
        <v>7013.56</v>
      </c>
      <c r="Q572" t="s">
        <v>37</v>
      </c>
      <c r="R572" t="s">
        <v>48</v>
      </c>
      <c r="S572">
        <v>4</v>
      </c>
      <c r="T572">
        <v>2023</v>
      </c>
      <c r="U572" t="s">
        <v>3084</v>
      </c>
      <c r="V572">
        <v>2</v>
      </c>
      <c r="W572" t="s">
        <v>3108</v>
      </c>
      <c r="X572">
        <v>28054.219999999998</v>
      </c>
      <c r="Y572" t="s">
        <v>3062</v>
      </c>
      <c r="Z572" t="s">
        <v>3063</v>
      </c>
      <c r="AA572" t="s">
        <v>3079</v>
      </c>
    </row>
    <row r="573" spans="1:27" x14ac:dyDescent="0.3">
      <c r="A573" t="s">
        <v>2728</v>
      </c>
      <c r="B573" s="7">
        <v>45614</v>
      </c>
      <c r="C573" t="s">
        <v>20</v>
      </c>
      <c r="D573" t="s">
        <v>21</v>
      </c>
      <c r="E573" t="s">
        <v>67</v>
      </c>
      <c r="F573" t="s">
        <v>97</v>
      </c>
      <c r="G573" t="s">
        <v>92</v>
      </c>
      <c r="H573" t="s">
        <v>109</v>
      </c>
      <c r="I573" t="s">
        <v>1432</v>
      </c>
      <c r="J573">
        <v>1</v>
      </c>
      <c r="K573">
        <v>74946</v>
      </c>
      <c r="L573">
        <v>0.21</v>
      </c>
      <c r="M573">
        <v>59207.34</v>
      </c>
      <c r="N573">
        <v>59207.34</v>
      </c>
      <c r="O573">
        <v>0.15</v>
      </c>
      <c r="P573">
        <v>8881.1</v>
      </c>
      <c r="Q573" t="s">
        <v>27</v>
      </c>
      <c r="R573" t="s">
        <v>48</v>
      </c>
      <c r="S573">
        <v>4</v>
      </c>
      <c r="T573">
        <v>2024</v>
      </c>
      <c r="U573" t="s">
        <v>3060</v>
      </c>
      <c r="V573">
        <v>11</v>
      </c>
      <c r="W573" t="s">
        <v>3100</v>
      </c>
      <c r="X573">
        <v>50326.239999999998</v>
      </c>
      <c r="Y573" t="s">
        <v>3062</v>
      </c>
      <c r="Z573" t="s">
        <v>3063</v>
      </c>
      <c r="AA573" t="s">
        <v>3079</v>
      </c>
    </row>
    <row r="574" spans="1:27" x14ac:dyDescent="0.3">
      <c r="A574" t="s">
        <v>2209</v>
      </c>
      <c r="B574" s="7">
        <v>45095</v>
      </c>
      <c r="C574" t="s">
        <v>55</v>
      </c>
      <c r="D574" t="s">
        <v>21</v>
      </c>
      <c r="E574" t="s">
        <v>67</v>
      </c>
      <c r="F574" t="s">
        <v>33</v>
      </c>
      <c r="G574" t="s">
        <v>92</v>
      </c>
      <c r="H574" t="s">
        <v>178</v>
      </c>
      <c r="I574" t="s">
        <v>408</v>
      </c>
      <c r="J574">
        <v>1</v>
      </c>
      <c r="K574">
        <v>55272</v>
      </c>
      <c r="L574">
        <v>0.14000000000000001</v>
      </c>
      <c r="M574">
        <v>47533.919999999998</v>
      </c>
      <c r="N574">
        <v>47533.919999999998</v>
      </c>
      <c r="O574">
        <v>0.15</v>
      </c>
      <c r="P574">
        <v>7130.09</v>
      </c>
      <c r="Q574" t="s">
        <v>47</v>
      </c>
      <c r="R574" t="s">
        <v>48</v>
      </c>
      <c r="S574">
        <v>7</v>
      </c>
      <c r="T574">
        <v>2023</v>
      </c>
      <c r="U574" t="s">
        <v>3073</v>
      </c>
      <c r="V574">
        <v>6</v>
      </c>
      <c r="W574" t="s">
        <v>3103</v>
      </c>
      <c r="X574">
        <v>40403.83</v>
      </c>
      <c r="Y574" t="s">
        <v>3062</v>
      </c>
      <c r="Z574" t="s">
        <v>3063</v>
      </c>
      <c r="AA574" t="s">
        <v>3079</v>
      </c>
    </row>
    <row r="575" spans="1:27" x14ac:dyDescent="0.3">
      <c r="A575" t="s">
        <v>2202</v>
      </c>
      <c r="B575" s="7">
        <v>45088</v>
      </c>
      <c r="C575" t="s">
        <v>20</v>
      </c>
      <c r="D575" t="s">
        <v>31</v>
      </c>
      <c r="E575" t="s">
        <v>67</v>
      </c>
      <c r="F575" t="s">
        <v>33</v>
      </c>
      <c r="G575" t="s">
        <v>92</v>
      </c>
      <c r="H575" t="s">
        <v>109</v>
      </c>
      <c r="I575" t="s">
        <v>394</v>
      </c>
      <c r="J575">
        <v>2</v>
      </c>
      <c r="K575">
        <v>35611</v>
      </c>
      <c r="L575">
        <v>0.17</v>
      </c>
      <c r="M575">
        <v>29557.13</v>
      </c>
      <c r="N575">
        <v>59114.26</v>
      </c>
      <c r="O575">
        <v>0.15</v>
      </c>
      <c r="P575">
        <v>8867.14</v>
      </c>
      <c r="Q575" t="s">
        <v>37</v>
      </c>
      <c r="R575" t="s">
        <v>48</v>
      </c>
      <c r="S575">
        <v>6</v>
      </c>
      <c r="T575">
        <v>2023</v>
      </c>
      <c r="U575" t="s">
        <v>3073</v>
      </c>
      <c r="V575">
        <v>6</v>
      </c>
      <c r="W575" t="s">
        <v>3103</v>
      </c>
      <c r="X575">
        <v>50247.12</v>
      </c>
      <c r="Y575" t="s">
        <v>3062</v>
      </c>
      <c r="Z575" t="s">
        <v>3063</v>
      </c>
      <c r="AA575" t="s">
        <v>3079</v>
      </c>
    </row>
    <row r="576" spans="1:27" x14ac:dyDescent="0.3">
      <c r="A576" t="s">
        <v>2418</v>
      </c>
      <c r="B576" s="7">
        <v>45304</v>
      </c>
      <c r="C576" t="s">
        <v>30</v>
      </c>
      <c r="D576" t="s">
        <v>56</v>
      </c>
      <c r="E576" t="s">
        <v>2042</v>
      </c>
      <c r="F576" t="s">
        <v>103</v>
      </c>
      <c r="G576" t="s">
        <v>57</v>
      </c>
      <c r="H576" t="s">
        <v>58</v>
      </c>
      <c r="I576" t="s">
        <v>822</v>
      </c>
      <c r="J576">
        <v>6</v>
      </c>
      <c r="K576">
        <v>8764</v>
      </c>
      <c r="L576">
        <v>0.16</v>
      </c>
      <c r="M576">
        <v>7361.76</v>
      </c>
      <c r="N576">
        <v>44170.559999999998</v>
      </c>
      <c r="O576">
        <v>0.2</v>
      </c>
      <c r="P576">
        <v>8834.11</v>
      </c>
      <c r="Q576" t="s">
        <v>27</v>
      </c>
      <c r="R576" t="s">
        <v>38</v>
      </c>
      <c r="S576">
        <v>6</v>
      </c>
      <c r="T576">
        <v>2024</v>
      </c>
      <c r="U576" t="s">
        <v>3071</v>
      </c>
      <c r="V576">
        <v>1</v>
      </c>
      <c r="W576" t="s">
        <v>3078</v>
      </c>
      <c r="X576">
        <v>35336.449999999997</v>
      </c>
      <c r="Y576" t="s">
        <v>3062</v>
      </c>
      <c r="Z576" t="s">
        <v>3063</v>
      </c>
      <c r="AA576" t="s">
        <v>3079</v>
      </c>
    </row>
    <row r="577" spans="1:27" x14ac:dyDescent="0.3">
      <c r="A577" t="s">
        <v>2783</v>
      </c>
      <c r="B577" s="7">
        <v>45669</v>
      </c>
      <c r="C577" t="s">
        <v>63</v>
      </c>
      <c r="D577" t="s">
        <v>31</v>
      </c>
      <c r="E577" t="s">
        <v>2042</v>
      </c>
      <c r="F577" t="s">
        <v>97</v>
      </c>
      <c r="G577" t="s">
        <v>57</v>
      </c>
      <c r="H577" t="s">
        <v>58</v>
      </c>
      <c r="I577" t="s">
        <v>1540</v>
      </c>
      <c r="J577">
        <v>9</v>
      </c>
      <c r="K577">
        <v>5081</v>
      </c>
      <c r="L577">
        <v>7.0000000000000007E-2</v>
      </c>
      <c r="M577">
        <v>4725.33</v>
      </c>
      <c r="N577">
        <v>42527.97</v>
      </c>
      <c r="O577">
        <v>0.2</v>
      </c>
      <c r="P577">
        <v>8505.59</v>
      </c>
      <c r="Q577" t="s">
        <v>37</v>
      </c>
      <c r="R577" t="s">
        <v>48</v>
      </c>
      <c r="S577">
        <v>1</v>
      </c>
      <c r="T577">
        <v>2025</v>
      </c>
      <c r="U577" t="s">
        <v>3071</v>
      </c>
      <c r="V577">
        <v>1</v>
      </c>
      <c r="W577" t="s">
        <v>3072</v>
      </c>
      <c r="X577">
        <v>34022.380000000005</v>
      </c>
      <c r="Y577" t="s">
        <v>3067</v>
      </c>
      <c r="Z577" t="s">
        <v>3063</v>
      </c>
      <c r="AA577" t="s">
        <v>3079</v>
      </c>
    </row>
    <row r="578" spans="1:27" x14ac:dyDescent="0.3">
      <c r="A578" t="s">
        <v>2929</v>
      </c>
      <c r="B578" s="7">
        <v>45815</v>
      </c>
      <c r="C578" t="s">
        <v>96</v>
      </c>
      <c r="D578" t="s">
        <v>31</v>
      </c>
      <c r="E578" t="s">
        <v>2042</v>
      </c>
      <c r="F578" t="s">
        <v>43</v>
      </c>
      <c r="G578" t="s">
        <v>57</v>
      </c>
      <c r="H578" t="s">
        <v>58</v>
      </c>
      <c r="I578" t="s">
        <v>1827</v>
      </c>
      <c r="J578">
        <v>5</v>
      </c>
      <c r="K578">
        <v>11032</v>
      </c>
      <c r="L578">
        <v>0.23</v>
      </c>
      <c r="M578">
        <v>8494.64</v>
      </c>
      <c r="N578">
        <v>42473.2</v>
      </c>
      <c r="O578">
        <v>0.2</v>
      </c>
      <c r="P578">
        <v>8494.64</v>
      </c>
      <c r="Q578" t="s">
        <v>37</v>
      </c>
      <c r="R578" t="s">
        <v>48</v>
      </c>
      <c r="S578">
        <v>4</v>
      </c>
      <c r="T578">
        <v>2025</v>
      </c>
      <c r="U578" t="s">
        <v>3073</v>
      </c>
      <c r="V578">
        <v>6</v>
      </c>
      <c r="W578" t="s">
        <v>3083</v>
      </c>
      <c r="X578">
        <v>33978.559999999998</v>
      </c>
      <c r="Y578" t="s">
        <v>3062</v>
      </c>
      <c r="Z578" t="s">
        <v>3063</v>
      </c>
      <c r="AA578" t="s">
        <v>3079</v>
      </c>
    </row>
    <row r="579" spans="1:27" x14ac:dyDescent="0.3">
      <c r="A579" t="s">
        <v>2709</v>
      </c>
      <c r="B579" s="7">
        <v>45595</v>
      </c>
      <c r="C579" t="s">
        <v>63</v>
      </c>
      <c r="D579" t="s">
        <v>41</v>
      </c>
      <c r="E579" t="s">
        <v>42</v>
      </c>
      <c r="F579" t="s">
        <v>23</v>
      </c>
      <c r="G579" t="s">
        <v>57</v>
      </c>
      <c r="H579" t="s">
        <v>58</v>
      </c>
      <c r="I579" t="s">
        <v>1394</v>
      </c>
      <c r="J579">
        <v>5</v>
      </c>
      <c r="K579">
        <v>7978</v>
      </c>
      <c r="L579">
        <v>0.09</v>
      </c>
      <c r="M579">
        <v>7259.98</v>
      </c>
      <c r="N579">
        <v>36299.9</v>
      </c>
      <c r="O579">
        <v>0.2</v>
      </c>
      <c r="P579">
        <v>7259.98</v>
      </c>
      <c r="Q579" t="s">
        <v>27</v>
      </c>
      <c r="R579" t="s">
        <v>48</v>
      </c>
      <c r="S579">
        <v>1</v>
      </c>
      <c r="T579">
        <v>2024</v>
      </c>
      <c r="U579" t="s">
        <v>3065</v>
      </c>
      <c r="V579">
        <v>10</v>
      </c>
      <c r="W579" t="s">
        <v>3066</v>
      </c>
      <c r="X579">
        <v>29039.920000000002</v>
      </c>
      <c r="Y579" t="s">
        <v>3067</v>
      </c>
      <c r="Z579" t="s">
        <v>3063</v>
      </c>
      <c r="AA579" t="s">
        <v>3079</v>
      </c>
    </row>
    <row r="580" spans="1:27" x14ac:dyDescent="0.3">
      <c r="A580" t="s">
        <v>3000</v>
      </c>
      <c r="B580" s="7">
        <v>45886</v>
      </c>
      <c r="C580" t="s">
        <v>96</v>
      </c>
      <c r="D580" t="s">
        <v>21</v>
      </c>
      <c r="E580" t="s">
        <v>2040</v>
      </c>
      <c r="F580" t="s">
        <v>103</v>
      </c>
      <c r="G580" t="s">
        <v>92</v>
      </c>
      <c r="H580" t="s">
        <v>93</v>
      </c>
      <c r="I580" t="s">
        <v>1960</v>
      </c>
      <c r="J580">
        <v>1</v>
      </c>
      <c r="K580">
        <v>73870</v>
      </c>
      <c r="L580">
        <v>0.25</v>
      </c>
      <c r="M580">
        <v>55402.5</v>
      </c>
      <c r="N580">
        <v>55402.5</v>
      </c>
      <c r="O580">
        <v>0.15</v>
      </c>
      <c r="P580">
        <v>8310.3799999999992</v>
      </c>
      <c r="Q580" t="s">
        <v>37</v>
      </c>
      <c r="R580" t="s">
        <v>48</v>
      </c>
      <c r="S580">
        <v>4</v>
      </c>
      <c r="T580">
        <v>2025</v>
      </c>
      <c r="U580" t="s">
        <v>3075</v>
      </c>
      <c r="V580">
        <v>8</v>
      </c>
      <c r="W580" t="s">
        <v>3076</v>
      </c>
      <c r="X580">
        <v>47092.12</v>
      </c>
      <c r="Y580" t="s">
        <v>3062</v>
      </c>
      <c r="Z580" t="s">
        <v>3063</v>
      </c>
      <c r="AA580" t="s">
        <v>3079</v>
      </c>
    </row>
    <row r="581" spans="1:27" x14ac:dyDescent="0.3">
      <c r="A581" t="s">
        <v>2505</v>
      </c>
      <c r="B581" s="7">
        <v>45391</v>
      </c>
      <c r="C581" t="s">
        <v>96</v>
      </c>
      <c r="D581" t="s">
        <v>56</v>
      </c>
      <c r="E581" t="s">
        <v>2040</v>
      </c>
      <c r="F581" t="s">
        <v>23</v>
      </c>
      <c r="G581" t="s">
        <v>57</v>
      </c>
      <c r="H581" t="s">
        <v>183</v>
      </c>
      <c r="I581" t="s">
        <v>995</v>
      </c>
      <c r="J581">
        <v>8</v>
      </c>
      <c r="K581">
        <v>6107</v>
      </c>
      <c r="L581">
        <v>0.15</v>
      </c>
      <c r="M581">
        <v>5190.95</v>
      </c>
      <c r="N581">
        <v>41527.599999999999</v>
      </c>
      <c r="O581">
        <v>0.2</v>
      </c>
      <c r="P581">
        <v>8305.52</v>
      </c>
      <c r="Q581" t="s">
        <v>27</v>
      </c>
      <c r="R581" t="s">
        <v>48</v>
      </c>
      <c r="S581">
        <v>5</v>
      </c>
      <c r="T581">
        <v>2024</v>
      </c>
      <c r="U581" t="s">
        <v>3080</v>
      </c>
      <c r="V581">
        <v>4</v>
      </c>
      <c r="W581" t="s">
        <v>3095</v>
      </c>
      <c r="X581">
        <v>33222.080000000002</v>
      </c>
      <c r="Y581" t="s">
        <v>3062</v>
      </c>
      <c r="Z581" t="s">
        <v>3063</v>
      </c>
      <c r="AA581" t="s">
        <v>3079</v>
      </c>
    </row>
    <row r="582" spans="1:27" x14ac:dyDescent="0.3">
      <c r="A582" t="s">
        <v>2225</v>
      </c>
      <c r="B582" s="7">
        <v>45111</v>
      </c>
      <c r="C582" t="s">
        <v>30</v>
      </c>
      <c r="D582" t="s">
        <v>56</v>
      </c>
      <c r="E582" t="s">
        <v>2040</v>
      </c>
      <c r="F582" t="s">
        <v>68</v>
      </c>
      <c r="G582" t="s">
        <v>57</v>
      </c>
      <c r="H582" t="s">
        <v>183</v>
      </c>
      <c r="I582" t="s">
        <v>440</v>
      </c>
      <c r="J582">
        <v>4</v>
      </c>
      <c r="K582">
        <v>11556</v>
      </c>
      <c r="L582">
        <v>0.11</v>
      </c>
      <c r="M582">
        <v>10284.84</v>
      </c>
      <c r="N582">
        <v>41139.360000000001</v>
      </c>
      <c r="O582">
        <v>0.2</v>
      </c>
      <c r="P582">
        <v>8227.8700000000008</v>
      </c>
      <c r="Q582" t="s">
        <v>27</v>
      </c>
      <c r="R582" t="s">
        <v>48</v>
      </c>
      <c r="S582">
        <v>9</v>
      </c>
      <c r="T582">
        <v>2023</v>
      </c>
      <c r="U582" t="s">
        <v>3088</v>
      </c>
      <c r="V582">
        <v>7</v>
      </c>
      <c r="W582" t="s">
        <v>3111</v>
      </c>
      <c r="X582">
        <v>32911.49</v>
      </c>
      <c r="Y582" t="s">
        <v>3077</v>
      </c>
      <c r="Z582" t="s">
        <v>3063</v>
      </c>
      <c r="AA582" t="s">
        <v>3079</v>
      </c>
    </row>
    <row r="583" spans="1:27" x14ac:dyDescent="0.3">
      <c r="A583" t="s">
        <v>2104</v>
      </c>
      <c r="B583" s="7">
        <v>44990</v>
      </c>
      <c r="C583" t="s">
        <v>63</v>
      </c>
      <c r="D583" t="s">
        <v>31</v>
      </c>
      <c r="E583" t="s">
        <v>67</v>
      </c>
      <c r="F583" t="s">
        <v>43</v>
      </c>
      <c r="G583" t="s">
        <v>57</v>
      </c>
      <c r="H583" t="s">
        <v>81</v>
      </c>
      <c r="I583" t="s">
        <v>197</v>
      </c>
      <c r="J583">
        <v>3</v>
      </c>
      <c r="K583">
        <v>14803</v>
      </c>
      <c r="L583">
        <v>0.17</v>
      </c>
      <c r="M583">
        <v>12286.49</v>
      </c>
      <c r="N583">
        <v>36859.47</v>
      </c>
      <c r="O583">
        <v>0.2</v>
      </c>
      <c r="P583">
        <v>7371.89</v>
      </c>
      <c r="Q583" t="s">
        <v>51</v>
      </c>
      <c r="R583" t="s">
        <v>48</v>
      </c>
      <c r="S583">
        <v>6</v>
      </c>
      <c r="T583">
        <v>2023</v>
      </c>
      <c r="U583" t="s">
        <v>3069</v>
      </c>
      <c r="V583">
        <v>3</v>
      </c>
      <c r="W583" t="s">
        <v>3082</v>
      </c>
      <c r="X583">
        <v>29487.58</v>
      </c>
      <c r="Y583" t="s">
        <v>3062</v>
      </c>
      <c r="Z583" t="s">
        <v>3063</v>
      </c>
      <c r="AA583" t="s">
        <v>3079</v>
      </c>
    </row>
    <row r="584" spans="1:27" x14ac:dyDescent="0.3">
      <c r="A584" t="s">
        <v>2568</v>
      </c>
      <c r="B584" s="7">
        <v>45454</v>
      </c>
      <c r="C584" t="s">
        <v>55</v>
      </c>
      <c r="D584" t="s">
        <v>56</v>
      </c>
      <c r="E584" t="s">
        <v>2040</v>
      </c>
      <c r="F584" t="s">
        <v>33</v>
      </c>
      <c r="G584" t="s">
        <v>92</v>
      </c>
      <c r="H584" t="s">
        <v>178</v>
      </c>
      <c r="I584" t="s">
        <v>1119</v>
      </c>
      <c r="J584">
        <v>2</v>
      </c>
      <c r="K584">
        <v>35032</v>
      </c>
      <c r="L584">
        <v>0.22</v>
      </c>
      <c r="M584">
        <v>27324.959999999999</v>
      </c>
      <c r="N584">
        <v>54649.919999999998</v>
      </c>
      <c r="O584">
        <v>0.15</v>
      </c>
      <c r="P584">
        <v>8197.49</v>
      </c>
      <c r="Q584" t="s">
        <v>27</v>
      </c>
      <c r="R584" t="s">
        <v>38</v>
      </c>
      <c r="S584">
        <v>1</v>
      </c>
      <c r="T584">
        <v>2024</v>
      </c>
      <c r="U584" t="s">
        <v>3073</v>
      </c>
      <c r="V584">
        <v>6</v>
      </c>
      <c r="W584" t="s">
        <v>3074</v>
      </c>
      <c r="X584">
        <v>46452.43</v>
      </c>
      <c r="Y584" t="s">
        <v>3067</v>
      </c>
      <c r="Z584" t="s">
        <v>3063</v>
      </c>
      <c r="AA584" t="s">
        <v>3079</v>
      </c>
    </row>
    <row r="585" spans="1:27" x14ac:dyDescent="0.3">
      <c r="A585" t="s">
        <v>2589</v>
      </c>
      <c r="B585" s="7">
        <v>45475</v>
      </c>
      <c r="C585" t="s">
        <v>55</v>
      </c>
      <c r="D585" t="s">
        <v>56</v>
      </c>
      <c r="E585" t="s">
        <v>42</v>
      </c>
      <c r="F585" t="s">
        <v>68</v>
      </c>
      <c r="G585" t="s">
        <v>92</v>
      </c>
      <c r="H585" t="s">
        <v>178</v>
      </c>
      <c r="I585" t="s">
        <v>1160</v>
      </c>
      <c r="J585">
        <v>3</v>
      </c>
      <c r="K585">
        <v>22411</v>
      </c>
      <c r="L585">
        <v>0.2</v>
      </c>
      <c r="M585">
        <v>17928.8</v>
      </c>
      <c r="N585">
        <v>53786.400000000001</v>
      </c>
      <c r="O585">
        <v>0.15</v>
      </c>
      <c r="P585">
        <v>8067.96</v>
      </c>
      <c r="Q585" t="s">
        <v>27</v>
      </c>
      <c r="R585" t="s">
        <v>48</v>
      </c>
      <c r="S585">
        <v>8</v>
      </c>
      <c r="T585">
        <v>2024</v>
      </c>
      <c r="U585" t="s">
        <v>3088</v>
      </c>
      <c r="V585">
        <v>7</v>
      </c>
      <c r="W585" t="s">
        <v>3089</v>
      </c>
      <c r="X585">
        <v>45718.44</v>
      </c>
      <c r="Y585" t="s">
        <v>3077</v>
      </c>
      <c r="Z585" t="s">
        <v>3063</v>
      </c>
      <c r="AA585" t="s">
        <v>3079</v>
      </c>
    </row>
    <row r="586" spans="1:27" x14ac:dyDescent="0.3">
      <c r="A586" t="s">
        <v>2557</v>
      </c>
      <c r="B586" s="7">
        <v>45443</v>
      </c>
      <c r="C586" t="s">
        <v>63</v>
      </c>
      <c r="D586" t="s">
        <v>41</v>
      </c>
      <c r="E586" t="s">
        <v>2040</v>
      </c>
      <c r="F586" t="s">
        <v>43</v>
      </c>
      <c r="G586" t="s">
        <v>57</v>
      </c>
      <c r="H586" t="s">
        <v>81</v>
      </c>
      <c r="I586" t="s">
        <v>1097</v>
      </c>
      <c r="J586">
        <v>6</v>
      </c>
      <c r="K586">
        <v>7179</v>
      </c>
      <c r="L586">
        <v>0.14000000000000001</v>
      </c>
      <c r="M586">
        <v>6173.94</v>
      </c>
      <c r="N586">
        <v>37043.64</v>
      </c>
      <c r="O586">
        <v>0.2</v>
      </c>
      <c r="P586">
        <v>7408.73</v>
      </c>
      <c r="Q586" t="s">
        <v>37</v>
      </c>
      <c r="R586" t="s">
        <v>38</v>
      </c>
      <c r="S586">
        <v>1</v>
      </c>
      <c r="T586">
        <v>2024</v>
      </c>
      <c r="U586" t="s">
        <v>3091</v>
      </c>
      <c r="V586">
        <v>5</v>
      </c>
      <c r="W586" t="s">
        <v>3105</v>
      </c>
      <c r="X586">
        <v>29634.91</v>
      </c>
      <c r="Y586" t="s">
        <v>3067</v>
      </c>
      <c r="Z586" t="s">
        <v>3063</v>
      </c>
      <c r="AA586" t="s">
        <v>3079</v>
      </c>
    </row>
    <row r="587" spans="1:27" x14ac:dyDescent="0.3">
      <c r="A587" t="s">
        <v>2108</v>
      </c>
      <c r="B587" s="7">
        <v>44994</v>
      </c>
      <c r="C587" t="s">
        <v>55</v>
      </c>
      <c r="D587" t="s">
        <v>41</v>
      </c>
      <c r="E587" t="s">
        <v>67</v>
      </c>
      <c r="F587" t="s">
        <v>68</v>
      </c>
      <c r="G587" t="s">
        <v>57</v>
      </c>
      <c r="H587" t="s">
        <v>100</v>
      </c>
      <c r="I587" t="s">
        <v>205</v>
      </c>
      <c r="J587">
        <v>6</v>
      </c>
      <c r="K587">
        <v>8295</v>
      </c>
      <c r="L587">
        <v>0.19</v>
      </c>
      <c r="M587">
        <v>6718.95</v>
      </c>
      <c r="N587">
        <v>40313.699999999997</v>
      </c>
      <c r="O587">
        <v>0.2</v>
      </c>
      <c r="P587">
        <v>8062.74</v>
      </c>
      <c r="Q587" t="s">
        <v>27</v>
      </c>
      <c r="R587" t="s">
        <v>48</v>
      </c>
      <c r="S587">
        <v>3</v>
      </c>
      <c r="T587">
        <v>2023</v>
      </c>
      <c r="U587" t="s">
        <v>3069</v>
      </c>
      <c r="V587">
        <v>3</v>
      </c>
      <c r="W587" t="s">
        <v>3082</v>
      </c>
      <c r="X587">
        <v>32250.959999999999</v>
      </c>
      <c r="Y587" t="s">
        <v>3067</v>
      </c>
      <c r="Z587" t="s">
        <v>3063</v>
      </c>
      <c r="AA587" t="s">
        <v>3079</v>
      </c>
    </row>
    <row r="588" spans="1:27" x14ac:dyDescent="0.3">
      <c r="A588" t="s">
        <v>2623</v>
      </c>
      <c r="B588" s="7">
        <v>45509</v>
      </c>
      <c r="C588" t="s">
        <v>40</v>
      </c>
      <c r="D588" t="s">
        <v>31</v>
      </c>
      <c r="E588" t="s">
        <v>42</v>
      </c>
      <c r="F588" t="s">
        <v>97</v>
      </c>
      <c r="G588" t="s">
        <v>92</v>
      </c>
      <c r="H588" t="s">
        <v>93</v>
      </c>
      <c r="I588" t="s">
        <v>1228</v>
      </c>
      <c r="J588">
        <v>6</v>
      </c>
      <c r="K588">
        <v>10163</v>
      </c>
      <c r="L588">
        <v>0.12</v>
      </c>
      <c r="M588">
        <v>8943.44</v>
      </c>
      <c r="N588">
        <v>53660.639999999999</v>
      </c>
      <c r="O588">
        <v>0.15</v>
      </c>
      <c r="P588">
        <v>8049.1</v>
      </c>
      <c r="Q588" t="s">
        <v>47</v>
      </c>
      <c r="R588" t="s">
        <v>48</v>
      </c>
      <c r="S588">
        <v>8</v>
      </c>
      <c r="T588">
        <v>2024</v>
      </c>
      <c r="U588" t="s">
        <v>3075</v>
      </c>
      <c r="V588">
        <v>8</v>
      </c>
      <c r="W588" t="s">
        <v>3093</v>
      </c>
      <c r="X588">
        <v>45611.54</v>
      </c>
      <c r="Y588" t="s">
        <v>3077</v>
      </c>
      <c r="Z588" t="s">
        <v>3063</v>
      </c>
      <c r="AA588" t="s">
        <v>3079</v>
      </c>
    </row>
    <row r="589" spans="1:27" x14ac:dyDescent="0.3">
      <c r="A589" t="s">
        <v>2917</v>
      </c>
      <c r="B589" s="7">
        <v>45803</v>
      </c>
      <c r="C589" t="s">
        <v>20</v>
      </c>
      <c r="D589" t="s">
        <v>21</v>
      </c>
      <c r="E589" t="s">
        <v>2042</v>
      </c>
      <c r="F589" t="s">
        <v>23</v>
      </c>
      <c r="G589" t="s">
        <v>92</v>
      </c>
      <c r="H589" t="s">
        <v>93</v>
      </c>
      <c r="I589" t="s">
        <v>1803</v>
      </c>
      <c r="J589">
        <v>5</v>
      </c>
      <c r="K589">
        <v>10162</v>
      </c>
      <c r="L589">
        <v>0.01</v>
      </c>
      <c r="M589">
        <v>10060.379999999999</v>
      </c>
      <c r="N589">
        <v>50301.9</v>
      </c>
      <c r="O589">
        <v>0.15</v>
      </c>
      <c r="P589">
        <v>7545.28</v>
      </c>
      <c r="Q589" t="s">
        <v>37</v>
      </c>
      <c r="R589" t="s">
        <v>48</v>
      </c>
      <c r="S589">
        <v>2</v>
      </c>
      <c r="T589">
        <v>2025</v>
      </c>
      <c r="U589" t="s">
        <v>3091</v>
      </c>
      <c r="V589">
        <v>5</v>
      </c>
      <c r="W589" t="s">
        <v>3106</v>
      </c>
      <c r="X589">
        <v>42756.62</v>
      </c>
      <c r="Y589" t="s">
        <v>3067</v>
      </c>
      <c r="Z589" t="s">
        <v>3063</v>
      </c>
      <c r="AA589" t="s">
        <v>3079</v>
      </c>
    </row>
    <row r="590" spans="1:27" x14ac:dyDescent="0.3">
      <c r="A590" t="s">
        <v>2079</v>
      </c>
      <c r="B590" s="7">
        <v>44965</v>
      </c>
      <c r="C590" t="s">
        <v>55</v>
      </c>
      <c r="D590" t="s">
        <v>31</v>
      </c>
      <c r="E590" t="s">
        <v>2040</v>
      </c>
      <c r="F590" t="s">
        <v>68</v>
      </c>
      <c r="G590" t="s">
        <v>92</v>
      </c>
      <c r="H590" t="s">
        <v>109</v>
      </c>
      <c r="I590" t="s">
        <v>144</v>
      </c>
      <c r="J590">
        <v>2</v>
      </c>
      <c r="K590">
        <v>30049</v>
      </c>
      <c r="L590">
        <v>0.16</v>
      </c>
      <c r="M590">
        <v>25241.16</v>
      </c>
      <c r="N590">
        <v>50482.32</v>
      </c>
      <c r="O590">
        <v>0.15</v>
      </c>
      <c r="P590">
        <v>7572.35</v>
      </c>
      <c r="Q590" t="s">
        <v>51</v>
      </c>
      <c r="R590" t="s">
        <v>48</v>
      </c>
      <c r="S590">
        <v>3</v>
      </c>
      <c r="T590">
        <v>2023</v>
      </c>
      <c r="U590" t="s">
        <v>3084</v>
      </c>
      <c r="V590">
        <v>2</v>
      </c>
      <c r="W590" t="s">
        <v>3108</v>
      </c>
      <c r="X590">
        <v>42909.97</v>
      </c>
      <c r="Y590" t="s">
        <v>3067</v>
      </c>
      <c r="Z590" t="s">
        <v>3063</v>
      </c>
      <c r="AA590" t="s">
        <v>3079</v>
      </c>
    </row>
    <row r="591" spans="1:27" x14ac:dyDescent="0.3">
      <c r="A591" t="s">
        <v>2369</v>
      </c>
      <c r="B591" s="7">
        <v>45255</v>
      </c>
      <c r="C591" t="s">
        <v>30</v>
      </c>
      <c r="D591" t="s">
        <v>21</v>
      </c>
      <c r="E591" t="s">
        <v>67</v>
      </c>
      <c r="F591" t="s">
        <v>103</v>
      </c>
      <c r="G591" t="s">
        <v>57</v>
      </c>
      <c r="H591" t="s">
        <v>81</v>
      </c>
      <c r="I591" t="s">
        <v>726</v>
      </c>
      <c r="J591">
        <v>7</v>
      </c>
      <c r="K591">
        <v>6616</v>
      </c>
      <c r="L591">
        <v>0.14000000000000001</v>
      </c>
      <c r="M591">
        <v>5689.76</v>
      </c>
      <c r="N591">
        <v>39828.32</v>
      </c>
      <c r="O591">
        <v>0.2</v>
      </c>
      <c r="P591">
        <v>7965.66</v>
      </c>
      <c r="Q591" t="s">
        <v>47</v>
      </c>
      <c r="R591" t="s">
        <v>48</v>
      </c>
      <c r="S591">
        <v>3</v>
      </c>
      <c r="T591">
        <v>2023</v>
      </c>
      <c r="U591" t="s">
        <v>3060</v>
      </c>
      <c r="V591">
        <v>11</v>
      </c>
      <c r="W591" t="s">
        <v>3061</v>
      </c>
      <c r="X591">
        <v>31862.66</v>
      </c>
      <c r="Y591" t="s">
        <v>3067</v>
      </c>
      <c r="Z591" t="s">
        <v>3063</v>
      </c>
      <c r="AA591" t="s">
        <v>3079</v>
      </c>
    </row>
    <row r="592" spans="1:27" x14ac:dyDescent="0.3">
      <c r="A592" t="s">
        <v>2116</v>
      </c>
      <c r="B592" s="7">
        <v>45002</v>
      </c>
      <c r="C592" t="s">
        <v>20</v>
      </c>
      <c r="D592" t="s">
        <v>31</v>
      </c>
      <c r="E592" t="s">
        <v>2040</v>
      </c>
      <c r="F592" t="s">
        <v>97</v>
      </c>
      <c r="G592" t="s">
        <v>57</v>
      </c>
      <c r="H592" t="s">
        <v>58</v>
      </c>
      <c r="I592" t="s">
        <v>221</v>
      </c>
      <c r="J592">
        <v>3</v>
      </c>
      <c r="K592">
        <v>13171</v>
      </c>
      <c r="L592">
        <v>0.04</v>
      </c>
      <c r="M592">
        <v>12644.16</v>
      </c>
      <c r="N592">
        <v>37932.480000000003</v>
      </c>
      <c r="O592">
        <v>0.2</v>
      </c>
      <c r="P592">
        <v>7586.5</v>
      </c>
      <c r="Q592" t="s">
        <v>47</v>
      </c>
      <c r="R592" t="s">
        <v>48</v>
      </c>
      <c r="S592">
        <v>6</v>
      </c>
      <c r="T592">
        <v>2023</v>
      </c>
      <c r="U592" t="s">
        <v>3069</v>
      </c>
      <c r="V592">
        <v>3</v>
      </c>
      <c r="W592" t="s">
        <v>3082</v>
      </c>
      <c r="X592">
        <v>30345.980000000003</v>
      </c>
      <c r="Y592" t="s">
        <v>3062</v>
      </c>
      <c r="Z592" t="s">
        <v>3063</v>
      </c>
      <c r="AA592" t="s">
        <v>3079</v>
      </c>
    </row>
    <row r="593" spans="1:27" x14ac:dyDescent="0.3">
      <c r="A593" t="s">
        <v>2585</v>
      </c>
      <c r="B593" s="7">
        <v>45471</v>
      </c>
      <c r="C593" t="s">
        <v>96</v>
      </c>
      <c r="D593" t="s">
        <v>56</v>
      </c>
      <c r="E593" t="s">
        <v>67</v>
      </c>
      <c r="F593" t="s">
        <v>43</v>
      </c>
      <c r="G593" t="s">
        <v>92</v>
      </c>
      <c r="H593" t="s">
        <v>243</v>
      </c>
      <c r="I593" t="s">
        <v>1152</v>
      </c>
      <c r="J593">
        <v>1</v>
      </c>
      <c r="K593">
        <v>51779</v>
      </c>
      <c r="L593">
        <v>0.02</v>
      </c>
      <c r="M593">
        <v>50743.42</v>
      </c>
      <c r="N593">
        <v>50743.42</v>
      </c>
      <c r="O593">
        <v>0.15</v>
      </c>
      <c r="P593">
        <v>7611.51</v>
      </c>
      <c r="Q593" t="s">
        <v>47</v>
      </c>
      <c r="R593" t="s">
        <v>48</v>
      </c>
      <c r="S593">
        <v>7</v>
      </c>
      <c r="T593">
        <v>2024</v>
      </c>
      <c r="U593" t="s">
        <v>3073</v>
      </c>
      <c r="V593">
        <v>6</v>
      </c>
      <c r="W593" t="s">
        <v>3074</v>
      </c>
      <c r="X593">
        <v>43131.909999999996</v>
      </c>
      <c r="Y593" t="s">
        <v>3062</v>
      </c>
      <c r="Z593" t="s">
        <v>3063</v>
      </c>
      <c r="AA593" t="s">
        <v>3079</v>
      </c>
    </row>
    <row r="594" spans="1:27" x14ac:dyDescent="0.3">
      <c r="A594" t="s">
        <v>2758</v>
      </c>
      <c r="B594" s="7">
        <v>45644</v>
      </c>
      <c r="C594" t="s">
        <v>40</v>
      </c>
      <c r="D594" t="s">
        <v>31</v>
      </c>
      <c r="E594" t="s">
        <v>2040</v>
      </c>
      <c r="F594" t="s">
        <v>33</v>
      </c>
      <c r="G594" t="s">
        <v>57</v>
      </c>
      <c r="H594" t="s">
        <v>81</v>
      </c>
      <c r="I594" t="s">
        <v>1491</v>
      </c>
      <c r="J594">
        <v>3</v>
      </c>
      <c r="K594">
        <v>15718</v>
      </c>
      <c r="L594">
        <v>0.19</v>
      </c>
      <c r="M594">
        <v>12731.58</v>
      </c>
      <c r="N594">
        <v>38194.74</v>
      </c>
      <c r="O594">
        <v>0.2</v>
      </c>
      <c r="P594">
        <v>7638.95</v>
      </c>
      <c r="Q594" t="s">
        <v>51</v>
      </c>
      <c r="R594" t="s">
        <v>48</v>
      </c>
      <c r="S594">
        <v>1</v>
      </c>
      <c r="T594">
        <v>2024</v>
      </c>
      <c r="U594" t="s">
        <v>3086</v>
      </c>
      <c r="V594">
        <v>12</v>
      </c>
      <c r="W594" t="s">
        <v>3087</v>
      </c>
      <c r="X594">
        <v>30555.789999999997</v>
      </c>
      <c r="Y594" t="s">
        <v>3067</v>
      </c>
      <c r="Z594" t="s">
        <v>3063</v>
      </c>
      <c r="AA594" t="s">
        <v>3079</v>
      </c>
    </row>
    <row r="595" spans="1:27" x14ac:dyDescent="0.3">
      <c r="A595" t="s">
        <v>2805</v>
      </c>
      <c r="B595" s="7">
        <v>45691</v>
      </c>
      <c r="C595" t="s">
        <v>55</v>
      </c>
      <c r="D595" t="s">
        <v>41</v>
      </c>
      <c r="E595" t="s">
        <v>67</v>
      </c>
      <c r="F595" t="s">
        <v>97</v>
      </c>
      <c r="G595" t="s">
        <v>57</v>
      </c>
      <c r="H595" t="s">
        <v>183</v>
      </c>
      <c r="I595" t="s">
        <v>1583</v>
      </c>
      <c r="J595">
        <v>4</v>
      </c>
      <c r="K595">
        <v>11235</v>
      </c>
      <c r="L595">
        <v>0.15</v>
      </c>
      <c r="M595">
        <v>9549.75</v>
      </c>
      <c r="N595">
        <v>38199</v>
      </c>
      <c r="O595">
        <v>0.2</v>
      </c>
      <c r="P595">
        <v>7639.8</v>
      </c>
      <c r="Q595" t="s">
        <v>47</v>
      </c>
      <c r="R595" t="s">
        <v>48</v>
      </c>
      <c r="S595">
        <v>2</v>
      </c>
      <c r="T595">
        <v>2025</v>
      </c>
      <c r="U595" t="s">
        <v>3084</v>
      </c>
      <c r="V595">
        <v>2</v>
      </c>
      <c r="W595" t="s">
        <v>3090</v>
      </c>
      <c r="X595">
        <v>30559.200000000001</v>
      </c>
      <c r="Y595" t="s">
        <v>3067</v>
      </c>
      <c r="Z595" t="s">
        <v>3063</v>
      </c>
      <c r="AA595" t="s">
        <v>3079</v>
      </c>
    </row>
    <row r="596" spans="1:27" x14ac:dyDescent="0.3">
      <c r="A596" t="s">
        <v>2760</v>
      </c>
      <c r="B596" s="7">
        <v>45646</v>
      </c>
      <c r="C596" t="s">
        <v>63</v>
      </c>
      <c r="D596" t="s">
        <v>21</v>
      </c>
      <c r="E596" t="s">
        <v>67</v>
      </c>
      <c r="F596" t="s">
        <v>33</v>
      </c>
      <c r="G596" t="s">
        <v>57</v>
      </c>
      <c r="H596" t="s">
        <v>100</v>
      </c>
      <c r="I596" t="s">
        <v>1495</v>
      </c>
      <c r="J596">
        <v>8</v>
      </c>
      <c r="K596">
        <v>5754</v>
      </c>
      <c r="L596">
        <v>0.17</v>
      </c>
      <c r="M596">
        <v>4775.82</v>
      </c>
      <c r="N596">
        <v>38206.559999999998</v>
      </c>
      <c r="O596">
        <v>0.2</v>
      </c>
      <c r="P596">
        <v>7641.31</v>
      </c>
      <c r="Q596" t="s">
        <v>27</v>
      </c>
      <c r="R596" t="s">
        <v>48</v>
      </c>
      <c r="S596">
        <v>7</v>
      </c>
      <c r="T596">
        <v>2024</v>
      </c>
      <c r="U596" t="s">
        <v>3086</v>
      </c>
      <c r="V596">
        <v>12</v>
      </c>
      <c r="W596" t="s">
        <v>3087</v>
      </c>
      <c r="X596">
        <v>30565.249999999996</v>
      </c>
      <c r="Y596" t="s">
        <v>3062</v>
      </c>
      <c r="Z596" t="s">
        <v>3063</v>
      </c>
      <c r="AA596" t="s">
        <v>3079</v>
      </c>
    </row>
    <row r="597" spans="1:27" x14ac:dyDescent="0.3">
      <c r="A597" t="s">
        <v>2889</v>
      </c>
      <c r="B597" s="7">
        <v>45775</v>
      </c>
      <c r="C597" t="s">
        <v>30</v>
      </c>
      <c r="D597" t="s">
        <v>21</v>
      </c>
      <c r="E597" t="s">
        <v>2040</v>
      </c>
      <c r="F597" t="s">
        <v>68</v>
      </c>
      <c r="G597" t="s">
        <v>92</v>
      </c>
      <c r="H597" t="s">
        <v>93</v>
      </c>
      <c r="I597" t="s">
        <v>1748</v>
      </c>
      <c r="J597">
        <v>5</v>
      </c>
      <c r="K597">
        <v>12096</v>
      </c>
      <c r="L597">
        <v>0.15</v>
      </c>
      <c r="M597">
        <v>10281.6</v>
      </c>
      <c r="N597">
        <v>51408</v>
      </c>
      <c r="O597">
        <v>0.15</v>
      </c>
      <c r="P597">
        <v>7711.2</v>
      </c>
      <c r="Q597" t="s">
        <v>47</v>
      </c>
      <c r="R597" t="s">
        <v>48</v>
      </c>
      <c r="S597">
        <v>7</v>
      </c>
      <c r="T597">
        <v>2025</v>
      </c>
      <c r="U597" t="s">
        <v>3080</v>
      </c>
      <c r="V597">
        <v>4</v>
      </c>
      <c r="W597" t="s">
        <v>3096</v>
      </c>
      <c r="X597">
        <v>43696.800000000003</v>
      </c>
      <c r="Y597" t="s">
        <v>3062</v>
      </c>
      <c r="Z597" t="s">
        <v>3063</v>
      </c>
      <c r="AA597" t="s">
        <v>3079</v>
      </c>
    </row>
    <row r="598" spans="1:27" x14ac:dyDescent="0.3">
      <c r="A598" t="s">
        <v>2874</v>
      </c>
      <c r="B598" s="7">
        <v>45760</v>
      </c>
      <c r="C598" t="s">
        <v>30</v>
      </c>
      <c r="D598" t="s">
        <v>21</v>
      </c>
      <c r="E598" t="s">
        <v>2040</v>
      </c>
      <c r="F598" t="s">
        <v>33</v>
      </c>
      <c r="G598" t="s">
        <v>92</v>
      </c>
      <c r="H598" t="s">
        <v>109</v>
      </c>
      <c r="I598" t="s">
        <v>1718</v>
      </c>
      <c r="J598">
        <v>3</v>
      </c>
      <c r="K598">
        <v>18329</v>
      </c>
      <c r="L598">
        <v>0.04</v>
      </c>
      <c r="M598">
        <v>17595.84</v>
      </c>
      <c r="N598">
        <v>52787.519999999997</v>
      </c>
      <c r="O598">
        <v>0.15</v>
      </c>
      <c r="P598">
        <v>7918.13</v>
      </c>
      <c r="Q598" t="s">
        <v>37</v>
      </c>
      <c r="R598" t="s">
        <v>48</v>
      </c>
      <c r="S598">
        <v>3</v>
      </c>
      <c r="T598">
        <v>2025</v>
      </c>
      <c r="U598" t="s">
        <v>3080</v>
      </c>
      <c r="V598">
        <v>4</v>
      </c>
      <c r="W598" t="s">
        <v>3096</v>
      </c>
      <c r="X598">
        <v>44869.39</v>
      </c>
      <c r="Y598" t="s">
        <v>3067</v>
      </c>
      <c r="Z598" t="s">
        <v>3063</v>
      </c>
      <c r="AA598" t="s">
        <v>3079</v>
      </c>
    </row>
    <row r="599" spans="1:27" x14ac:dyDescent="0.3">
      <c r="A599" t="s">
        <v>2440</v>
      </c>
      <c r="B599" s="7">
        <v>45326</v>
      </c>
      <c r="C599" t="s">
        <v>30</v>
      </c>
      <c r="D599" t="s">
        <v>21</v>
      </c>
      <c r="E599" t="s">
        <v>42</v>
      </c>
      <c r="F599" t="s">
        <v>33</v>
      </c>
      <c r="G599" t="s">
        <v>57</v>
      </c>
      <c r="H599" t="s">
        <v>81</v>
      </c>
      <c r="I599" t="s">
        <v>866</v>
      </c>
      <c r="J599">
        <v>5</v>
      </c>
      <c r="K599">
        <v>10258</v>
      </c>
      <c r="L599">
        <v>0.23</v>
      </c>
      <c r="M599">
        <v>7898.66</v>
      </c>
      <c r="N599">
        <v>39493.300000000003</v>
      </c>
      <c r="O599">
        <v>0.2</v>
      </c>
      <c r="P599">
        <v>7898.66</v>
      </c>
      <c r="Q599" t="s">
        <v>37</v>
      </c>
      <c r="R599" t="s">
        <v>48</v>
      </c>
      <c r="S599">
        <v>5</v>
      </c>
      <c r="T599">
        <v>2024</v>
      </c>
      <c r="U599" t="s">
        <v>3084</v>
      </c>
      <c r="V599">
        <v>2</v>
      </c>
      <c r="W599" t="s">
        <v>3085</v>
      </c>
      <c r="X599">
        <v>31594.640000000003</v>
      </c>
      <c r="Y599" t="s">
        <v>3062</v>
      </c>
      <c r="Z599" t="s">
        <v>3063</v>
      </c>
      <c r="AA599" t="s">
        <v>3079</v>
      </c>
    </row>
    <row r="600" spans="1:27" x14ac:dyDescent="0.3">
      <c r="A600" t="s">
        <v>2749</v>
      </c>
      <c r="B600" s="7">
        <v>45635</v>
      </c>
      <c r="C600" t="s">
        <v>40</v>
      </c>
      <c r="D600" t="s">
        <v>31</v>
      </c>
      <c r="E600" t="s">
        <v>2042</v>
      </c>
      <c r="F600" t="s">
        <v>68</v>
      </c>
      <c r="G600" t="s">
        <v>92</v>
      </c>
      <c r="H600" t="s">
        <v>93</v>
      </c>
      <c r="I600" t="s">
        <v>1473</v>
      </c>
      <c r="J600">
        <v>1</v>
      </c>
      <c r="K600">
        <v>53541</v>
      </c>
      <c r="L600">
        <v>0.03</v>
      </c>
      <c r="M600">
        <v>51934.77</v>
      </c>
      <c r="N600">
        <v>51934.77</v>
      </c>
      <c r="O600">
        <v>0.15</v>
      </c>
      <c r="P600">
        <v>7790.22</v>
      </c>
      <c r="Q600" t="s">
        <v>37</v>
      </c>
      <c r="R600" t="s">
        <v>28</v>
      </c>
      <c r="S600">
        <v>6</v>
      </c>
      <c r="T600">
        <v>2024</v>
      </c>
      <c r="U600" t="s">
        <v>3086</v>
      </c>
      <c r="V600">
        <v>12</v>
      </c>
      <c r="W600" t="s">
        <v>3087</v>
      </c>
      <c r="X600">
        <v>44144.549999999996</v>
      </c>
      <c r="Y600" t="s">
        <v>3062</v>
      </c>
      <c r="Z600" t="s">
        <v>3063</v>
      </c>
      <c r="AA600" t="s">
        <v>3079</v>
      </c>
    </row>
    <row r="601" spans="1:27" x14ac:dyDescent="0.3">
      <c r="A601" t="s">
        <v>2677</v>
      </c>
      <c r="B601" s="7">
        <v>45563</v>
      </c>
      <c r="C601" t="s">
        <v>30</v>
      </c>
      <c r="D601" t="s">
        <v>56</v>
      </c>
      <c r="E601" t="s">
        <v>42</v>
      </c>
      <c r="F601" t="s">
        <v>23</v>
      </c>
      <c r="G601" t="s">
        <v>92</v>
      </c>
      <c r="H601" t="s">
        <v>93</v>
      </c>
      <c r="I601" t="s">
        <v>1334</v>
      </c>
      <c r="J601">
        <v>3</v>
      </c>
      <c r="K601">
        <v>20142</v>
      </c>
      <c r="L601">
        <v>0.14000000000000001</v>
      </c>
      <c r="M601">
        <v>17322.12</v>
      </c>
      <c r="N601">
        <v>51966.36</v>
      </c>
      <c r="O601">
        <v>0.15</v>
      </c>
      <c r="P601">
        <v>7794.95</v>
      </c>
      <c r="Q601" t="s">
        <v>27</v>
      </c>
      <c r="R601" t="s">
        <v>48</v>
      </c>
      <c r="S601">
        <v>7</v>
      </c>
      <c r="T601">
        <v>2024</v>
      </c>
      <c r="U601" t="s">
        <v>3097</v>
      </c>
      <c r="V601">
        <v>9</v>
      </c>
      <c r="W601" t="s">
        <v>3098</v>
      </c>
      <c r="X601">
        <v>44171.41</v>
      </c>
      <c r="Y601" t="s">
        <v>3062</v>
      </c>
      <c r="Z601" t="s">
        <v>3063</v>
      </c>
      <c r="AA601" t="s">
        <v>3079</v>
      </c>
    </row>
    <row r="602" spans="1:27" x14ac:dyDescent="0.3">
      <c r="A602" t="s">
        <v>2901</v>
      </c>
      <c r="B602" s="7">
        <v>45787</v>
      </c>
      <c r="C602" t="s">
        <v>40</v>
      </c>
      <c r="D602" t="s">
        <v>31</v>
      </c>
      <c r="E602" t="s">
        <v>42</v>
      </c>
      <c r="F602" t="s">
        <v>33</v>
      </c>
      <c r="G602" t="s">
        <v>92</v>
      </c>
      <c r="H602" t="s">
        <v>243</v>
      </c>
      <c r="I602" t="s">
        <v>1772</v>
      </c>
      <c r="J602">
        <v>1</v>
      </c>
      <c r="K602">
        <v>53619</v>
      </c>
      <c r="L602">
        <v>0.02</v>
      </c>
      <c r="M602">
        <v>52546.62</v>
      </c>
      <c r="N602">
        <v>52546.62</v>
      </c>
      <c r="O602">
        <v>0.15</v>
      </c>
      <c r="P602">
        <v>7881.99</v>
      </c>
      <c r="Q602" t="s">
        <v>51</v>
      </c>
      <c r="R602" t="s">
        <v>48</v>
      </c>
      <c r="S602">
        <v>3</v>
      </c>
      <c r="T602">
        <v>2025</v>
      </c>
      <c r="U602" t="s">
        <v>3091</v>
      </c>
      <c r="V602">
        <v>5</v>
      </c>
      <c r="W602" t="s">
        <v>3106</v>
      </c>
      <c r="X602">
        <v>44664.630000000005</v>
      </c>
      <c r="Y602" t="s">
        <v>3067</v>
      </c>
      <c r="Z602" t="s">
        <v>3063</v>
      </c>
      <c r="AA602" t="s">
        <v>3079</v>
      </c>
    </row>
    <row r="603" spans="1:27" x14ac:dyDescent="0.3">
      <c r="A603" t="s">
        <v>2499</v>
      </c>
      <c r="B603" s="7">
        <v>45385</v>
      </c>
      <c r="C603" t="s">
        <v>96</v>
      </c>
      <c r="D603" t="s">
        <v>31</v>
      </c>
      <c r="E603" t="s">
        <v>42</v>
      </c>
      <c r="F603" t="s">
        <v>33</v>
      </c>
      <c r="G603" t="s">
        <v>57</v>
      </c>
      <c r="H603" t="s">
        <v>183</v>
      </c>
      <c r="I603" t="s">
        <v>983</v>
      </c>
      <c r="J603">
        <v>2</v>
      </c>
      <c r="K603">
        <v>19826</v>
      </c>
      <c r="L603">
        <v>0.01</v>
      </c>
      <c r="M603">
        <v>19627.740000000002</v>
      </c>
      <c r="N603">
        <v>39255.480000000003</v>
      </c>
      <c r="O603">
        <v>0.2</v>
      </c>
      <c r="P603">
        <v>7851.1</v>
      </c>
      <c r="Q603" t="s">
        <v>37</v>
      </c>
      <c r="R603" t="s">
        <v>48</v>
      </c>
      <c r="S603">
        <v>5</v>
      </c>
      <c r="T603">
        <v>2024</v>
      </c>
      <c r="U603" t="s">
        <v>3080</v>
      </c>
      <c r="V603">
        <v>4</v>
      </c>
      <c r="W603" t="s">
        <v>3095</v>
      </c>
      <c r="X603">
        <v>31404.380000000005</v>
      </c>
      <c r="Y603" t="s">
        <v>3062</v>
      </c>
      <c r="Z603" t="s">
        <v>3063</v>
      </c>
      <c r="AA603" t="s">
        <v>3079</v>
      </c>
    </row>
    <row r="604" spans="1:27" x14ac:dyDescent="0.3">
      <c r="A604" t="s">
        <v>2372</v>
      </c>
      <c r="B604" s="7">
        <v>45258</v>
      </c>
      <c r="C604" t="s">
        <v>20</v>
      </c>
      <c r="D604" t="s">
        <v>41</v>
      </c>
      <c r="E604" t="s">
        <v>42</v>
      </c>
      <c r="F604" t="s">
        <v>43</v>
      </c>
      <c r="G604" t="s">
        <v>57</v>
      </c>
      <c r="H604" t="s">
        <v>81</v>
      </c>
      <c r="I604" t="s">
        <v>732</v>
      </c>
      <c r="J604">
        <v>6</v>
      </c>
      <c r="K604">
        <v>7752</v>
      </c>
      <c r="L604">
        <v>0.16</v>
      </c>
      <c r="M604">
        <v>6511.68</v>
      </c>
      <c r="N604">
        <v>39070.080000000002</v>
      </c>
      <c r="O604">
        <v>0.2</v>
      </c>
      <c r="P604">
        <v>7814.02</v>
      </c>
      <c r="Q604" t="s">
        <v>47</v>
      </c>
      <c r="R604" t="s">
        <v>48</v>
      </c>
      <c r="S604">
        <v>5</v>
      </c>
      <c r="T604">
        <v>2023</v>
      </c>
      <c r="U604" t="s">
        <v>3060</v>
      </c>
      <c r="V604">
        <v>11</v>
      </c>
      <c r="W604" t="s">
        <v>3061</v>
      </c>
      <c r="X604">
        <v>31256.06</v>
      </c>
      <c r="Y604" t="s">
        <v>3062</v>
      </c>
      <c r="Z604" t="s">
        <v>3063</v>
      </c>
      <c r="AA604" t="s">
        <v>3079</v>
      </c>
    </row>
    <row r="605" spans="1:27" x14ac:dyDescent="0.3">
      <c r="A605" t="s">
        <v>2452</v>
      </c>
      <c r="B605" s="7">
        <v>45338</v>
      </c>
      <c r="C605" t="s">
        <v>96</v>
      </c>
      <c r="D605" t="s">
        <v>21</v>
      </c>
      <c r="E605" t="s">
        <v>67</v>
      </c>
      <c r="F605" t="s">
        <v>23</v>
      </c>
      <c r="G605" t="s">
        <v>57</v>
      </c>
      <c r="H605" t="s">
        <v>100</v>
      </c>
      <c r="I605" t="s">
        <v>890</v>
      </c>
      <c r="J605">
        <v>3</v>
      </c>
      <c r="K605">
        <v>16109</v>
      </c>
      <c r="L605">
        <v>0.19</v>
      </c>
      <c r="M605">
        <v>13048.29</v>
      </c>
      <c r="N605">
        <v>39144.870000000003</v>
      </c>
      <c r="O605">
        <v>0.2</v>
      </c>
      <c r="P605">
        <v>7828.97</v>
      </c>
      <c r="Q605" t="s">
        <v>27</v>
      </c>
      <c r="R605" t="s">
        <v>48</v>
      </c>
      <c r="S605">
        <v>8</v>
      </c>
      <c r="T605">
        <v>2024</v>
      </c>
      <c r="U605" t="s">
        <v>3084</v>
      </c>
      <c r="V605">
        <v>2</v>
      </c>
      <c r="W605" t="s">
        <v>3085</v>
      </c>
      <c r="X605">
        <v>31315.9</v>
      </c>
      <c r="Y605" t="s">
        <v>3077</v>
      </c>
      <c r="Z605" t="s">
        <v>3063</v>
      </c>
      <c r="AA605" t="s">
        <v>3079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3048A-1CBF-4D0D-ACDB-8934E5292757}">
  <dimension ref="A1:V12"/>
  <sheetViews>
    <sheetView zoomScale="90" zoomScaleNormal="112" workbookViewId="0">
      <selection activeCell="A17" sqref="A17"/>
    </sheetView>
  </sheetViews>
  <sheetFormatPr defaultRowHeight="14.4" x14ac:dyDescent="0.3"/>
  <cols>
    <col min="1" max="1" width="15.77734375" bestFit="1" customWidth="1"/>
    <col min="3" max="3" width="15.77734375" bestFit="1" customWidth="1"/>
    <col min="5" max="5" width="13.5546875" bestFit="1" customWidth="1"/>
    <col min="6" max="6" width="16.77734375" bestFit="1" customWidth="1"/>
    <col min="7" max="7" width="20.109375" bestFit="1" customWidth="1"/>
    <col min="8" max="8" width="4.33203125" bestFit="1" customWidth="1"/>
    <col min="9" max="9" width="4.109375" bestFit="1" customWidth="1"/>
    <col min="10" max="10" width="4.5546875" bestFit="1" customWidth="1"/>
    <col min="11" max="11" width="15" bestFit="1" customWidth="1"/>
    <col min="12" max="12" width="12.33203125" bestFit="1" customWidth="1"/>
    <col min="13" max="13" width="11.109375" bestFit="1" customWidth="1"/>
    <col min="14" max="14" width="13.5546875" bestFit="1" customWidth="1"/>
    <col min="15" max="15" width="13.33203125" bestFit="1" customWidth="1"/>
    <col min="16" max="16" width="11.109375" bestFit="1" customWidth="1"/>
    <col min="17" max="17" width="12.109375" bestFit="1" customWidth="1"/>
    <col min="18" max="18" width="11.109375" bestFit="1" customWidth="1"/>
    <col min="19" max="19" width="12" bestFit="1" customWidth="1"/>
    <col min="20" max="20" width="13.5546875" bestFit="1" customWidth="1"/>
    <col min="21" max="21" width="20.109375" bestFit="1" customWidth="1"/>
    <col min="22" max="23" width="13.33203125" bestFit="1" customWidth="1"/>
    <col min="24" max="25" width="12.21875" bestFit="1" customWidth="1"/>
    <col min="26" max="26" width="13.33203125" bestFit="1" customWidth="1"/>
    <col min="27" max="27" width="10.88671875" bestFit="1" customWidth="1"/>
    <col min="28" max="28" width="9.33203125" bestFit="1" customWidth="1"/>
    <col min="29" max="29" width="12" bestFit="1" customWidth="1"/>
    <col min="30" max="30" width="9.33203125" bestFit="1" customWidth="1"/>
    <col min="31" max="31" width="12" bestFit="1" customWidth="1"/>
    <col min="32" max="32" width="8.21875" bestFit="1" customWidth="1"/>
    <col min="33" max="33" width="10.88671875" bestFit="1" customWidth="1"/>
    <col min="34" max="34" width="9.33203125" bestFit="1" customWidth="1"/>
    <col min="35" max="35" width="12" bestFit="1" customWidth="1"/>
    <col min="36" max="36" width="9.33203125" bestFit="1" customWidth="1"/>
    <col min="37" max="37" width="12" bestFit="1" customWidth="1"/>
    <col min="38" max="38" width="9.33203125" bestFit="1" customWidth="1"/>
    <col min="39" max="39" width="12" bestFit="1" customWidth="1"/>
    <col min="40" max="40" width="9.33203125" bestFit="1" customWidth="1"/>
    <col min="41" max="41" width="4.33203125" bestFit="1" customWidth="1"/>
    <col min="42" max="42" width="12" bestFit="1" customWidth="1"/>
    <col min="43" max="43" width="9.33203125" bestFit="1" customWidth="1"/>
    <col min="44" max="44" width="12" bestFit="1" customWidth="1"/>
    <col min="45" max="45" width="9.33203125" bestFit="1" customWidth="1"/>
    <col min="46" max="46" width="12" bestFit="1" customWidth="1"/>
    <col min="47" max="47" width="9.33203125" bestFit="1" customWidth="1"/>
    <col min="48" max="48" width="12" bestFit="1" customWidth="1"/>
    <col min="49" max="49" width="8.21875" bestFit="1" customWidth="1"/>
    <col min="50" max="50" width="10.88671875" bestFit="1" customWidth="1"/>
    <col min="51" max="51" width="9.33203125" bestFit="1" customWidth="1"/>
    <col min="52" max="52" width="12" bestFit="1" customWidth="1"/>
    <col min="53" max="53" width="9.33203125" bestFit="1" customWidth="1"/>
    <col min="54" max="54" width="12" bestFit="1" customWidth="1"/>
    <col min="55" max="55" width="8.21875" bestFit="1" customWidth="1"/>
    <col min="56" max="56" width="10.88671875" bestFit="1" customWidth="1"/>
    <col min="57" max="57" width="8.21875" bestFit="1" customWidth="1"/>
    <col min="58" max="58" width="10.88671875" bestFit="1" customWidth="1"/>
    <col min="59" max="59" width="9.33203125" bestFit="1" customWidth="1"/>
    <col min="60" max="60" width="12" bestFit="1" customWidth="1"/>
    <col min="61" max="61" width="9.33203125" bestFit="1" customWidth="1"/>
    <col min="62" max="62" width="12" bestFit="1" customWidth="1"/>
    <col min="63" max="63" width="6" bestFit="1" customWidth="1"/>
    <col min="64" max="64" width="9.109375" bestFit="1" customWidth="1"/>
    <col min="65" max="65" width="9.33203125" bestFit="1" customWidth="1"/>
    <col min="66" max="66" width="12" bestFit="1" customWidth="1"/>
    <col min="67" max="67" width="9.33203125" bestFit="1" customWidth="1"/>
    <col min="68" max="68" width="12" bestFit="1" customWidth="1"/>
    <col min="69" max="69" width="8.21875" bestFit="1" customWidth="1"/>
    <col min="70" max="70" width="10.88671875" bestFit="1" customWidth="1"/>
    <col min="71" max="71" width="10.44140625" bestFit="1" customWidth="1"/>
    <col min="72" max="72" width="13.109375" bestFit="1" customWidth="1"/>
    <col min="73" max="73" width="10.44140625" bestFit="1" customWidth="1"/>
    <col min="74" max="74" width="13.109375" bestFit="1" customWidth="1"/>
    <col min="75" max="75" width="10.44140625" bestFit="1" customWidth="1"/>
    <col min="76" max="76" width="13.109375" bestFit="1" customWidth="1"/>
    <col min="77" max="77" width="7.109375" bestFit="1" customWidth="1"/>
    <col min="78" max="78" width="10.21875" bestFit="1" customWidth="1"/>
    <col min="79" max="79" width="10.44140625" bestFit="1" customWidth="1"/>
    <col min="80" max="80" width="13.109375" bestFit="1" customWidth="1"/>
    <col min="81" max="81" width="10.44140625" bestFit="1" customWidth="1"/>
    <col min="82" max="82" width="13.109375" bestFit="1" customWidth="1"/>
    <col min="83" max="83" width="9.33203125" bestFit="1" customWidth="1"/>
    <col min="84" max="84" width="12" bestFit="1" customWidth="1"/>
    <col min="85" max="85" width="9.33203125" bestFit="1" customWidth="1"/>
    <col min="86" max="86" width="12" bestFit="1" customWidth="1"/>
    <col min="87" max="87" width="10.44140625" bestFit="1" customWidth="1"/>
    <col min="88" max="88" width="13.109375" bestFit="1" customWidth="1"/>
    <col min="89" max="89" width="9.33203125" bestFit="1" customWidth="1"/>
    <col min="90" max="90" width="12" bestFit="1" customWidth="1"/>
    <col min="91" max="91" width="7.109375" bestFit="1" customWidth="1"/>
    <col min="92" max="92" width="10.21875" bestFit="1" customWidth="1"/>
    <col min="93" max="93" width="10.44140625" bestFit="1" customWidth="1"/>
    <col min="94" max="94" width="13.109375" bestFit="1" customWidth="1"/>
    <col min="95" max="95" width="10.44140625" bestFit="1" customWidth="1"/>
    <col min="96" max="96" width="13.109375" bestFit="1" customWidth="1"/>
    <col min="97" max="97" width="9.33203125" bestFit="1" customWidth="1"/>
    <col min="98" max="98" width="12" bestFit="1" customWidth="1"/>
    <col min="99" max="99" width="7.109375" bestFit="1" customWidth="1"/>
    <col min="100" max="100" width="10.21875" bestFit="1" customWidth="1"/>
    <col min="101" max="101" width="9.33203125" bestFit="1" customWidth="1"/>
    <col min="102" max="102" width="12" bestFit="1" customWidth="1"/>
    <col min="103" max="103" width="9.33203125" bestFit="1" customWidth="1"/>
    <col min="104" max="104" width="12" bestFit="1" customWidth="1"/>
    <col min="105" max="105" width="10.44140625" bestFit="1" customWidth="1"/>
    <col min="106" max="106" width="13.109375" bestFit="1" customWidth="1"/>
    <col min="107" max="107" width="10.44140625" bestFit="1" customWidth="1"/>
    <col min="108" max="108" width="13.109375" bestFit="1" customWidth="1"/>
    <col min="109" max="109" width="10.44140625" bestFit="1" customWidth="1"/>
    <col min="110" max="110" width="13.109375" bestFit="1" customWidth="1"/>
    <col min="111" max="111" width="7.109375" bestFit="1" customWidth="1"/>
    <col min="112" max="112" width="10.21875" bestFit="1" customWidth="1"/>
    <col min="113" max="113" width="9.33203125" bestFit="1" customWidth="1"/>
    <col min="114" max="114" width="12" bestFit="1" customWidth="1"/>
    <col min="115" max="115" width="10.44140625" bestFit="1" customWidth="1"/>
    <col min="116" max="116" width="13.109375" bestFit="1" customWidth="1"/>
    <col min="117" max="117" width="7.109375" bestFit="1" customWidth="1"/>
    <col min="118" max="118" width="10.21875" bestFit="1" customWidth="1"/>
    <col min="119" max="119" width="9.33203125" bestFit="1" customWidth="1"/>
    <col min="120" max="120" width="12" bestFit="1" customWidth="1"/>
    <col min="121" max="121" width="10.44140625" bestFit="1" customWidth="1"/>
    <col min="122" max="122" width="13.109375" bestFit="1" customWidth="1"/>
    <col min="123" max="123" width="10.44140625" bestFit="1" customWidth="1"/>
    <col min="124" max="124" width="13.109375" bestFit="1" customWidth="1"/>
    <col min="125" max="125" width="10.44140625" bestFit="1" customWidth="1"/>
    <col min="126" max="126" width="13.109375" bestFit="1" customWidth="1"/>
    <col min="127" max="127" width="10.44140625" bestFit="1" customWidth="1"/>
    <col min="128" max="128" width="13.109375" bestFit="1" customWidth="1"/>
    <col min="129" max="129" width="10.44140625" bestFit="1" customWidth="1"/>
    <col min="130" max="130" width="13.109375" bestFit="1" customWidth="1"/>
    <col min="131" max="131" width="10.44140625" bestFit="1" customWidth="1"/>
    <col min="132" max="132" width="13.109375" bestFit="1" customWidth="1"/>
    <col min="133" max="133" width="10.44140625" bestFit="1" customWidth="1"/>
    <col min="134" max="134" width="13.109375" bestFit="1" customWidth="1"/>
    <col min="135" max="135" width="10.44140625" bestFit="1" customWidth="1"/>
    <col min="136" max="136" width="13.109375" bestFit="1" customWidth="1"/>
    <col min="137" max="137" width="10.44140625" bestFit="1" customWidth="1"/>
    <col min="138" max="138" width="13.109375" bestFit="1" customWidth="1"/>
    <col min="139" max="139" width="10.44140625" bestFit="1" customWidth="1"/>
    <col min="140" max="140" width="13.109375" bestFit="1" customWidth="1"/>
    <col min="141" max="141" width="10.44140625" bestFit="1" customWidth="1"/>
    <col min="142" max="142" width="13.109375" bestFit="1" customWidth="1"/>
    <col min="143" max="143" width="10.44140625" bestFit="1" customWidth="1"/>
    <col min="144" max="144" width="13.109375" bestFit="1" customWidth="1"/>
    <col min="145" max="145" width="9.33203125" bestFit="1" customWidth="1"/>
    <col min="146" max="146" width="12" bestFit="1" customWidth="1"/>
    <col min="147" max="147" width="10.44140625" bestFit="1" customWidth="1"/>
    <col min="148" max="148" width="13.109375" bestFit="1" customWidth="1"/>
    <col min="149" max="149" width="9.33203125" bestFit="1" customWidth="1"/>
    <col min="150" max="150" width="12" bestFit="1" customWidth="1"/>
    <col min="151" max="151" width="10.44140625" bestFit="1" customWidth="1"/>
    <col min="152" max="152" width="13.109375" bestFit="1" customWidth="1"/>
    <col min="153" max="153" width="10.44140625" bestFit="1" customWidth="1"/>
    <col min="154" max="154" width="13.109375" bestFit="1" customWidth="1"/>
    <col min="155" max="155" width="10.44140625" bestFit="1" customWidth="1"/>
    <col min="156" max="156" width="13.109375" bestFit="1" customWidth="1"/>
    <col min="157" max="157" width="9.33203125" bestFit="1" customWidth="1"/>
    <col min="158" max="158" width="12" bestFit="1" customWidth="1"/>
    <col min="159" max="159" width="9.33203125" bestFit="1" customWidth="1"/>
    <col min="160" max="160" width="12" bestFit="1" customWidth="1"/>
    <col min="161" max="161" width="10.44140625" bestFit="1" customWidth="1"/>
    <col min="162" max="162" width="13.109375" bestFit="1" customWidth="1"/>
    <col min="163" max="163" width="10.44140625" bestFit="1" customWidth="1"/>
    <col min="164" max="164" width="13.109375" bestFit="1" customWidth="1"/>
    <col min="165" max="165" width="10.44140625" bestFit="1" customWidth="1"/>
    <col min="166" max="166" width="13.109375" bestFit="1" customWidth="1"/>
    <col min="167" max="167" width="10.44140625" bestFit="1" customWidth="1"/>
    <col min="168" max="168" width="13.109375" bestFit="1" customWidth="1"/>
    <col min="169" max="169" width="9.33203125" bestFit="1" customWidth="1"/>
    <col min="170" max="170" width="12" bestFit="1" customWidth="1"/>
    <col min="171" max="171" width="10.44140625" bestFit="1" customWidth="1"/>
    <col min="172" max="172" width="13.109375" bestFit="1" customWidth="1"/>
    <col min="173" max="173" width="10.44140625" bestFit="1" customWidth="1"/>
    <col min="174" max="174" width="13.109375" bestFit="1" customWidth="1"/>
    <col min="175" max="175" width="9.33203125" bestFit="1" customWidth="1"/>
    <col min="176" max="176" width="12" bestFit="1" customWidth="1"/>
    <col min="177" max="177" width="10.44140625" bestFit="1" customWidth="1"/>
    <col min="178" max="178" width="13.109375" bestFit="1" customWidth="1"/>
    <col min="179" max="179" width="10.44140625" bestFit="1" customWidth="1"/>
    <col min="180" max="180" width="13.109375" bestFit="1" customWidth="1"/>
    <col min="181" max="181" width="10.44140625" bestFit="1" customWidth="1"/>
    <col min="182" max="182" width="13.109375" bestFit="1" customWidth="1"/>
    <col min="183" max="183" width="9.33203125" bestFit="1" customWidth="1"/>
    <col min="184" max="184" width="12" bestFit="1" customWidth="1"/>
    <col min="185" max="185" width="10.44140625" bestFit="1" customWidth="1"/>
    <col min="186" max="186" width="13.109375" bestFit="1" customWidth="1"/>
    <col min="187" max="187" width="10.44140625" bestFit="1" customWidth="1"/>
    <col min="188" max="188" width="13.109375" bestFit="1" customWidth="1"/>
    <col min="189" max="189" width="10.44140625" bestFit="1" customWidth="1"/>
    <col min="190" max="190" width="13.109375" bestFit="1" customWidth="1"/>
    <col min="191" max="191" width="10.44140625" bestFit="1" customWidth="1"/>
    <col min="192" max="192" width="13.109375" bestFit="1" customWidth="1"/>
    <col min="193" max="193" width="10.44140625" bestFit="1" customWidth="1"/>
    <col min="194" max="194" width="13.109375" bestFit="1" customWidth="1"/>
    <col min="195" max="195" width="10.44140625" bestFit="1" customWidth="1"/>
    <col min="196" max="196" width="13.109375" bestFit="1" customWidth="1"/>
    <col min="197" max="197" width="7.109375" bestFit="1" customWidth="1"/>
    <col min="198" max="198" width="10.21875" bestFit="1" customWidth="1"/>
    <col min="199" max="199" width="10.44140625" bestFit="1" customWidth="1"/>
    <col min="200" max="200" width="13.109375" bestFit="1" customWidth="1"/>
    <col min="201" max="201" width="9.33203125" bestFit="1" customWidth="1"/>
    <col min="202" max="202" width="12" bestFit="1" customWidth="1"/>
    <col min="203" max="203" width="10.44140625" bestFit="1" customWidth="1"/>
    <col min="204" max="204" width="13.109375" bestFit="1" customWidth="1"/>
    <col min="205" max="205" width="9.33203125" bestFit="1" customWidth="1"/>
    <col min="206" max="206" width="12" bestFit="1" customWidth="1"/>
    <col min="207" max="207" width="10.44140625" bestFit="1" customWidth="1"/>
    <col min="208" max="208" width="13.109375" bestFit="1" customWidth="1"/>
    <col min="209" max="209" width="9.33203125" bestFit="1" customWidth="1"/>
    <col min="210" max="210" width="12" bestFit="1" customWidth="1"/>
    <col min="211" max="211" width="10.44140625" bestFit="1" customWidth="1"/>
    <col min="212" max="212" width="13.109375" bestFit="1" customWidth="1"/>
    <col min="213" max="213" width="10.44140625" bestFit="1" customWidth="1"/>
    <col min="214" max="214" width="13.109375" bestFit="1" customWidth="1"/>
    <col min="215" max="215" width="10.44140625" bestFit="1" customWidth="1"/>
    <col min="216" max="216" width="13.109375" bestFit="1" customWidth="1"/>
    <col min="217" max="217" width="9.33203125" bestFit="1" customWidth="1"/>
    <col min="218" max="218" width="12" bestFit="1" customWidth="1"/>
    <col min="219" max="219" width="9.33203125" bestFit="1" customWidth="1"/>
    <col min="220" max="220" width="12" bestFit="1" customWidth="1"/>
    <col min="221" max="221" width="10.44140625" bestFit="1" customWidth="1"/>
    <col min="222" max="222" width="13.109375" bestFit="1" customWidth="1"/>
    <col min="223" max="223" width="9.33203125" bestFit="1" customWidth="1"/>
    <col min="224" max="224" width="12" bestFit="1" customWidth="1"/>
    <col min="225" max="225" width="9.33203125" bestFit="1" customWidth="1"/>
    <col min="226" max="226" width="12" bestFit="1" customWidth="1"/>
    <col min="227" max="227" width="10.44140625" bestFit="1" customWidth="1"/>
    <col min="228" max="228" width="13.109375" bestFit="1" customWidth="1"/>
    <col min="229" max="229" width="9.33203125" bestFit="1" customWidth="1"/>
    <col min="230" max="230" width="12" bestFit="1" customWidth="1"/>
    <col min="231" max="231" width="9.33203125" bestFit="1" customWidth="1"/>
    <col min="232" max="232" width="12" bestFit="1" customWidth="1"/>
    <col min="233" max="233" width="10.44140625" bestFit="1" customWidth="1"/>
    <col min="234" max="234" width="13.109375" bestFit="1" customWidth="1"/>
    <col min="235" max="235" width="10.44140625" bestFit="1" customWidth="1"/>
    <col min="236" max="236" width="13.109375" bestFit="1" customWidth="1"/>
    <col min="237" max="237" width="10.44140625" bestFit="1" customWidth="1"/>
    <col min="238" max="238" width="13.109375" bestFit="1" customWidth="1"/>
    <col min="239" max="239" width="10.44140625" bestFit="1" customWidth="1"/>
    <col min="240" max="240" width="13.109375" bestFit="1" customWidth="1"/>
    <col min="241" max="241" width="10.44140625" bestFit="1" customWidth="1"/>
    <col min="242" max="242" width="13.109375" bestFit="1" customWidth="1"/>
    <col min="243" max="243" width="10.44140625" bestFit="1" customWidth="1"/>
    <col min="244" max="244" width="13.109375" bestFit="1" customWidth="1"/>
    <col min="245" max="245" width="9.33203125" bestFit="1" customWidth="1"/>
    <col min="246" max="246" width="12" bestFit="1" customWidth="1"/>
    <col min="247" max="247" width="9.33203125" bestFit="1" customWidth="1"/>
    <col min="248" max="248" width="12" bestFit="1" customWidth="1"/>
    <col min="249" max="249" width="10.44140625" bestFit="1" customWidth="1"/>
    <col min="250" max="250" width="13.109375" bestFit="1" customWidth="1"/>
    <col min="251" max="251" width="7.109375" bestFit="1" customWidth="1"/>
    <col min="252" max="252" width="10.21875" bestFit="1" customWidth="1"/>
    <col min="253" max="253" width="7.109375" bestFit="1" customWidth="1"/>
    <col min="254" max="254" width="10.21875" bestFit="1" customWidth="1"/>
    <col min="255" max="255" width="9.33203125" bestFit="1" customWidth="1"/>
    <col min="256" max="256" width="12" bestFit="1" customWidth="1"/>
    <col min="257" max="257" width="9.33203125" bestFit="1" customWidth="1"/>
    <col min="258" max="258" width="12" bestFit="1" customWidth="1"/>
    <col min="259" max="259" width="9.33203125" bestFit="1" customWidth="1"/>
    <col min="260" max="260" width="12" bestFit="1" customWidth="1"/>
    <col min="261" max="261" width="7.109375" bestFit="1" customWidth="1"/>
    <col min="262" max="262" width="10.21875" bestFit="1" customWidth="1"/>
    <col min="263" max="263" width="7.109375" bestFit="1" customWidth="1"/>
    <col min="264" max="264" width="10.21875" bestFit="1" customWidth="1"/>
    <col min="265" max="265" width="10.44140625" bestFit="1" customWidth="1"/>
    <col min="266" max="266" width="13.109375" bestFit="1" customWidth="1"/>
    <col min="267" max="267" width="10.44140625" bestFit="1" customWidth="1"/>
    <col min="268" max="268" width="13.109375" bestFit="1" customWidth="1"/>
    <col min="269" max="269" width="7.109375" bestFit="1" customWidth="1"/>
    <col min="270" max="270" width="10.21875" bestFit="1" customWidth="1"/>
    <col min="271" max="271" width="10.44140625" bestFit="1" customWidth="1"/>
    <col min="272" max="272" width="13.109375" bestFit="1" customWidth="1"/>
    <col min="273" max="273" width="10.44140625" bestFit="1" customWidth="1"/>
    <col min="274" max="274" width="13.109375" bestFit="1" customWidth="1"/>
    <col min="275" max="275" width="10.44140625" bestFit="1" customWidth="1"/>
    <col min="276" max="276" width="13.109375" bestFit="1" customWidth="1"/>
    <col min="277" max="277" width="9.33203125" bestFit="1" customWidth="1"/>
    <col min="278" max="278" width="12" bestFit="1" customWidth="1"/>
    <col min="279" max="279" width="10.44140625" bestFit="1" customWidth="1"/>
    <col min="280" max="280" width="13.109375" bestFit="1" customWidth="1"/>
    <col min="281" max="281" width="10.44140625" bestFit="1" customWidth="1"/>
    <col min="282" max="282" width="13.109375" bestFit="1" customWidth="1"/>
    <col min="283" max="283" width="7.109375" bestFit="1" customWidth="1"/>
    <col min="284" max="284" width="10.21875" bestFit="1" customWidth="1"/>
    <col min="285" max="285" width="10.44140625" bestFit="1" customWidth="1"/>
    <col min="286" max="286" width="13.109375" bestFit="1" customWidth="1"/>
    <col min="287" max="287" width="7.109375" bestFit="1" customWidth="1"/>
    <col min="288" max="288" width="10.21875" bestFit="1" customWidth="1"/>
    <col min="289" max="289" width="10.44140625" bestFit="1" customWidth="1"/>
    <col min="290" max="290" width="13.109375" bestFit="1" customWidth="1"/>
    <col min="291" max="291" width="7.109375" bestFit="1" customWidth="1"/>
    <col min="292" max="292" width="10.21875" bestFit="1" customWidth="1"/>
    <col min="293" max="293" width="10.44140625" bestFit="1" customWidth="1"/>
    <col min="294" max="294" width="13.109375" bestFit="1" customWidth="1"/>
    <col min="295" max="295" width="9.33203125" bestFit="1" customWidth="1"/>
    <col min="296" max="296" width="12" bestFit="1" customWidth="1"/>
    <col min="297" max="297" width="10.44140625" bestFit="1" customWidth="1"/>
    <col min="298" max="298" width="13.109375" bestFit="1" customWidth="1"/>
    <col min="299" max="299" width="9.33203125" bestFit="1" customWidth="1"/>
    <col min="300" max="300" width="12" bestFit="1" customWidth="1"/>
    <col min="301" max="301" width="9.33203125" bestFit="1" customWidth="1"/>
    <col min="302" max="302" width="12" bestFit="1" customWidth="1"/>
    <col min="303" max="303" width="10.44140625" bestFit="1" customWidth="1"/>
    <col min="304" max="304" width="13.109375" bestFit="1" customWidth="1"/>
    <col min="305" max="305" width="7.109375" bestFit="1" customWidth="1"/>
    <col min="306" max="306" width="10.21875" bestFit="1" customWidth="1"/>
    <col min="307" max="307" width="10.44140625" bestFit="1" customWidth="1"/>
    <col min="308" max="308" width="13.109375" bestFit="1" customWidth="1"/>
    <col min="309" max="309" width="10.44140625" bestFit="1" customWidth="1"/>
    <col min="310" max="310" width="13.109375" bestFit="1" customWidth="1"/>
    <col min="311" max="311" width="10.44140625" bestFit="1" customWidth="1"/>
    <col min="312" max="312" width="13.109375" bestFit="1" customWidth="1"/>
    <col min="313" max="313" width="10.44140625" bestFit="1" customWidth="1"/>
    <col min="314" max="314" width="13.109375" bestFit="1" customWidth="1"/>
    <col min="315" max="315" width="10.44140625" bestFit="1" customWidth="1"/>
    <col min="316" max="316" width="13.109375" bestFit="1" customWidth="1"/>
    <col min="317" max="317" width="10.44140625" bestFit="1" customWidth="1"/>
    <col min="318" max="318" width="13.109375" bestFit="1" customWidth="1"/>
    <col min="319" max="319" width="10.44140625" bestFit="1" customWidth="1"/>
    <col min="320" max="320" width="13.109375" bestFit="1" customWidth="1"/>
    <col min="321" max="321" width="9.33203125" bestFit="1" customWidth="1"/>
    <col min="322" max="322" width="12" bestFit="1" customWidth="1"/>
    <col min="323" max="323" width="9.33203125" bestFit="1" customWidth="1"/>
    <col min="324" max="324" width="12" bestFit="1" customWidth="1"/>
    <col min="325" max="325" width="10.44140625" bestFit="1" customWidth="1"/>
    <col min="326" max="326" width="13.109375" bestFit="1" customWidth="1"/>
    <col min="327" max="327" width="9.33203125" bestFit="1" customWidth="1"/>
    <col min="328" max="328" width="12" bestFit="1" customWidth="1"/>
    <col min="329" max="329" width="10.44140625" bestFit="1" customWidth="1"/>
    <col min="330" max="330" width="13.109375" bestFit="1" customWidth="1"/>
    <col min="331" max="331" width="10.44140625" bestFit="1" customWidth="1"/>
    <col min="332" max="332" width="13.109375" bestFit="1" customWidth="1"/>
    <col min="333" max="333" width="10.44140625" bestFit="1" customWidth="1"/>
    <col min="334" max="334" width="13.109375" bestFit="1" customWidth="1"/>
    <col min="335" max="335" width="7.109375" bestFit="1" customWidth="1"/>
    <col min="336" max="336" width="10.21875" bestFit="1" customWidth="1"/>
    <col min="337" max="337" width="10.44140625" bestFit="1" customWidth="1"/>
    <col min="338" max="338" width="13.109375" bestFit="1" customWidth="1"/>
    <col min="339" max="339" width="9.33203125" bestFit="1" customWidth="1"/>
    <col min="340" max="340" width="12" bestFit="1" customWidth="1"/>
    <col min="341" max="341" width="9.33203125" bestFit="1" customWidth="1"/>
    <col min="342" max="342" width="12" bestFit="1" customWidth="1"/>
    <col min="343" max="343" width="10.44140625" bestFit="1" customWidth="1"/>
    <col min="344" max="344" width="13.109375" bestFit="1" customWidth="1"/>
    <col min="345" max="345" width="10.44140625" bestFit="1" customWidth="1"/>
    <col min="346" max="346" width="13.109375" bestFit="1" customWidth="1"/>
    <col min="347" max="347" width="10.44140625" bestFit="1" customWidth="1"/>
    <col min="348" max="348" width="13.109375" bestFit="1" customWidth="1"/>
    <col min="349" max="349" width="10.44140625" bestFit="1" customWidth="1"/>
    <col min="350" max="350" width="13.109375" bestFit="1" customWidth="1"/>
    <col min="351" max="351" width="10.44140625" bestFit="1" customWidth="1"/>
    <col min="352" max="352" width="13.109375" bestFit="1" customWidth="1"/>
    <col min="353" max="353" width="7.109375" bestFit="1" customWidth="1"/>
    <col min="354" max="354" width="10.21875" bestFit="1" customWidth="1"/>
    <col min="355" max="355" width="7.109375" bestFit="1" customWidth="1"/>
    <col min="356" max="356" width="4.33203125" bestFit="1" customWidth="1"/>
    <col min="357" max="357" width="10.21875" bestFit="1" customWidth="1"/>
    <col min="358" max="358" width="10.44140625" bestFit="1" customWidth="1"/>
    <col min="359" max="359" width="13.109375" bestFit="1" customWidth="1"/>
    <col min="360" max="360" width="10.44140625" bestFit="1" customWidth="1"/>
    <col min="361" max="361" width="13.109375" bestFit="1" customWidth="1"/>
    <col min="362" max="362" width="10.44140625" bestFit="1" customWidth="1"/>
    <col min="363" max="363" width="13.109375" bestFit="1" customWidth="1"/>
    <col min="364" max="364" width="10.44140625" bestFit="1" customWidth="1"/>
    <col min="365" max="365" width="13.109375" bestFit="1" customWidth="1"/>
    <col min="366" max="366" width="10.44140625" bestFit="1" customWidth="1"/>
    <col min="367" max="367" width="13.109375" bestFit="1" customWidth="1"/>
    <col min="368" max="368" width="7.109375" bestFit="1" customWidth="1"/>
    <col min="369" max="369" width="10.21875" bestFit="1" customWidth="1"/>
    <col min="370" max="370" width="10.44140625" bestFit="1" customWidth="1"/>
    <col min="371" max="371" width="13.109375" bestFit="1" customWidth="1"/>
    <col min="372" max="372" width="10.44140625" bestFit="1" customWidth="1"/>
    <col min="373" max="373" width="13.109375" bestFit="1" customWidth="1"/>
    <col min="374" max="374" width="10.44140625" bestFit="1" customWidth="1"/>
    <col min="375" max="375" width="13.109375" bestFit="1" customWidth="1"/>
    <col min="376" max="376" width="10.44140625" bestFit="1" customWidth="1"/>
    <col min="377" max="377" width="13.109375" bestFit="1" customWidth="1"/>
    <col min="378" max="378" width="9.33203125" bestFit="1" customWidth="1"/>
    <col min="379" max="379" width="12" bestFit="1" customWidth="1"/>
    <col min="380" max="380" width="10.44140625" bestFit="1" customWidth="1"/>
    <col min="381" max="381" width="13.109375" bestFit="1" customWidth="1"/>
    <col min="382" max="382" width="10.44140625" bestFit="1" customWidth="1"/>
    <col min="383" max="383" width="13.109375" bestFit="1" customWidth="1"/>
    <col min="384" max="384" width="10.44140625" bestFit="1" customWidth="1"/>
    <col min="385" max="385" width="13.109375" bestFit="1" customWidth="1"/>
    <col min="386" max="386" width="9.33203125" bestFit="1" customWidth="1"/>
    <col min="387" max="387" width="12" bestFit="1" customWidth="1"/>
    <col min="388" max="388" width="10.44140625" bestFit="1" customWidth="1"/>
    <col min="389" max="389" width="13.109375" bestFit="1" customWidth="1"/>
    <col min="390" max="390" width="10.44140625" bestFit="1" customWidth="1"/>
    <col min="391" max="391" width="13.109375" bestFit="1" customWidth="1"/>
    <col min="392" max="392" width="10.44140625" bestFit="1" customWidth="1"/>
    <col min="393" max="393" width="13.109375" bestFit="1" customWidth="1"/>
    <col min="394" max="394" width="10.44140625" bestFit="1" customWidth="1"/>
    <col min="395" max="395" width="13.109375" bestFit="1" customWidth="1"/>
    <col min="396" max="396" width="10.44140625" bestFit="1" customWidth="1"/>
    <col min="397" max="397" width="13.109375" bestFit="1" customWidth="1"/>
    <col min="398" max="398" width="10.44140625" bestFit="1" customWidth="1"/>
    <col min="399" max="399" width="13.109375" bestFit="1" customWidth="1"/>
    <col min="400" max="400" width="7.109375" bestFit="1" customWidth="1"/>
    <col min="401" max="401" width="10.21875" bestFit="1" customWidth="1"/>
    <col min="402" max="402" width="9.33203125" bestFit="1" customWidth="1"/>
    <col min="403" max="403" width="12" bestFit="1" customWidth="1"/>
    <col min="404" max="404" width="9.33203125" bestFit="1" customWidth="1"/>
    <col min="405" max="405" width="12" bestFit="1" customWidth="1"/>
    <col min="406" max="406" width="9.33203125" bestFit="1" customWidth="1"/>
    <col min="407" max="407" width="12" bestFit="1" customWidth="1"/>
    <col min="408" max="408" width="10.44140625" bestFit="1" customWidth="1"/>
    <col min="409" max="409" width="13.109375" bestFit="1" customWidth="1"/>
    <col min="410" max="410" width="10.44140625" bestFit="1" customWidth="1"/>
    <col min="411" max="411" width="13.109375" bestFit="1" customWidth="1"/>
    <col min="412" max="412" width="10.44140625" bestFit="1" customWidth="1"/>
    <col min="413" max="413" width="13.109375" bestFit="1" customWidth="1"/>
    <col min="414" max="414" width="10.44140625" bestFit="1" customWidth="1"/>
    <col min="415" max="415" width="13.109375" bestFit="1" customWidth="1"/>
    <col min="416" max="416" width="9.33203125" bestFit="1" customWidth="1"/>
    <col min="417" max="417" width="12" bestFit="1" customWidth="1"/>
    <col min="418" max="418" width="10.44140625" bestFit="1" customWidth="1"/>
    <col min="419" max="419" width="13.109375" bestFit="1" customWidth="1"/>
    <col min="420" max="420" width="10.44140625" bestFit="1" customWidth="1"/>
    <col min="421" max="421" width="13.109375" bestFit="1" customWidth="1"/>
    <col min="422" max="422" width="9.33203125" bestFit="1" customWidth="1"/>
    <col min="423" max="423" width="12" bestFit="1" customWidth="1"/>
    <col min="424" max="424" width="9.33203125" bestFit="1" customWidth="1"/>
    <col min="425" max="425" width="12" bestFit="1" customWidth="1"/>
    <col min="426" max="426" width="9.33203125" bestFit="1" customWidth="1"/>
    <col min="427" max="427" width="12" bestFit="1" customWidth="1"/>
    <col min="428" max="428" width="10.44140625" bestFit="1" customWidth="1"/>
    <col min="429" max="429" width="13.109375" bestFit="1" customWidth="1"/>
    <col min="430" max="430" width="10.44140625" bestFit="1" customWidth="1"/>
    <col min="431" max="431" width="13.109375" bestFit="1" customWidth="1"/>
    <col min="432" max="432" width="10.44140625" bestFit="1" customWidth="1"/>
    <col min="433" max="433" width="13.109375" bestFit="1" customWidth="1"/>
    <col min="434" max="434" width="10.44140625" bestFit="1" customWidth="1"/>
    <col min="435" max="435" width="13.109375" bestFit="1" customWidth="1"/>
    <col min="436" max="436" width="10.44140625" bestFit="1" customWidth="1"/>
    <col min="437" max="437" width="13.109375" bestFit="1" customWidth="1"/>
    <col min="438" max="438" width="10.44140625" bestFit="1" customWidth="1"/>
    <col min="439" max="439" width="13.109375" bestFit="1" customWidth="1"/>
    <col min="440" max="440" width="9.33203125" bestFit="1" customWidth="1"/>
    <col min="441" max="441" width="12" bestFit="1" customWidth="1"/>
    <col min="442" max="442" width="10.44140625" bestFit="1" customWidth="1"/>
    <col min="443" max="443" width="13.109375" bestFit="1" customWidth="1"/>
    <col min="444" max="444" width="9.33203125" bestFit="1" customWidth="1"/>
    <col min="445" max="445" width="12" bestFit="1" customWidth="1"/>
    <col min="446" max="446" width="10.44140625" bestFit="1" customWidth="1"/>
    <col min="447" max="447" width="13.109375" bestFit="1" customWidth="1"/>
    <col min="448" max="448" width="9.33203125" bestFit="1" customWidth="1"/>
    <col min="449" max="449" width="12" bestFit="1" customWidth="1"/>
    <col min="450" max="450" width="9.33203125" bestFit="1" customWidth="1"/>
    <col min="451" max="451" width="12" bestFit="1" customWidth="1"/>
    <col min="452" max="452" width="10.44140625" bestFit="1" customWidth="1"/>
    <col min="453" max="453" width="13.109375" bestFit="1" customWidth="1"/>
    <col min="454" max="454" width="10.44140625" bestFit="1" customWidth="1"/>
    <col min="455" max="455" width="13.109375" bestFit="1" customWidth="1"/>
    <col min="456" max="456" width="9.33203125" bestFit="1" customWidth="1"/>
    <col min="457" max="457" width="12" bestFit="1" customWidth="1"/>
    <col min="458" max="458" width="9.33203125" bestFit="1" customWidth="1"/>
    <col min="459" max="459" width="12" bestFit="1" customWidth="1"/>
    <col min="460" max="460" width="10.44140625" bestFit="1" customWidth="1"/>
    <col min="461" max="461" width="13.109375" bestFit="1" customWidth="1"/>
    <col min="462" max="462" width="10.44140625" bestFit="1" customWidth="1"/>
    <col min="463" max="463" width="13.109375" bestFit="1" customWidth="1"/>
    <col min="464" max="464" width="9.33203125" bestFit="1" customWidth="1"/>
    <col min="465" max="465" width="12" bestFit="1" customWidth="1"/>
    <col min="466" max="466" width="10.44140625" bestFit="1" customWidth="1"/>
    <col min="467" max="467" width="13.109375" bestFit="1" customWidth="1"/>
    <col min="468" max="468" width="9.33203125" bestFit="1" customWidth="1"/>
    <col min="469" max="469" width="12" bestFit="1" customWidth="1"/>
    <col min="470" max="470" width="10.44140625" bestFit="1" customWidth="1"/>
    <col min="471" max="471" width="13.109375" bestFit="1" customWidth="1"/>
    <col min="472" max="472" width="10.44140625" bestFit="1" customWidth="1"/>
    <col min="473" max="473" width="13.109375" bestFit="1" customWidth="1"/>
    <col min="474" max="474" width="9.33203125" bestFit="1" customWidth="1"/>
    <col min="475" max="475" width="12" bestFit="1" customWidth="1"/>
    <col min="476" max="476" width="10.44140625" bestFit="1" customWidth="1"/>
    <col min="477" max="477" width="13.109375" bestFit="1" customWidth="1"/>
    <col min="478" max="478" width="10.44140625" bestFit="1" customWidth="1"/>
    <col min="479" max="479" width="13.109375" bestFit="1" customWidth="1"/>
    <col min="480" max="480" width="10.44140625" bestFit="1" customWidth="1"/>
    <col min="481" max="481" width="13.109375" bestFit="1" customWidth="1"/>
    <col min="482" max="482" width="9.33203125" bestFit="1" customWidth="1"/>
    <col min="483" max="483" width="12" bestFit="1" customWidth="1"/>
    <col min="484" max="484" width="10.44140625" bestFit="1" customWidth="1"/>
    <col min="485" max="485" width="13.109375" bestFit="1" customWidth="1"/>
    <col min="486" max="486" width="10.44140625" bestFit="1" customWidth="1"/>
    <col min="487" max="487" width="13.109375" bestFit="1" customWidth="1"/>
    <col min="488" max="488" width="9.33203125" bestFit="1" customWidth="1"/>
    <col min="489" max="489" width="12" bestFit="1" customWidth="1"/>
    <col min="490" max="490" width="10.44140625" bestFit="1" customWidth="1"/>
    <col min="491" max="491" width="13.109375" bestFit="1" customWidth="1"/>
    <col min="492" max="492" width="10.44140625" bestFit="1" customWidth="1"/>
    <col min="493" max="493" width="13.109375" bestFit="1" customWidth="1"/>
    <col min="494" max="494" width="9.33203125" bestFit="1" customWidth="1"/>
    <col min="495" max="495" width="12" bestFit="1" customWidth="1"/>
    <col min="496" max="496" width="9.33203125" bestFit="1" customWidth="1"/>
    <col min="497" max="497" width="12" bestFit="1" customWidth="1"/>
    <col min="498" max="498" width="9.33203125" bestFit="1" customWidth="1"/>
    <col min="499" max="499" width="12" bestFit="1" customWidth="1"/>
    <col min="500" max="500" width="10.44140625" bestFit="1" customWidth="1"/>
    <col min="501" max="501" width="13.109375" bestFit="1" customWidth="1"/>
    <col min="502" max="502" width="9.33203125" bestFit="1" customWidth="1"/>
    <col min="503" max="503" width="12" bestFit="1" customWidth="1"/>
    <col min="504" max="504" width="9.33203125" bestFit="1" customWidth="1"/>
    <col min="505" max="505" width="12" bestFit="1" customWidth="1"/>
    <col min="506" max="506" width="10.44140625" bestFit="1" customWidth="1"/>
    <col min="507" max="507" width="13.109375" bestFit="1" customWidth="1"/>
    <col min="508" max="508" width="9.33203125" bestFit="1" customWidth="1"/>
    <col min="509" max="509" width="12" bestFit="1" customWidth="1"/>
    <col min="510" max="510" width="10.44140625" bestFit="1" customWidth="1"/>
    <col min="511" max="511" width="13.109375" bestFit="1" customWidth="1"/>
    <col min="512" max="512" width="10.44140625" bestFit="1" customWidth="1"/>
    <col min="513" max="513" width="13.109375" bestFit="1" customWidth="1"/>
    <col min="514" max="514" width="10.44140625" bestFit="1" customWidth="1"/>
    <col min="515" max="515" width="13.109375" bestFit="1" customWidth="1"/>
    <col min="516" max="516" width="10.44140625" bestFit="1" customWidth="1"/>
    <col min="517" max="517" width="13.109375" bestFit="1" customWidth="1"/>
    <col min="518" max="518" width="9.33203125" bestFit="1" customWidth="1"/>
    <col min="519" max="519" width="12" bestFit="1" customWidth="1"/>
    <col min="520" max="520" width="10.44140625" bestFit="1" customWidth="1"/>
    <col min="521" max="521" width="13.109375" bestFit="1" customWidth="1"/>
    <col min="522" max="522" width="7.109375" bestFit="1" customWidth="1"/>
    <col min="523" max="523" width="10.21875" bestFit="1" customWidth="1"/>
    <col min="524" max="524" width="10.44140625" bestFit="1" customWidth="1"/>
    <col min="525" max="525" width="13.109375" bestFit="1" customWidth="1"/>
    <col min="526" max="526" width="10.44140625" bestFit="1" customWidth="1"/>
    <col min="527" max="527" width="13.109375" bestFit="1" customWidth="1"/>
    <col min="528" max="528" width="10.44140625" bestFit="1" customWidth="1"/>
    <col min="529" max="529" width="13.109375" bestFit="1" customWidth="1"/>
    <col min="530" max="530" width="10.44140625" bestFit="1" customWidth="1"/>
    <col min="531" max="531" width="13.109375" bestFit="1" customWidth="1"/>
    <col min="532" max="532" width="10.44140625" bestFit="1" customWidth="1"/>
    <col min="533" max="533" width="13.109375" bestFit="1" customWidth="1"/>
    <col min="534" max="534" width="10.44140625" bestFit="1" customWidth="1"/>
    <col min="535" max="535" width="13.109375" bestFit="1" customWidth="1"/>
    <col min="536" max="536" width="9.33203125" bestFit="1" customWidth="1"/>
    <col min="537" max="537" width="12" bestFit="1" customWidth="1"/>
    <col min="538" max="538" width="10.44140625" bestFit="1" customWidth="1"/>
    <col min="539" max="539" width="13.109375" bestFit="1" customWidth="1"/>
    <col min="540" max="540" width="10.44140625" bestFit="1" customWidth="1"/>
    <col min="541" max="541" width="13.109375" bestFit="1" customWidth="1"/>
    <col min="542" max="542" width="10.44140625" bestFit="1" customWidth="1"/>
    <col min="543" max="543" width="13.109375" bestFit="1" customWidth="1"/>
    <col min="544" max="544" width="9.33203125" bestFit="1" customWidth="1"/>
    <col min="545" max="545" width="12" bestFit="1" customWidth="1"/>
    <col min="546" max="546" width="10.44140625" bestFit="1" customWidth="1"/>
    <col min="547" max="547" width="13.109375" bestFit="1" customWidth="1"/>
    <col min="548" max="548" width="10.44140625" bestFit="1" customWidth="1"/>
    <col min="549" max="549" width="13.109375" bestFit="1" customWidth="1"/>
    <col min="550" max="550" width="10.44140625" bestFit="1" customWidth="1"/>
    <col min="551" max="551" width="13.109375" bestFit="1" customWidth="1"/>
    <col min="552" max="552" width="10.44140625" bestFit="1" customWidth="1"/>
    <col min="553" max="553" width="13.109375" bestFit="1" customWidth="1"/>
    <col min="554" max="554" width="9.33203125" bestFit="1" customWidth="1"/>
    <col min="555" max="555" width="12" bestFit="1" customWidth="1"/>
    <col min="556" max="556" width="9.33203125" bestFit="1" customWidth="1"/>
    <col min="557" max="557" width="12" bestFit="1" customWidth="1"/>
    <col min="558" max="558" width="10.44140625" bestFit="1" customWidth="1"/>
    <col min="559" max="559" width="13.109375" bestFit="1" customWidth="1"/>
    <col min="560" max="560" width="7.109375" bestFit="1" customWidth="1"/>
    <col min="561" max="561" width="10.21875" bestFit="1" customWidth="1"/>
    <col min="562" max="562" width="10.44140625" bestFit="1" customWidth="1"/>
    <col min="563" max="563" width="13.109375" bestFit="1" customWidth="1"/>
    <col min="564" max="564" width="10.44140625" bestFit="1" customWidth="1"/>
    <col min="565" max="565" width="13.109375" bestFit="1" customWidth="1"/>
    <col min="566" max="566" width="10.44140625" bestFit="1" customWidth="1"/>
    <col min="567" max="567" width="13.109375" bestFit="1" customWidth="1"/>
    <col min="568" max="568" width="10.44140625" bestFit="1" customWidth="1"/>
    <col min="569" max="569" width="13.109375" bestFit="1" customWidth="1"/>
    <col min="570" max="570" width="7.109375" bestFit="1" customWidth="1"/>
    <col min="571" max="571" width="10.21875" bestFit="1" customWidth="1"/>
    <col min="572" max="572" width="7.109375" bestFit="1" customWidth="1"/>
    <col min="573" max="573" width="10.21875" bestFit="1" customWidth="1"/>
    <col min="574" max="574" width="10.44140625" bestFit="1" customWidth="1"/>
    <col min="575" max="575" width="13.109375" bestFit="1" customWidth="1"/>
    <col min="576" max="576" width="10.44140625" bestFit="1" customWidth="1"/>
    <col min="577" max="577" width="13.109375" bestFit="1" customWidth="1"/>
    <col min="578" max="578" width="9.33203125" bestFit="1" customWidth="1"/>
    <col min="579" max="579" width="12" bestFit="1" customWidth="1"/>
    <col min="580" max="580" width="9.33203125" bestFit="1" customWidth="1"/>
    <col min="581" max="581" width="12" bestFit="1" customWidth="1"/>
    <col min="582" max="582" width="10.44140625" bestFit="1" customWidth="1"/>
    <col min="583" max="583" width="13.109375" bestFit="1" customWidth="1"/>
    <col min="584" max="584" width="9.33203125" bestFit="1" customWidth="1"/>
    <col min="585" max="585" width="12" bestFit="1" customWidth="1"/>
    <col min="586" max="586" width="7.109375" bestFit="1" customWidth="1"/>
    <col min="587" max="587" width="10.21875" bestFit="1" customWidth="1"/>
    <col min="588" max="588" width="10.44140625" bestFit="1" customWidth="1"/>
    <col min="589" max="589" width="13.109375" bestFit="1" customWidth="1"/>
    <col min="590" max="590" width="7.109375" bestFit="1" customWidth="1"/>
    <col min="591" max="591" width="10.21875" bestFit="1" customWidth="1"/>
    <col min="592" max="592" width="10.44140625" bestFit="1" customWidth="1"/>
    <col min="593" max="593" width="13.109375" bestFit="1" customWidth="1"/>
    <col min="594" max="594" width="10.44140625" bestFit="1" customWidth="1"/>
    <col min="595" max="595" width="13.109375" bestFit="1" customWidth="1"/>
    <col min="596" max="596" width="10.44140625" bestFit="1" customWidth="1"/>
    <col min="597" max="597" width="13.109375" bestFit="1" customWidth="1"/>
    <col min="598" max="598" width="10.44140625" bestFit="1" customWidth="1"/>
    <col min="599" max="599" width="13.109375" bestFit="1" customWidth="1"/>
    <col min="600" max="600" width="10.44140625" bestFit="1" customWidth="1"/>
    <col min="601" max="601" width="13.109375" bestFit="1" customWidth="1"/>
    <col min="602" max="602" width="10.44140625" bestFit="1" customWidth="1"/>
    <col min="603" max="603" width="13.109375" bestFit="1" customWidth="1"/>
    <col min="604" max="604" width="10.44140625" bestFit="1" customWidth="1"/>
    <col min="605" max="605" width="13.109375" bestFit="1" customWidth="1"/>
    <col min="606" max="606" width="10.44140625" bestFit="1" customWidth="1"/>
    <col min="607" max="607" width="13.109375" bestFit="1" customWidth="1"/>
    <col min="608" max="608" width="10.44140625" bestFit="1" customWidth="1"/>
    <col min="609" max="609" width="13.109375" bestFit="1" customWidth="1"/>
    <col min="610" max="610" width="7.109375" bestFit="1" customWidth="1"/>
    <col min="611" max="611" width="10.21875" bestFit="1" customWidth="1"/>
    <col min="612" max="612" width="10.44140625" bestFit="1" customWidth="1"/>
    <col min="613" max="613" width="13.109375" bestFit="1" customWidth="1"/>
    <col min="614" max="614" width="10.44140625" bestFit="1" customWidth="1"/>
    <col min="615" max="615" width="13.109375" bestFit="1" customWidth="1"/>
    <col min="616" max="616" width="10.44140625" bestFit="1" customWidth="1"/>
    <col min="617" max="617" width="13.109375" bestFit="1" customWidth="1"/>
    <col min="618" max="618" width="10.44140625" bestFit="1" customWidth="1"/>
    <col min="619" max="619" width="13.109375" bestFit="1" customWidth="1"/>
    <col min="620" max="620" width="10.44140625" bestFit="1" customWidth="1"/>
    <col min="621" max="621" width="13.109375" bestFit="1" customWidth="1"/>
    <col min="622" max="622" width="10.44140625" bestFit="1" customWidth="1"/>
    <col min="623" max="623" width="13.109375" bestFit="1" customWidth="1"/>
    <col min="624" max="624" width="10.44140625" bestFit="1" customWidth="1"/>
    <col min="625" max="625" width="13.109375" bestFit="1" customWidth="1"/>
    <col min="626" max="626" width="9.33203125" bestFit="1" customWidth="1"/>
    <col min="627" max="627" width="12" bestFit="1" customWidth="1"/>
    <col min="628" max="628" width="10.44140625" bestFit="1" customWidth="1"/>
    <col min="629" max="629" width="13.109375" bestFit="1" customWidth="1"/>
    <col min="630" max="630" width="10.44140625" bestFit="1" customWidth="1"/>
    <col min="631" max="631" width="13.109375" bestFit="1" customWidth="1"/>
    <col min="632" max="632" width="10.44140625" bestFit="1" customWidth="1"/>
    <col min="633" max="633" width="13.109375" bestFit="1" customWidth="1"/>
    <col min="634" max="634" width="10.44140625" bestFit="1" customWidth="1"/>
    <col min="635" max="635" width="13.109375" bestFit="1" customWidth="1"/>
    <col min="636" max="636" width="10.44140625" bestFit="1" customWidth="1"/>
    <col min="637" max="637" width="13.109375" bestFit="1" customWidth="1"/>
    <col min="638" max="638" width="10.44140625" bestFit="1" customWidth="1"/>
    <col min="639" max="639" width="13.109375" bestFit="1" customWidth="1"/>
    <col min="640" max="640" width="9.33203125" bestFit="1" customWidth="1"/>
    <col min="641" max="641" width="12" bestFit="1" customWidth="1"/>
    <col min="642" max="642" width="10.44140625" bestFit="1" customWidth="1"/>
    <col min="643" max="643" width="13.109375" bestFit="1" customWidth="1"/>
    <col min="644" max="644" width="9.33203125" bestFit="1" customWidth="1"/>
    <col min="645" max="645" width="12" bestFit="1" customWidth="1"/>
    <col min="646" max="646" width="9.33203125" bestFit="1" customWidth="1"/>
    <col min="647" max="647" width="12" bestFit="1" customWidth="1"/>
    <col min="648" max="648" width="10.44140625" bestFit="1" customWidth="1"/>
    <col min="649" max="649" width="13.109375" bestFit="1" customWidth="1"/>
    <col min="650" max="650" width="10.44140625" bestFit="1" customWidth="1"/>
    <col min="651" max="651" width="13.109375" bestFit="1" customWidth="1"/>
    <col min="652" max="652" width="9.33203125" bestFit="1" customWidth="1"/>
    <col min="653" max="653" width="12" bestFit="1" customWidth="1"/>
    <col min="654" max="654" width="10.44140625" bestFit="1" customWidth="1"/>
    <col min="655" max="655" width="13.109375" bestFit="1" customWidth="1"/>
    <col min="656" max="656" width="9.33203125" bestFit="1" customWidth="1"/>
    <col min="657" max="657" width="12" bestFit="1" customWidth="1"/>
    <col min="658" max="658" width="7.109375" bestFit="1" customWidth="1"/>
    <col min="659" max="659" width="10.21875" bestFit="1" customWidth="1"/>
    <col min="660" max="660" width="10.44140625" bestFit="1" customWidth="1"/>
    <col min="661" max="661" width="13.109375" bestFit="1" customWidth="1"/>
    <col min="662" max="662" width="9.33203125" bestFit="1" customWidth="1"/>
    <col min="663" max="663" width="12" bestFit="1" customWidth="1"/>
    <col min="664" max="664" width="7.109375" bestFit="1" customWidth="1"/>
    <col min="665" max="665" width="10.21875" bestFit="1" customWidth="1"/>
    <col min="666" max="666" width="10.44140625" bestFit="1" customWidth="1"/>
    <col min="667" max="667" width="13.109375" bestFit="1" customWidth="1"/>
    <col min="668" max="668" width="10.44140625" bestFit="1" customWidth="1"/>
    <col min="669" max="669" width="13.109375" bestFit="1" customWidth="1"/>
    <col min="670" max="670" width="7.109375" bestFit="1" customWidth="1"/>
    <col min="671" max="671" width="10.21875" bestFit="1" customWidth="1"/>
    <col min="672" max="672" width="10.44140625" bestFit="1" customWidth="1"/>
    <col min="673" max="673" width="13.109375" bestFit="1" customWidth="1"/>
    <col min="674" max="674" width="7.109375" bestFit="1" customWidth="1"/>
    <col min="675" max="675" width="10.21875" bestFit="1" customWidth="1"/>
    <col min="676" max="676" width="9.33203125" bestFit="1" customWidth="1"/>
    <col min="677" max="677" width="12" bestFit="1" customWidth="1"/>
    <col min="678" max="678" width="10.44140625" bestFit="1" customWidth="1"/>
    <col min="679" max="679" width="13.109375" bestFit="1" customWidth="1"/>
    <col min="680" max="680" width="10.44140625" bestFit="1" customWidth="1"/>
    <col min="681" max="681" width="13.109375" bestFit="1" customWidth="1"/>
    <col min="682" max="682" width="10.44140625" bestFit="1" customWidth="1"/>
    <col min="683" max="683" width="13.109375" bestFit="1" customWidth="1"/>
    <col min="684" max="684" width="9.33203125" bestFit="1" customWidth="1"/>
    <col min="685" max="685" width="12" bestFit="1" customWidth="1"/>
    <col min="686" max="686" width="7.109375" bestFit="1" customWidth="1"/>
    <col min="687" max="687" width="10.21875" bestFit="1" customWidth="1"/>
    <col min="688" max="688" width="9.33203125" bestFit="1" customWidth="1"/>
    <col min="689" max="689" width="12" bestFit="1" customWidth="1"/>
    <col min="690" max="690" width="10.44140625" bestFit="1" customWidth="1"/>
    <col min="691" max="691" width="13.109375" bestFit="1" customWidth="1"/>
    <col min="692" max="692" width="10.44140625" bestFit="1" customWidth="1"/>
    <col min="693" max="693" width="13.109375" bestFit="1" customWidth="1"/>
    <col min="694" max="694" width="10.44140625" bestFit="1" customWidth="1"/>
    <col min="695" max="695" width="13.109375" bestFit="1" customWidth="1"/>
    <col min="696" max="696" width="9.33203125" bestFit="1" customWidth="1"/>
    <col min="697" max="697" width="12" bestFit="1" customWidth="1"/>
    <col min="698" max="698" width="10.44140625" bestFit="1" customWidth="1"/>
    <col min="699" max="699" width="13.109375" bestFit="1" customWidth="1"/>
    <col min="700" max="700" width="10.44140625" bestFit="1" customWidth="1"/>
    <col min="701" max="701" width="13.109375" bestFit="1" customWidth="1"/>
    <col min="702" max="702" width="10.44140625" bestFit="1" customWidth="1"/>
    <col min="703" max="703" width="13.109375" bestFit="1" customWidth="1"/>
    <col min="704" max="704" width="10.44140625" bestFit="1" customWidth="1"/>
    <col min="705" max="705" width="13.109375" bestFit="1" customWidth="1"/>
    <col min="706" max="706" width="10.44140625" bestFit="1" customWidth="1"/>
    <col min="707" max="707" width="13.109375" bestFit="1" customWidth="1"/>
    <col min="708" max="708" width="10.44140625" bestFit="1" customWidth="1"/>
    <col min="709" max="709" width="13.109375" bestFit="1" customWidth="1"/>
    <col min="710" max="710" width="10.44140625" bestFit="1" customWidth="1"/>
    <col min="711" max="711" width="13.109375" bestFit="1" customWidth="1"/>
    <col min="712" max="712" width="9.33203125" bestFit="1" customWidth="1"/>
    <col min="713" max="713" width="12" bestFit="1" customWidth="1"/>
    <col min="714" max="714" width="10.44140625" bestFit="1" customWidth="1"/>
    <col min="715" max="715" width="13.109375" bestFit="1" customWidth="1"/>
    <col min="716" max="716" width="9.33203125" bestFit="1" customWidth="1"/>
    <col min="717" max="717" width="12" bestFit="1" customWidth="1"/>
    <col min="718" max="718" width="10.44140625" bestFit="1" customWidth="1"/>
    <col min="719" max="719" width="13.109375" bestFit="1" customWidth="1"/>
    <col min="720" max="720" width="7.109375" bestFit="1" customWidth="1"/>
    <col min="721" max="721" width="10.21875" bestFit="1" customWidth="1"/>
    <col min="722" max="722" width="10.44140625" bestFit="1" customWidth="1"/>
    <col min="723" max="723" width="13.109375" bestFit="1" customWidth="1"/>
    <col min="724" max="724" width="10.44140625" bestFit="1" customWidth="1"/>
    <col min="725" max="725" width="13.109375" bestFit="1" customWidth="1"/>
    <col min="726" max="726" width="10.44140625" bestFit="1" customWidth="1"/>
    <col min="727" max="727" width="13.109375" bestFit="1" customWidth="1"/>
    <col min="728" max="728" width="10.44140625" bestFit="1" customWidth="1"/>
    <col min="729" max="729" width="13.109375" bestFit="1" customWidth="1"/>
    <col min="730" max="730" width="9.33203125" bestFit="1" customWidth="1"/>
    <col min="731" max="731" width="12" bestFit="1" customWidth="1"/>
    <col min="732" max="732" width="9.33203125" bestFit="1" customWidth="1"/>
    <col min="733" max="733" width="12" bestFit="1" customWidth="1"/>
    <col min="734" max="734" width="11.5546875" bestFit="1" customWidth="1"/>
    <col min="735" max="735" width="14.21875" bestFit="1" customWidth="1"/>
    <col min="736" max="736" width="11.5546875" bestFit="1" customWidth="1"/>
    <col min="737" max="737" width="14.21875" bestFit="1" customWidth="1"/>
    <col min="738" max="738" width="11.5546875" bestFit="1" customWidth="1"/>
    <col min="739" max="739" width="14.21875" bestFit="1" customWidth="1"/>
    <col min="740" max="740" width="10.44140625" bestFit="1" customWidth="1"/>
    <col min="741" max="741" width="13.109375" bestFit="1" customWidth="1"/>
    <col min="742" max="742" width="10.44140625" bestFit="1" customWidth="1"/>
    <col min="743" max="743" width="13.109375" bestFit="1" customWidth="1"/>
    <col min="744" max="744" width="11.5546875" bestFit="1" customWidth="1"/>
    <col min="745" max="745" width="14.21875" bestFit="1" customWidth="1"/>
    <col min="746" max="746" width="11.5546875" bestFit="1" customWidth="1"/>
    <col min="747" max="747" width="14.21875" bestFit="1" customWidth="1"/>
    <col min="748" max="748" width="11.5546875" bestFit="1" customWidth="1"/>
    <col min="749" max="749" width="14.21875" bestFit="1" customWidth="1"/>
    <col min="750" max="750" width="10.44140625" bestFit="1" customWidth="1"/>
    <col min="751" max="751" width="13.109375" bestFit="1" customWidth="1"/>
    <col min="752" max="752" width="10.44140625" bestFit="1" customWidth="1"/>
    <col min="753" max="753" width="13.109375" bestFit="1" customWidth="1"/>
    <col min="754" max="754" width="11.5546875" bestFit="1" customWidth="1"/>
    <col min="755" max="755" width="14.21875" bestFit="1" customWidth="1"/>
    <col min="756" max="756" width="11.5546875" bestFit="1" customWidth="1"/>
    <col min="757" max="757" width="14.21875" bestFit="1" customWidth="1"/>
    <col min="758" max="758" width="8.21875" bestFit="1" customWidth="1"/>
    <col min="759" max="759" width="11.33203125" bestFit="1" customWidth="1"/>
    <col min="760" max="760" width="11.5546875" bestFit="1" customWidth="1"/>
    <col min="761" max="761" width="14.21875" bestFit="1" customWidth="1"/>
    <col min="762" max="762" width="10.44140625" bestFit="1" customWidth="1"/>
    <col min="763" max="763" width="13.109375" bestFit="1" customWidth="1"/>
    <col min="764" max="764" width="11.5546875" bestFit="1" customWidth="1"/>
    <col min="765" max="765" width="14.21875" bestFit="1" customWidth="1"/>
    <col min="766" max="766" width="11.5546875" bestFit="1" customWidth="1"/>
    <col min="767" max="767" width="14.21875" bestFit="1" customWidth="1"/>
    <col min="768" max="768" width="11.5546875" bestFit="1" customWidth="1"/>
    <col min="769" max="769" width="14.21875" bestFit="1" customWidth="1"/>
    <col min="770" max="770" width="11.5546875" bestFit="1" customWidth="1"/>
    <col min="771" max="771" width="14.21875" bestFit="1" customWidth="1"/>
    <col min="772" max="772" width="11.5546875" bestFit="1" customWidth="1"/>
    <col min="773" max="773" width="14.21875" bestFit="1" customWidth="1"/>
    <col min="774" max="774" width="11.5546875" bestFit="1" customWidth="1"/>
    <col min="775" max="775" width="14.21875" bestFit="1" customWidth="1"/>
    <col min="776" max="776" width="10.44140625" bestFit="1" customWidth="1"/>
    <col min="777" max="777" width="13.109375" bestFit="1" customWidth="1"/>
    <col min="778" max="778" width="11.5546875" bestFit="1" customWidth="1"/>
    <col min="779" max="779" width="14.21875" bestFit="1" customWidth="1"/>
    <col min="780" max="780" width="11.5546875" bestFit="1" customWidth="1"/>
    <col min="781" max="781" width="14.21875" bestFit="1" customWidth="1"/>
    <col min="782" max="782" width="10.44140625" bestFit="1" customWidth="1"/>
    <col min="783" max="783" width="13.109375" bestFit="1" customWidth="1"/>
    <col min="784" max="784" width="11.5546875" bestFit="1" customWidth="1"/>
    <col min="785" max="785" width="14.21875" bestFit="1" customWidth="1"/>
    <col min="786" max="786" width="11.5546875" bestFit="1" customWidth="1"/>
    <col min="787" max="787" width="14.21875" bestFit="1" customWidth="1"/>
    <col min="788" max="788" width="11.5546875" bestFit="1" customWidth="1"/>
    <col min="789" max="789" width="14.21875" bestFit="1" customWidth="1"/>
    <col min="790" max="790" width="10.44140625" bestFit="1" customWidth="1"/>
    <col min="791" max="791" width="13.109375" bestFit="1" customWidth="1"/>
    <col min="792" max="792" width="11.5546875" bestFit="1" customWidth="1"/>
    <col min="793" max="793" width="14.21875" bestFit="1" customWidth="1"/>
    <col min="794" max="794" width="10.44140625" bestFit="1" customWidth="1"/>
    <col min="795" max="795" width="13.109375" bestFit="1" customWidth="1"/>
    <col min="796" max="796" width="11.5546875" bestFit="1" customWidth="1"/>
    <col min="797" max="797" width="14.21875" bestFit="1" customWidth="1"/>
    <col min="798" max="798" width="11.5546875" bestFit="1" customWidth="1"/>
    <col min="799" max="799" width="14.21875" bestFit="1" customWidth="1"/>
    <col min="800" max="800" width="10.44140625" bestFit="1" customWidth="1"/>
    <col min="801" max="801" width="13.109375" bestFit="1" customWidth="1"/>
    <col min="802" max="802" width="11.5546875" bestFit="1" customWidth="1"/>
    <col min="803" max="803" width="14.21875" bestFit="1" customWidth="1"/>
    <col min="804" max="804" width="8.21875" bestFit="1" customWidth="1"/>
    <col min="805" max="805" width="11.33203125" bestFit="1" customWidth="1"/>
    <col min="806" max="806" width="11.5546875" bestFit="1" customWidth="1"/>
    <col min="807" max="807" width="14.21875" bestFit="1" customWidth="1"/>
    <col min="808" max="808" width="11.5546875" bestFit="1" customWidth="1"/>
    <col min="809" max="809" width="14.21875" bestFit="1" customWidth="1"/>
    <col min="810" max="810" width="11.5546875" bestFit="1" customWidth="1"/>
    <col min="811" max="811" width="14.21875" bestFit="1" customWidth="1"/>
    <col min="812" max="812" width="11.5546875" bestFit="1" customWidth="1"/>
    <col min="813" max="813" width="14.21875" bestFit="1" customWidth="1"/>
    <col min="814" max="814" width="8.21875" bestFit="1" customWidth="1"/>
    <col min="815" max="815" width="11.33203125" bestFit="1" customWidth="1"/>
    <col min="816" max="816" width="10.44140625" bestFit="1" customWidth="1"/>
    <col min="817" max="817" width="13.109375" bestFit="1" customWidth="1"/>
    <col min="818" max="818" width="8.21875" bestFit="1" customWidth="1"/>
    <col min="819" max="819" width="11.33203125" bestFit="1" customWidth="1"/>
    <col min="820" max="820" width="11.5546875" bestFit="1" customWidth="1"/>
    <col min="821" max="821" width="14.21875" bestFit="1" customWidth="1"/>
    <col min="822" max="822" width="11.5546875" bestFit="1" customWidth="1"/>
    <col min="823" max="823" width="14.21875" bestFit="1" customWidth="1"/>
    <col min="824" max="824" width="10.44140625" bestFit="1" customWidth="1"/>
    <col min="825" max="825" width="13.109375" bestFit="1" customWidth="1"/>
    <col min="826" max="826" width="11.5546875" bestFit="1" customWidth="1"/>
    <col min="827" max="827" width="14.21875" bestFit="1" customWidth="1"/>
    <col min="828" max="828" width="11.5546875" bestFit="1" customWidth="1"/>
    <col min="829" max="829" width="14.21875" bestFit="1" customWidth="1"/>
    <col min="830" max="830" width="11.5546875" bestFit="1" customWidth="1"/>
    <col min="831" max="831" width="14.21875" bestFit="1" customWidth="1"/>
    <col min="832" max="832" width="10.44140625" bestFit="1" customWidth="1"/>
    <col min="833" max="833" width="13.109375" bestFit="1" customWidth="1"/>
    <col min="834" max="834" width="11.5546875" bestFit="1" customWidth="1"/>
    <col min="835" max="835" width="14.21875" bestFit="1" customWidth="1"/>
    <col min="836" max="836" width="11.5546875" bestFit="1" customWidth="1"/>
    <col min="837" max="837" width="14.21875" bestFit="1" customWidth="1"/>
    <col min="838" max="838" width="10.44140625" bestFit="1" customWidth="1"/>
    <col min="839" max="839" width="13.109375" bestFit="1" customWidth="1"/>
    <col min="840" max="840" width="11.5546875" bestFit="1" customWidth="1"/>
    <col min="841" max="841" width="14.21875" bestFit="1" customWidth="1"/>
    <col min="842" max="842" width="10.44140625" bestFit="1" customWidth="1"/>
    <col min="843" max="843" width="13.109375" bestFit="1" customWidth="1"/>
    <col min="844" max="844" width="11.5546875" bestFit="1" customWidth="1"/>
    <col min="845" max="845" width="14.21875" bestFit="1" customWidth="1"/>
    <col min="846" max="846" width="8.21875" bestFit="1" customWidth="1"/>
    <col min="847" max="847" width="11.33203125" bestFit="1" customWidth="1"/>
    <col min="848" max="848" width="10.44140625" bestFit="1" customWidth="1"/>
    <col min="849" max="849" width="13.109375" bestFit="1" customWidth="1"/>
    <col min="850" max="850" width="11.5546875" bestFit="1" customWidth="1"/>
    <col min="851" max="851" width="14.21875" bestFit="1" customWidth="1"/>
    <col min="852" max="852" width="11.5546875" bestFit="1" customWidth="1"/>
    <col min="853" max="853" width="14.21875" bestFit="1" customWidth="1"/>
    <col min="854" max="854" width="11.5546875" bestFit="1" customWidth="1"/>
    <col min="855" max="855" width="14.21875" bestFit="1" customWidth="1"/>
    <col min="856" max="856" width="10.44140625" bestFit="1" customWidth="1"/>
    <col min="857" max="857" width="13.109375" bestFit="1" customWidth="1"/>
    <col min="858" max="858" width="10.44140625" bestFit="1" customWidth="1"/>
    <col min="859" max="859" width="13.109375" bestFit="1" customWidth="1"/>
    <col min="860" max="860" width="10.44140625" bestFit="1" customWidth="1"/>
    <col min="861" max="861" width="13.109375" bestFit="1" customWidth="1"/>
    <col min="862" max="862" width="11.5546875" bestFit="1" customWidth="1"/>
    <col min="863" max="863" width="14.21875" bestFit="1" customWidth="1"/>
    <col min="864" max="864" width="10.44140625" bestFit="1" customWidth="1"/>
    <col min="865" max="865" width="13.109375" bestFit="1" customWidth="1"/>
    <col min="866" max="866" width="11.5546875" bestFit="1" customWidth="1"/>
    <col min="867" max="867" width="14.21875" bestFit="1" customWidth="1"/>
    <col min="868" max="868" width="10.44140625" bestFit="1" customWidth="1"/>
    <col min="869" max="869" width="13.109375" bestFit="1" customWidth="1"/>
    <col min="870" max="870" width="8.21875" bestFit="1" customWidth="1"/>
    <col min="871" max="871" width="11.33203125" bestFit="1" customWidth="1"/>
    <col min="872" max="872" width="11.5546875" bestFit="1" customWidth="1"/>
    <col min="873" max="873" width="14.21875" bestFit="1" customWidth="1"/>
    <col min="874" max="874" width="11.5546875" bestFit="1" customWidth="1"/>
    <col min="875" max="875" width="14.21875" bestFit="1" customWidth="1"/>
    <col min="876" max="876" width="10.44140625" bestFit="1" customWidth="1"/>
    <col min="877" max="877" width="13.109375" bestFit="1" customWidth="1"/>
    <col min="878" max="878" width="10.44140625" bestFit="1" customWidth="1"/>
    <col min="879" max="879" width="13.109375" bestFit="1" customWidth="1"/>
    <col min="880" max="880" width="10.44140625" bestFit="1" customWidth="1"/>
    <col min="881" max="881" width="13.109375" bestFit="1" customWidth="1"/>
    <col min="882" max="882" width="10.44140625" bestFit="1" customWidth="1"/>
    <col min="883" max="883" width="13.109375" bestFit="1" customWidth="1"/>
    <col min="884" max="884" width="11.5546875" bestFit="1" customWidth="1"/>
    <col min="885" max="885" width="14.21875" bestFit="1" customWidth="1"/>
    <col min="886" max="886" width="11.5546875" bestFit="1" customWidth="1"/>
    <col min="887" max="887" width="14.21875" bestFit="1" customWidth="1"/>
    <col min="888" max="888" width="11.5546875" bestFit="1" customWidth="1"/>
    <col min="889" max="889" width="14.21875" bestFit="1" customWidth="1"/>
    <col min="890" max="890" width="10.44140625" bestFit="1" customWidth="1"/>
    <col min="891" max="891" width="13.109375" bestFit="1" customWidth="1"/>
    <col min="892" max="892" width="10.44140625" bestFit="1" customWidth="1"/>
    <col min="893" max="893" width="13.109375" bestFit="1" customWidth="1"/>
    <col min="894" max="894" width="11.5546875" bestFit="1" customWidth="1"/>
    <col min="895" max="895" width="14.21875" bestFit="1" customWidth="1"/>
    <col min="896" max="896" width="11.5546875" bestFit="1" customWidth="1"/>
    <col min="897" max="897" width="14.21875" bestFit="1" customWidth="1"/>
    <col min="898" max="898" width="11.5546875" bestFit="1" customWidth="1"/>
    <col min="899" max="899" width="14.21875" bestFit="1" customWidth="1"/>
    <col min="900" max="900" width="11.5546875" bestFit="1" customWidth="1"/>
    <col min="901" max="901" width="14.21875" bestFit="1" customWidth="1"/>
    <col min="902" max="902" width="11.5546875" bestFit="1" customWidth="1"/>
    <col min="903" max="903" width="14.21875" bestFit="1" customWidth="1"/>
    <col min="904" max="904" width="10.44140625" bestFit="1" customWidth="1"/>
    <col min="905" max="905" width="13.109375" bestFit="1" customWidth="1"/>
    <col min="906" max="906" width="10.44140625" bestFit="1" customWidth="1"/>
    <col min="907" max="907" width="13.109375" bestFit="1" customWidth="1"/>
    <col min="908" max="908" width="8.21875" bestFit="1" customWidth="1"/>
    <col min="909" max="909" width="11.33203125" bestFit="1" customWidth="1"/>
    <col min="910" max="910" width="10.44140625" bestFit="1" customWidth="1"/>
    <col min="911" max="911" width="13.109375" bestFit="1" customWidth="1"/>
    <col min="912" max="912" width="11.5546875" bestFit="1" customWidth="1"/>
    <col min="913" max="913" width="14.21875" bestFit="1" customWidth="1"/>
    <col min="914" max="914" width="11.5546875" bestFit="1" customWidth="1"/>
    <col min="915" max="915" width="14.21875" bestFit="1" customWidth="1"/>
    <col min="916" max="916" width="11.5546875" bestFit="1" customWidth="1"/>
    <col min="917" max="917" width="14.21875" bestFit="1" customWidth="1"/>
    <col min="918" max="918" width="11.5546875" bestFit="1" customWidth="1"/>
    <col min="919" max="919" width="14.21875" bestFit="1" customWidth="1"/>
    <col min="920" max="920" width="11.5546875" bestFit="1" customWidth="1"/>
    <col min="921" max="921" width="14.21875" bestFit="1" customWidth="1"/>
    <col min="922" max="922" width="11.5546875" bestFit="1" customWidth="1"/>
    <col min="923" max="923" width="14.21875" bestFit="1" customWidth="1"/>
    <col min="924" max="924" width="11.5546875" bestFit="1" customWidth="1"/>
    <col min="925" max="925" width="14.21875" bestFit="1" customWidth="1"/>
    <col min="926" max="926" width="10.44140625" bestFit="1" customWidth="1"/>
    <col min="927" max="927" width="13.109375" bestFit="1" customWidth="1"/>
    <col min="928" max="928" width="11.5546875" bestFit="1" customWidth="1"/>
    <col min="929" max="929" width="14.21875" bestFit="1" customWidth="1"/>
    <col min="930" max="930" width="11.5546875" bestFit="1" customWidth="1"/>
    <col min="931" max="931" width="14.21875" bestFit="1" customWidth="1"/>
    <col min="932" max="932" width="11.5546875" bestFit="1" customWidth="1"/>
    <col min="933" max="933" width="14.21875" bestFit="1" customWidth="1"/>
    <col min="934" max="934" width="11.5546875" bestFit="1" customWidth="1"/>
    <col min="935" max="935" width="14.21875" bestFit="1" customWidth="1"/>
    <col min="936" max="936" width="11.5546875" bestFit="1" customWidth="1"/>
    <col min="937" max="937" width="14.21875" bestFit="1" customWidth="1"/>
    <col min="938" max="938" width="8.21875" bestFit="1" customWidth="1"/>
    <col min="939" max="939" width="11.33203125" bestFit="1" customWidth="1"/>
    <col min="940" max="940" width="11.5546875" bestFit="1" customWidth="1"/>
    <col min="941" max="941" width="14.21875" bestFit="1" customWidth="1"/>
    <col min="942" max="942" width="10.44140625" bestFit="1" customWidth="1"/>
    <col min="943" max="943" width="13.109375" bestFit="1" customWidth="1"/>
    <col min="944" max="944" width="11.5546875" bestFit="1" customWidth="1"/>
    <col min="945" max="945" width="14.21875" bestFit="1" customWidth="1"/>
    <col min="946" max="946" width="11.5546875" bestFit="1" customWidth="1"/>
    <col min="947" max="947" width="14.21875" bestFit="1" customWidth="1"/>
    <col min="948" max="948" width="11.5546875" bestFit="1" customWidth="1"/>
    <col min="949" max="949" width="14.21875" bestFit="1" customWidth="1"/>
    <col min="950" max="950" width="11.5546875" bestFit="1" customWidth="1"/>
    <col min="951" max="951" width="14.21875" bestFit="1" customWidth="1"/>
    <col min="952" max="952" width="11.5546875" bestFit="1" customWidth="1"/>
    <col min="953" max="953" width="14.21875" bestFit="1" customWidth="1"/>
    <col min="954" max="954" width="10.44140625" bestFit="1" customWidth="1"/>
    <col min="955" max="955" width="13.109375" bestFit="1" customWidth="1"/>
    <col min="956" max="956" width="10.44140625" bestFit="1" customWidth="1"/>
    <col min="957" max="957" width="13.109375" bestFit="1" customWidth="1"/>
    <col min="958" max="958" width="10.44140625" bestFit="1" customWidth="1"/>
    <col min="959" max="959" width="13.109375" bestFit="1" customWidth="1"/>
    <col min="960" max="960" width="11.5546875" bestFit="1" customWidth="1"/>
    <col min="961" max="961" width="14.21875" bestFit="1" customWidth="1"/>
    <col min="962" max="962" width="8.21875" bestFit="1" customWidth="1"/>
    <col min="963" max="963" width="11.33203125" bestFit="1" customWidth="1"/>
    <col min="964" max="964" width="10.44140625" bestFit="1" customWidth="1"/>
    <col min="965" max="965" width="13.109375" bestFit="1" customWidth="1"/>
    <col min="966" max="966" width="10.44140625" bestFit="1" customWidth="1"/>
    <col min="967" max="967" width="13.109375" bestFit="1" customWidth="1"/>
    <col min="968" max="968" width="8.21875" bestFit="1" customWidth="1"/>
    <col min="969" max="969" width="11.33203125" bestFit="1" customWidth="1"/>
    <col min="970" max="970" width="10.44140625" bestFit="1" customWidth="1"/>
    <col min="971" max="971" width="13.109375" bestFit="1" customWidth="1"/>
    <col min="972" max="972" width="10.44140625" bestFit="1" customWidth="1"/>
    <col min="973" max="973" width="13.109375" bestFit="1" customWidth="1"/>
    <col min="974" max="974" width="11.5546875" bestFit="1" customWidth="1"/>
    <col min="975" max="975" width="14.21875" bestFit="1" customWidth="1"/>
    <col min="976" max="976" width="10.44140625" bestFit="1" customWidth="1"/>
    <col min="977" max="977" width="13.109375" bestFit="1" customWidth="1"/>
    <col min="978" max="978" width="11.5546875" bestFit="1" customWidth="1"/>
    <col min="979" max="979" width="14.21875" bestFit="1" customWidth="1"/>
    <col min="980" max="980" width="10.44140625" bestFit="1" customWidth="1"/>
    <col min="981" max="981" width="13.109375" bestFit="1" customWidth="1"/>
    <col min="982" max="982" width="11.5546875" bestFit="1" customWidth="1"/>
    <col min="983" max="983" width="14.21875" bestFit="1" customWidth="1"/>
    <col min="984" max="984" width="11.5546875" bestFit="1" customWidth="1"/>
    <col min="985" max="985" width="14.21875" bestFit="1" customWidth="1"/>
    <col min="986" max="986" width="11.5546875" bestFit="1" customWidth="1"/>
    <col min="987" max="987" width="14.21875" bestFit="1" customWidth="1"/>
    <col min="988" max="988" width="11.5546875" bestFit="1" customWidth="1"/>
    <col min="989" max="989" width="14.21875" bestFit="1" customWidth="1"/>
    <col min="990" max="990" width="11.5546875" bestFit="1" customWidth="1"/>
    <col min="991" max="991" width="14.21875" bestFit="1" customWidth="1"/>
    <col min="992" max="992" width="10.44140625" bestFit="1" customWidth="1"/>
    <col min="993" max="993" width="13.109375" bestFit="1" customWidth="1"/>
    <col min="994" max="994" width="11.5546875" bestFit="1" customWidth="1"/>
    <col min="995" max="995" width="14.21875" bestFit="1" customWidth="1"/>
    <col min="996" max="996" width="10.44140625" bestFit="1" customWidth="1"/>
    <col min="997" max="997" width="13.109375" bestFit="1" customWidth="1"/>
    <col min="998" max="998" width="11.5546875" bestFit="1" customWidth="1"/>
    <col min="999" max="999" width="14.21875" bestFit="1" customWidth="1"/>
    <col min="1000" max="1000" width="11.5546875" bestFit="1" customWidth="1"/>
    <col min="1001" max="1001" width="14.21875" bestFit="1" customWidth="1"/>
    <col min="1002" max="1002" width="8.21875" bestFit="1" customWidth="1"/>
    <col min="1003" max="1003" width="11.33203125" bestFit="1" customWidth="1"/>
    <col min="1004" max="1004" width="11.5546875" bestFit="1" customWidth="1"/>
    <col min="1005" max="1005" width="14.21875" bestFit="1" customWidth="1"/>
    <col min="1006" max="1006" width="10.44140625" bestFit="1" customWidth="1"/>
    <col min="1007" max="1007" width="13.109375" bestFit="1" customWidth="1"/>
    <col min="1008" max="1008" width="10.44140625" bestFit="1" customWidth="1"/>
    <col min="1009" max="1009" width="13.109375" bestFit="1" customWidth="1"/>
    <col min="1010" max="1010" width="10.44140625" bestFit="1" customWidth="1"/>
    <col min="1011" max="1011" width="13.109375" bestFit="1" customWidth="1"/>
    <col min="1012" max="1012" width="11.5546875" bestFit="1" customWidth="1"/>
    <col min="1013" max="1013" width="14.21875" bestFit="1" customWidth="1"/>
    <col min="1014" max="1014" width="11.5546875" bestFit="1" customWidth="1"/>
    <col min="1015" max="1015" width="14.21875" bestFit="1" customWidth="1"/>
    <col min="1016" max="1016" width="11.5546875" bestFit="1" customWidth="1"/>
    <col min="1017" max="1017" width="14.21875" bestFit="1" customWidth="1"/>
    <col min="1018" max="1018" width="11.5546875" bestFit="1" customWidth="1"/>
    <col min="1019" max="1019" width="14.21875" bestFit="1" customWidth="1"/>
    <col min="1020" max="1020" width="10.44140625" bestFit="1" customWidth="1"/>
    <col min="1021" max="1021" width="13.109375" bestFit="1" customWidth="1"/>
    <col min="1022" max="1022" width="11.5546875" bestFit="1" customWidth="1"/>
    <col min="1023" max="1023" width="14.21875" bestFit="1" customWidth="1"/>
    <col min="1024" max="1024" width="10.44140625" bestFit="1" customWidth="1"/>
    <col min="1025" max="1025" width="13.109375" bestFit="1" customWidth="1"/>
    <col min="1026" max="1026" width="11.5546875" bestFit="1" customWidth="1"/>
    <col min="1027" max="1027" width="14.21875" bestFit="1" customWidth="1"/>
    <col min="1028" max="1028" width="8.21875" bestFit="1" customWidth="1"/>
    <col min="1029" max="1029" width="11.33203125" bestFit="1" customWidth="1"/>
    <col min="1030" max="1030" width="11.5546875" bestFit="1" customWidth="1"/>
    <col min="1031" max="1031" width="14.21875" bestFit="1" customWidth="1"/>
    <col min="1032" max="1032" width="11.5546875" bestFit="1" customWidth="1"/>
    <col min="1033" max="1033" width="14.21875" bestFit="1" customWidth="1"/>
    <col min="1034" max="1034" width="10.44140625" bestFit="1" customWidth="1"/>
    <col min="1035" max="1035" width="13.109375" bestFit="1" customWidth="1"/>
    <col min="1036" max="1036" width="11.5546875" bestFit="1" customWidth="1"/>
    <col min="1037" max="1037" width="14.21875" bestFit="1" customWidth="1"/>
    <col min="1038" max="1038" width="10.44140625" bestFit="1" customWidth="1"/>
    <col min="1039" max="1039" width="13.109375" bestFit="1" customWidth="1"/>
    <col min="1040" max="1040" width="11.5546875" bestFit="1" customWidth="1"/>
    <col min="1041" max="1041" width="14.21875" bestFit="1" customWidth="1"/>
    <col min="1042" max="1042" width="11.5546875" bestFit="1" customWidth="1"/>
    <col min="1043" max="1043" width="14.21875" bestFit="1" customWidth="1"/>
    <col min="1044" max="1044" width="11.5546875" bestFit="1" customWidth="1"/>
    <col min="1045" max="1045" width="14.21875" bestFit="1" customWidth="1"/>
    <col min="1046" max="1046" width="11.5546875" bestFit="1" customWidth="1"/>
    <col min="1047" max="1047" width="14.21875" bestFit="1" customWidth="1"/>
    <col min="1048" max="1048" width="10.44140625" bestFit="1" customWidth="1"/>
    <col min="1049" max="1049" width="13.109375" bestFit="1" customWidth="1"/>
    <col min="1050" max="1050" width="10.44140625" bestFit="1" customWidth="1"/>
    <col min="1051" max="1051" width="13.109375" bestFit="1" customWidth="1"/>
    <col min="1052" max="1052" width="8.21875" bestFit="1" customWidth="1"/>
    <col min="1053" max="1053" width="11.33203125" bestFit="1" customWidth="1"/>
    <col min="1054" max="1054" width="11.5546875" bestFit="1" customWidth="1"/>
    <col min="1055" max="1055" width="14.21875" bestFit="1" customWidth="1"/>
    <col min="1056" max="1056" width="11.5546875" bestFit="1" customWidth="1"/>
    <col min="1057" max="1057" width="14.21875" bestFit="1" customWidth="1"/>
    <col min="1058" max="1058" width="8.21875" bestFit="1" customWidth="1"/>
    <col min="1059" max="1059" width="11.33203125" bestFit="1" customWidth="1"/>
    <col min="1060" max="1060" width="11.5546875" bestFit="1" customWidth="1"/>
    <col min="1061" max="1061" width="14.21875" bestFit="1" customWidth="1"/>
    <col min="1062" max="1062" width="11.5546875" bestFit="1" customWidth="1"/>
    <col min="1063" max="1063" width="14.21875" bestFit="1" customWidth="1"/>
    <col min="1064" max="1064" width="8.21875" bestFit="1" customWidth="1"/>
    <col min="1065" max="1065" width="11.33203125" bestFit="1" customWidth="1"/>
    <col min="1066" max="1066" width="10.44140625" bestFit="1" customWidth="1"/>
    <col min="1067" max="1067" width="13.109375" bestFit="1" customWidth="1"/>
    <col min="1068" max="1068" width="11.5546875" bestFit="1" customWidth="1"/>
    <col min="1069" max="1069" width="14.21875" bestFit="1" customWidth="1"/>
    <col min="1070" max="1070" width="10.44140625" bestFit="1" customWidth="1"/>
    <col min="1071" max="1071" width="13.109375" bestFit="1" customWidth="1"/>
    <col min="1072" max="1072" width="10.44140625" bestFit="1" customWidth="1"/>
    <col min="1073" max="1073" width="13.109375" bestFit="1" customWidth="1"/>
    <col min="1074" max="1074" width="10.44140625" bestFit="1" customWidth="1"/>
    <col min="1075" max="1075" width="13.109375" bestFit="1" customWidth="1"/>
    <col min="1076" max="1076" width="11.5546875" bestFit="1" customWidth="1"/>
    <col min="1077" max="1077" width="14.21875" bestFit="1" customWidth="1"/>
    <col min="1078" max="1078" width="8.21875" bestFit="1" customWidth="1"/>
    <col min="1079" max="1079" width="11.33203125" bestFit="1" customWidth="1"/>
    <col min="1080" max="1080" width="11.5546875" bestFit="1" customWidth="1"/>
    <col min="1081" max="1081" width="14.21875" bestFit="1" customWidth="1"/>
    <col min="1082" max="1082" width="11.5546875" bestFit="1" customWidth="1"/>
    <col min="1083" max="1083" width="14.21875" bestFit="1" customWidth="1"/>
    <col min="1084" max="1084" width="11.5546875" bestFit="1" customWidth="1"/>
    <col min="1085" max="1085" width="14.21875" bestFit="1" customWidth="1"/>
    <col min="1086" max="1086" width="10.44140625" bestFit="1" customWidth="1"/>
    <col min="1087" max="1087" width="13.109375" bestFit="1" customWidth="1"/>
    <col min="1088" max="1088" width="10.44140625" bestFit="1" customWidth="1"/>
    <col min="1089" max="1089" width="13.109375" bestFit="1" customWidth="1"/>
    <col min="1090" max="1090" width="11.5546875" bestFit="1" customWidth="1"/>
    <col min="1091" max="1091" width="14.21875" bestFit="1" customWidth="1"/>
    <col min="1092" max="1092" width="10.44140625" bestFit="1" customWidth="1"/>
    <col min="1093" max="1093" width="13.109375" bestFit="1" customWidth="1"/>
    <col min="1094" max="1094" width="11.5546875" bestFit="1" customWidth="1"/>
    <col min="1095" max="1095" width="14.21875" bestFit="1" customWidth="1"/>
    <col min="1096" max="1096" width="10.44140625" bestFit="1" customWidth="1"/>
    <col min="1097" max="1097" width="13.109375" bestFit="1" customWidth="1"/>
    <col min="1098" max="1098" width="10.44140625" bestFit="1" customWidth="1"/>
    <col min="1099" max="1099" width="13.109375" bestFit="1" customWidth="1"/>
    <col min="1100" max="1100" width="11.5546875" bestFit="1" customWidth="1"/>
    <col min="1101" max="1101" width="14.21875" bestFit="1" customWidth="1"/>
    <col min="1102" max="1102" width="11.5546875" bestFit="1" customWidth="1"/>
    <col min="1103" max="1103" width="14.21875" bestFit="1" customWidth="1"/>
    <col min="1104" max="1104" width="11.5546875" bestFit="1" customWidth="1"/>
    <col min="1105" max="1105" width="14.21875" bestFit="1" customWidth="1"/>
    <col min="1106" max="1106" width="11.5546875" bestFit="1" customWidth="1"/>
    <col min="1107" max="1107" width="14.21875" bestFit="1" customWidth="1"/>
    <col min="1108" max="1108" width="11.5546875" bestFit="1" customWidth="1"/>
    <col min="1109" max="1109" width="14.21875" bestFit="1" customWidth="1"/>
    <col min="1110" max="1110" width="11.5546875" bestFit="1" customWidth="1"/>
    <col min="1111" max="1111" width="14.21875" bestFit="1" customWidth="1"/>
    <col min="1112" max="1112" width="11.5546875" bestFit="1" customWidth="1"/>
    <col min="1113" max="1113" width="14.21875" bestFit="1" customWidth="1"/>
    <col min="1114" max="1114" width="11.5546875" bestFit="1" customWidth="1"/>
    <col min="1115" max="1115" width="14.21875" bestFit="1" customWidth="1"/>
    <col min="1116" max="1116" width="11.5546875" bestFit="1" customWidth="1"/>
    <col min="1117" max="1117" width="14.21875" bestFit="1" customWidth="1"/>
    <col min="1118" max="1118" width="11.5546875" bestFit="1" customWidth="1"/>
    <col min="1119" max="1119" width="14.21875" bestFit="1" customWidth="1"/>
    <col min="1120" max="1120" width="11.5546875" bestFit="1" customWidth="1"/>
    <col min="1121" max="1121" width="14.21875" bestFit="1" customWidth="1"/>
    <col min="1122" max="1122" width="11.5546875" bestFit="1" customWidth="1"/>
    <col min="1123" max="1123" width="14.21875" bestFit="1" customWidth="1"/>
    <col min="1124" max="1124" width="11.5546875" bestFit="1" customWidth="1"/>
    <col min="1125" max="1125" width="14.21875" bestFit="1" customWidth="1"/>
    <col min="1126" max="1126" width="8.21875" bestFit="1" customWidth="1"/>
    <col min="1127" max="1127" width="11.33203125" bestFit="1" customWidth="1"/>
    <col min="1128" max="1128" width="11.5546875" bestFit="1" customWidth="1"/>
    <col min="1129" max="1129" width="14.21875" bestFit="1" customWidth="1"/>
    <col min="1130" max="1130" width="11.5546875" bestFit="1" customWidth="1"/>
    <col min="1131" max="1131" width="14.21875" bestFit="1" customWidth="1"/>
    <col min="1132" max="1132" width="10.44140625" bestFit="1" customWidth="1"/>
    <col min="1133" max="1133" width="13.109375" bestFit="1" customWidth="1"/>
    <col min="1134" max="1134" width="11.5546875" bestFit="1" customWidth="1"/>
    <col min="1135" max="1135" width="14.21875" bestFit="1" customWidth="1"/>
    <col min="1136" max="1136" width="11.5546875" bestFit="1" customWidth="1"/>
    <col min="1137" max="1137" width="14.21875" bestFit="1" customWidth="1"/>
    <col min="1138" max="1138" width="8.21875" bestFit="1" customWidth="1"/>
    <col min="1139" max="1139" width="11.33203125" bestFit="1" customWidth="1"/>
    <col min="1140" max="1140" width="11.5546875" bestFit="1" customWidth="1"/>
    <col min="1141" max="1141" width="14.21875" bestFit="1" customWidth="1"/>
    <col min="1142" max="1142" width="10.44140625" bestFit="1" customWidth="1"/>
    <col min="1143" max="1143" width="13.109375" bestFit="1" customWidth="1"/>
    <col min="1144" max="1144" width="11.5546875" bestFit="1" customWidth="1"/>
    <col min="1145" max="1145" width="14.21875" bestFit="1" customWidth="1"/>
    <col min="1146" max="1146" width="11.5546875" bestFit="1" customWidth="1"/>
    <col min="1147" max="1147" width="14.21875" bestFit="1" customWidth="1"/>
    <col min="1148" max="1148" width="11.5546875" bestFit="1" customWidth="1"/>
    <col min="1149" max="1149" width="14.21875" bestFit="1" customWidth="1"/>
    <col min="1150" max="1150" width="10.44140625" bestFit="1" customWidth="1"/>
    <col min="1151" max="1151" width="13.109375" bestFit="1" customWidth="1"/>
    <col min="1152" max="1152" width="11.5546875" bestFit="1" customWidth="1"/>
    <col min="1153" max="1153" width="14.21875" bestFit="1" customWidth="1"/>
    <col min="1154" max="1154" width="11.5546875" bestFit="1" customWidth="1"/>
    <col min="1155" max="1155" width="14.21875" bestFit="1" customWidth="1"/>
    <col min="1156" max="1156" width="11.5546875" bestFit="1" customWidth="1"/>
    <col min="1157" max="1157" width="14.21875" bestFit="1" customWidth="1"/>
    <col min="1158" max="1158" width="11.5546875" bestFit="1" customWidth="1"/>
    <col min="1159" max="1159" width="14.21875" bestFit="1" customWidth="1"/>
    <col min="1160" max="1160" width="11.5546875" bestFit="1" customWidth="1"/>
    <col min="1161" max="1161" width="14.21875" bestFit="1" customWidth="1"/>
    <col min="1162" max="1162" width="10.44140625" bestFit="1" customWidth="1"/>
    <col min="1163" max="1163" width="13.109375" bestFit="1" customWidth="1"/>
    <col min="1164" max="1164" width="11.5546875" bestFit="1" customWidth="1"/>
    <col min="1165" max="1165" width="14.21875" bestFit="1" customWidth="1"/>
    <col min="1166" max="1166" width="8.21875" bestFit="1" customWidth="1"/>
    <col min="1167" max="1167" width="11.33203125" bestFit="1" customWidth="1"/>
    <col min="1168" max="1168" width="8.21875" bestFit="1" customWidth="1"/>
    <col min="1169" max="1169" width="11.33203125" bestFit="1" customWidth="1"/>
    <col min="1170" max="1170" width="11.5546875" bestFit="1" customWidth="1"/>
    <col min="1171" max="1171" width="14.21875" bestFit="1" customWidth="1"/>
    <col min="1172" max="1172" width="11.5546875" bestFit="1" customWidth="1"/>
    <col min="1173" max="1173" width="14.21875" bestFit="1" customWidth="1"/>
    <col min="1174" max="1174" width="11.5546875" bestFit="1" customWidth="1"/>
    <col min="1175" max="1175" width="14.21875" bestFit="1" customWidth="1"/>
    <col min="1176" max="1176" width="10.44140625" bestFit="1" customWidth="1"/>
    <col min="1177" max="1177" width="13.109375" bestFit="1" customWidth="1"/>
    <col min="1178" max="1178" width="10.44140625" bestFit="1" customWidth="1"/>
    <col min="1179" max="1179" width="13.109375" bestFit="1" customWidth="1"/>
    <col min="1180" max="1180" width="11.5546875" bestFit="1" customWidth="1"/>
    <col min="1181" max="1181" width="14.21875" bestFit="1" customWidth="1"/>
    <col min="1182" max="1182" width="11.5546875" bestFit="1" customWidth="1"/>
    <col min="1183" max="1183" width="14.21875" bestFit="1" customWidth="1"/>
    <col min="1184" max="1184" width="11.5546875" bestFit="1" customWidth="1"/>
    <col min="1185" max="1185" width="14.21875" bestFit="1" customWidth="1"/>
    <col min="1186" max="1186" width="11.5546875" bestFit="1" customWidth="1"/>
    <col min="1187" max="1187" width="14.21875" bestFit="1" customWidth="1"/>
    <col min="1188" max="1188" width="11.5546875" bestFit="1" customWidth="1"/>
    <col min="1189" max="1189" width="14.21875" bestFit="1" customWidth="1"/>
    <col min="1190" max="1190" width="10.44140625" bestFit="1" customWidth="1"/>
    <col min="1191" max="1191" width="13.109375" bestFit="1" customWidth="1"/>
    <col min="1192" max="1192" width="11.5546875" bestFit="1" customWidth="1"/>
    <col min="1193" max="1193" width="14.21875" bestFit="1" customWidth="1"/>
    <col min="1194" max="1194" width="11.5546875" bestFit="1" customWidth="1"/>
    <col min="1195" max="1195" width="14.21875" bestFit="1" customWidth="1"/>
    <col min="1196" max="1196" width="11.5546875" bestFit="1" customWidth="1"/>
    <col min="1197" max="1197" width="14.21875" bestFit="1" customWidth="1"/>
    <col min="1198" max="1198" width="8.21875" bestFit="1" customWidth="1"/>
    <col min="1199" max="1199" width="11.33203125" bestFit="1" customWidth="1"/>
    <col min="1200" max="1200" width="8.21875" bestFit="1" customWidth="1"/>
    <col min="1201" max="1201" width="11.33203125" bestFit="1" customWidth="1"/>
    <col min="1202" max="1202" width="11.5546875" bestFit="1" customWidth="1"/>
    <col min="1203" max="1203" width="14.21875" bestFit="1" customWidth="1"/>
    <col min="1204" max="1204" width="11.5546875" bestFit="1" customWidth="1"/>
    <col min="1205" max="1205" width="14.21875" bestFit="1" customWidth="1"/>
    <col min="1206" max="1206" width="11.5546875" bestFit="1" customWidth="1"/>
    <col min="1207" max="1207" width="14.21875" bestFit="1" customWidth="1"/>
    <col min="1208" max="1208" width="8.21875" bestFit="1" customWidth="1"/>
    <col min="1209" max="1209" width="11.33203125" bestFit="1" customWidth="1"/>
    <col min="1210" max="1210" width="11.5546875" bestFit="1" customWidth="1"/>
    <col min="1211" max="1211" width="14.21875" bestFit="1" customWidth="1"/>
    <col min="1212" max="1212" width="10.44140625" bestFit="1" customWidth="1"/>
    <col min="1213" max="1213" width="13.109375" bestFit="1" customWidth="1"/>
    <col min="1214" max="1214" width="11.5546875" bestFit="1" customWidth="1"/>
    <col min="1215" max="1215" width="14.21875" bestFit="1" customWidth="1"/>
    <col min="1216" max="1216" width="11.5546875" bestFit="1" customWidth="1"/>
    <col min="1217" max="1217" width="14.21875" bestFit="1" customWidth="1"/>
    <col min="1218" max="1218" width="10.44140625" bestFit="1" customWidth="1"/>
    <col min="1219" max="1219" width="13.109375" bestFit="1" customWidth="1"/>
    <col min="1220" max="1220" width="11.5546875" bestFit="1" customWidth="1"/>
    <col min="1221" max="1221" width="14.21875" bestFit="1" customWidth="1"/>
    <col min="1222" max="1222" width="10.44140625" bestFit="1" customWidth="1"/>
    <col min="1223" max="1223" width="13.109375" bestFit="1" customWidth="1"/>
    <col min="1224" max="1224" width="10.44140625" bestFit="1" customWidth="1"/>
    <col min="1225" max="1225" width="13.109375" bestFit="1" customWidth="1"/>
    <col min="1226" max="1226" width="11.5546875" bestFit="1" customWidth="1"/>
    <col min="1227" max="1227" width="14.21875" bestFit="1" customWidth="1"/>
    <col min="1228" max="1228" width="11.5546875" bestFit="1" customWidth="1"/>
    <col min="1229" max="1229" width="14.21875" bestFit="1" customWidth="1"/>
    <col min="1230" max="1230" width="11.5546875" bestFit="1" customWidth="1"/>
    <col min="1231" max="1231" width="14.21875" bestFit="1" customWidth="1"/>
    <col min="1232" max="1232" width="11.5546875" bestFit="1" customWidth="1"/>
    <col min="1233" max="1233" width="14.21875" bestFit="1" customWidth="1"/>
    <col min="1234" max="1234" width="10.44140625" bestFit="1" customWidth="1"/>
    <col min="1235" max="1235" width="13.109375" bestFit="1" customWidth="1"/>
    <col min="1236" max="1236" width="10.44140625" bestFit="1" customWidth="1"/>
    <col min="1237" max="1237" width="13.109375" bestFit="1" customWidth="1"/>
    <col min="1238" max="1238" width="11.5546875" bestFit="1" customWidth="1"/>
    <col min="1239" max="1239" width="14.21875" bestFit="1" customWidth="1"/>
    <col min="1240" max="1240" width="11.5546875" bestFit="1" customWidth="1"/>
    <col min="1241" max="1241" width="14.21875" bestFit="1" customWidth="1"/>
    <col min="1242" max="1242" width="11.5546875" bestFit="1" customWidth="1"/>
    <col min="1243" max="1243" width="14.21875" bestFit="1" customWidth="1"/>
    <col min="1244" max="1244" width="11.5546875" bestFit="1" customWidth="1"/>
    <col min="1245" max="1245" width="14.21875" bestFit="1" customWidth="1"/>
    <col min="1246" max="1246" width="11.5546875" bestFit="1" customWidth="1"/>
    <col min="1247" max="1247" width="14.21875" bestFit="1" customWidth="1"/>
    <col min="1248" max="1248" width="11.5546875" bestFit="1" customWidth="1"/>
    <col min="1249" max="1249" width="14.21875" bestFit="1" customWidth="1"/>
    <col min="1250" max="1250" width="11.5546875" bestFit="1" customWidth="1"/>
    <col min="1251" max="1251" width="14.21875" bestFit="1" customWidth="1"/>
    <col min="1252" max="1252" width="8.21875" bestFit="1" customWidth="1"/>
    <col min="1253" max="1253" width="11.33203125" bestFit="1" customWidth="1"/>
    <col min="1254" max="1254" width="11.5546875" bestFit="1" customWidth="1"/>
    <col min="1255" max="1255" width="14.21875" bestFit="1" customWidth="1"/>
    <col min="1256" max="1256" width="11.5546875" bestFit="1" customWidth="1"/>
    <col min="1257" max="1257" width="14.21875" bestFit="1" customWidth="1"/>
    <col min="1258" max="1258" width="10.44140625" bestFit="1" customWidth="1"/>
    <col min="1259" max="1259" width="13.109375" bestFit="1" customWidth="1"/>
    <col min="1260" max="1260" width="11.5546875" bestFit="1" customWidth="1"/>
    <col min="1261" max="1261" width="14.21875" bestFit="1" customWidth="1"/>
    <col min="1262" max="1262" width="11.5546875" bestFit="1" customWidth="1"/>
    <col min="1263" max="1263" width="14.21875" bestFit="1" customWidth="1"/>
    <col min="1264" max="1264" width="8.21875" bestFit="1" customWidth="1"/>
    <col min="1265" max="1265" width="11.33203125" bestFit="1" customWidth="1"/>
    <col min="1266" max="1266" width="11.5546875" bestFit="1" customWidth="1"/>
    <col min="1267" max="1267" width="14.21875" bestFit="1" customWidth="1"/>
    <col min="1268" max="1268" width="10.44140625" bestFit="1" customWidth="1"/>
    <col min="1269" max="1269" width="13.109375" bestFit="1" customWidth="1"/>
    <col min="1270" max="1270" width="11.5546875" bestFit="1" customWidth="1"/>
    <col min="1271" max="1271" width="14.21875" bestFit="1" customWidth="1"/>
    <col min="1272" max="1272" width="10.44140625" bestFit="1" customWidth="1"/>
    <col min="1273" max="1273" width="13.109375" bestFit="1" customWidth="1"/>
    <col min="1274" max="1274" width="11.5546875" bestFit="1" customWidth="1"/>
    <col min="1275" max="1275" width="14.21875" bestFit="1" customWidth="1"/>
    <col min="1276" max="1276" width="11.5546875" bestFit="1" customWidth="1"/>
    <col min="1277" max="1277" width="14.21875" bestFit="1" customWidth="1"/>
    <col min="1278" max="1278" width="10.44140625" bestFit="1" customWidth="1"/>
    <col min="1279" max="1279" width="13.109375" bestFit="1" customWidth="1"/>
    <col min="1280" max="1280" width="11.5546875" bestFit="1" customWidth="1"/>
    <col min="1281" max="1281" width="14.21875" bestFit="1" customWidth="1"/>
    <col min="1282" max="1282" width="11.5546875" bestFit="1" customWidth="1"/>
    <col min="1283" max="1283" width="14.21875" bestFit="1" customWidth="1"/>
    <col min="1284" max="1284" width="11.5546875" bestFit="1" customWidth="1"/>
    <col min="1285" max="1285" width="14.21875" bestFit="1" customWidth="1"/>
    <col min="1286" max="1286" width="11.5546875" bestFit="1" customWidth="1"/>
    <col min="1287" max="1287" width="14.21875" bestFit="1" customWidth="1"/>
    <col min="1288" max="1288" width="10.44140625" bestFit="1" customWidth="1"/>
    <col min="1289" max="1289" width="13.109375" bestFit="1" customWidth="1"/>
    <col min="1290" max="1290" width="8.21875" bestFit="1" customWidth="1"/>
    <col min="1291" max="1291" width="11.33203125" bestFit="1" customWidth="1"/>
    <col min="1292" max="1292" width="10.44140625" bestFit="1" customWidth="1"/>
    <col min="1293" max="1293" width="13.109375" bestFit="1" customWidth="1"/>
    <col min="1294" max="1294" width="10.44140625" bestFit="1" customWidth="1"/>
    <col min="1295" max="1295" width="13.109375" bestFit="1" customWidth="1"/>
    <col min="1296" max="1296" width="10.44140625" bestFit="1" customWidth="1"/>
    <col min="1297" max="1297" width="13.109375" bestFit="1" customWidth="1"/>
    <col min="1298" max="1298" width="10.44140625" bestFit="1" customWidth="1"/>
    <col min="1299" max="1299" width="13.109375" bestFit="1" customWidth="1"/>
    <col min="1300" max="1300" width="11.5546875" bestFit="1" customWidth="1"/>
    <col min="1301" max="1301" width="14.21875" bestFit="1" customWidth="1"/>
    <col min="1302" max="1302" width="10.44140625" bestFit="1" customWidth="1"/>
    <col min="1303" max="1303" width="13.109375" bestFit="1" customWidth="1"/>
    <col min="1304" max="1304" width="11.5546875" bestFit="1" customWidth="1"/>
    <col min="1305" max="1305" width="14.21875" bestFit="1" customWidth="1"/>
    <col min="1306" max="1306" width="10.44140625" bestFit="1" customWidth="1"/>
    <col min="1307" max="1307" width="13.109375" bestFit="1" customWidth="1"/>
    <col min="1308" max="1308" width="10.44140625" bestFit="1" customWidth="1"/>
    <col min="1309" max="1309" width="13.109375" bestFit="1" customWidth="1"/>
    <col min="1310" max="1310" width="8.21875" bestFit="1" customWidth="1"/>
    <col min="1311" max="1311" width="11.33203125" bestFit="1" customWidth="1"/>
    <col min="1312" max="1312" width="11.5546875" bestFit="1" customWidth="1"/>
    <col min="1313" max="1313" width="14.21875" bestFit="1" customWidth="1"/>
    <col min="1314" max="1314" width="8.21875" bestFit="1" customWidth="1"/>
    <col min="1315" max="1315" width="11.33203125" bestFit="1" customWidth="1"/>
    <col min="1316" max="1316" width="11.5546875" bestFit="1" customWidth="1"/>
    <col min="1317" max="1317" width="14.21875" bestFit="1" customWidth="1"/>
    <col min="1318" max="1318" width="11.5546875" bestFit="1" customWidth="1"/>
    <col min="1319" max="1319" width="14.21875" bestFit="1" customWidth="1"/>
    <col min="1320" max="1320" width="10.44140625" bestFit="1" customWidth="1"/>
    <col min="1321" max="1321" width="13.109375" bestFit="1" customWidth="1"/>
    <col min="1322" max="1322" width="11.5546875" bestFit="1" customWidth="1"/>
    <col min="1323" max="1323" width="14.21875" bestFit="1" customWidth="1"/>
    <col min="1324" max="1324" width="11.5546875" bestFit="1" customWidth="1"/>
    <col min="1325" max="1325" width="14.21875" bestFit="1" customWidth="1"/>
    <col min="1326" max="1326" width="11.5546875" bestFit="1" customWidth="1"/>
    <col min="1327" max="1327" width="14.21875" bestFit="1" customWidth="1"/>
    <col min="1328" max="1328" width="11.5546875" bestFit="1" customWidth="1"/>
    <col min="1329" max="1329" width="14.21875" bestFit="1" customWidth="1"/>
    <col min="1330" max="1330" width="11.5546875" bestFit="1" customWidth="1"/>
    <col min="1331" max="1331" width="14.21875" bestFit="1" customWidth="1"/>
    <col min="1332" max="1332" width="11.5546875" bestFit="1" customWidth="1"/>
    <col min="1333" max="1333" width="14.21875" bestFit="1" customWidth="1"/>
    <col min="1334" max="1334" width="11.5546875" bestFit="1" customWidth="1"/>
    <col min="1335" max="1335" width="14.21875" bestFit="1" customWidth="1"/>
    <col min="1336" max="1336" width="8.21875" bestFit="1" customWidth="1"/>
    <col min="1337" max="1337" width="11.33203125" bestFit="1" customWidth="1"/>
    <col min="1338" max="1338" width="10.44140625" bestFit="1" customWidth="1"/>
    <col min="1339" max="1339" width="13.109375" bestFit="1" customWidth="1"/>
    <col min="1340" max="1340" width="8.21875" bestFit="1" customWidth="1"/>
    <col min="1341" max="1341" width="11.33203125" bestFit="1" customWidth="1"/>
    <col min="1342" max="1342" width="10.44140625" bestFit="1" customWidth="1"/>
    <col min="1343" max="1343" width="13.109375" bestFit="1" customWidth="1"/>
    <col min="1344" max="1344" width="11.5546875" bestFit="1" customWidth="1"/>
    <col min="1345" max="1345" width="14.21875" bestFit="1" customWidth="1"/>
    <col min="1346" max="1346" width="11.5546875" bestFit="1" customWidth="1"/>
    <col min="1347" max="1347" width="14.21875" bestFit="1" customWidth="1"/>
    <col min="1348" max="1348" width="11.5546875" bestFit="1" customWidth="1"/>
    <col min="1349" max="1349" width="14.21875" bestFit="1" customWidth="1"/>
    <col min="1350" max="1350" width="11.5546875" bestFit="1" customWidth="1"/>
    <col min="1351" max="1351" width="14.21875" bestFit="1" customWidth="1"/>
    <col min="1352" max="1352" width="11.5546875" bestFit="1" customWidth="1"/>
    <col min="1353" max="1353" width="14.21875" bestFit="1" customWidth="1"/>
    <col min="1354" max="1354" width="10.44140625" bestFit="1" customWidth="1"/>
    <col min="1355" max="1355" width="13.109375" bestFit="1" customWidth="1"/>
    <col min="1356" max="1356" width="11.5546875" bestFit="1" customWidth="1"/>
    <col min="1357" max="1357" width="14.21875" bestFit="1" customWidth="1"/>
    <col min="1358" max="1358" width="11.5546875" bestFit="1" customWidth="1"/>
    <col min="1359" max="1359" width="14.21875" bestFit="1" customWidth="1"/>
    <col min="1360" max="1360" width="10.44140625" bestFit="1" customWidth="1"/>
    <col min="1361" max="1361" width="13.109375" bestFit="1" customWidth="1"/>
    <col min="1362" max="1362" width="11.5546875" bestFit="1" customWidth="1"/>
    <col min="1363" max="1363" width="14.21875" bestFit="1" customWidth="1"/>
    <col min="1364" max="1364" width="11.5546875" bestFit="1" customWidth="1"/>
    <col min="1365" max="1365" width="14.21875" bestFit="1" customWidth="1"/>
    <col min="1366" max="1366" width="11.5546875" bestFit="1" customWidth="1"/>
    <col min="1367" max="1367" width="14.21875" bestFit="1" customWidth="1"/>
    <col min="1368" max="1368" width="11.5546875" bestFit="1" customWidth="1"/>
    <col min="1369" max="1369" width="14.21875" bestFit="1" customWidth="1"/>
    <col min="1370" max="1370" width="10.44140625" bestFit="1" customWidth="1"/>
    <col min="1371" max="1371" width="13.109375" bestFit="1" customWidth="1"/>
    <col min="1372" max="1372" width="11.5546875" bestFit="1" customWidth="1"/>
    <col min="1373" max="1373" width="14.21875" bestFit="1" customWidth="1"/>
    <col min="1374" max="1374" width="8.21875" bestFit="1" customWidth="1"/>
    <col min="1375" max="1375" width="11.33203125" bestFit="1" customWidth="1"/>
    <col min="1376" max="1376" width="10.44140625" bestFit="1" customWidth="1"/>
    <col min="1377" max="1377" width="13.109375" bestFit="1" customWidth="1"/>
    <col min="1378" max="1378" width="11.5546875" bestFit="1" customWidth="1"/>
    <col min="1379" max="1379" width="14.21875" bestFit="1" customWidth="1"/>
    <col min="1380" max="1380" width="11.5546875" bestFit="1" customWidth="1"/>
    <col min="1381" max="1381" width="14.21875" bestFit="1" customWidth="1"/>
    <col min="1382" max="1382" width="10.44140625" bestFit="1" customWidth="1"/>
    <col min="1383" max="1383" width="13.109375" bestFit="1" customWidth="1"/>
    <col min="1384" max="1384" width="10.44140625" bestFit="1" customWidth="1"/>
    <col min="1385" max="1385" width="13.109375" bestFit="1" customWidth="1"/>
    <col min="1386" max="1386" width="11.5546875" bestFit="1" customWidth="1"/>
    <col min="1387" max="1387" width="14.21875" bestFit="1" customWidth="1"/>
    <col min="1388" max="1388" width="10.44140625" bestFit="1" customWidth="1"/>
    <col min="1389" max="1389" width="13.109375" bestFit="1" customWidth="1"/>
    <col min="1390" max="1390" width="11.5546875" bestFit="1" customWidth="1"/>
    <col min="1391" max="1391" width="14.21875" bestFit="1" customWidth="1"/>
    <col min="1392" max="1392" width="11.5546875" bestFit="1" customWidth="1"/>
    <col min="1393" max="1393" width="14.21875" bestFit="1" customWidth="1"/>
    <col min="1394" max="1394" width="11.5546875" bestFit="1" customWidth="1"/>
    <col min="1395" max="1395" width="14.21875" bestFit="1" customWidth="1"/>
    <col min="1396" max="1396" width="11.5546875" bestFit="1" customWidth="1"/>
    <col min="1397" max="1397" width="14.21875" bestFit="1" customWidth="1"/>
    <col min="1398" max="1398" width="11.5546875" bestFit="1" customWidth="1"/>
    <col min="1399" max="1399" width="14.21875" bestFit="1" customWidth="1"/>
    <col min="1400" max="1400" width="10.44140625" bestFit="1" customWidth="1"/>
    <col min="1401" max="1401" width="13.109375" bestFit="1" customWidth="1"/>
    <col min="1402" max="1402" width="10.44140625" bestFit="1" customWidth="1"/>
    <col min="1403" max="1403" width="13.109375" bestFit="1" customWidth="1"/>
    <col min="1404" max="1404" width="11.5546875" bestFit="1" customWidth="1"/>
    <col min="1405" max="1405" width="14.21875" bestFit="1" customWidth="1"/>
    <col min="1406" max="1406" width="11.5546875" bestFit="1" customWidth="1"/>
    <col min="1407" max="1407" width="14.21875" bestFit="1" customWidth="1"/>
    <col min="1408" max="1408" width="10.44140625" bestFit="1" customWidth="1"/>
    <col min="1409" max="1409" width="13.109375" bestFit="1" customWidth="1"/>
    <col min="1410" max="1410" width="10.44140625" bestFit="1" customWidth="1"/>
    <col min="1411" max="1411" width="13.109375" bestFit="1" customWidth="1"/>
    <col min="1412" max="1412" width="10.44140625" bestFit="1" customWidth="1"/>
    <col min="1413" max="1413" width="13.109375" bestFit="1" customWidth="1"/>
    <col min="1414" max="1414" width="11.5546875" bestFit="1" customWidth="1"/>
    <col min="1415" max="1415" width="14.21875" bestFit="1" customWidth="1"/>
    <col min="1416" max="1416" width="10.44140625" bestFit="1" customWidth="1"/>
    <col min="1417" max="1417" width="13.109375" bestFit="1" customWidth="1"/>
    <col min="1418" max="1418" width="11.5546875" bestFit="1" customWidth="1"/>
    <col min="1419" max="1419" width="14.21875" bestFit="1" customWidth="1"/>
    <col min="1420" max="1420" width="10.44140625" bestFit="1" customWidth="1"/>
    <col min="1421" max="1421" width="13.109375" bestFit="1" customWidth="1"/>
    <col min="1422" max="1422" width="11.5546875" bestFit="1" customWidth="1"/>
    <col min="1423" max="1423" width="14.21875" bestFit="1" customWidth="1"/>
    <col min="1424" max="1424" width="10.44140625" bestFit="1" customWidth="1"/>
    <col min="1425" max="1425" width="13.109375" bestFit="1" customWidth="1"/>
    <col min="1426" max="1426" width="10.44140625" bestFit="1" customWidth="1"/>
    <col min="1427" max="1427" width="13.109375" bestFit="1" customWidth="1"/>
    <col min="1428" max="1428" width="11.5546875" bestFit="1" customWidth="1"/>
    <col min="1429" max="1429" width="14.21875" bestFit="1" customWidth="1"/>
    <col min="1430" max="1430" width="11.5546875" bestFit="1" customWidth="1"/>
    <col min="1431" max="1431" width="14.21875" bestFit="1" customWidth="1"/>
    <col min="1432" max="1432" width="10.44140625" bestFit="1" customWidth="1"/>
    <col min="1433" max="1433" width="13.109375" bestFit="1" customWidth="1"/>
    <col min="1434" max="1434" width="11.5546875" bestFit="1" customWidth="1"/>
    <col min="1435" max="1435" width="14.21875" bestFit="1" customWidth="1"/>
    <col min="1436" max="1436" width="8.21875" bestFit="1" customWidth="1"/>
    <col min="1437" max="1437" width="11.33203125" bestFit="1" customWidth="1"/>
    <col min="1438" max="1438" width="10.44140625" bestFit="1" customWidth="1"/>
    <col min="1439" max="1439" width="13.109375" bestFit="1" customWidth="1"/>
    <col min="1440" max="1440" width="10.44140625" bestFit="1" customWidth="1"/>
    <col min="1441" max="1441" width="13.109375" bestFit="1" customWidth="1"/>
    <col min="1442" max="1442" width="8.21875" bestFit="1" customWidth="1"/>
    <col min="1443" max="1443" width="11.33203125" bestFit="1" customWidth="1"/>
    <col min="1444" max="1444" width="8.21875" bestFit="1" customWidth="1"/>
    <col min="1445" max="1445" width="11.33203125" bestFit="1" customWidth="1"/>
    <col min="1446" max="1446" width="8.21875" bestFit="1" customWidth="1"/>
    <col min="1447" max="1447" width="11.33203125" bestFit="1" customWidth="1"/>
    <col min="1448" max="1448" width="10.44140625" bestFit="1" customWidth="1"/>
    <col min="1449" max="1449" width="13.109375" bestFit="1" customWidth="1"/>
    <col min="1450" max="1450" width="11.5546875" bestFit="1" customWidth="1"/>
    <col min="1451" max="1451" width="14.21875" bestFit="1" customWidth="1"/>
    <col min="1452" max="1452" width="11.5546875" bestFit="1" customWidth="1"/>
    <col min="1453" max="1453" width="14.21875" bestFit="1" customWidth="1"/>
    <col min="1454" max="1454" width="8.21875" bestFit="1" customWidth="1"/>
    <col min="1455" max="1455" width="11.33203125" bestFit="1" customWidth="1"/>
    <col min="1456" max="1456" width="11.5546875" bestFit="1" customWidth="1"/>
    <col min="1457" max="1457" width="14.21875" bestFit="1" customWidth="1"/>
    <col min="1458" max="1458" width="11.5546875" bestFit="1" customWidth="1"/>
    <col min="1459" max="1459" width="14.21875" bestFit="1" customWidth="1"/>
    <col min="1460" max="1460" width="11.5546875" bestFit="1" customWidth="1"/>
    <col min="1461" max="1461" width="14.21875" bestFit="1" customWidth="1"/>
    <col min="1462" max="1462" width="11.5546875" bestFit="1" customWidth="1"/>
    <col min="1463" max="1463" width="14.21875" bestFit="1" customWidth="1"/>
    <col min="1464" max="1464" width="11.5546875" bestFit="1" customWidth="1"/>
    <col min="1465" max="1465" width="14.21875" bestFit="1" customWidth="1"/>
    <col min="1466" max="1466" width="11.5546875" bestFit="1" customWidth="1"/>
    <col min="1467" max="1467" width="14.21875" bestFit="1" customWidth="1"/>
    <col min="1468" max="1468" width="8.21875" bestFit="1" customWidth="1"/>
    <col min="1469" max="1469" width="11.33203125" bestFit="1" customWidth="1"/>
    <col min="1470" max="1470" width="11.5546875" bestFit="1" customWidth="1"/>
    <col min="1471" max="1471" width="14.21875" bestFit="1" customWidth="1"/>
    <col min="1472" max="1472" width="11.5546875" bestFit="1" customWidth="1"/>
    <col min="1473" max="1473" width="14.21875" bestFit="1" customWidth="1"/>
    <col min="1474" max="1474" width="10.44140625" bestFit="1" customWidth="1"/>
    <col min="1475" max="1475" width="13.109375" bestFit="1" customWidth="1"/>
    <col min="1476" max="1476" width="10.44140625" bestFit="1" customWidth="1"/>
    <col min="1477" max="1477" width="13.109375" bestFit="1" customWidth="1"/>
    <col min="1478" max="1478" width="10.44140625" bestFit="1" customWidth="1"/>
    <col min="1479" max="1479" width="13.109375" bestFit="1" customWidth="1"/>
    <col min="1480" max="1480" width="11.5546875" bestFit="1" customWidth="1"/>
    <col min="1481" max="1481" width="14.21875" bestFit="1" customWidth="1"/>
    <col min="1482" max="1482" width="10.44140625" bestFit="1" customWidth="1"/>
    <col min="1483" max="1483" width="13.109375" bestFit="1" customWidth="1"/>
    <col min="1484" max="1484" width="11.5546875" bestFit="1" customWidth="1"/>
    <col min="1485" max="1485" width="14.21875" bestFit="1" customWidth="1"/>
    <col min="1486" max="1486" width="10.44140625" bestFit="1" customWidth="1"/>
    <col min="1487" max="1487" width="13.109375" bestFit="1" customWidth="1"/>
    <col min="1488" max="1488" width="11.5546875" bestFit="1" customWidth="1"/>
    <col min="1489" max="1489" width="14.21875" bestFit="1" customWidth="1"/>
    <col min="1490" max="1490" width="11.5546875" bestFit="1" customWidth="1"/>
    <col min="1491" max="1491" width="14.21875" bestFit="1" customWidth="1"/>
    <col min="1492" max="1492" width="10.44140625" bestFit="1" customWidth="1"/>
    <col min="1493" max="1493" width="13.109375" bestFit="1" customWidth="1"/>
    <col min="1494" max="1494" width="11.5546875" bestFit="1" customWidth="1"/>
    <col min="1495" max="1495" width="14.21875" bestFit="1" customWidth="1"/>
    <col min="1496" max="1496" width="11.5546875" bestFit="1" customWidth="1"/>
    <col min="1497" max="1497" width="14.21875" bestFit="1" customWidth="1"/>
    <col min="1498" max="1498" width="11.5546875" bestFit="1" customWidth="1"/>
    <col min="1499" max="1499" width="14.21875" bestFit="1" customWidth="1"/>
    <col min="1500" max="1500" width="11.5546875" bestFit="1" customWidth="1"/>
    <col min="1501" max="1501" width="14.21875" bestFit="1" customWidth="1"/>
    <col min="1502" max="1502" width="11.5546875" bestFit="1" customWidth="1"/>
    <col min="1503" max="1503" width="14.21875" bestFit="1" customWidth="1"/>
    <col min="1504" max="1504" width="11.5546875" bestFit="1" customWidth="1"/>
    <col min="1505" max="1505" width="14.21875" bestFit="1" customWidth="1"/>
    <col min="1506" max="1506" width="11.5546875" bestFit="1" customWidth="1"/>
    <col min="1507" max="1507" width="14.21875" bestFit="1" customWidth="1"/>
    <col min="1508" max="1508" width="8.21875" bestFit="1" customWidth="1"/>
    <col min="1509" max="1509" width="11.33203125" bestFit="1" customWidth="1"/>
    <col min="1510" max="1510" width="11.5546875" bestFit="1" customWidth="1"/>
    <col min="1511" max="1511" width="14.21875" bestFit="1" customWidth="1"/>
    <col min="1512" max="1512" width="10.44140625" bestFit="1" customWidth="1"/>
    <col min="1513" max="1513" width="13.109375" bestFit="1" customWidth="1"/>
    <col min="1514" max="1514" width="10.44140625" bestFit="1" customWidth="1"/>
    <col min="1515" max="1515" width="13.109375" bestFit="1" customWidth="1"/>
    <col min="1516" max="1516" width="10.44140625" bestFit="1" customWidth="1"/>
    <col min="1517" max="1517" width="13.109375" bestFit="1" customWidth="1"/>
    <col min="1518" max="1518" width="11.5546875" bestFit="1" customWidth="1"/>
    <col min="1519" max="1519" width="14.21875" bestFit="1" customWidth="1"/>
    <col min="1520" max="1520" width="11.5546875" bestFit="1" customWidth="1"/>
    <col min="1521" max="1521" width="14.21875" bestFit="1" customWidth="1"/>
    <col min="1522" max="1522" width="10.44140625" bestFit="1" customWidth="1"/>
    <col min="1523" max="1523" width="13.109375" bestFit="1" customWidth="1"/>
    <col min="1524" max="1524" width="10.44140625" bestFit="1" customWidth="1"/>
    <col min="1525" max="1525" width="13.109375" bestFit="1" customWidth="1"/>
    <col min="1526" max="1526" width="11.5546875" bestFit="1" customWidth="1"/>
    <col min="1527" max="1527" width="14.21875" bestFit="1" customWidth="1"/>
    <col min="1528" max="1528" width="11.5546875" bestFit="1" customWidth="1"/>
    <col min="1529" max="1529" width="14.21875" bestFit="1" customWidth="1"/>
    <col min="1530" max="1530" width="8.21875" bestFit="1" customWidth="1"/>
    <col min="1531" max="1531" width="11.33203125" bestFit="1" customWidth="1"/>
    <col min="1532" max="1532" width="11.5546875" bestFit="1" customWidth="1"/>
    <col min="1533" max="1533" width="14.21875" bestFit="1" customWidth="1"/>
    <col min="1534" max="1534" width="11.5546875" bestFit="1" customWidth="1"/>
    <col min="1535" max="1535" width="14.21875" bestFit="1" customWidth="1"/>
    <col min="1536" max="1536" width="11.5546875" bestFit="1" customWidth="1"/>
    <col min="1537" max="1537" width="14.21875" bestFit="1" customWidth="1"/>
    <col min="1538" max="1538" width="11.5546875" bestFit="1" customWidth="1"/>
    <col min="1539" max="1539" width="14.21875" bestFit="1" customWidth="1"/>
    <col min="1540" max="1540" width="11.5546875" bestFit="1" customWidth="1"/>
    <col min="1541" max="1541" width="14.21875" bestFit="1" customWidth="1"/>
    <col min="1542" max="1542" width="11.5546875" bestFit="1" customWidth="1"/>
    <col min="1543" max="1543" width="14.21875" bestFit="1" customWidth="1"/>
    <col min="1544" max="1544" width="11.5546875" bestFit="1" customWidth="1"/>
    <col min="1545" max="1545" width="14.21875" bestFit="1" customWidth="1"/>
    <col min="1546" max="1546" width="8.21875" bestFit="1" customWidth="1"/>
    <col min="1547" max="1547" width="11.33203125" bestFit="1" customWidth="1"/>
    <col min="1548" max="1548" width="11.5546875" bestFit="1" customWidth="1"/>
    <col min="1549" max="1549" width="14.21875" bestFit="1" customWidth="1"/>
    <col min="1550" max="1550" width="10.44140625" bestFit="1" customWidth="1"/>
    <col min="1551" max="1551" width="13.109375" bestFit="1" customWidth="1"/>
    <col min="1552" max="1552" width="10.44140625" bestFit="1" customWidth="1"/>
    <col min="1553" max="1553" width="13.109375" bestFit="1" customWidth="1"/>
    <col min="1554" max="1554" width="10.44140625" bestFit="1" customWidth="1"/>
    <col min="1555" max="1555" width="13.109375" bestFit="1" customWidth="1"/>
    <col min="1556" max="1556" width="10.44140625" bestFit="1" customWidth="1"/>
    <col min="1557" max="1557" width="13.109375" bestFit="1" customWidth="1"/>
    <col min="1558" max="1558" width="10.44140625" bestFit="1" customWidth="1"/>
    <col min="1559" max="1559" width="13.109375" bestFit="1" customWidth="1"/>
    <col min="1560" max="1560" width="10.44140625" bestFit="1" customWidth="1"/>
    <col min="1561" max="1561" width="13.109375" bestFit="1" customWidth="1"/>
    <col min="1562" max="1562" width="11.5546875" bestFit="1" customWidth="1"/>
    <col min="1563" max="1563" width="14.21875" bestFit="1" customWidth="1"/>
    <col min="1564" max="1564" width="11.5546875" bestFit="1" customWidth="1"/>
    <col min="1565" max="1565" width="14.21875" bestFit="1" customWidth="1"/>
    <col min="1566" max="1566" width="10.44140625" bestFit="1" customWidth="1"/>
    <col min="1567" max="1567" width="13.109375" bestFit="1" customWidth="1"/>
    <col min="1568" max="1568" width="11.5546875" bestFit="1" customWidth="1"/>
    <col min="1569" max="1569" width="14.21875" bestFit="1" customWidth="1"/>
    <col min="1570" max="1570" width="11.5546875" bestFit="1" customWidth="1"/>
    <col min="1571" max="1571" width="14.21875" bestFit="1" customWidth="1"/>
    <col min="1572" max="1572" width="11.5546875" bestFit="1" customWidth="1"/>
    <col min="1573" max="1573" width="14.21875" bestFit="1" customWidth="1"/>
    <col min="1574" max="1574" width="11.5546875" bestFit="1" customWidth="1"/>
    <col min="1575" max="1575" width="14.21875" bestFit="1" customWidth="1"/>
    <col min="1576" max="1576" width="11.5546875" bestFit="1" customWidth="1"/>
    <col min="1577" max="1577" width="14.21875" bestFit="1" customWidth="1"/>
    <col min="1578" max="1578" width="11.5546875" bestFit="1" customWidth="1"/>
    <col min="1579" max="1579" width="14.21875" bestFit="1" customWidth="1"/>
    <col min="1580" max="1580" width="10.44140625" bestFit="1" customWidth="1"/>
    <col min="1581" max="1581" width="13.109375" bestFit="1" customWidth="1"/>
    <col min="1582" max="1582" width="11.5546875" bestFit="1" customWidth="1"/>
    <col min="1583" max="1583" width="14.21875" bestFit="1" customWidth="1"/>
    <col min="1584" max="1584" width="10.44140625" bestFit="1" customWidth="1"/>
    <col min="1585" max="1585" width="13.109375" bestFit="1" customWidth="1"/>
    <col min="1586" max="1586" width="11.5546875" bestFit="1" customWidth="1"/>
    <col min="1587" max="1587" width="14.21875" bestFit="1" customWidth="1"/>
    <col min="1588" max="1588" width="11.5546875" bestFit="1" customWidth="1"/>
    <col min="1589" max="1589" width="14.21875" bestFit="1" customWidth="1"/>
    <col min="1590" max="1590" width="11.5546875" bestFit="1" customWidth="1"/>
    <col min="1591" max="1591" width="14.21875" bestFit="1" customWidth="1"/>
    <col min="1592" max="1592" width="8.21875" bestFit="1" customWidth="1"/>
    <col min="1593" max="1593" width="11.33203125" bestFit="1" customWidth="1"/>
    <col min="1594" max="1594" width="11.5546875" bestFit="1" customWidth="1"/>
    <col min="1595" max="1595" width="14.21875" bestFit="1" customWidth="1"/>
    <col min="1596" max="1596" width="8.21875" bestFit="1" customWidth="1"/>
    <col min="1597" max="1597" width="11.33203125" bestFit="1" customWidth="1"/>
    <col min="1598" max="1598" width="11.5546875" bestFit="1" customWidth="1"/>
    <col min="1599" max="1599" width="14.21875" bestFit="1" customWidth="1"/>
    <col min="1600" max="1600" width="11.5546875" bestFit="1" customWidth="1"/>
    <col min="1601" max="1601" width="14.21875" bestFit="1" customWidth="1"/>
    <col min="1602" max="1602" width="11.5546875" bestFit="1" customWidth="1"/>
    <col min="1603" max="1603" width="14.21875" bestFit="1" customWidth="1"/>
    <col min="1604" max="1604" width="10.44140625" bestFit="1" customWidth="1"/>
    <col min="1605" max="1605" width="13.109375" bestFit="1" customWidth="1"/>
    <col min="1606" max="1606" width="11.5546875" bestFit="1" customWidth="1"/>
    <col min="1607" max="1607" width="14.21875" bestFit="1" customWidth="1"/>
    <col min="1608" max="1608" width="10.44140625" bestFit="1" customWidth="1"/>
    <col min="1609" max="1609" width="13.109375" bestFit="1" customWidth="1"/>
    <col min="1610" max="1610" width="11.5546875" bestFit="1" customWidth="1"/>
    <col min="1611" max="1611" width="14.21875" bestFit="1" customWidth="1"/>
    <col min="1612" max="1612" width="10.44140625" bestFit="1" customWidth="1"/>
    <col min="1613" max="1613" width="13.109375" bestFit="1" customWidth="1"/>
    <col min="1614" max="1614" width="8.21875" bestFit="1" customWidth="1"/>
    <col min="1615" max="1615" width="11.33203125" bestFit="1" customWidth="1"/>
    <col min="1616" max="1616" width="11.5546875" bestFit="1" customWidth="1"/>
    <col min="1617" max="1617" width="14.21875" bestFit="1" customWidth="1"/>
    <col min="1618" max="1618" width="8.21875" bestFit="1" customWidth="1"/>
    <col min="1619" max="1619" width="11.33203125" bestFit="1" customWidth="1"/>
    <col min="1620" max="1620" width="11.5546875" bestFit="1" customWidth="1"/>
    <col min="1621" max="1621" width="14.21875" bestFit="1" customWidth="1"/>
    <col min="1622" max="1622" width="11.5546875" bestFit="1" customWidth="1"/>
    <col min="1623" max="1623" width="14.21875" bestFit="1" customWidth="1"/>
    <col min="1624" max="1624" width="10.44140625" bestFit="1" customWidth="1"/>
    <col min="1625" max="1625" width="13.109375" bestFit="1" customWidth="1"/>
    <col min="1626" max="1626" width="10.44140625" bestFit="1" customWidth="1"/>
    <col min="1627" max="1627" width="13.109375" bestFit="1" customWidth="1"/>
    <col min="1628" max="1628" width="11.5546875" bestFit="1" customWidth="1"/>
    <col min="1629" max="1629" width="14.21875" bestFit="1" customWidth="1"/>
    <col min="1630" max="1630" width="11.5546875" bestFit="1" customWidth="1"/>
    <col min="1631" max="1631" width="14.21875" bestFit="1" customWidth="1"/>
    <col min="1632" max="1632" width="11.5546875" bestFit="1" customWidth="1"/>
    <col min="1633" max="1633" width="14.21875" bestFit="1" customWidth="1"/>
    <col min="1634" max="1634" width="10.44140625" bestFit="1" customWidth="1"/>
    <col min="1635" max="1635" width="13.109375" bestFit="1" customWidth="1"/>
    <col min="1636" max="1636" width="11.5546875" bestFit="1" customWidth="1"/>
    <col min="1637" max="1637" width="14.21875" bestFit="1" customWidth="1"/>
    <col min="1638" max="1638" width="11.5546875" bestFit="1" customWidth="1"/>
    <col min="1639" max="1639" width="14.21875" bestFit="1" customWidth="1"/>
    <col min="1640" max="1640" width="8.21875" bestFit="1" customWidth="1"/>
    <col min="1641" max="1641" width="11.33203125" bestFit="1" customWidth="1"/>
    <col min="1642" max="1642" width="11.5546875" bestFit="1" customWidth="1"/>
    <col min="1643" max="1643" width="14.21875" bestFit="1" customWidth="1"/>
    <col min="1644" max="1644" width="10.44140625" bestFit="1" customWidth="1"/>
    <col min="1645" max="1645" width="13.109375" bestFit="1" customWidth="1"/>
    <col min="1646" max="1646" width="8.21875" bestFit="1" customWidth="1"/>
    <col min="1647" max="1647" width="11.33203125" bestFit="1" customWidth="1"/>
    <col min="1648" max="1648" width="11.5546875" bestFit="1" customWidth="1"/>
    <col min="1649" max="1649" width="14.21875" bestFit="1" customWidth="1"/>
    <col min="1650" max="1650" width="11.5546875" bestFit="1" customWidth="1"/>
    <col min="1651" max="1651" width="14.21875" bestFit="1" customWidth="1"/>
    <col min="1652" max="1652" width="11.5546875" bestFit="1" customWidth="1"/>
    <col min="1653" max="1653" width="14.21875" bestFit="1" customWidth="1"/>
    <col min="1654" max="1654" width="10.44140625" bestFit="1" customWidth="1"/>
    <col min="1655" max="1655" width="13.109375" bestFit="1" customWidth="1"/>
    <col min="1656" max="1656" width="11.5546875" bestFit="1" customWidth="1"/>
    <col min="1657" max="1657" width="14.21875" bestFit="1" customWidth="1"/>
    <col min="1658" max="1658" width="10.44140625" bestFit="1" customWidth="1"/>
    <col min="1659" max="1659" width="13.109375" bestFit="1" customWidth="1"/>
    <col min="1660" max="1660" width="8.21875" bestFit="1" customWidth="1"/>
    <col min="1661" max="1661" width="11.33203125" bestFit="1" customWidth="1"/>
    <col min="1662" max="1662" width="11.5546875" bestFit="1" customWidth="1"/>
    <col min="1663" max="1663" width="14.21875" bestFit="1" customWidth="1"/>
    <col min="1664" max="1664" width="11.5546875" bestFit="1" customWidth="1"/>
    <col min="1665" max="1665" width="14.21875" bestFit="1" customWidth="1"/>
    <col min="1666" max="1666" width="11.5546875" bestFit="1" customWidth="1"/>
    <col min="1667" max="1667" width="14.21875" bestFit="1" customWidth="1"/>
    <col min="1668" max="1668" width="11.5546875" bestFit="1" customWidth="1"/>
    <col min="1669" max="1669" width="14.21875" bestFit="1" customWidth="1"/>
    <col min="1670" max="1670" width="11.5546875" bestFit="1" customWidth="1"/>
    <col min="1671" max="1671" width="14.21875" bestFit="1" customWidth="1"/>
    <col min="1672" max="1672" width="11.5546875" bestFit="1" customWidth="1"/>
    <col min="1673" max="1673" width="14.21875" bestFit="1" customWidth="1"/>
    <col min="1674" max="1674" width="10.44140625" bestFit="1" customWidth="1"/>
    <col min="1675" max="1675" width="13.109375" bestFit="1" customWidth="1"/>
    <col min="1676" max="1676" width="10.44140625" bestFit="1" customWidth="1"/>
    <col min="1677" max="1677" width="13.109375" bestFit="1" customWidth="1"/>
    <col min="1678" max="1678" width="12.6640625" bestFit="1" customWidth="1"/>
    <col min="1679" max="1679" width="15.44140625" bestFit="1" customWidth="1"/>
    <col min="1680" max="1680" width="12.6640625" bestFit="1" customWidth="1"/>
    <col min="1681" max="1681" width="15.44140625" bestFit="1" customWidth="1"/>
    <col min="1682" max="1682" width="12.6640625" bestFit="1" customWidth="1"/>
    <col min="1683" max="1683" width="15.44140625" bestFit="1" customWidth="1"/>
    <col min="1684" max="1684" width="12.6640625" bestFit="1" customWidth="1"/>
    <col min="1685" max="1685" width="15.44140625" bestFit="1" customWidth="1"/>
    <col min="1686" max="1686" width="11.5546875" bestFit="1" customWidth="1"/>
    <col min="1687" max="1687" width="14.21875" bestFit="1" customWidth="1"/>
    <col min="1688" max="1688" width="12.6640625" bestFit="1" customWidth="1"/>
    <col min="1689" max="1689" width="15.44140625" bestFit="1" customWidth="1"/>
    <col min="1690" max="1690" width="11.5546875" bestFit="1" customWidth="1"/>
    <col min="1691" max="1691" width="14.21875" bestFit="1" customWidth="1"/>
    <col min="1692" max="1692" width="12.6640625" bestFit="1" customWidth="1"/>
    <col min="1693" max="1693" width="15.44140625" bestFit="1" customWidth="1"/>
    <col min="1694" max="1694" width="9.33203125" bestFit="1" customWidth="1"/>
    <col min="1695" max="1695" width="12.44140625" bestFit="1" customWidth="1"/>
    <col min="1696" max="1696" width="12.6640625" bestFit="1" customWidth="1"/>
    <col min="1697" max="1697" width="15.44140625" bestFit="1" customWidth="1"/>
    <col min="1698" max="1698" width="12.6640625" bestFit="1" customWidth="1"/>
    <col min="1699" max="1699" width="15.44140625" bestFit="1" customWidth="1"/>
    <col min="1700" max="1700" width="11.5546875" bestFit="1" customWidth="1"/>
    <col min="1701" max="1701" width="14.21875" bestFit="1" customWidth="1"/>
    <col min="1702" max="1702" width="11.5546875" bestFit="1" customWidth="1"/>
    <col min="1703" max="1703" width="14.21875" bestFit="1" customWidth="1"/>
    <col min="1704" max="1704" width="12.6640625" bestFit="1" customWidth="1"/>
    <col min="1705" max="1705" width="15.44140625" bestFit="1" customWidth="1"/>
    <col min="1706" max="1706" width="12.6640625" bestFit="1" customWidth="1"/>
    <col min="1707" max="1707" width="15.44140625" bestFit="1" customWidth="1"/>
    <col min="1708" max="1708" width="9.33203125" bestFit="1" customWidth="1"/>
    <col min="1709" max="1709" width="12.44140625" bestFit="1" customWidth="1"/>
    <col min="1710" max="1710" width="12.6640625" bestFit="1" customWidth="1"/>
    <col min="1711" max="1711" width="15.44140625" bestFit="1" customWidth="1"/>
    <col min="1712" max="1712" width="9.33203125" bestFit="1" customWidth="1"/>
    <col min="1713" max="1713" width="12.44140625" bestFit="1" customWidth="1"/>
    <col min="1714" max="1714" width="12.6640625" bestFit="1" customWidth="1"/>
    <col min="1715" max="1715" width="15.44140625" bestFit="1" customWidth="1"/>
    <col min="1716" max="1716" width="12.6640625" bestFit="1" customWidth="1"/>
    <col min="1717" max="1717" width="15.44140625" bestFit="1" customWidth="1"/>
    <col min="1718" max="1718" width="12.6640625" bestFit="1" customWidth="1"/>
    <col min="1719" max="1719" width="15.44140625" bestFit="1" customWidth="1"/>
    <col min="1720" max="1720" width="12.6640625" bestFit="1" customWidth="1"/>
    <col min="1721" max="1721" width="15.44140625" bestFit="1" customWidth="1"/>
    <col min="1722" max="1722" width="12.6640625" bestFit="1" customWidth="1"/>
    <col min="1723" max="1723" width="15.44140625" bestFit="1" customWidth="1"/>
    <col min="1724" max="1724" width="12.6640625" bestFit="1" customWidth="1"/>
    <col min="1725" max="1725" width="15.44140625" bestFit="1" customWidth="1"/>
    <col min="1726" max="1726" width="12.6640625" bestFit="1" customWidth="1"/>
    <col min="1727" max="1727" width="15.44140625" bestFit="1" customWidth="1"/>
    <col min="1728" max="1728" width="9.33203125" bestFit="1" customWidth="1"/>
    <col min="1729" max="1729" width="12.44140625" bestFit="1" customWidth="1"/>
    <col min="1730" max="1730" width="11.5546875" bestFit="1" customWidth="1"/>
    <col min="1731" max="1731" width="14.21875" bestFit="1" customWidth="1"/>
    <col min="1732" max="1732" width="12.6640625" bestFit="1" customWidth="1"/>
    <col min="1733" max="1733" width="15.44140625" bestFit="1" customWidth="1"/>
    <col min="1734" max="1734" width="11.5546875" bestFit="1" customWidth="1"/>
    <col min="1735" max="1735" width="14.21875" bestFit="1" customWidth="1"/>
    <col min="1736" max="1736" width="12.6640625" bestFit="1" customWidth="1"/>
    <col min="1737" max="1737" width="15.44140625" bestFit="1" customWidth="1"/>
    <col min="1738" max="1738" width="12.6640625" bestFit="1" customWidth="1"/>
    <col min="1739" max="1739" width="15.44140625" bestFit="1" customWidth="1"/>
    <col min="1740" max="1740" width="11.5546875" bestFit="1" customWidth="1"/>
    <col min="1741" max="1741" width="14.21875" bestFit="1" customWidth="1"/>
    <col min="1742" max="1742" width="9.33203125" bestFit="1" customWidth="1"/>
    <col min="1743" max="1743" width="12.44140625" bestFit="1" customWidth="1"/>
    <col min="1744" max="1744" width="12.6640625" bestFit="1" customWidth="1"/>
    <col min="1745" max="1745" width="15.44140625" bestFit="1" customWidth="1"/>
    <col min="1746" max="1746" width="12.6640625" bestFit="1" customWidth="1"/>
    <col min="1747" max="1747" width="15.44140625" bestFit="1" customWidth="1"/>
    <col min="1748" max="1748" width="12.6640625" bestFit="1" customWidth="1"/>
    <col min="1749" max="1749" width="15.44140625" bestFit="1" customWidth="1"/>
    <col min="1750" max="1750" width="12.6640625" bestFit="1" customWidth="1"/>
    <col min="1751" max="1751" width="15.44140625" bestFit="1" customWidth="1"/>
    <col min="1752" max="1752" width="12.6640625" bestFit="1" customWidth="1"/>
    <col min="1753" max="1753" width="15.44140625" bestFit="1" customWidth="1"/>
    <col min="1754" max="1754" width="11.5546875" bestFit="1" customWidth="1"/>
    <col min="1755" max="1755" width="14.21875" bestFit="1" customWidth="1"/>
    <col min="1756" max="1756" width="12.6640625" bestFit="1" customWidth="1"/>
    <col min="1757" max="1757" width="15.44140625" bestFit="1" customWidth="1"/>
    <col min="1758" max="1758" width="11.5546875" bestFit="1" customWidth="1"/>
    <col min="1759" max="1759" width="14.21875" bestFit="1" customWidth="1"/>
    <col min="1760" max="1760" width="12.6640625" bestFit="1" customWidth="1"/>
    <col min="1761" max="1761" width="15.44140625" bestFit="1" customWidth="1"/>
    <col min="1762" max="1762" width="11.5546875" bestFit="1" customWidth="1"/>
    <col min="1763" max="1763" width="14.21875" bestFit="1" customWidth="1"/>
    <col min="1764" max="1764" width="11.5546875" bestFit="1" customWidth="1"/>
    <col min="1765" max="1765" width="14.21875" bestFit="1" customWidth="1"/>
    <col min="1766" max="1766" width="12.6640625" bestFit="1" customWidth="1"/>
    <col min="1767" max="1767" width="15.44140625" bestFit="1" customWidth="1"/>
    <col min="1768" max="1768" width="12.6640625" bestFit="1" customWidth="1"/>
    <col min="1769" max="1769" width="15.44140625" bestFit="1" customWidth="1"/>
    <col min="1770" max="1770" width="9.33203125" bestFit="1" customWidth="1"/>
    <col min="1771" max="1771" width="12.44140625" bestFit="1" customWidth="1"/>
    <col min="1772" max="1772" width="12.6640625" bestFit="1" customWidth="1"/>
    <col min="1773" max="1773" width="15.44140625" bestFit="1" customWidth="1"/>
    <col min="1774" max="1774" width="12.6640625" bestFit="1" customWidth="1"/>
    <col min="1775" max="1775" width="15.44140625" bestFit="1" customWidth="1"/>
    <col min="1776" max="1776" width="12.6640625" bestFit="1" customWidth="1"/>
    <col min="1777" max="1777" width="15.44140625" bestFit="1" customWidth="1"/>
    <col min="1778" max="1778" width="11.5546875" bestFit="1" customWidth="1"/>
    <col min="1779" max="1779" width="14.21875" bestFit="1" customWidth="1"/>
    <col min="1780" max="1780" width="9.33203125" bestFit="1" customWidth="1"/>
    <col min="1781" max="1781" width="12.44140625" bestFit="1" customWidth="1"/>
    <col min="1782" max="1782" width="11.5546875" bestFit="1" customWidth="1"/>
    <col min="1783" max="1783" width="14.21875" bestFit="1" customWidth="1"/>
    <col min="1784" max="1784" width="12.6640625" bestFit="1" customWidth="1"/>
    <col min="1785" max="1785" width="15.44140625" bestFit="1" customWidth="1"/>
    <col min="1786" max="1786" width="12.6640625" bestFit="1" customWidth="1"/>
    <col min="1787" max="1787" width="15.44140625" bestFit="1" customWidth="1"/>
    <col min="1788" max="1788" width="12.6640625" bestFit="1" customWidth="1"/>
    <col min="1789" max="1789" width="15.44140625" bestFit="1" customWidth="1"/>
    <col min="1790" max="1790" width="12.6640625" bestFit="1" customWidth="1"/>
    <col min="1791" max="1791" width="15.44140625" bestFit="1" customWidth="1"/>
    <col min="1792" max="1792" width="12.6640625" bestFit="1" customWidth="1"/>
    <col min="1793" max="1793" width="15.44140625" bestFit="1" customWidth="1"/>
    <col min="1794" max="1794" width="12.6640625" bestFit="1" customWidth="1"/>
    <col min="1795" max="1795" width="15.44140625" bestFit="1" customWidth="1"/>
    <col min="1796" max="1796" width="12.6640625" bestFit="1" customWidth="1"/>
    <col min="1797" max="1797" width="15.44140625" bestFit="1" customWidth="1"/>
    <col min="1798" max="1798" width="11.5546875" bestFit="1" customWidth="1"/>
    <col min="1799" max="1799" width="14.21875" bestFit="1" customWidth="1"/>
    <col min="1800" max="1800" width="12.6640625" bestFit="1" customWidth="1"/>
    <col min="1801" max="1801" width="15.44140625" bestFit="1" customWidth="1"/>
    <col min="1802" max="1802" width="12.6640625" bestFit="1" customWidth="1"/>
    <col min="1803" max="1803" width="15.44140625" bestFit="1" customWidth="1"/>
    <col min="1804" max="1804" width="11.5546875" bestFit="1" customWidth="1"/>
    <col min="1805" max="1805" width="14.21875" bestFit="1" customWidth="1"/>
    <col min="1806" max="1806" width="12.6640625" bestFit="1" customWidth="1"/>
    <col min="1807" max="1807" width="15.44140625" bestFit="1" customWidth="1"/>
    <col min="1808" max="1808" width="12.6640625" bestFit="1" customWidth="1"/>
    <col min="1809" max="1809" width="15.44140625" bestFit="1" customWidth="1"/>
    <col min="1810" max="1810" width="12.6640625" bestFit="1" customWidth="1"/>
    <col min="1811" max="1811" width="15.44140625" bestFit="1" customWidth="1"/>
    <col min="1812" max="1812" width="12.6640625" bestFit="1" customWidth="1"/>
    <col min="1813" max="1813" width="15.44140625" bestFit="1" customWidth="1"/>
    <col min="1814" max="1814" width="12.6640625" bestFit="1" customWidth="1"/>
    <col min="1815" max="1815" width="15.44140625" bestFit="1" customWidth="1"/>
    <col min="1816" max="1816" width="12.6640625" bestFit="1" customWidth="1"/>
    <col min="1817" max="1817" width="15.44140625" bestFit="1" customWidth="1"/>
    <col min="1818" max="1818" width="12.6640625" bestFit="1" customWidth="1"/>
    <col min="1819" max="1819" width="15.44140625" bestFit="1" customWidth="1"/>
    <col min="1820" max="1820" width="12.6640625" bestFit="1" customWidth="1"/>
    <col min="1821" max="1821" width="15.44140625" bestFit="1" customWidth="1"/>
    <col min="1822" max="1822" width="12.6640625" bestFit="1" customWidth="1"/>
    <col min="1823" max="1823" width="15.44140625" bestFit="1" customWidth="1"/>
    <col min="1824" max="1824" width="9.33203125" bestFit="1" customWidth="1"/>
    <col min="1825" max="1825" width="12.44140625" bestFit="1" customWidth="1"/>
    <col min="1826" max="1826" width="12.6640625" bestFit="1" customWidth="1"/>
    <col min="1827" max="1827" width="15.44140625" bestFit="1" customWidth="1"/>
    <col min="1828" max="1828" width="9.33203125" bestFit="1" customWidth="1"/>
    <col min="1829" max="1829" width="12.44140625" bestFit="1" customWidth="1"/>
    <col min="1830" max="1830" width="12.6640625" bestFit="1" customWidth="1"/>
    <col min="1831" max="1831" width="15.44140625" bestFit="1" customWidth="1"/>
    <col min="1832" max="1832" width="9.33203125" bestFit="1" customWidth="1"/>
    <col min="1833" max="1833" width="12.44140625" bestFit="1" customWidth="1"/>
    <col min="1834" max="1834" width="12.6640625" bestFit="1" customWidth="1"/>
    <col min="1835" max="1835" width="15.44140625" bestFit="1" customWidth="1"/>
    <col min="1836" max="1836" width="12.6640625" bestFit="1" customWidth="1"/>
    <col min="1837" max="1837" width="15.44140625" bestFit="1" customWidth="1"/>
    <col min="1838" max="1838" width="12.6640625" bestFit="1" customWidth="1"/>
    <col min="1839" max="1839" width="15.44140625" bestFit="1" customWidth="1"/>
    <col min="1840" max="1840" width="12.6640625" bestFit="1" customWidth="1"/>
    <col min="1841" max="1841" width="15.44140625" bestFit="1" customWidth="1"/>
    <col min="1842" max="1842" width="12.6640625" bestFit="1" customWidth="1"/>
    <col min="1843" max="1843" width="15.44140625" bestFit="1" customWidth="1"/>
    <col min="1844" max="1844" width="12.6640625" bestFit="1" customWidth="1"/>
    <col min="1845" max="1845" width="15.44140625" bestFit="1" customWidth="1"/>
    <col min="1846" max="1846" width="11.5546875" bestFit="1" customWidth="1"/>
    <col min="1847" max="1847" width="14.21875" bestFit="1" customWidth="1"/>
    <col min="1848" max="1848" width="12.6640625" bestFit="1" customWidth="1"/>
    <col min="1849" max="1849" width="15.44140625" bestFit="1" customWidth="1"/>
    <col min="1850" max="1850" width="9.33203125" bestFit="1" customWidth="1"/>
    <col min="1851" max="1851" width="12.44140625" bestFit="1" customWidth="1"/>
    <col min="1852" max="1852" width="12.6640625" bestFit="1" customWidth="1"/>
    <col min="1853" max="1853" width="15.44140625" bestFit="1" customWidth="1"/>
    <col min="1854" max="1854" width="12.6640625" bestFit="1" customWidth="1"/>
    <col min="1855" max="1855" width="15.44140625" bestFit="1" customWidth="1"/>
    <col min="1856" max="1856" width="11.5546875" bestFit="1" customWidth="1"/>
    <col min="1857" max="1857" width="14.21875" bestFit="1" customWidth="1"/>
    <col min="1858" max="1858" width="12.6640625" bestFit="1" customWidth="1"/>
    <col min="1859" max="1859" width="15.44140625" bestFit="1" customWidth="1"/>
    <col min="1860" max="1860" width="12.6640625" bestFit="1" customWidth="1"/>
    <col min="1861" max="1861" width="15.44140625" bestFit="1" customWidth="1"/>
    <col min="1862" max="1862" width="11.5546875" bestFit="1" customWidth="1"/>
    <col min="1863" max="1863" width="14.21875" bestFit="1" customWidth="1"/>
    <col min="1864" max="1864" width="11.5546875" bestFit="1" customWidth="1"/>
    <col min="1865" max="1865" width="14.21875" bestFit="1" customWidth="1"/>
    <col min="1866" max="1866" width="12.6640625" bestFit="1" customWidth="1"/>
    <col min="1867" max="1867" width="15.44140625" bestFit="1" customWidth="1"/>
    <col min="1868" max="1868" width="11.5546875" bestFit="1" customWidth="1"/>
    <col min="1869" max="1869" width="14.21875" bestFit="1" customWidth="1"/>
    <col min="1870" max="1870" width="12.6640625" bestFit="1" customWidth="1"/>
    <col min="1871" max="1871" width="15.44140625" bestFit="1" customWidth="1"/>
    <col min="1872" max="1872" width="9.33203125" bestFit="1" customWidth="1"/>
    <col min="1873" max="1873" width="12.44140625" bestFit="1" customWidth="1"/>
    <col min="1874" max="1874" width="12.6640625" bestFit="1" customWidth="1"/>
    <col min="1875" max="1875" width="15.44140625" bestFit="1" customWidth="1"/>
    <col min="1876" max="1876" width="9.33203125" bestFit="1" customWidth="1"/>
    <col min="1877" max="1877" width="12.44140625" bestFit="1" customWidth="1"/>
    <col min="1878" max="1878" width="12.6640625" bestFit="1" customWidth="1"/>
    <col min="1879" max="1879" width="15.44140625" bestFit="1" customWidth="1"/>
    <col min="1880" max="1880" width="12.6640625" bestFit="1" customWidth="1"/>
    <col min="1881" max="1881" width="15.44140625" bestFit="1" customWidth="1"/>
    <col min="1882" max="1882" width="11.5546875" bestFit="1" customWidth="1"/>
    <col min="1883" max="1883" width="14.21875" bestFit="1" customWidth="1"/>
    <col min="1884" max="1884" width="12.6640625" bestFit="1" customWidth="1"/>
    <col min="1885" max="1885" width="15.44140625" bestFit="1" customWidth="1"/>
    <col min="1886" max="1886" width="12.6640625" bestFit="1" customWidth="1"/>
    <col min="1887" max="1887" width="15.44140625" bestFit="1" customWidth="1"/>
    <col min="1888" max="1888" width="12.6640625" bestFit="1" customWidth="1"/>
    <col min="1889" max="1889" width="15.44140625" bestFit="1" customWidth="1"/>
    <col min="1890" max="1890" width="9.33203125" bestFit="1" customWidth="1"/>
    <col min="1891" max="1891" width="12.44140625" bestFit="1" customWidth="1"/>
    <col min="1892" max="1892" width="11.5546875" bestFit="1" customWidth="1"/>
    <col min="1893" max="1893" width="14.21875" bestFit="1" customWidth="1"/>
    <col min="1894" max="1894" width="11.5546875" bestFit="1" customWidth="1"/>
    <col min="1895" max="1895" width="14.21875" bestFit="1" customWidth="1"/>
    <col min="1896" max="1896" width="11.5546875" bestFit="1" customWidth="1"/>
    <col min="1897" max="1897" width="14.21875" bestFit="1" customWidth="1"/>
    <col min="1898" max="1898" width="12.6640625" bestFit="1" customWidth="1"/>
    <col min="1899" max="1899" width="15.44140625" bestFit="1" customWidth="1"/>
    <col min="1900" max="1900" width="12.6640625" bestFit="1" customWidth="1"/>
    <col min="1901" max="1901" width="15.44140625" bestFit="1" customWidth="1"/>
    <col min="1902" max="1902" width="11.5546875" bestFit="1" customWidth="1"/>
    <col min="1903" max="1903" width="14.21875" bestFit="1" customWidth="1"/>
    <col min="1904" max="1904" width="12.6640625" bestFit="1" customWidth="1"/>
    <col min="1905" max="1905" width="15.44140625" bestFit="1" customWidth="1"/>
    <col min="1906" max="1906" width="12.6640625" bestFit="1" customWidth="1"/>
    <col min="1907" max="1907" width="15.44140625" bestFit="1" customWidth="1"/>
    <col min="1908" max="1908" width="9.33203125" bestFit="1" customWidth="1"/>
    <col min="1909" max="1909" width="12.44140625" bestFit="1" customWidth="1"/>
    <col min="1910" max="1910" width="12.6640625" bestFit="1" customWidth="1"/>
    <col min="1911" max="1911" width="15.44140625" bestFit="1" customWidth="1"/>
    <col min="1912" max="1912" width="12.6640625" bestFit="1" customWidth="1"/>
    <col min="1913" max="1913" width="15.44140625" bestFit="1" customWidth="1"/>
    <col min="1914" max="1914" width="12.6640625" bestFit="1" customWidth="1"/>
    <col min="1915" max="1915" width="15.44140625" bestFit="1" customWidth="1"/>
    <col min="1916" max="1916" width="11.5546875" bestFit="1" customWidth="1"/>
    <col min="1917" max="1917" width="14.21875" bestFit="1" customWidth="1"/>
    <col min="1918" max="1918" width="12.6640625" bestFit="1" customWidth="1"/>
    <col min="1919" max="1919" width="15.44140625" bestFit="1" customWidth="1"/>
    <col min="1920" max="1920" width="12.6640625" bestFit="1" customWidth="1"/>
    <col min="1921" max="1921" width="15.44140625" bestFit="1" customWidth="1"/>
    <col min="1922" max="1922" width="12.6640625" bestFit="1" customWidth="1"/>
    <col min="1923" max="1923" width="15.44140625" bestFit="1" customWidth="1"/>
    <col min="1924" max="1924" width="12.6640625" bestFit="1" customWidth="1"/>
    <col min="1925" max="1925" width="15.44140625" bestFit="1" customWidth="1"/>
    <col min="1926" max="1926" width="12.6640625" bestFit="1" customWidth="1"/>
    <col min="1927" max="1927" width="15.44140625" bestFit="1" customWidth="1"/>
    <col min="1928" max="1928" width="12.6640625" bestFit="1" customWidth="1"/>
    <col min="1929" max="1929" width="15.44140625" bestFit="1" customWidth="1"/>
    <col min="1930" max="1930" width="9.33203125" bestFit="1" customWidth="1"/>
    <col min="1931" max="1931" width="12.44140625" bestFit="1" customWidth="1"/>
    <col min="1932" max="1932" width="9.33203125" bestFit="1" customWidth="1"/>
    <col min="1933" max="1933" width="12.44140625" bestFit="1" customWidth="1"/>
    <col min="1934" max="1934" width="12.6640625" bestFit="1" customWidth="1"/>
    <col min="1935" max="1935" width="15.44140625" bestFit="1" customWidth="1"/>
    <col min="1936" max="1936" width="12.6640625" bestFit="1" customWidth="1"/>
    <col min="1937" max="1937" width="15.44140625" bestFit="1" customWidth="1"/>
    <col min="1938" max="1938" width="11.5546875" bestFit="1" customWidth="1"/>
    <col min="1939" max="1939" width="14.21875" bestFit="1" customWidth="1"/>
    <col min="1940" max="1940" width="12.6640625" bestFit="1" customWidth="1"/>
    <col min="1941" max="1941" width="15.44140625" bestFit="1" customWidth="1"/>
    <col min="1942" max="1942" width="12.6640625" bestFit="1" customWidth="1"/>
    <col min="1943" max="1943" width="15.44140625" bestFit="1" customWidth="1"/>
    <col min="1944" max="1944" width="12.6640625" bestFit="1" customWidth="1"/>
    <col min="1945" max="1945" width="15.44140625" bestFit="1" customWidth="1"/>
    <col min="1946" max="1946" width="12.6640625" bestFit="1" customWidth="1"/>
    <col min="1947" max="1947" width="15.44140625" bestFit="1" customWidth="1"/>
    <col min="1948" max="1948" width="9.33203125" bestFit="1" customWidth="1"/>
    <col min="1949" max="1949" width="12.44140625" bestFit="1" customWidth="1"/>
    <col min="1950" max="1950" width="12.6640625" bestFit="1" customWidth="1"/>
    <col min="1951" max="1951" width="15.44140625" bestFit="1" customWidth="1"/>
    <col min="1952" max="1952" width="12.6640625" bestFit="1" customWidth="1"/>
    <col min="1953" max="1953" width="15.44140625" bestFit="1" customWidth="1"/>
    <col min="1954" max="1954" width="9.33203125" bestFit="1" customWidth="1"/>
    <col min="1955" max="1955" width="12.44140625" bestFit="1" customWidth="1"/>
    <col min="1956" max="1956" width="9.33203125" bestFit="1" customWidth="1"/>
    <col min="1957" max="1957" width="12.44140625" bestFit="1" customWidth="1"/>
    <col min="1958" max="1958" width="12.6640625" bestFit="1" customWidth="1"/>
    <col min="1959" max="1959" width="15.44140625" bestFit="1" customWidth="1"/>
    <col min="1960" max="1960" width="12.6640625" bestFit="1" customWidth="1"/>
    <col min="1961" max="1961" width="15.44140625" bestFit="1" customWidth="1"/>
    <col min="1962" max="1962" width="11.5546875" bestFit="1" customWidth="1"/>
    <col min="1963" max="1963" width="14.21875" bestFit="1" customWidth="1"/>
    <col min="1964" max="1964" width="12.6640625" bestFit="1" customWidth="1"/>
    <col min="1965" max="1965" width="15.44140625" bestFit="1" customWidth="1"/>
    <col min="1966" max="1966" width="11.5546875" bestFit="1" customWidth="1"/>
    <col min="1967" max="1967" width="14.21875" bestFit="1" customWidth="1"/>
    <col min="1968" max="1968" width="12.6640625" bestFit="1" customWidth="1"/>
    <col min="1969" max="1969" width="15.44140625" bestFit="1" customWidth="1"/>
    <col min="1970" max="1970" width="12.6640625" bestFit="1" customWidth="1"/>
    <col min="1971" max="1971" width="15.44140625" bestFit="1" customWidth="1"/>
    <col min="1972" max="1972" width="12.6640625" bestFit="1" customWidth="1"/>
    <col min="1973" max="1973" width="15.44140625" bestFit="1" customWidth="1"/>
    <col min="1974" max="1974" width="9.33203125" bestFit="1" customWidth="1"/>
    <col min="1975" max="1975" width="12.44140625" bestFit="1" customWidth="1"/>
    <col min="1976" max="1976" width="11.5546875" bestFit="1" customWidth="1"/>
    <col min="1977" max="1977" width="14.21875" bestFit="1" customWidth="1"/>
    <col min="1978" max="1978" width="12.6640625" bestFit="1" customWidth="1"/>
    <col min="1979" max="1979" width="15.44140625" bestFit="1" customWidth="1"/>
    <col min="1980" max="1980" width="12.6640625" bestFit="1" customWidth="1"/>
    <col min="1981" max="1981" width="15.44140625" bestFit="1" customWidth="1"/>
    <col min="1982" max="1982" width="12.6640625" bestFit="1" customWidth="1"/>
    <col min="1983" max="1983" width="15.44140625" bestFit="1" customWidth="1"/>
    <col min="1984" max="1984" width="12.6640625" bestFit="1" customWidth="1"/>
    <col min="1985" max="1985" width="15.44140625" bestFit="1" customWidth="1"/>
    <col min="1986" max="1986" width="11.5546875" bestFit="1" customWidth="1"/>
    <col min="1987" max="1987" width="14.21875" bestFit="1" customWidth="1"/>
    <col min="1988" max="1988" width="12.6640625" bestFit="1" customWidth="1"/>
    <col min="1989" max="1989" width="15.44140625" bestFit="1" customWidth="1"/>
    <col min="1990" max="1990" width="12.6640625" bestFit="1" customWidth="1"/>
    <col min="1991" max="1991" width="15.44140625" bestFit="1" customWidth="1"/>
    <col min="1992" max="1992" width="12.6640625" bestFit="1" customWidth="1"/>
    <col min="1993" max="1993" width="15.44140625" bestFit="1" customWidth="1"/>
    <col min="1994" max="1994" width="11.5546875" bestFit="1" customWidth="1"/>
    <col min="1995" max="1995" width="14.21875" bestFit="1" customWidth="1"/>
    <col min="1996" max="1996" width="11.5546875" bestFit="1" customWidth="1"/>
    <col min="1997" max="1997" width="14.21875" bestFit="1" customWidth="1"/>
    <col min="1998" max="1998" width="11.5546875" bestFit="1" customWidth="1"/>
    <col min="1999" max="1999" width="14.21875" bestFit="1" customWidth="1"/>
    <col min="2000" max="2000" width="12.6640625" bestFit="1" customWidth="1"/>
    <col min="2001" max="2001" width="15.44140625" bestFit="1" customWidth="1"/>
    <col min="2002" max="2002" width="12.6640625" bestFit="1" customWidth="1"/>
    <col min="2003" max="2003" width="15.44140625" bestFit="1" customWidth="1"/>
    <col min="2004" max="2004" width="11.109375" bestFit="1" customWidth="1"/>
  </cols>
  <sheetData>
    <row r="1" spans="1:22" x14ac:dyDescent="0.3">
      <c r="A1" t="s">
        <v>3050</v>
      </c>
      <c r="E1" s="5" t="s">
        <v>3056</v>
      </c>
      <c r="F1" t="s">
        <v>3049</v>
      </c>
      <c r="G1" t="s">
        <v>3051</v>
      </c>
      <c r="K1" s="5" t="s">
        <v>3056</v>
      </c>
      <c r="L1" t="s">
        <v>3049</v>
      </c>
      <c r="N1" s="5" t="s">
        <v>3056</v>
      </c>
      <c r="O1" t="s">
        <v>3049</v>
      </c>
      <c r="T1" s="5" t="s">
        <v>3056</v>
      </c>
      <c r="U1" t="s">
        <v>3051</v>
      </c>
      <c r="V1" t="s">
        <v>3049</v>
      </c>
    </row>
    <row r="2" spans="1:22" x14ac:dyDescent="0.3">
      <c r="A2" s="3">
        <v>60714955.620000005</v>
      </c>
      <c r="C2" s="3">
        <v>50747228.539999999</v>
      </c>
      <c r="E2" s="6" t="s">
        <v>34</v>
      </c>
      <c r="F2" s="2">
        <v>772284.36000000022</v>
      </c>
      <c r="G2" s="2">
        <v>308913.69000000018</v>
      </c>
      <c r="K2" s="6" t="s">
        <v>1615</v>
      </c>
      <c r="L2" s="2">
        <v>518577.36</v>
      </c>
      <c r="N2" s="6" t="s">
        <v>41</v>
      </c>
      <c r="O2" s="2">
        <v>17598171.289999999</v>
      </c>
      <c r="T2" s="6">
        <v>2023</v>
      </c>
      <c r="U2" s="2">
        <v>4197267.0100000016</v>
      </c>
      <c r="V2" s="2">
        <v>23186469.580000002</v>
      </c>
    </row>
    <row r="3" spans="1:22" x14ac:dyDescent="0.3">
      <c r="A3" t="s">
        <v>3052</v>
      </c>
      <c r="E3" s="6" t="s">
        <v>44</v>
      </c>
      <c r="F3" s="2">
        <v>2193382.1499999994</v>
      </c>
      <c r="G3" s="2">
        <v>767683.77000000025</v>
      </c>
      <c r="K3" s="6" t="s">
        <v>844</v>
      </c>
      <c r="L3" s="2">
        <v>610802.64</v>
      </c>
      <c r="N3" s="6" t="s">
        <v>56</v>
      </c>
      <c r="O3" s="2">
        <v>12093869.700000001</v>
      </c>
      <c r="T3" s="6">
        <v>2024</v>
      </c>
      <c r="U3" s="2">
        <v>3846825.2399999998</v>
      </c>
      <c r="V3" s="2">
        <v>21430189.099999998</v>
      </c>
    </row>
    <row r="4" spans="1:22" x14ac:dyDescent="0.3">
      <c r="A4" s="3">
        <v>10952952.049999995</v>
      </c>
      <c r="C4" s="3">
        <v>8241682.0500000026</v>
      </c>
      <c r="E4" s="6" t="s">
        <v>92</v>
      </c>
      <c r="F4" s="2">
        <v>41244408.189999983</v>
      </c>
      <c r="G4" s="2">
        <v>6186661.1700000009</v>
      </c>
      <c r="K4" s="6" t="s">
        <v>233</v>
      </c>
      <c r="L4" s="2">
        <v>532378.89999999991</v>
      </c>
      <c r="N4" s="6" t="s">
        <v>21</v>
      </c>
      <c r="O4" s="2">
        <v>18551130.940000001</v>
      </c>
      <c r="T4" s="6">
        <v>2025</v>
      </c>
      <c r="U4" s="2">
        <v>2908859.8</v>
      </c>
      <c r="V4" s="2">
        <v>16098296.940000003</v>
      </c>
    </row>
    <row r="5" spans="1:22" x14ac:dyDescent="0.3">
      <c r="A5" t="s">
        <v>3053</v>
      </c>
      <c r="E5" s="6" t="s">
        <v>57</v>
      </c>
      <c r="F5" s="2">
        <v>8730535.9899999984</v>
      </c>
      <c r="G5" s="2">
        <v>1746107.1899999995</v>
      </c>
      <c r="K5" s="6" t="s">
        <v>1693</v>
      </c>
      <c r="L5" s="2">
        <v>609284.16</v>
      </c>
      <c r="N5" s="6" t="s">
        <v>31</v>
      </c>
      <c r="O5" s="2">
        <v>12471783.690000003</v>
      </c>
      <c r="T5" s="6" t="s">
        <v>3057</v>
      </c>
      <c r="U5" s="2">
        <v>10952952.050000001</v>
      </c>
      <c r="V5" s="2">
        <v>60714955.620000005</v>
      </c>
    </row>
    <row r="6" spans="1:22" x14ac:dyDescent="0.3">
      <c r="A6" s="4">
        <v>0.26909999999999673</v>
      </c>
      <c r="C6" s="4">
        <v>0.25016556291390796</v>
      </c>
      <c r="E6" s="6" t="s">
        <v>24</v>
      </c>
      <c r="F6" s="2">
        <v>7774344.9299999988</v>
      </c>
      <c r="G6" s="2">
        <v>1943586.2300000002</v>
      </c>
      <c r="K6" s="6" t="s">
        <v>520</v>
      </c>
      <c r="L6" s="2">
        <v>526981.02</v>
      </c>
      <c r="N6" s="6" t="s">
        <v>3057</v>
      </c>
      <c r="O6" s="2">
        <v>60714955.620000012</v>
      </c>
    </row>
    <row r="7" spans="1:22" x14ac:dyDescent="0.3">
      <c r="A7" t="s">
        <v>3054</v>
      </c>
      <c r="E7" s="6" t="s">
        <v>3057</v>
      </c>
      <c r="F7" s="2">
        <v>60714955.619999982</v>
      </c>
      <c r="G7" s="2">
        <v>10952952.050000001</v>
      </c>
      <c r="K7" s="6" t="s">
        <v>1736</v>
      </c>
      <c r="L7" s="2">
        <v>584192.69999999995</v>
      </c>
    </row>
    <row r="8" spans="1:22" x14ac:dyDescent="0.3">
      <c r="A8" s="2">
        <v>1000</v>
      </c>
      <c r="C8" s="2">
        <v>604</v>
      </c>
      <c r="K8" s="6" t="s">
        <v>1524</v>
      </c>
      <c r="L8" s="2">
        <v>558706.80000000005</v>
      </c>
    </row>
    <row r="9" spans="1:22" x14ac:dyDescent="0.3">
      <c r="A9" t="s">
        <v>3055</v>
      </c>
      <c r="K9" s="6" t="s">
        <v>112</v>
      </c>
      <c r="L9" s="2">
        <v>560867.15999999992</v>
      </c>
    </row>
    <row r="10" spans="1:22" x14ac:dyDescent="0.3">
      <c r="A10" s="2">
        <v>5013</v>
      </c>
      <c r="C10" s="2">
        <v>3026</v>
      </c>
      <c r="K10" s="6" t="s">
        <v>412</v>
      </c>
      <c r="L10" s="2">
        <v>544771.80000000005</v>
      </c>
    </row>
    <row r="11" spans="1:22" x14ac:dyDescent="0.3">
      <c r="K11" s="6" t="s">
        <v>1875</v>
      </c>
      <c r="L11" s="2">
        <v>524106.36</v>
      </c>
    </row>
    <row r="12" spans="1:22" x14ac:dyDescent="0.3">
      <c r="K12" s="6" t="s">
        <v>3057</v>
      </c>
      <c r="L12" s="2">
        <v>5570668.9000000004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AC25-8107-42F0-BA25-A6131C3A2944}">
  <dimension ref="B2:R30"/>
  <sheetViews>
    <sheetView tabSelected="1" topLeftCell="A5" zoomScale="104" zoomScaleNormal="100" workbookViewId="0">
      <selection activeCell="L17" sqref="L17"/>
    </sheetView>
  </sheetViews>
  <sheetFormatPr defaultRowHeight="14.4" x14ac:dyDescent="0.3"/>
  <cols>
    <col min="1" max="16384" width="8.88671875" style="8"/>
  </cols>
  <sheetData>
    <row r="2" spans="2:18" ht="25.8" x14ac:dyDescent="0.5">
      <c r="B2" s="23" t="s">
        <v>3058</v>
      </c>
      <c r="C2" s="24"/>
      <c r="D2" s="24"/>
      <c r="E2" s="24"/>
      <c r="F2" s="24"/>
      <c r="G2" s="24"/>
      <c r="H2" s="12"/>
      <c r="I2" s="12"/>
      <c r="J2" s="12"/>
      <c r="K2" s="12"/>
      <c r="L2" s="12"/>
      <c r="M2" s="12"/>
      <c r="N2" s="12"/>
      <c r="O2" s="12"/>
      <c r="P2" s="12"/>
      <c r="Q2" s="13"/>
    </row>
    <row r="3" spans="2:18" x14ac:dyDescent="0.3">
      <c r="B3" s="25" t="s">
        <v>3059</v>
      </c>
      <c r="C3" s="26"/>
      <c r="D3" s="26"/>
      <c r="E3" s="26"/>
      <c r="F3" s="26"/>
      <c r="G3" s="26"/>
      <c r="H3" s="9"/>
      <c r="I3" s="9"/>
      <c r="J3" s="9"/>
      <c r="K3" s="9"/>
      <c r="L3" s="9"/>
      <c r="M3" s="9"/>
      <c r="N3" s="9"/>
      <c r="O3" s="9"/>
      <c r="P3" s="9"/>
      <c r="Q3" s="14"/>
    </row>
    <row r="4" spans="2:18" x14ac:dyDescent="0.3">
      <c r="B4" s="19"/>
      <c r="C4" s="10"/>
      <c r="D4" s="10"/>
      <c r="E4" s="10"/>
      <c r="F4" s="10"/>
      <c r="G4" s="10"/>
      <c r="H4" s="10"/>
      <c r="I4" s="10"/>
      <c r="J4" s="10"/>
      <c r="K4" s="10"/>
      <c r="L4" s="10"/>
      <c r="M4" s="10"/>
      <c r="N4" s="10"/>
      <c r="O4" s="10"/>
      <c r="P4" s="10"/>
      <c r="Q4" s="10"/>
      <c r="R4" s="20"/>
    </row>
    <row r="5" spans="2:18" x14ac:dyDescent="0.3">
      <c r="B5" s="19"/>
      <c r="C5" s="10"/>
      <c r="D5" s="10"/>
      <c r="E5" s="10"/>
      <c r="F5" s="10"/>
      <c r="G5" s="10"/>
      <c r="H5" s="10"/>
      <c r="I5" s="10"/>
      <c r="J5" s="10"/>
      <c r="K5" s="10"/>
      <c r="L5" s="10"/>
      <c r="M5" s="10"/>
      <c r="N5" s="10"/>
      <c r="O5" s="10"/>
      <c r="P5" s="10"/>
      <c r="Q5" s="21"/>
    </row>
    <row r="6" spans="2:18" x14ac:dyDescent="0.3">
      <c r="B6" s="19"/>
      <c r="C6" s="10"/>
      <c r="D6" s="10"/>
      <c r="E6" s="10"/>
      <c r="F6" s="10"/>
      <c r="G6" s="10"/>
      <c r="H6" s="10"/>
      <c r="I6" s="10"/>
      <c r="J6" s="10"/>
      <c r="K6" s="10"/>
      <c r="L6" s="10"/>
      <c r="M6" s="10"/>
      <c r="N6" s="10"/>
      <c r="O6" s="10"/>
      <c r="P6" s="10"/>
      <c r="Q6" s="21"/>
    </row>
    <row r="7" spans="2:18" x14ac:dyDescent="0.3">
      <c r="B7" s="15"/>
      <c r="C7" s="10"/>
      <c r="D7" s="10"/>
      <c r="E7" s="10"/>
      <c r="F7" s="10"/>
      <c r="G7" s="10"/>
      <c r="H7" s="10"/>
      <c r="I7" s="10"/>
      <c r="J7" s="10"/>
      <c r="K7" s="10"/>
      <c r="L7" s="10"/>
      <c r="M7" s="10"/>
      <c r="N7" s="10"/>
      <c r="O7" s="10"/>
      <c r="P7" s="10"/>
      <c r="Q7" s="14"/>
    </row>
    <row r="8" spans="2:18" x14ac:dyDescent="0.3">
      <c r="B8" s="15"/>
      <c r="C8" s="10"/>
      <c r="D8" s="10"/>
      <c r="E8" s="10"/>
      <c r="F8" s="10"/>
      <c r="G8" s="10"/>
      <c r="H8" s="10"/>
      <c r="I8" s="10"/>
      <c r="J8" s="10"/>
      <c r="K8" s="10"/>
      <c r="L8" s="10"/>
      <c r="M8" s="10"/>
      <c r="N8" s="10"/>
      <c r="O8" s="10"/>
      <c r="P8" s="10"/>
      <c r="Q8" s="14"/>
    </row>
    <row r="9" spans="2:18" x14ac:dyDescent="0.3">
      <c r="B9" s="15"/>
      <c r="C9" s="10"/>
      <c r="D9" s="10"/>
      <c r="E9" s="10"/>
      <c r="F9" s="10"/>
      <c r="G9" s="10"/>
      <c r="H9" s="10"/>
      <c r="I9" s="10"/>
      <c r="J9" s="10"/>
      <c r="K9" s="10"/>
      <c r="L9" s="10"/>
      <c r="M9" s="10"/>
      <c r="N9" s="10"/>
      <c r="O9" s="10"/>
      <c r="P9" s="10"/>
      <c r="Q9" s="14"/>
    </row>
    <row r="10" spans="2:18" x14ac:dyDescent="0.3">
      <c r="B10" s="15"/>
      <c r="C10" s="10"/>
      <c r="D10" s="10"/>
      <c r="E10" s="10"/>
      <c r="F10" s="10"/>
      <c r="G10" s="10"/>
      <c r="H10" s="10"/>
      <c r="I10" s="10"/>
      <c r="J10" s="10"/>
      <c r="K10" s="10"/>
      <c r="L10" s="10"/>
      <c r="M10" s="10"/>
      <c r="N10" s="10"/>
      <c r="O10" s="10"/>
      <c r="P10" s="10"/>
      <c r="Q10" s="14"/>
    </row>
    <row r="11" spans="2:18" x14ac:dyDescent="0.3">
      <c r="B11" s="15"/>
      <c r="C11" s="10"/>
      <c r="D11" s="10"/>
      <c r="E11" s="10"/>
      <c r="F11" s="10"/>
      <c r="G11" s="10"/>
      <c r="H11" s="10"/>
      <c r="I11" s="10"/>
      <c r="J11" s="10"/>
      <c r="K11" s="10"/>
      <c r="L11" s="10"/>
      <c r="M11" s="10"/>
      <c r="N11" s="10"/>
      <c r="O11" s="10"/>
      <c r="P11" s="10"/>
      <c r="Q11" s="14"/>
    </row>
    <row r="12" spans="2:18" x14ac:dyDescent="0.3">
      <c r="B12" s="15"/>
      <c r="C12" s="10"/>
      <c r="D12" s="10"/>
      <c r="E12" s="10"/>
      <c r="F12" s="10"/>
      <c r="G12" s="10"/>
      <c r="H12" s="10"/>
      <c r="I12" s="10"/>
      <c r="J12" s="10"/>
      <c r="K12" s="10"/>
      <c r="L12" s="10"/>
      <c r="M12" s="10"/>
      <c r="N12" s="10"/>
      <c r="O12" s="10"/>
      <c r="P12" s="10"/>
      <c r="Q12" s="14"/>
    </row>
    <row r="13" spans="2:18" x14ac:dyDescent="0.3">
      <c r="B13" s="15"/>
      <c r="C13" s="10"/>
      <c r="D13" s="10"/>
      <c r="E13" s="10"/>
      <c r="F13" s="10"/>
      <c r="G13" s="10"/>
      <c r="H13" s="10"/>
      <c r="I13" s="10"/>
      <c r="J13" s="10"/>
      <c r="K13" s="10"/>
      <c r="L13" s="10"/>
      <c r="M13" s="10"/>
      <c r="N13" s="10"/>
      <c r="O13" s="10"/>
      <c r="P13" s="10"/>
      <c r="Q13" s="14"/>
    </row>
    <row r="14" spans="2:18" x14ac:dyDescent="0.3">
      <c r="B14" s="15"/>
      <c r="C14" s="10"/>
      <c r="D14" s="10"/>
      <c r="E14" s="10"/>
      <c r="F14" s="10"/>
      <c r="G14" s="10"/>
      <c r="H14" s="10"/>
      <c r="I14" s="10"/>
      <c r="J14" s="10"/>
      <c r="K14" s="10"/>
      <c r="L14" s="10"/>
      <c r="M14" s="10"/>
      <c r="N14" s="10"/>
      <c r="O14" s="10"/>
      <c r="P14" s="10"/>
      <c r="Q14" s="14"/>
    </row>
    <row r="15" spans="2:18" x14ac:dyDescent="0.3">
      <c r="B15" s="15"/>
      <c r="C15" s="10"/>
      <c r="D15" s="10"/>
      <c r="E15" s="10"/>
      <c r="F15" s="10"/>
      <c r="G15" s="10"/>
      <c r="H15" s="10"/>
      <c r="I15" s="10"/>
      <c r="J15" s="10"/>
      <c r="K15" s="10"/>
      <c r="L15" s="10"/>
      <c r="M15" s="10"/>
      <c r="N15" s="10"/>
      <c r="O15" s="10"/>
      <c r="P15" s="10"/>
      <c r="Q15" s="14"/>
    </row>
    <row r="16" spans="2:18" x14ac:dyDescent="0.3">
      <c r="B16" s="15"/>
      <c r="C16" s="10"/>
      <c r="D16" s="10"/>
      <c r="E16" s="10"/>
      <c r="F16" s="10"/>
      <c r="G16" s="10"/>
      <c r="H16" s="10"/>
      <c r="I16" s="10"/>
      <c r="J16" s="10"/>
      <c r="K16" s="10"/>
      <c r="L16" s="10"/>
      <c r="M16" s="10"/>
      <c r="N16" s="10"/>
      <c r="O16" s="10"/>
      <c r="P16" s="10"/>
      <c r="Q16" s="14"/>
    </row>
    <row r="17" spans="2:17" x14ac:dyDescent="0.3">
      <c r="B17" s="15"/>
      <c r="C17" s="10"/>
      <c r="D17" s="10"/>
      <c r="E17" s="10"/>
      <c r="F17" s="10"/>
      <c r="G17" s="10"/>
      <c r="H17" s="10"/>
      <c r="I17" s="10"/>
      <c r="J17" s="10"/>
      <c r="K17" s="10"/>
      <c r="L17" s="10"/>
      <c r="M17" s="10"/>
      <c r="N17" s="10"/>
      <c r="O17" s="10"/>
      <c r="P17" s="10"/>
      <c r="Q17" s="14"/>
    </row>
    <row r="18" spans="2:17" x14ac:dyDescent="0.3">
      <c r="B18" s="15"/>
      <c r="C18" s="10"/>
      <c r="D18" s="10"/>
      <c r="E18" s="10"/>
      <c r="F18" s="10"/>
      <c r="G18" s="10"/>
      <c r="H18" s="10"/>
      <c r="I18" s="10"/>
      <c r="J18" s="10"/>
      <c r="K18" s="10"/>
      <c r="L18" s="10"/>
      <c r="M18" s="10"/>
      <c r="N18" s="10"/>
      <c r="O18" s="10"/>
      <c r="P18" s="10"/>
      <c r="Q18" s="14"/>
    </row>
    <row r="19" spans="2:17" x14ac:dyDescent="0.3">
      <c r="B19" s="15"/>
      <c r="C19" s="10"/>
      <c r="D19" s="10"/>
      <c r="E19" s="10"/>
      <c r="F19" s="10"/>
      <c r="G19" s="10"/>
      <c r="H19" s="10"/>
      <c r="I19" s="10"/>
      <c r="J19" s="10"/>
      <c r="K19" s="10"/>
      <c r="L19" s="10"/>
      <c r="M19" s="10"/>
      <c r="N19" s="10"/>
      <c r="O19" s="10"/>
      <c r="P19" s="10"/>
      <c r="Q19" s="14"/>
    </row>
    <row r="20" spans="2:17" x14ac:dyDescent="0.3">
      <c r="B20" s="15"/>
      <c r="C20" s="10"/>
      <c r="D20" s="10"/>
      <c r="E20" s="10"/>
      <c r="F20" s="10"/>
      <c r="G20" s="10"/>
      <c r="H20" s="10"/>
      <c r="I20" s="10"/>
      <c r="J20" s="10"/>
      <c r="K20" s="10"/>
      <c r="L20" s="10"/>
      <c r="M20" s="10"/>
      <c r="N20" s="10"/>
      <c r="O20" s="10"/>
      <c r="P20" s="10"/>
      <c r="Q20" s="14"/>
    </row>
    <row r="21" spans="2:17" x14ac:dyDescent="0.3">
      <c r="B21" s="15"/>
      <c r="C21" s="10"/>
      <c r="D21" s="10"/>
      <c r="E21" s="10"/>
      <c r="F21" s="10"/>
      <c r="G21" s="10"/>
      <c r="H21" s="10"/>
      <c r="I21" s="10"/>
      <c r="J21" s="10"/>
      <c r="K21" s="10"/>
      <c r="L21" s="10"/>
      <c r="M21" s="10"/>
      <c r="N21" s="10"/>
      <c r="O21" s="10"/>
      <c r="P21" s="10"/>
      <c r="Q21" s="14"/>
    </row>
    <row r="22" spans="2:17" x14ac:dyDescent="0.3">
      <c r="B22" s="15"/>
      <c r="C22" s="10"/>
      <c r="D22" s="10"/>
      <c r="E22" s="10"/>
      <c r="F22" s="10"/>
      <c r="G22" s="10"/>
      <c r="H22" s="10"/>
      <c r="I22" s="10"/>
      <c r="J22" s="10"/>
      <c r="K22" s="10"/>
      <c r="L22" s="10"/>
      <c r="M22" s="10"/>
      <c r="N22" s="10"/>
      <c r="O22" s="10"/>
      <c r="P22" s="10"/>
      <c r="Q22" s="14"/>
    </row>
    <row r="23" spans="2:17" x14ac:dyDescent="0.3">
      <c r="B23" s="15"/>
      <c r="C23" s="10"/>
      <c r="D23" s="10"/>
      <c r="E23" s="10"/>
      <c r="F23" s="10"/>
      <c r="G23" s="10"/>
      <c r="H23" s="10"/>
      <c r="I23" s="10"/>
      <c r="J23" s="10"/>
      <c r="K23" s="10"/>
      <c r="L23" s="10"/>
      <c r="M23" s="10"/>
      <c r="N23" s="10"/>
      <c r="O23" s="10"/>
      <c r="P23" s="10"/>
      <c r="Q23" s="14"/>
    </row>
    <row r="24" spans="2:17" x14ac:dyDescent="0.3">
      <c r="B24" s="15"/>
      <c r="C24" s="10"/>
      <c r="D24" s="10"/>
      <c r="E24" s="10"/>
      <c r="F24" s="10"/>
      <c r="G24" s="10"/>
      <c r="H24" s="10"/>
      <c r="I24" s="10"/>
      <c r="J24" s="10"/>
      <c r="K24" s="10"/>
      <c r="L24" s="10"/>
      <c r="M24" s="10"/>
      <c r="N24" s="10"/>
      <c r="O24" s="10"/>
      <c r="P24" s="10"/>
      <c r="Q24" s="14"/>
    </row>
    <row r="25" spans="2:17" x14ac:dyDescent="0.3">
      <c r="B25" s="15"/>
      <c r="C25" s="10"/>
      <c r="D25" s="10"/>
      <c r="E25" s="10"/>
      <c r="F25" s="10"/>
      <c r="G25" s="10"/>
      <c r="H25" s="10"/>
      <c r="I25" s="10"/>
      <c r="J25" s="10"/>
      <c r="K25" s="10"/>
      <c r="L25" s="10"/>
      <c r="M25" s="10"/>
      <c r="N25" s="10"/>
      <c r="O25" s="10"/>
      <c r="P25" s="10"/>
      <c r="Q25" s="14"/>
    </row>
    <row r="26" spans="2:17" x14ac:dyDescent="0.3">
      <c r="B26" s="15"/>
      <c r="C26" s="10"/>
      <c r="D26" s="10"/>
      <c r="E26" s="10"/>
      <c r="F26" s="10"/>
      <c r="G26" s="10"/>
      <c r="H26" s="11"/>
      <c r="I26" s="10"/>
      <c r="J26" s="10"/>
      <c r="K26" s="10"/>
      <c r="L26" s="10"/>
      <c r="M26" s="10"/>
      <c r="N26" s="10"/>
      <c r="O26" s="10"/>
      <c r="P26" s="10"/>
      <c r="Q26" s="14"/>
    </row>
    <row r="27" spans="2:17" x14ac:dyDescent="0.3">
      <c r="B27" s="15"/>
      <c r="C27" s="10"/>
      <c r="D27" s="10"/>
      <c r="E27" s="10"/>
      <c r="F27" s="10"/>
      <c r="G27" s="10"/>
      <c r="H27" s="10"/>
      <c r="I27" s="10"/>
      <c r="J27" s="10"/>
      <c r="K27" s="10"/>
      <c r="L27" s="10"/>
      <c r="M27" s="10"/>
      <c r="N27" s="10"/>
      <c r="O27" s="10"/>
      <c r="P27" s="10"/>
      <c r="Q27" s="14"/>
    </row>
    <row r="28" spans="2:17" x14ac:dyDescent="0.3">
      <c r="B28" s="15"/>
      <c r="C28" s="10"/>
      <c r="D28" s="10"/>
      <c r="E28" s="10"/>
      <c r="F28" s="10"/>
      <c r="G28" s="10"/>
      <c r="H28" s="10"/>
      <c r="I28" s="10"/>
      <c r="J28" s="10"/>
      <c r="K28" s="10"/>
      <c r="L28" s="10"/>
      <c r="M28" s="10"/>
      <c r="N28" s="10"/>
      <c r="O28" s="10"/>
      <c r="P28" s="10"/>
      <c r="Q28" s="14"/>
    </row>
    <row r="29" spans="2:17" x14ac:dyDescent="0.3">
      <c r="B29" s="16"/>
      <c r="C29" s="17"/>
      <c r="D29" s="17"/>
      <c r="E29" s="17"/>
      <c r="F29" s="17"/>
      <c r="G29" s="17"/>
      <c r="H29" s="10"/>
      <c r="I29" s="17"/>
      <c r="J29" s="17"/>
      <c r="K29" s="17"/>
      <c r="L29" s="17"/>
      <c r="M29" s="17"/>
      <c r="N29" s="17"/>
      <c r="O29" s="17"/>
      <c r="P29" s="17"/>
      <c r="Q29" s="18"/>
    </row>
    <row r="30" spans="2:17" x14ac:dyDescent="0.3">
      <c r="H30" s="22"/>
    </row>
  </sheetData>
  <mergeCells count="2">
    <mergeCell ref="B2:G2"/>
    <mergeCell ref="B3:G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B0249F-657C-4E19-AE77-EB30A8DE41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 data</vt:lpstr>
      <vt:lpstr>Raw_DATA</vt:lpstr>
      <vt:lpstr>Processed_DATA</vt:lpstr>
      <vt:lpstr>Calculations_Pivot_Table</vt:lpstr>
      <vt:lpstr>Dashboard </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makwana</dc:creator>
  <cp:lastModifiedBy>Vishnu Dalvi</cp:lastModifiedBy>
  <dcterms:created xsi:type="dcterms:W3CDTF">2026-09-27T07:44:58Z</dcterms:created>
  <dcterms:modified xsi:type="dcterms:W3CDTF">2026-10-20T09:05:06Z</dcterms:modified>
</cp:coreProperties>
</file>